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E:\Programer\Python\Projetos\LMP\LMP_SPI_plan\Assets\"/>
    </mc:Choice>
  </mc:AlternateContent>
  <xr:revisionPtr revIDLastSave="0" documentId="13_ncr:1_{29177FAB-07B9-4410-B0F7-5B3A75AEDD21}" xr6:coauthVersionLast="47" xr6:coauthVersionMax="47" xr10:uidLastSave="{00000000-0000-0000-0000-000000000000}"/>
  <bookViews>
    <workbookView xWindow="7185" yWindow="3390" windowWidth="36990" windowHeight="23580" tabRatio="613" xr2:uid="{CBE123E8-A678-4236-94C6-A2E412B8F73B}"/>
  </bookViews>
  <sheets>
    <sheet name="2025" sheetId="15" r:id="rId1"/>
    <sheet name="2024" sheetId="14" r:id="rId2"/>
    <sheet name="Planilha1" sheetId="16" r:id="rId3"/>
    <sheet name="2023" sheetId="12" r:id="rId4"/>
    <sheet name="2022" sheetId="9" r:id="rId5"/>
    <sheet name="2021" sheetId="2" r:id="rId6"/>
    <sheet name="2020" sheetId="7" r:id="rId7"/>
    <sheet name="2019" sheetId="4" r:id="rId8"/>
    <sheet name="2018" sheetId="5" r:id="rId9"/>
    <sheet name="2017" sheetId="6" r:id="rId10"/>
    <sheet name="Canceladas" sheetId="13" r:id="rId11"/>
    <sheet name="obsoleto" sheetId="11" r:id="rId12"/>
  </sheets>
  <definedNames>
    <definedName name="_xlnm._FilterDatabase" localSheetId="9" hidden="1">'2017'!$A$5:$AF$5</definedName>
    <definedName name="_xlnm._FilterDatabase" localSheetId="8" hidden="1">'2018'!$A$5:$AF$204</definedName>
    <definedName name="_xlnm._FilterDatabase" localSheetId="7" hidden="1">'2019'!$A$5:$AI$274</definedName>
    <definedName name="_xlnm._FilterDatabase" localSheetId="6" hidden="1">'2020'!$A$5:$AI$384</definedName>
    <definedName name="_xlnm._FilterDatabase" localSheetId="5" hidden="1">'2021'!$A$6:$AI$252</definedName>
    <definedName name="_xlnm._FilterDatabase" localSheetId="4" hidden="1">'2022'!$A$5:$AC$421</definedName>
    <definedName name="_xlnm._FilterDatabase" localSheetId="3" hidden="1">'2023'!$A$5:$U$531</definedName>
    <definedName name="_xlnm._FilterDatabase" localSheetId="1" hidden="1">'2024'!$A$5:$S$713</definedName>
    <definedName name="_xlnm._FilterDatabase" localSheetId="0" hidden="1">'2025'!$A$5:$S$1005</definedName>
    <definedName name="_xlnm._FilterDatabase" localSheetId="11" hidden="1">obsoleto!$B$7:$Q$189</definedName>
    <definedName name="_Hlk35266052" localSheetId="5">'2021'!$K$77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15" l="1"/>
  <c r="L3" i="15"/>
  <c r="S3" i="14"/>
  <c r="L3" i="14"/>
  <c r="U3" i="12"/>
  <c r="L3" i="12"/>
  <c r="G31" i="13" l="1"/>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G14" i="13"/>
  <c r="F14" i="13"/>
  <c r="E14" i="13"/>
  <c r="G13" i="13"/>
  <c r="F13" i="13"/>
  <c r="E13" i="13"/>
  <c r="G12" i="13"/>
  <c r="F12" i="13"/>
  <c r="E12" i="13"/>
  <c r="G11" i="13"/>
  <c r="F11" i="13"/>
  <c r="E11" i="13"/>
  <c r="G10" i="13"/>
  <c r="F10" i="13"/>
  <c r="E10" i="13"/>
  <c r="G9" i="13"/>
  <c r="F9" i="13"/>
  <c r="E9" i="13"/>
  <c r="G8" i="13"/>
  <c r="F8" i="13"/>
  <c r="E8" i="13"/>
  <c r="G7" i="13"/>
  <c r="F7" i="13"/>
  <c r="E7" i="13"/>
  <c r="G6" i="13"/>
  <c r="F6" i="13"/>
  <c r="E6" i="13"/>
  <c r="A163" i="9"/>
  <c r="B163" i="9"/>
  <c r="C163" i="9"/>
  <c r="A164" i="9"/>
  <c r="B164" i="9"/>
  <c r="C164" i="9"/>
  <c r="A165" i="9"/>
  <c r="B165" i="9"/>
  <c r="C165" i="9"/>
  <c r="A166" i="9"/>
  <c r="B166" i="9"/>
  <c r="C166" i="9"/>
  <c r="A167" i="9"/>
  <c r="B167" i="9"/>
  <c r="C167" i="9"/>
  <c r="A168" i="9"/>
  <c r="B168" i="9"/>
  <c r="C168" i="9"/>
  <c r="A152" i="9"/>
  <c r="B152" i="9"/>
  <c r="C152" i="9"/>
  <c r="A153" i="9"/>
  <c r="B153" i="9"/>
  <c r="C153" i="9"/>
  <c r="A154" i="9"/>
  <c r="B154" i="9"/>
  <c r="C154" i="9"/>
  <c r="A155" i="9"/>
  <c r="B155" i="9"/>
  <c r="C155" i="9"/>
  <c r="A156" i="9"/>
  <c r="B156" i="9"/>
  <c r="C156" i="9"/>
  <c r="A157" i="9"/>
  <c r="B157" i="9"/>
  <c r="C157" i="9"/>
  <c r="A158" i="9"/>
  <c r="B158" i="9"/>
  <c r="C158" i="9"/>
  <c r="A174" i="9"/>
  <c r="B174" i="9"/>
  <c r="C174" i="9"/>
  <c r="A175" i="9"/>
  <c r="B175" i="9"/>
  <c r="C175" i="9"/>
  <c r="A176" i="9"/>
  <c r="B176" i="9"/>
  <c r="C176" i="9"/>
  <c r="A177" i="9"/>
  <c r="B177" i="9"/>
  <c r="C177" i="9"/>
  <c r="A178" i="9"/>
  <c r="B178" i="9"/>
  <c r="C178" i="9"/>
  <c r="A236" i="9"/>
  <c r="B236" i="9"/>
  <c r="C236" i="9"/>
  <c r="A237" i="9"/>
  <c r="B237" i="9"/>
  <c r="C237" i="9"/>
  <c r="A238" i="9"/>
  <c r="B238" i="9"/>
  <c r="C238" i="9"/>
  <c r="A239" i="9"/>
  <c r="B239" i="9"/>
  <c r="C239" i="9"/>
  <c r="A240" i="9"/>
  <c r="B240" i="9"/>
  <c r="C240" i="9"/>
  <c r="A241" i="9"/>
  <c r="B241" i="9"/>
  <c r="C241" i="9"/>
  <c r="A242" i="9"/>
  <c r="B242" i="9"/>
  <c r="C242" i="9"/>
  <c r="A243" i="9"/>
  <c r="B243" i="9"/>
  <c r="C243" i="9"/>
  <c r="A244" i="9"/>
  <c r="B244" i="9"/>
  <c r="C244" i="9"/>
  <c r="A245" i="9"/>
  <c r="B245" i="9"/>
  <c r="C245" i="9"/>
  <c r="A246" i="9"/>
  <c r="B246" i="9"/>
  <c r="C246" i="9"/>
  <c r="A247" i="9"/>
  <c r="B247" i="9"/>
  <c r="C247" i="9"/>
  <c r="A248" i="9"/>
  <c r="B248" i="9"/>
  <c r="C248" i="9"/>
  <c r="A249" i="9"/>
  <c r="B249" i="9"/>
  <c r="C249" i="9"/>
  <c r="A250" i="9"/>
  <c r="B250" i="9"/>
  <c r="C250" i="9"/>
  <c r="A251" i="9"/>
  <c r="B251" i="9"/>
  <c r="C251" i="9"/>
  <c r="A252" i="9"/>
  <c r="B252" i="9"/>
  <c r="C252" i="9"/>
  <c r="A253" i="9"/>
  <c r="B253" i="9"/>
  <c r="C253" i="9"/>
  <c r="A254" i="9"/>
  <c r="B254" i="9"/>
  <c r="C254" i="9"/>
  <c r="A255" i="9"/>
  <c r="B255" i="9"/>
  <c r="C255" i="9"/>
  <c r="A256" i="9"/>
  <c r="B256" i="9"/>
  <c r="C256" i="9"/>
  <c r="A257" i="9"/>
  <c r="B257" i="9"/>
  <c r="C257" i="9"/>
  <c r="A258" i="9"/>
  <c r="B258" i="9"/>
  <c r="C258" i="9"/>
  <c r="A259" i="9"/>
  <c r="B259" i="9"/>
  <c r="C259" i="9"/>
  <c r="A260" i="9"/>
  <c r="B260" i="9"/>
  <c r="C260" i="9"/>
  <c r="A261" i="9"/>
  <c r="B261" i="9"/>
  <c r="C261" i="9"/>
  <c r="A262" i="9"/>
  <c r="B262" i="9"/>
  <c r="C262" i="9"/>
  <c r="A263" i="9"/>
  <c r="B263" i="9"/>
  <c r="C263" i="9"/>
  <c r="A265" i="9"/>
  <c r="B265" i="9"/>
  <c r="C265" i="9"/>
  <c r="A266" i="9"/>
  <c r="B266" i="9"/>
  <c r="C266" i="9"/>
  <c r="A267" i="9"/>
  <c r="B267" i="9"/>
  <c r="C267" i="9"/>
  <c r="A268" i="9"/>
  <c r="B268" i="9"/>
  <c r="C268" i="9"/>
  <c r="A269" i="9"/>
  <c r="B269" i="9"/>
  <c r="C269" i="9"/>
  <c r="A270" i="9"/>
  <c r="B270" i="9"/>
  <c r="C270" i="9"/>
  <c r="A271" i="9"/>
  <c r="B271" i="9"/>
  <c r="C271" i="9"/>
  <c r="A272" i="9"/>
  <c r="B272" i="9"/>
  <c r="C272" i="9"/>
  <c r="A273" i="9"/>
  <c r="B273" i="9"/>
  <c r="C273" i="9"/>
  <c r="A274" i="9"/>
  <c r="B274" i="9"/>
  <c r="C274" i="9"/>
  <c r="A275" i="9"/>
  <c r="B275" i="9"/>
  <c r="C275" i="9"/>
  <c r="A276" i="9"/>
  <c r="B276" i="9"/>
  <c r="C276" i="9"/>
  <c r="A277" i="9"/>
  <c r="B277" i="9"/>
  <c r="C277" i="9"/>
  <c r="A278" i="9"/>
  <c r="B278" i="9"/>
  <c r="C278" i="9"/>
  <c r="A279" i="9"/>
  <c r="B279" i="9"/>
  <c r="C279" i="9"/>
  <c r="A280" i="9"/>
  <c r="B280" i="9"/>
  <c r="C280" i="9"/>
  <c r="A281" i="9"/>
  <c r="B281" i="9"/>
  <c r="C281" i="9"/>
  <c r="A282" i="9"/>
  <c r="B282" i="9"/>
  <c r="C282" i="9"/>
  <c r="A283" i="9"/>
  <c r="B283" i="9"/>
  <c r="C283" i="9"/>
  <c r="A284" i="9"/>
  <c r="B284" i="9"/>
  <c r="C284" i="9"/>
  <c r="A285" i="9"/>
  <c r="B285" i="9"/>
  <c r="C285" i="9"/>
  <c r="A286" i="9"/>
  <c r="B286" i="9"/>
  <c r="C286" i="9"/>
  <c r="A287" i="9"/>
  <c r="B287" i="9"/>
  <c r="C287" i="9"/>
  <c r="A288" i="9"/>
  <c r="B288" i="9"/>
  <c r="C288" i="9"/>
  <c r="A289" i="9"/>
  <c r="B289" i="9"/>
  <c r="C289" i="9"/>
  <c r="A290" i="9"/>
  <c r="B290" i="9"/>
  <c r="C290" i="9"/>
  <c r="A291" i="9"/>
  <c r="B291" i="9"/>
  <c r="C291" i="9"/>
  <c r="A292" i="9"/>
  <c r="B292" i="9"/>
  <c r="C292" i="9"/>
  <c r="A293" i="9"/>
  <c r="B293" i="9"/>
  <c r="C293" i="9"/>
  <c r="A294" i="9"/>
  <c r="B294" i="9"/>
  <c r="C294" i="9"/>
  <c r="A295" i="9"/>
  <c r="B295" i="9"/>
  <c r="C295" i="9"/>
  <c r="A296" i="9"/>
  <c r="B296" i="9"/>
  <c r="C296" i="9"/>
  <c r="A297" i="9"/>
  <c r="B297" i="9"/>
  <c r="C297" i="9"/>
  <c r="A298" i="9"/>
  <c r="B298" i="9"/>
  <c r="C298" i="9"/>
  <c r="A299" i="9"/>
  <c r="B299" i="9"/>
  <c r="C299" i="9"/>
  <c r="A300" i="9"/>
  <c r="B300" i="9"/>
  <c r="C300" i="9"/>
  <c r="A301" i="9"/>
  <c r="B301" i="9"/>
  <c r="C301" i="9"/>
  <c r="A302" i="9"/>
  <c r="B302" i="9"/>
  <c r="C302" i="9"/>
  <c r="A303" i="9"/>
  <c r="B303" i="9"/>
  <c r="C303" i="9"/>
  <c r="A304" i="9"/>
  <c r="B304" i="9"/>
  <c r="C304" i="9"/>
  <c r="A305" i="9"/>
  <c r="B305" i="9"/>
  <c r="C305" i="9"/>
  <c r="A306" i="9"/>
  <c r="B306" i="9"/>
  <c r="C306" i="9"/>
  <c r="A307" i="9"/>
  <c r="B307" i="9"/>
  <c r="C307" i="9"/>
  <c r="A308" i="9"/>
  <c r="B308" i="9"/>
  <c r="C308" i="9"/>
  <c r="A309" i="9"/>
  <c r="B309" i="9"/>
  <c r="C309" i="9"/>
  <c r="A310" i="9"/>
  <c r="B310" i="9"/>
  <c r="C310" i="9"/>
  <c r="A311" i="9"/>
  <c r="B311" i="9"/>
  <c r="C311" i="9"/>
  <c r="A312" i="9"/>
  <c r="B312" i="9"/>
  <c r="C312" i="9"/>
  <c r="A313" i="9"/>
  <c r="B313" i="9"/>
  <c r="C313" i="9"/>
  <c r="A314" i="9"/>
  <c r="B314" i="9"/>
  <c r="C314" i="9"/>
  <c r="A315" i="9"/>
  <c r="B315" i="9"/>
  <c r="C315" i="9"/>
  <c r="A316" i="9"/>
  <c r="B316" i="9"/>
  <c r="C316" i="9"/>
  <c r="A317" i="9"/>
  <c r="B317" i="9"/>
  <c r="C317" i="9"/>
  <c r="A318" i="9"/>
  <c r="B318" i="9"/>
  <c r="C318" i="9"/>
  <c r="A319" i="9"/>
  <c r="B319" i="9"/>
  <c r="C319" i="9"/>
  <c r="A320" i="9"/>
  <c r="B320" i="9"/>
  <c r="C320" i="9"/>
  <c r="A321" i="9"/>
  <c r="B321" i="9"/>
  <c r="C321" i="9"/>
  <c r="A322" i="9"/>
  <c r="B322" i="9"/>
  <c r="C322" i="9"/>
  <c r="A323" i="9"/>
  <c r="B323" i="9"/>
  <c r="C323" i="9"/>
  <c r="A324" i="9"/>
  <c r="B324" i="9"/>
  <c r="C324" i="9"/>
  <c r="A325" i="9"/>
  <c r="B325" i="9"/>
  <c r="C325" i="9"/>
  <c r="A326" i="9"/>
  <c r="B326" i="9"/>
  <c r="C326" i="9"/>
  <c r="A327" i="9"/>
  <c r="B327" i="9"/>
  <c r="C327" i="9"/>
  <c r="A328" i="9"/>
  <c r="B328" i="9"/>
  <c r="C328" i="9"/>
  <c r="A329" i="9"/>
  <c r="B329" i="9"/>
  <c r="C329" i="9"/>
  <c r="A330" i="9"/>
  <c r="B330" i="9"/>
  <c r="C330" i="9"/>
  <c r="A331" i="9"/>
  <c r="B331" i="9"/>
  <c r="C331" i="9"/>
  <c r="A332" i="9"/>
  <c r="B332" i="9"/>
  <c r="C332" i="9"/>
  <c r="A333" i="9"/>
  <c r="B333" i="9"/>
  <c r="C333" i="9"/>
  <c r="A334" i="9"/>
  <c r="B334" i="9"/>
  <c r="C334" i="9"/>
  <c r="A335" i="9"/>
  <c r="B335" i="9"/>
  <c r="C335" i="9"/>
  <c r="A336" i="9"/>
  <c r="B336" i="9"/>
  <c r="C336" i="9"/>
  <c r="A337" i="9"/>
  <c r="B337" i="9"/>
  <c r="C337" i="9"/>
  <c r="A338" i="9"/>
  <c r="B338" i="9"/>
  <c r="C338" i="9"/>
  <c r="A339" i="9"/>
  <c r="B339" i="9"/>
  <c r="C339" i="9"/>
  <c r="A340" i="9"/>
  <c r="B340" i="9"/>
  <c r="C340" i="9"/>
  <c r="A341" i="9"/>
  <c r="B341" i="9"/>
  <c r="C341" i="9"/>
  <c r="A342" i="9"/>
  <c r="B342" i="9"/>
  <c r="C342" i="9"/>
  <c r="A343" i="9"/>
  <c r="B343" i="9"/>
  <c r="C343" i="9"/>
  <c r="A344" i="9"/>
  <c r="B344" i="9"/>
  <c r="C344" i="9"/>
  <c r="A345" i="9"/>
  <c r="B345" i="9"/>
  <c r="C345" i="9"/>
  <c r="A346" i="9"/>
  <c r="B346" i="9"/>
  <c r="C346" i="9"/>
  <c r="A347" i="9"/>
  <c r="B347" i="9"/>
  <c r="C347" i="9"/>
  <c r="A348" i="9"/>
  <c r="B348" i="9"/>
  <c r="C348" i="9"/>
  <c r="A349" i="9"/>
  <c r="B349" i="9"/>
  <c r="C349" i="9"/>
  <c r="A350" i="9"/>
  <c r="B350" i="9"/>
  <c r="C350" i="9"/>
  <c r="A351" i="9"/>
  <c r="B351" i="9"/>
  <c r="C351" i="9"/>
  <c r="A352" i="9"/>
  <c r="B352" i="9"/>
  <c r="C352" i="9"/>
  <c r="A353" i="9"/>
  <c r="B353" i="9"/>
  <c r="C353" i="9"/>
  <c r="A354" i="9"/>
  <c r="B354" i="9"/>
  <c r="C354" i="9"/>
  <c r="A355" i="9"/>
  <c r="B355" i="9"/>
  <c r="C355" i="9"/>
  <c r="A356" i="9"/>
  <c r="B356" i="9"/>
  <c r="C356" i="9"/>
  <c r="A357" i="9"/>
  <c r="B357" i="9"/>
  <c r="C357" i="9"/>
  <c r="A358" i="9"/>
  <c r="B358" i="9"/>
  <c r="C358" i="9"/>
  <c r="A359" i="9"/>
  <c r="B359" i="9"/>
  <c r="C359" i="9"/>
  <c r="A360" i="9"/>
  <c r="B360" i="9"/>
  <c r="C360" i="9"/>
  <c r="A361" i="9"/>
  <c r="B361" i="9"/>
  <c r="C361" i="9"/>
  <c r="A362" i="9"/>
  <c r="B362" i="9"/>
  <c r="C362" i="9"/>
  <c r="A363" i="9"/>
  <c r="B363" i="9"/>
  <c r="C363" i="9"/>
  <c r="A364" i="9"/>
  <c r="B364" i="9"/>
  <c r="C364" i="9"/>
  <c r="A365" i="9"/>
  <c r="B365" i="9"/>
  <c r="C365" i="9"/>
  <c r="A366" i="9"/>
  <c r="B366" i="9"/>
  <c r="C366" i="9"/>
  <c r="A367" i="9"/>
  <c r="B367" i="9"/>
  <c r="C367" i="9"/>
  <c r="A368" i="9"/>
  <c r="B368" i="9"/>
  <c r="C368" i="9"/>
  <c r="A369" i="9"/>
  <c r="B369" i="9"/>
  <c r="C369" i="9"/>
  <c r="A370" i="9"/>
  <c r="B370" i="9"/>
  <c r="C370" i="9"/>
  <c r="A371" i="9"/>
  <c r="B371" i="9"/>
  <c r="C371" i="9"/>
  <c r="A372" i="9"/>
  <c r="B372" i="9"/>
  <c r="C372" i="9"/>
  <c r="A373" i="9"/>
  <c r="B373" i="9"/>
  <c r="C373" i="9"/>
  <c r="A374" i="9"/>
  <c r="B374" i="9"/>
  <c r="C374" i="9"/>
  <c r="A375" i="9"/>
  <c r="B375" i="9"/>
  <c r="C375" i="9"/>
  <c r="A376" i="9"/>
  <c r="B376" i="9"/>
  <c r="C376" i="9"/>
  <c r="A377" i="9"/>
  <c r="B377" i="9"/>
  <c r="C377" i="9"/>
  <c r="A378" i="9"/>
  <c r="B378" i="9"/>
  <c r="C378" i="9"/>
  <c r="A379" i="9"/>
  <c r="B379" i="9"/>
  <c r="C379" i="9"/>
  <c r="A380" i="9"/>
  <c r="B380" i="9"/>
  <c r="C380" i="9"/>
  <c r="A381" i="9"/>
  <c r="B381" i="9"/>
  <c r="C381" i="9"/>
  <c r="A382" i="9"/>
  <c r="B382" i="9"/>
  <c r="C382" i="9"/>
  <c r="A383" i="9"/>
  <c r="B383" i="9"/>
  <c r="C383" i="9"/>
  <c r="A384" i="9"/>
  <c r="B384" i="9"/>
  <c r="C384" i="9"/>
  <c r="A385" i="9"/>
  <c r="B385" i="9"/>
  <c r="C385" i="9"/>
  <c r="A386" i="9"/>
  <c r="B386" i="9"/>
  <c r="C386" i="9"/>
  <c r="A387" i="9"/>
  <c r="B387" i="9"/>
  <c r="C387" i="9"/>
  <c r="A388" i="9"/>
  <c r="B388" i="9"/>
  <c r="C388" i="9"/>
  <c r="A389" i="9"/>
  <c r="B389" i="9"/>
  <c r="C389" i="9"/>
  <c r="A390" i="9"/>
  <c r="B390" i="9"/>
  <c r="C390" i="9"/>
  <c r="A391" i="9"/>
  <c r="B391" i="9"/>
  <c r="C391" i="9"/>
  <c r="A392" i="9"/>
  <c r="B392" i="9"/>
  <c r="C392" i="9"/>
  <c r="A393" i="9"/>
  <c r="B393" i="9"/>
  <c r="C393" i="9"/>
  <c r="A394" i="9"/>
  <c r="B394" i="9"/>
  <c r="C394" i="9"/>
  <c r="A395" i="9"/>
  <c r="B395" i="9"/>
  <c r="C395" i="9"/>
  <c r="A396" i="9"/>
  <c r="B396" i="9"/>
  <c r="C396" i="9"/>
  <c r="A397" i="9"/>
  <c r="B397" i="9"/>
  <c r="C397" i="9"/>
  <c r="A398" i="9"/>
  <c r="B398" i="9"/>
  <c r="C398" i="9"/>
  <c r="A399" i="9"/>
  <c r="B399" i="9"/>
  <c r="C399" i="9"/>
  <c r="A400" i="9"/>
  <c r="B400" i="9"/>
  <c r="C400" i="9"/>
  <c r="A401" i="9"/>
  <c r="B401" i="9"/>
  <c r="C401" i="9"/>
  <c r="A402" i="9"/>
  <c r="B402" i="9"/>
  <c r="C402" i="9"/>
  <c r="A403" i="9"/>
  <c r="B403" i="9"/>
  <c r="C403" i="9"/>
  <c r="A404" i="9"/>
  <c r="B404" i="9"/>
  <c r="C404" i="9"/>
  <c r="A405" i="9"/>
  <c r="B405" i="9"/>
  <c r="C405" i="9"/>
  <c r="A406" i="9"/>
  <c r="B406" i="9"/>
  <c r="C406" i="9"/>
  <c r="A407" i="9"/>
  <c r="B407" i="9"/>
  <c r="C407" i="9"/>
  <c r="A408" i="9"/>
  <c r="B408" i="9"/>
  <c r="C408" i="9"/>
  <c r="A409" i="9"/>
  <c r="B409" i="9"/>
  <c r="C409" i="9"/>
  <c r="A410" i="9"/>
  <c r="B410" i="9"/>
  <c r="C410" i="9"/>
  <c r="A411" i="9"/>
  <c r="B411" i="9"/>
  <c r="C411" i="9"/>
  <c r="A412" i="9"/>
  <c r="B412" i="9"/>
  <c r="C412" i="9"/>
  <c r="A413" i="9"/>
  <c r="B413" i="9"/>
  <c r="C413" i="9"/>
  <c r="A414" i="9"/>
  <c r="B414" i="9"/>
  <c r="C414" i="9"/>
  <c r="A415" i="9"/>
  <c r="B415" i="9"/>
  <c r="C415" i="9"/>
  <c r="A416" i="9"/>
  <c r="B416" i="9"/>
  <c r="C416" i="9"/>
  <c r="A417" i="9"/>
  <c r="B417" i="9"/>
  <c r="C417" i="9"/>
  <c r="A418" i="9"/>
  <c r="B418" i="9"/>
  <c r="C418" i="9"/>
  <c r="A419" i="9"/>
  <c r="B419" i="9"/>
  <c r="C419" i="9"/>
  <c r="A420" i="9"/>
  <c r="B420" i="9"/>
  <c r="C420" i="9"/>
  <c r="A421" i="9"/>
  <c r="B421" i="9"/>
  <c r="C421" i="9"/>
  <c r="C57" i="9"/>
  <c r="B57" i="9"/>
  <c r="A57" i="9"/>
  <c r="C86" i="9"/>
  <c r="B86" i="9"/>
  <c r="A86" i="9"/>
  <c r="C56" i="9"/>
  <c r="B56" i="9"/>
  <c r="A56" i="9"/>
  <c r="C55" i="9"/>
  <c r="B55" i="9"/>
  <c r="A55" i="9"/>
  <c r="C213" i="9"/>
  <c r="B213" i="9"/>
  <c r="A213" i="9"/>
  <c r="C212" i="9"/>
  <c r="B212" i="9"/>
  <c r="A212" i="9"/>
  <c r="C139" i="9"/>
  <c r="B139" i="9"/>
  <c r="A139" i="9"/>
  <c r="C64" i="9"/>
  <c r="B64" i="9"/>
  <c r="A64" i="9"/>
  <c r="C235" i="9"/>
  <c r="B235" i="9"/>
  <c r="A235" i="9"/>
  <c r="C232" i="9"/>
  <c r="B232" i="9"/>
  <c r="A232" i="9"/>
  <c r="C231" i="9"/>
  <c r="B231" i="9"/>
  <c r="A231" i="9"/>
  <c r="C230" i="9"/>
  <c r="B230" i="9"/>
  <c r="A230" i="9"/>
  <c r="C98" i="9"/>
  <c r="B98" i="9"/>
  <c r="A98" i="9"/>
  <c r="C198" i="9"/>
  <c r="B198" i="9"/>
  <c r="A198" i="9"/>
  <c r="C138" i="9"/>
  <c r="B138" i="9"/>
  <c r="A138" i="9"/>
  <c r="C54" i="9"/>
  <c r="B54" i="9"/>
  <c r="A54" i="9"/>
  <c r="C137" i="9"/>
  <c r="B137" i="9"/>
  <c r="A137" i="9"/>
  <c r="C136" i="9"/>
  <c r="B136" i="9"/>
  <c r="A136" i="9"/>
  <c r="C113" i="9"/>
  <c r="B113" i="9"/>
  <c r="A113" i="9"/>
  <c r="C53" i="9"/>
  <c r="B53" i="9"/>
  <c r="A53" i="9"/>
  <c r="C52" i="9"/>
  <c r="B52" i="9"/>
  <c r="A52" i="9"/>
  <c r="C51" i="9"/>
  <c r="B51" i="9"/>
  <c r="A51" i="9"/>
  <c r="C50" i="9"/>
  <c r="B50" i="9"/>
  <c r="A50" i="9"/>
  <c r="C49" i="9"/>
  <c r="B49" i="9"/>
  <c r="A49" i="9"/>
  <c r="C125" i="9"/>
  <c r="B125" i="9"/>
  <c r="A125" i="9"/>
  <c r="C144" i="9"/>
  <c r="B144" i="9"/>
  <c r="A144" i="9"/>
  <c r="C23" i="9"/>
  <c r="B23" i="9"/>
  <c r="A23" i="9"/>
  <c r="C106" i="9"/>
  <c r="B106" i="9"/>
  <c r="A106" i="9"/>
  <c r="C105" i="9"/>
  <c r="B105" i="9"/>
  <c r="A105" i="9"/>
  <c r="C84" i="9"/>
  <c r="B84" i="9"/>
  <c r="A84" i="9"/>
  <c r="C112" i="9"/>
  <c r="B112" i="9"/>
  <c r="A112" i="9"/>
  <c r="C83" i="9"/>
  <c r="B83" i="9"/>
  <c r="A83" i="9"/>
  <c r="C104" i="9"/>
  <c r="B104" i="9"/>
  <c r="A104" i="9"/>
  <c r="C22" i="9"/>
  <c r="B22" i="9"/>
  <c r="A22" i="9"/>
  <c r="C214" i="9"/>
  <c r="B214" i="9"/>
  <c r="A214" i="9"/>
  <c r="C6" i="9"/>
  <c r="B6" i="9"/>
  <c r="A6" i="9"/>
  <c r="C107" i="9"/>
  <c r="B107" i="9"/>
  <c r="A107" i="9"/>
  <c r="C100" i="9"/>
  <c r="B100" i="9"/>
  <c r="A100" i="9"/>
  <c r="C48" i="9"/>
  <c r="B48" i="9"/>
  <c r="A48" i="9"/>
  <c r="C21" i="9"/>
  <c r="B21" i="9"/>
  <c r="A21" i="9"/>
  <c r="C226" i="9"/>
  <c r="B226" i="9"/>
  <c r="A226" i="9"/>
  <c r="C211" i="9"/>
  <c r="B211" i="9"/>
  <c r="A211" i="9"/>
  <c r="C190" i="9"/>
  <c r="B190" i="9"/>
  <c r="A190" i="9"/>
  <c r="C47" i="9"/>
  <c r="B47" i="9"/>
  <c r="A47" i="9"/>
  <c r="C46" i="9"/>
  <c r="B46" i="9"/>
  <c r="A46" i="9"/>
  <c r="C20" i="9"/>
  <c r="B20" i="9"/>
  <c r="A20" i="9"/>
  <c r="C19" i="9"/>
  <c r="B19" i="9"/>
  <c r="A19" i="9"/>
  <c r="C94" i="9"/>
  <c r="B94" i="9"/>
  <c r="A94" i="9"/>
  <c r="C197" i="9"/>
  <c r="B197" i="9"/>
  <c r="A197" i="9"/>
  <c r="C128" i="9"/>
  <c r="B128" i="9"/>
  <c r="A128" i="9"/>
  <c r="C127" i="9"/>
  <c r="B127" i="9"/>
  <c r="A127" i="9"/>
  <c r="C126" i="9"/>
  <c r="B126" i="9"/>
  <c r="A126" i="9"/>
  <c r="C124" i="9"/>
  <c r="B124" i="9"/>
  <c r="A124" i="9"/>
  <c r="C93" i="9"/>
  <c r="B93" i="9"/>
  <c r="A93" i="9"/>
  <c r="C82" i="9"/>
  <c r="B82" i="9"/>
  <c r="A82" i="9"/>
  <c r="C81" i="9"/>
  <c r="B81" i="9"/>
  <c r="A81" i="9"/>
  <c r="C45" i="9"/>
  <c r="B45" i="9"/>
  <c r="A45" i="9"/>
  <c r="C18" i="9"/>
  <c r="B18" i="9"/>
  <c r="A18" i="9"/>
  <c r="C141" i="9"/>
  <c r="B141" i="9"/>
  <c r="A141" i="9"/>
  <c r="C229" i="9"/>
  <c r="B229" i="9"/>
  <c r="A229" i="9"/>
  <c r="C228" i="9"/>
  <c r="B228" i="9"/>
  <c r="A228" i="9"/>
  <c r="C227" i="9"/>
  <c r="B227" i="9"/>
  <c r="A227" i="9"/>
  <c r="C210" i="9"/>
  <c r="B210" i="9"/>
  <c r="A210" i="9"/>
  <c r="C209" i="9"/>
  <c r="B209" i="9"/>
  <c r="A209" i="9"/>
  <c r="C208" i="9"/>
  <c r="B208" i="9"/>
  <c r="A208" i="9"/>
  <c r="C207" i="9"/>
  <c r="B207" i="9"/>
  <c r="A207" i="9"/>
  <c r="C44" i="9"/>
  <c r="B44" i="9"/>
  <c r="A44" i="9"/>
  <c r="C79" i="9"/>
  <c r="B79" i="9"/>
  <c r="A79" i="9"/>
  <c r="C43" i="9"/>
  <c r="B43" i="9"/>
  <c r="A43" i="9"/>
  <c r="C42" i="9"/>
  <c r="B42" i="9"/>
  <c r="A42" i="9"/>
  <c r="C111" i="9"/>
  <c r="B111" i="9"/>
  <c r="A111" i="9"/>
  <c r="C41" i="9"/>
  <c r="B41" i="9"/>
  <c r="A41" i="9"/>
  <c r="C40" i="9"/>
  <c r="B40" i="9"/>
  <c r="A40" i="9"/>
  <c r="C39" i="9"/>
  <c r="B39" i="9"/>
  <c r="A39" i="9"/>
  <c r="C38" i="9"/>
  <c r="B38" i="9"/>
  <c r="A38" i="9"/>
  <c r="C189" i="9"/>
  <c r="B189" i="9"/>
  <c r="A189" i="9"/>
  <c r="C37" i="9"/>
  <c r="B37" i="9"/>
  <c r="A37" i="9"/>
  <c r="C206" i="9"/>
  <c r="B206" i="9"/>
  <c r="A206" i="9"/>
  <c r="C110" i="9"/>
  <c r="B110" i="9"/>
  <c r="A110" i="9"/>
  <c r="C78" i="9"/>
  <c r="B78" i="9"/>
  <c r="A78" i="9"/>
  <c r="C77" i="9"/>
  <c r="B77" i="9"/>
  <c r="A77" i="9"/>
  <c r="C76" i="9"/>
  <c r="B76" i="9"/>
  <c r="A76" i="9"/>
  <c r="C109" i="9"/>
  <c r="B109" i="9"/>
  <c r="A109" i="9"/>
  <c r="C75" i="9"/>
  <c r="B75" i="9"/>
  <c r="A75" i="9"/>
  <c r="C114" i="9"/>
  <c r="B114" i="9"/>
  <c r="A114" i="9"/>
  <c r="C225" i="9"/>
  <c r="B225" i="9"/>
  <c r="A225" i="9"/>
  <c r="C224" i="9"/>
  <c r="B224" i="9"/>
  <c r="A224" i="9"/>
  <c r="C123" i="9"/>
  <c r="B123" i="9"/>
  <c r="A123" i="9"/>
  <c r="C122" i="9"/>
  <c r="B122" i="9"/>
  <c r="A122" i="9"/>
  <c r="C121" i="9"/>
  <c r="B121" i="9"/>
  <c r="A121" i="9"/>
  <c r="C120" i="9"/>
  <c r="B120" i="9"/>
  <c r="A120" i="9"/>
  <c r="C234" i="9"/>
  <c r="B234" i="9"/>
  <c r="A234" i="9"/>
  <c r="C36" i="9"/>
  <c r="B36" i="9"/>
  <c r="A36" i="9"/>
  <c r="C196" i="9"/>
  <c r="B196" i="9"/>
  <c r="A196" i="9"/>
  <c r="C35" i="9"/>
  <c r="B35" i="9"/>
  <c r="A35" i="9"/>
  <c r="C34" i="9"/>
  <c r="B34" i="9"/>
  <c r="A34" i="9"/>
  <c r="C33" i="9"/>
  <c r="B33" i="9"/>
  <c r="A33" i="9"/>
  <c r="C32" i="9"/>
  <c r="B32" i="9"/>
  <c r="A32" i="9"/>
  <c r="C31" i="9"/>
  <c r="B31" i="9"/>
  <c r="A31" i="9"/>
  <c r="C30" i="9"/>
  <c r="B30" i="9"/>
  <c r="A30" i="9"/>
  <c r="C97" i="9"/>
  <c r="B97" i="9"/>
  <c r="A97" i="9"/>
  <c r="C96" i="9"/>
  <c r="B96" i="9"/>
  <c r="A96" i="9"/>
  <c r="C29" i="9"/>
  <c r="B29" i="9"/>
  <c r="A29" i="9"/>
  <c r="C74" i="9"/>
  <c r="B74" i="9"/>
  <c r="A74" i="9"/>
  <c r="C28" i="9"/>
  <c r="B28" i="9"/>
  <c r="A28" i="9"/>
  <c r="C205" i="9"/>
  <c r="B205" i="9"/>
  <c r="A205" i="9"/>
  <c r="C145" i="9"/>
  <c r="B145" i="9"/>
  <c r="A145" i="9"/>
  <c r="C66" i="9"/>
  <c r="B66" i="9"/>
  <c r="A66" i="9"/>
  <c r="C181" i="9"/>
  <c r="B181" i="9"/>
  <c r="A181" i="9"/>
  <c r="C180" i="9"/>
  <c r="B180" i="9"/>
  <c r="A180" i="9"/>
  <c r="C182" i="9"/>
  <c r="B182" i="9"/>
  <c r="A182" i="9"/>
  <c r="C73" i="9"/>
  <c r="B73" i="9"/>
  <c r="A73" i="9"/>
  <c r="C204" i="9"/>
  <c r="B204" i="9"/>
  <c r="A204" i="9"/>
  <c r="C143" i="9"/>
  <c r="B143" i="9"/>
  <c r="A143" i="9"/>
  <c r="C17" i="9"/>
  <c r="B17" i="9"/>
  <c r="A17" i="9"/>
  <c r="C80" i="9"/>
  <c r="B80" i="9"/>
  <c r="A80" i="9"/>
  <c r="C132" i="9"/>
  <c r="B132" i="9"/>
  <c r="A132" i="9"/>
  <c r="C95" i="9"/>
  <c r="B95" i="9"/>
  <c r="A95" i="9"/>
  <c r="C16" i="9"/>
  <c r="B16" i="9"/>
  <c r="A16" i="9"/>
  <c r="C15" i="9"/>
  <c r="B15" i="9"/>
  <c r="A15" i="9"/>
  <c r="C72" i="9"/>
  <c r="B72" i="9"/>
  <c r="A72" i="9"/>
  <c r="C195" i="9"/>
  <c r="B195" i="9"/>
  <c r="A195" i="9"/>
  <c r="C92" i="9"/>
  <c r="B92" i="9"/>
  <c r="A92" i="9"/>
  <c r="C14" i="9"/>
  <c r="B14" i="9"/>
  <c r="A14" i="9"/>
  <c r="C183" i="9"/>
  <c r="B183" i="9"/>
  <c r="A183" i="9"/>
  <c r="C63" i="9"/>
  <c r="B63" i="9"/>
  <c r="A63" i="9"/>
  <c r="C103" i="9"/>
  <c r="B103" i="9"/>
  <c r="A103" i="9"/>
  <c r="C102" i="9"/>
  <c r="B102" i="9"/>
  <c r="A102" i="9"/>
  <c r="C101" i="9"/>
  <c r="B101" i="9"/>
  <c r="A101" i="9"/>
  <c r="C135" i="9"/>
  <c r="B135" i="9"/>
  <c r="A135" i="9"/>
  <c r="C13" i="9"/>
  <c r="B13" i="9"/>
  <c r="A13" i="9"/>
  <c r="C12" i="9"/>
  <c r="B12" i="9"/>
  <c r="A12" i="9"/>
  <c r="C108" i="9"/>
  <c r="B108" i="9"/>
  <c r="A108" i="9"/>
  <c r="C223" i="9"/>
  <c r="B223" i="9"/>
  <c r="A223" i="9"/>
  <c r="C71" i="9"/>
  <c r="B71" i="9"/>
  <c r="A71" i="9"/>
  <c r="C70" i="9"/>
  <c r="B70" i="9"/>
  <c r="A70" i="9"/>
  <c r="C69" i="9"/>
  <c r="B69" i="9"/>
  <c r="A69" i="9"/>
  <c r="C194" i="9"/>
  <c r="B194" i="9"/>
  <c r="A194" i="9"/>
  <c r="C27" i="9"/>
  <c r="B27" i="9"/>
  <c r="A27" i="9"/>
  <c r="C62" i="9"/>
  <c r="B62" i="9"/>
  <c r="A62" i="9"/>
  <c r="C61" i="9"/>
  <c r="B61" i="9"/>
  <c r="A61" i="9"/>
  <c r="C233" i="9"/>
  <c r="B233" i="9"/>
  <c r="A233" i="9"/>
  <c r="C26" i="9"/>
  <c r="B26" i="9"/>
  <c r="A26" i="9"/>
  <c r="C11" i="9"/>
  <c r="B11" i="9"/>
  <c r="A11" i="9"/>
  <c r="C222" i="9"/>
  <c r="B222" i="9"/>
  <c r="A222" i="9"/>
  <c r="C60" i="9"/>
  <c r="B60" i="9"/>
  <c r="A60" i="9"/>
  <c r="C25" i="9"/>
  <c r="B25" i="9"/>
  <c r="A25" i="9"/>
  <c r="C203" i="9"/>
  <c r="B203" i="9"/>
  <c r="A203" i="9"/>
  <c r="C10" i="9"/>
  <c r="B10" i="9"/>
  <c r="A10" i="9"/>
  <c r="C9" i="9"/>
  <c r="B9" i="9"/>
  <c r="A9" i="9"/>
  <c r="C146" i="9"/>
  <c r="B146" i="9"/>
  <c r="A146" i="9"/>
  <c r="C188" i="9"/>
  <c r="B188" i="9"/>
  <c r="A188" i="9"/>
  <c r="C129" i="9"/>
  <c r="B129" i="9"/>
  <c r="A129" i="9"/>
  <c r="C221" i="9"/>
  <c r="B221" i="9"/>
  <c r="A221" i="9"/>
  <c r="C24" i="9"/>
  <c r="B24" i="9"/>
  <c r="A24" i="9"/>
  <c r="C8" i="9"/>
  <c r="B8" i="9"/>
  <c r="A8" i="9"/>
  <c r="C91" i="9"/>
  <c r="B91" i="9"/>
  <c r="A91" i="9"/>
  <c r="C90" i="9"/>
  <c r="B90" i="9"/>
  <c r="A90" i="9"/>
  <c r="C89" i="9"/>
  <c r="B89" i="9"/>
  <c r="A89" i="9"/>
  <c r="C193" i="9"/>
  <c r="B193" i="9"/>
  <c r="A193" i="9"/>
  <c r="C192" i="9"/>
  <c r="B192" i="9"/>
  <c r="A192" i="9"/>
  <c r="C7" i="9"/>
  <c r="B7" i="9"/>
  <c r="A7" i="9"/>
  <c r="C202" i="9"/>
  <c r="B202" i="9"/>
  <c r="A202" i="9"/>
  <c r="C134" i="9"/>
  <c r="B134" i="9"/>
  <c r="A134" i="9"/>
  <c r="C133" i="9"/>
  <c r="B133" i="9"/>
  <c r="A133" i="9"/>
  <c r="C220" i="9"/>
  <c r="B220" i="9"/>
  <c r="A220" i="9"/>
  <c r="C219" i="9"/>
  <c r="B219" i="9"/>
  <c r="A219" i="9"/>
  <c r="C59" i="9"/>
  <c r="B59" i="9"/>
  <c r="A59" i="9"/>
  <c r="C140" i="9"/>
  <c r="B140" i="9"/>
  <c r="A140" i="9"/>
  <c r="C58" i="9"/>
  <c r="B58" i="9"/>
  <c r="A58" i="9"/>
  <c r="C119" i="9"/>
  <c r="B119" i="9"/>
  <c r="A119" i="9"/>
  <c r="C218" i="9"/>
  <c r="B218" i="9"/>
  <c r="A218" i="9"/>
  <c r="C217" i="9"/>
  <c r="B217" i="9"/>
  <c r="A217" i="9"/>
  <c r="C216" i="9"/>
  <c r="B216" i="9"/>
  <c r="A216" i="9"/>
  <c r="C187" i="9"/>
  <c r="B187" i="9"/>
  <c r="A187" i="9"/>
  <c r="C179" i="9"/>
  <c r="B179" i="9"/>
  <c r="A179" i="9"/>
  <c r="C151" i="9"/>
  <c r="B151" i="9"/>
  <c r="A151" i="9"/>
  <c r="C150" i="9"/>
  <c r="B150" i="9"/>
  <c r="A150" i="9"/>
  <c r="C149" i="9"/>
  <c r="B149" i="9"/>
  <c r="A149" i="9"/>
  <c r="C162" i="9"/>
  <c r="B162" i="9"/>
  <c r="A162" i="9"/>
  <c r="C161" i="9"/>
  <c r="B161" i="9"/>
  <c r="A161" i="9"/>
  <c r="C160" i="9"/>
  <c r="B160" i="9"/>
  <c r="A160" i="9"/>
  <c r="C159" i="9"/>
  <c r="B159" i="9"/>
  <c r="A159" i="9"/>
  <c r="C173" i="9"/>
  <c r="B173" i="9"/>
  <c r="A173" i="9"/>
  <c r="C172" i="9"/>
  <c r="B172" i="9"/>
  <c r="A172" i="9"/>
  <c r="C171" i="9"/>
  <c r="B171" i="9"/>
  <c r="A171" i="9"/>
  <c r="C170" i="9"/>
  <c r="B170" i="9"/>
  <c r="A170" i="9"/>
  <c r="C169" i="9"/>
  <c r="B169" i="9"/>
  <c r="A169" i="9"/>
  <c r="C215" i="9"/>
  <c r="B215" i="9"/>
  <c r="A215" i="9"/>
  <c r="C201" i="9"/>
  <c r="B201" i="9"/>
  <c r="A201" i="9"/>
  <c r="C88" i="9"/>
  <c r="B88" i="9"/>
  <c r="A88" i="9"/>
  <c r="C87" i="9"/>
  <c r="B87" i="9"/>
  <c r="A87" i="9"/>
  <c r="C130" i="9"/>
  <c r="B130" i="9"/>
  <c r="A130" i="9"/>
  <c r="C148" i="9"/>
  <c r="B148" i="9"/>
  <c r="A148" i="9"/>
  <c r="C147" i="9"/>
  <c r="B147" i="9"/>
  <c r="A147" i="9"/>
  <c r="C68" i="9"/>
  <c r="B68" i="9"/>
  <c r="A68" i="9"/>
  <c r="C99" i="9"/>
  <c r="B99" i="9"/>
  <c r="A99" i="9"/>
  <c r="C191" i="9"/>
  <c r="B191" i="9"/>
  <c r="A191" i="9"/>
  <c r="C200" i="9"/>
  <c r="B200" i="9"/>
  <c r="A200" i="9"/>
  <c r="C199" i="9"/>
  <c r="B199" i="9"/>
  <c r="A199" i="9"/>
  <c r="C186" i="9"/>
  <c r="B186" i="9"/>
  <c r="A186" i="9"/>
  <c r="C185" i="9"/>
  <c r="B185" i="9"/>
  <c r="A185" i="9"/>
  <c r="C67" i="9"/>
  <c r="B67" i="9"/>
  <c r="A67" i="9"/>
  <c r="C65" i="9"/>
  <c r="B65" i="9"/>
  <c r="A65" i="9"/>
  <c r="C184" i="9"/>
  <c r="B184" i="9"/>
  <c r="A184" i="9"/>
  <c r="C142" i="9"/>
  <c r="B142" i="9"/>
  <c r="A142" i="9"/>
  <c r="C131" i="9"/>
  <c r="B131" i="9"/>
  <c r="A131" i="9"/>
  <c r="C118" i="9"/>
  <c r="B118" i="9"/>
  <c r="A118" i="9"/>
  <c r="C117" i="9"/>
  <c r="B117" i="9"/>
  <c r="A117" i="9"/>
  <c r="C116" i="9"/>
  <c r="B116" i="9"/>
  <c r="A116" i="9"/>
  <c r="C115" i="9"/>
  <c r="B115" i="9"/>
  <c r="A115" i="9"/>
  <c r="C134" i="2"/>
  <c r="B134" i="2"/>
  <c r="A134" i="2"/>
  <c r="C133" i="2"/>
  <c r="B133" i="2"/>
  <c r="A133" i="2"/>
  <c r="C132" i="2"/>
  <c r="B132" i="2"/>
  <c r="A132" i="2"/>
  <c r="C131" i="2"/>
  <c r="B131" i="2"/>
  <c r="A131" i="2"/>
  <c r="C130" i="2"/>
  <c r="B130" i="2"/>
  <c r="A130" i="2"/>
  <c r="C129" i="2"/>
  <c r="B129" i="2"/>
  <c r="A129" i="2"/>
  <c r="C128" i="2"/>
  <c r="B128" i="2"/>
  <c r="A128" i="2"/>
  <c r="C127" i="2"/>
  <c r="B127" i="2"/>
  <c r="A127" i="2"/>
  <c r="C233" i="4"/>
  <c r="C234" i="4"/>
  <c r="C235" i="4"/>
  <c r="B233" i="4"/>
  <c r="B234" i="4"/>
  <c r="A233" i="4"/>
  <c r="A234" i="4"/>
  <c r="C137" i="4"/>
  <c r="C138" i="4"/>
  <c r="B137" i="4"/>
  <c r="B138" i="4"/>
  <c r="A137" i="4"/>
  <c r="A138" i="4"/>
  <c r="C90" i="4"/>
  <c r="C91" i="4"/>
  <c r="B90" i="4"/>
  <c r="B91" i="4"/>
  <c r="A90" i="4"/>
  <c r="A91" i="4"/>
  <c r="C38" i="4"/>
  <c r="C39" i="4"/>
  <c r="B38" i="4"/>
  <c r="A38" i="4"/>
  <c r="A39" i="4"/>
  <c r="C274" i="4"/>
  <c r="B274" i="4"/>
  <c r="A274" i="4"/>
  <c r="C273" i="4"/>
  <c r="B273" i="4"/>
  <c r="A273" i="4"/>
  <c r="C272" i="4"/>
  <c r="B272" i="4"/>
  <c r="A272" i="4"/>
  <c r="C271" i="4"/>
  <c r="B271" i="4"/>
  <c r="A271" i="4"/>
  <c r="C270" i="4"/>
  <c r="B270" i="4"/>
  <c r="A270" i="4"/>
  <c r="C269" i="4"/>
  <c r="B269" i="4"/>
  <c r="A269" i="4"/>
  <c r="C268" i="4"/>
  <c r="B268" i="4"/>
  <c r="A268" i="4"/>
  <c r="C267" i="4"/>
  <c r="B267" i="4"/>
  <c r="A267" i="4"/>
  <c r="C266" i="4"/>
  <c r="B266" i="4"/>
  <c r="A266" i="4"/>
  <c r="C265" i="4"/>
  <c r="B265" i="4"/>
  <c r="A265" i="4"/>
  <c r="C264" i="4"/>
  <c r="B264" i="4"/>
  <c r="A264" i="4"/>
  <c r="C263" i="4"/>
  <c r="B263" i="4"/>
  <c r="A263" i="4"/>
  <c r="C262" i="4"/>
  <c r="B262" i="4"/>
  <c r="A262" i="4"/>
  <c r="C261" i="4"/>
  <c r="B261" i="4"/>
  <c r="A261" i="4"/>
  <c r="C260" i="4"/>
  <c r="B260" i="4"/>
  <c r="A260" i="4"/>
  <c r="C258" i="4"/>
  <c r="B258" i="4"/>
  <c r="A258" i="4"/>
  <c r="C257" i="4"/>
  <c r="B257" i="4"/>
  <c r="A257" i="4"/>
  <c r="C256" i="4"/>
  <c r="B256" i="4"/>
  <c r="A256" i="4"/>
  <c r="C255" i="4"/>
  <c r="B255" i="4"/>
  <c r="A255" i="4"/>
  <c r="C254" i="4"/>
  <c r="B254" i="4"/>
  <c r="A254" i="4"/>
  <c r="C253" i="4"/>
  <c r="B253" i="4"/>
  <c r="A253" i="4"/>
  <c r="C252" i="4"/>
  <c r="B252" i="4"/>
  <c r="A252" i="4"/>
  <c r="C251" i="4"/>
  <c r="B251" i="4"/>
  <c r="A251" i="4"/>
  <c r="C250" i="4"/>
  <c r="B250" i="4"/>
  <c r="A250" i="4"/>
  <c r="C249" i="4"/>
  <c r="B249" i="4"/>
  <c r="A249" i="4"/>
  <c r="C248" i="4"/>
  <c r="B248" i="4"/>
  <c r="A248" i="4"/>
  <c r="C247" i="4"/>
  <c r="B247" i="4"/>
  <c r="A247" i="4"/>
  <c r="C246" i="4"/>
  <c r="B246" i="4"/>
  <c r="A246" i="4"/>
  <c r="C245" i="4"/>
  <c r="B245" i="4"/>
  <c r="A245" i="4"/>
  <c r="C244" i="4"/>
  <c r="B244" i="4"/>
  <c r="A244" i="4"/>
  <c r="C243" i="4"/>
  <c r="B243" i="4"/>
  <c r="A243" i="4"/>
  <c r="C242" i="4"/>
  <c r="B242" i="4"/>
  <c r="A242" i="4"/>
  <c r="C241" i="4"/>
  <c r="B241" i="4"/>
  <c r="A241" i="4"/>
  <c r="C240" i="4"/>
  <c r="B240" i="4"/>
  <c r="A240" i="4"/>
  <c r="C239" i="4"/>
  <c r="B239" i="4"/>
  <c r="A239" i="4"/>
  <c r="C238" i="4"/>
  <c r="B238" i="4"/>
  <c r="A238" i="4"/>
  <c r="C237" i="4"/>
  <c r="B237" i="4"/>
  <c r="A237" i="4"/>
  <c r="C236" i="4"/>
  <c r="B236" i="4"/>
  <c r="A236" i="4"/>
  <c r="B235" i="4"/>
  <c r="A235" i="4"/>
  <c r="C232" i="4"/>
  <c r="B232" i="4"/>
  <c r="A232" i="4"/>
  <c r="C231" i="4"/>
  <c r="B231" i="4"/>
  <c r="A231" i="4"/>
  <c r="C230" i="4"/>
  <c r="B230" i="4"/>
  <c r="A230" i="4"/>
  <c r="C229" i="4"/>
  <c r="B229" i="4"/>
  <c r="A229" i="4"/>
  <c r="C228" i="4"/>
  <c r="B228" i="4"/>
  <c r="A228" i="4"/>
  <c r="C227" i="4"/>
  <c r="B227" i="4"/>
  <c r="A227" i="4"/>
  <c r="C226" i="4"/>
  <c r="B226" i="4"/>
  <c r="A226" i="4"/>
  <c r="C225" i="4"/>
  <c r="B225" i="4"/>
  <c r="A225" i="4"/>
  <c r="C224" i="4"/>
  <c r="B224" i="4"/>
  <c r="A224" i="4"/>
  <c r="C223" i="4"/>
  <c r="B223" i="4"/>
  <c r="A223" i="4"/>
  <c r="C222" i="4"/>
  <c r="B222" i="4"/>
  <c r="A222" i="4"/>
  <c r="C221" i="4"/>
  <c r="B221" i="4"/>
  <c r="A221" i="4"/>
  <c r="C220" i="4"/>
  <c r="B220" i="4"/>
  <c r="A220" i="4"/>
  <c r="C219" i="4"/>
  <c r="B219" i="4"/>
  <c r="A219" i="4"/>
  <c r="C218" i="4"/>
  <c r="B218" i="4"/>
  <c r="A218" i="4"/>
  <c r="C217" i="4"/>
  <c r="B217" i="4"/>
  <c r="A217" i="4"/>
  <c r="C216" i="4"/>
  <c r="B216" i="4"/>
  <c r="A216" i="4"/>
  <c r="C215" i="4"/>
  <c r="B215" i="4"/>
  <c r="A215" i="4"/>
  <c r="C214" i="4"/>
  <c r="B214" i="4"/>
  <c r="A214" i="4"/>
  <c r="C213" i="4"/>
  <c r="B213" i="4"/>
  <c r="A213" i="4"/>
  <c r="C212" i="4"/>
  <c r="B212" i="4"/>
  <c r="A212" i="4"/>
  <c r="C211" i="4"/>
  <c r="B211" i="4"/>
  <c r="A211" i="4"/>
  <c r="C210" i="4"/>
  <c r="B210" i="4"/>
  <c r="A210" i="4"/>
  <c r="C209" i="4"/>
  <c r="B209" i="4"/>
  <c r="A209" i="4"/>
  <c r="C208" i="4"/>
  <c r="B208" i="4"/>
  <c r="A208" i="4"/>
  <c r="C207" i="4"/>
  <c r="B207" i="4"/>
  <c r="A207" i="4"/>
  <c r="C206" i="4"/>
  <c r="B206" i="4"/>
  <c r="A206" i="4"/>
  <c r="C205" i="4"/>
  <c r="B205" i="4"/>
  <c r="A205" i="4"/>
  <c r="C204" i="4"/>
  <c r="B204" i="4"/>
  <c r="A204" i="4"/>
  <c r="C203" i="4"/>
  <c r="B203" i="4"/>
  <c r="A203" i="4"/>
  <c r="C202" i="4"/>
  <c r="B202" i="4"/>
  <c r="A202" i="4"/>
  <c r="C201" i="4"/>
  <c r="B201" i="4"/>
  <c r="A201" i="4"/>
  <c r="C200" i="4"/>
  <c r="B200" i="4"/>
  <c r="A200" i="4"/>
  <c r="C199" i="4"/>
  <c r="B199" i="4"/>
  <c r="A199" i="4"/>
  <c r="C198" i="4"/>
  <c r="B198" i="4"/>
  <c r="A198" i="4"/>
  <c r="C197" i="4"/>
  <c r="B197" i="4"/>
  <c r="A197" i="4"/>
  <c r="C196" i="4"/>
  <c r="B196" i="4"/>
  <c r="A196" i="4"/>
  <c r="C195" i="4"/>
  <c r="B195" i="4"/>
  <c r="A195" i="4"/>
  <c r="C194" i="4"/>
  <c r="B194" i="4"/>
  <c r="A194" i="4"/>
  <c r="C193" i="4"/>
  <c r="B193" i="4"/>
  <c r="A193" i="4"/>
  <c r="C192" i="4"/>
  <c r="B192" i="4"/>
  <c r="A192" i="4"/>
  <c r="C191" i="4"/>
  <c r="B191" i="4"/>
  <c r="A191" i="4"/>
  <c r="C190" i="4"/>
  <c r="B190" i="4"/>
  <c r="A190" i="4"/>
  <c r="C189" i="4"/>
  <c r="B189" i="4"/>
  <c r="A189" i="4"/>
  <c r="C188" i="4"/>
  <c r="B188" i="4"/>
  <c r="A188" i="4"/>
  <c r="C187" i="4"/>
  <c r="B187" i="4"/>
  <c r="A187" i="4"/>
  <c r="C186" i="4"/>
  <c r="B186" i="4"/>
  <c r="A186" i="4"/>
  <c r="C185" i="4"/>
  <c r="B185" i="4"/>
  <c r="A185" i="4"/>
  <c r="C184" i="4"/>
  <c r="B184" i="4"/>
  <c r="A184" i="4"/>
  <c r="C183" i="4"/>
  <c r="B183" i="4"/>
  <c r="A183" i="4"/>
  <c r="C182" i="4"/>
  <c r="B182" i="4"/>
  <c r="A182" i="4"/>
  <c r="C181" i="4"/>
  <c r="B181" i="4"/>
  <c r="A181" i="4"/>
  <c r="C180" i="4"/>
  <c r="B180" i="4"/>
  <c r="A180" i="4"/>
  <c r="C179" i="4"/>
  <c r="B179" i="4"/>
  <c r="A179" i="4"/>
  <c r="C178" i="4"/>
  <c r="B178" i="4"/>
  <c r="A178" i="4"/>
  <c r="C177" i="4"/>
  <c r="B177" i="4"/>
  <c r="A177" i="4"/>
  <c r="C176" i="4"/>
  <c r="B176" i="4"/>
  <c r="A176" i="4"/>
  <c r="C175" i="4"/>
  <c r="B175" i="4"/>
  <c r="A175" i="4"/>
  <c r="C174" i="4"/>
  <c r="B174" i="4"/>
  <c r="A174" i="4"/>
  <c r="C173" i="4"/>
  <c r="B173" i="4"/>
  <c r="A173" i="4"/>
  <c r="C172" i="4"/>
  <c r="B172" i="4"/>
  <c r="A172" i="4"/>
  <c r="C171" i="4"/>
  <c r="B171" i="4"/>
  <c r="A171" i="4"/>
  <c r="C170" i="4"/>
  <c r="B170" i="4"/>
  <c r="A170" i="4"/>
  <c r="C169" i="4"/>
  <c r="B169" i="4"/>
  <c r="A169" i="4"/>
  <c r="C168" i="4"/>
  <c r="B168" i="4"/>
  <c r="A168" i="4"/>
  <c r="C167" i="4"/>
  <c r="B167" i="4"/>
  <c r="A167" i="4"/>
  <c r="C164" i="4"/>
  <c r="B164" i="4"/>
  <c r="A164" i="4"/>
  <c r="C163" i="4"/>
  <c r="B163" i="4"/>
  <c r="A163" i="4"/>
  <c r="C162" i="4"/>
  <c r="B162" i="4"/>
  <c r="A162" i="4"/>
  <c r="C161" i="4"/>
  <c r="B161" i="4"/>
  <c r="A161" i="4"/>
  <c r="C160" i="4"/>
  <c r="B160" i="4"/>
  <c r="A160" i="4"/>
  <c r="C159" i="4"/>
  <c r="B159" i="4"/>
  <c r="A159" i="4"/>
  <c r="C158" i="4"/>
  <c r="B158" i="4"/>
  <c r="A158" i="4"/>
  <c r="C157" i="4"/>
  <c r="B157" i="4"/>
  <c r="A157" i="4"/>
  <c r="C156" i="4"/>
  <c r="B156" i="4"/>
  <c r="A156" i="4"/>
  <c r="C155" i="4"/>
  <c r="B155" i="4"/>
  <c r="A155" i="4"/>
  <c r="C154" i="4"/>
  <c r="B154" i="4"/>
  <c r="A154" i="4"/>
  <c r="C153" i="4"/>
  <c r="B153" i="4"/>
  <c r="A153" i="4"/>
  <c r="C152" i="4"/>
  <c r="B152" i="4"/>
  <c r="A152" i="4"/>
  <c r="C151" i="4"/>
  <c r="B151" i="4"/>
  <c r="A151" i="4"/>
  <c r="C150" i="4"/>
  <c r="B150" i="4"/>
  <c r="A150" i="4"/>
  <c r="C149" i="4"/>
  <c r="B149" i="4"/>
  <c r="A149" i="4"/>
  <c r="C147" i="4"/>
  <c r="B147" i="4"/>
  <c r="A147" i="4"/>
  <c r="C146" i="4"/>
  <c r="B146" i="4"/>
  <c r="A146" i="4"/>
  <c r="C145" i="4"/>
  <c r="B145" i="4"/>
  <c r="A145" i="4"/>
  <c r="C144" i="4"/>
  <c r="B144" i="4"/>
  <c r="A144" i="4"/>
  <c r="C143" i="4"/>
  <c r="B143" i="4"/>
  <c r="A143" i="4"/>
  <c r="C142" i="4"/>
  <c r="B142" i="4"/>
  <c r="A142" i="4"/>
  <c r="C141" i="4"/>
  <c r="B141" i="4"/>
  <c r="A141" i="4"/>
  <c r="C140" i="4"/>
  <c r="B140" i="4"/>
  <c r="A140" i="4"/>
  <c r="C139" i="4"/>
  <c r="B139" i="4"/>
  <c r="A139" i="4"/>
  <c r="C136" i="4"/>
  <c r="B136" i="4"/>
  <c r="A136" i="4"/>
  <c r="C135" i="4"/>
  <c r="B135" i="4"/>
  <c r="A135" i="4"/>
  <c r="C134" i="4"/>
  <c r="B134" i="4"/>
  <c r="A134" i="4"/>
  <c r="C132" i="4"/>
  <c r="B132" i="4"/>
  <c r="A132" i="4"/>
  <c r="C131" i="4"/>
  <c r="B131" i="4"/>
  <c r="A131" i="4"/>
  <c r="C130" i="4"/>
  <c r="B130" i="4"/>
  <c r="A130" i="4"/>
  <c r="C129" i="4"/>
  <c r="B129" i="4"/>
  <c r="A129" i="4"/>
  <c r="C128" i="4"/>
  <c r="B128" i="4"/>
  <c r="A128" i="4"/>
  <c r="C127" i="4"/>
  <c r="B127" i="4"/>
  <c r="A127" i="4"/>
  <c r="C125" i="4"/>
  <c r="B125" i="4"/>
  <c r="A125" i="4"/>
  <c r="C124" i="4"/>
  <c r="B124" i="4"/>
  <c r="A124" i="4"/>
  <c r="C123" i="4"/>
  <c r="B123" i="4"/>
  <c r="A123" i="4"/>
  <c r="C122" i="4"/>
  <c r="B122" i="4"/>
  <c r="A122" i="4"/>
  <c r="C121" i="4"/>
  <c r="B121" i="4"/>
  <c r="A121" i="4"/>
  <c r="C120" i="4"/>
  <c r="B120" i="4"/>
  <c r="A120" i="4"/>
  <c r="C119" i="4"/>
  <c r="B119" i="4"/>
  <c r="A119" i="4"/>
  <c r="C118" i="4"/>
  <c r="B118" i="4"/>
  <c r="A118" i="4"/>
  <c r="C117" i="4"/>
  <c r="B117" i="4"/>
  <c r="A117" i="4"/>
  <c r="C116" i="4"/>
  <c r="B116" i="4"/>
  <c r="A116" i="4"/>
  <c r="C115" i="4"/>
  <c r="B115" i="4"/>
  <c r="A115" i="4"/>
  <c r="C114" i="4"/>
  <c r="B114" i="4"/>
  <c r="A114" i="4"/>
  <c r="C113" i="4"/>
  <c r="B113" i="4"/>
  <c r="A113" i="4"/>
  <c r="C112" i="4"/>
  <c r="B112" i="4"/>
  <c r="A112" i="4"/>
  <c r="C111" i="4"/>
  <c r="B111" i="4"/>
  <c r="A111" i="4"/>
  <c r="C110" i="4"/>
  <c r="B110" i="4"/>
  <c r="A110" i="4"/>
  <c r="C108" i="4"/>
  <c r="B108" i="4"/>
  <c r="A108" i="4"/>
  <c r="C107" i="4"/>
  <c r="B107" i="4"/>
  <c r="A107" i="4"/>
  <c r="C106" i="4"/>
  <c r="B106" i="4"/>
  <c r="A106" i="4"/>
  <c r="C105" i="4"/>
  <c r="B105" i="4"/>
  <c r="A105" i="4"/>
  <c r="C104" i="4"/>
  <c r="B104" i="4"/>
  <c r="A104" i="4"/>
  <c r="C103" i="4"/>
  <c r="B103" i="4"/>
  <c r="A103" i="4"/>
  <c r="C102" i="4"/>
  <c r="B102" i="4"/>
  <c r="A102" i="4"/>
  <c r="C101" i="4"/>
  <c r="B101" i="4"/>
  <c r="A101" i="4"/>
  <c r="C100" i="4"/>
  <c r="B100" i="4"/>
  <c r="A100" i="4"/>
  <c r="C99" i="4"/>
  <c r="B99" i="4"/>
  <c r="A99" i="4"/>
  <c r="C98" i="4"/>
  <c r="B98" i="4"/>
  <c r="A98" i="4"/>
  <c r="C97" i="4"/>
  <c r="B97" i="4"/>
  <c r="A97" i="4"/>
  <c r="C96" i="4"/>
  <c r="B96" i="4"/>
  <c r="A96" i="4"/>
  <c r="C95" i="4"/>
  <c r="B95" i="4"/>
  <c r="A95" i="4"/>
  <c r="C94" i="4"/>
  <c r="B94" i="4"/>
  <c r="A94" i="4"/>
  <c r="C93" i="4"/>
  <c r="B93" i="4"/>
  <c r="A93" i="4"/>
  <c r="C92" i="4"/>
  <c r="B92" i="4"/>
  <c r="A92" i="4"/>
  <c r="C89" i="4"/>
  <c r="B89" i="4"/>
  <c r="A89" i="4"/>
  <c r="C88" i="4"/>
  <c r="B88" i="4"/>
  <c r="A88" i="4"/>
  <c r="C87" i="4"/>
  <c r="B87" i="4"/>
  <c r="A87" i="4"/>
  <c r="C86" i="4"/>
  <c r="B86" i="4"/>
  <c r="A86" i="4"/>
  <c r="C85" i="4"/>
  <c r="B85" i="4"/>
  <c r="A85" i="4"/>
  <c r="C84" i="4"/>
  <c r="B84" i="4"/>
  <c r="A84" i="4"/>
  <c r="C83" i="4"/>
  <c r="B83" i="4"/>
  <c r="A83" i="4"/>
  <c r="C82" i="4"/>
  <c r="B82" i="4"/>
  <c r="A82" i="4"/>
  <c r="C81" i="4"/>
  <c r="B81" i="4"/>
  <c r="A81" i="4"/>
  <c r="C80" i="4"/>
  <c r="B80" i="4"/>
  <c r="A80" i="4"/>
  <c r="C79" i="4"/>
  <c r="B79" i="4"/>
  <c r="A79" i="4"/>
  <c r="C78" i="4"/>
  <c r="B78" i="4"/>
  <c r="A78" i="4"/>
  <c r="C77" i="4"/>
  <c r="B77" i="4"/>
  <c r="A77" i="4"/>
  <c r="C76" i="4"/>
  <c r="B76" i="4"/>
  <c r="A76" i="4"/>
  <c r="C75" i="4"/>
  <c r="B75" i="4"/>
  <c r="A75" i="4"/>
  <c r="C74" i="4"/>
  <c r="B74" i="4"/>
  <c r="A74" i="4"/>
  <c r="C73" i="4"/>
  <c r="B73" i="4"/>
  <c r="A73" i="4"/>
  <c r="C72" i="4"/>
  <c r="B72" i="4"/>
  <c r="A72" i="4"/>
  <c r="C71" i="4"/>
  <c r="B71" i="4"/>
  <c r="A71" i="4"/>
  <c r="C70" i="4"/>
  <c r="B70" i="4"/>
  <c r="A70" i="4"/>
  <c r="C69" i="4"/>
  <c r="B69" i="4"/>
  <c r="A69" i="4"/>
  <c r="C68" i="4"/>
  <c r="B68" i="4"/>
  <c r="A68" i="4"/>
  <c r="C67" i="4"/>
  <c r="B67" i="4"/>
  <c r="A67" i="4"/>
  <c r="C66" i="4"/>
  <c r="B66" i="4"/>
  <c r="A66" i="4"/>
  <c r="C65" i="4"/>
  <c r="B65" i="4"/>
  <c r="A65" i="4"/>
  <c r="C64" i="4"/>
  <c r="B64" i="4"/>
  <c r="A64" i="4"/>
  <c r="C63" i="4"/>
  <c r="B63" i="4"/>
  <c r="A63" i="4"/>
  <c r="C62" i="4"/>
  <c r="B62" i="4"/>
  <c r="A62" i="4"/>
  <c r="C61" i="4"/>
  <c r="B61" i="4"/>
  <c r="A61" i="4"/>
  <c r="C60" i="4"/>
  <c r="B60" i="4"/>
  <c r="A60" i="4"/>
  <c r="C59" i="4"/>
  <c r="B59" i="4"/>
  <c r="A59" i="4"/>
  <c r="C58" i="4"/>
  <c r="B58" i="4"/>
  <c r="A58" i="4"/>
  <c r="C57" i="4"/>
  <c r="B57" i="4"/>
  <c r="A57" i="4"/>
  <c r="C56" i="4"/>
  <c r="B56" i="4"/>
  <c r="A56" i="4"/>
  <c r="C55" i="4"/>
  <c r="B55" i="4"/>
  <c r="A55" i="4"/>
  <c r="C54" i="4"/>
  <c r="B54" i="4"/>
  <c r="A54" i="4"/>
  <c r="C53" i="4"/>
  <c r="B53" i="4"/>
  <c r="A53" i="4"/>
  <c r="C52" i="4"/>
  <c r="B52" i="4"/>
  <c r="A52" i="4"/>
  <c r="C51" i="4"/>
  <c r="B51" i="4"/>
  <c r="A51" i="4"/>
  <c r="C50" i="4"/>
  <c r="B50" i="4"/>
  <c r="A50" i="4"/>
  <c r="C49" i="4"/>
  <c r="B49" i="4"/>
  <c r="A49" i="4"/>
  <c r="C48" i="4"/>
  <c r="B48" i="4"/>
  <c r="A48" i="4"/>
  <c r="C47" i="4"/>
  <c r="B47" i="4"/>
  <c r="A47" i="4"/>
  <c r="C46" i="4"/>
  <c r="B46" i="4"/>
  <c r="A46" i="4"/>
  <c r="C45" i="4"/>
  <c r="B45" i="4"/>
  <c r="A45" i="4"/>
  <c r="C44" i="4"/>
  <c r="B44" i="4"/>
  <c r="A44" i="4"/>
  <c r="C43" i="4"/>
  <c r="B43" i="4"/>
  <c r="A43" i="4"/>
  <c r="C42" i="4"/>
  <c r="B42" i="4"/>
  <c r="A42" i="4"/>
  <c r="C41" i="4"/>
  <c r="B41" i="4"/>
  <c r="A41" i="4"/>
  <c r="C40" i="4"/>
  <c r="B40" i="4"/>
  <c r="A40" i="4"/>
  <c r="B39" i="4"/>
  <c r="C37" i="4"/>
  <c r="B37" i="4"/>
  <c r="A37" i="4"/>
  <c r="C36" i="4"/>
  <c r="B36" i="4"/>
  <c r="A36" i="4"/>
  <c r="C35" i="4"/>
  <c r="B35" i="4"/>
  <c r="A35" i="4"/>
  <c r="C34" i="4"/>
  <c r="B34" i="4"/>
  <c r="A34" i="4"/>
  <c r="C33" i="4"/>
  <c r="B33" i="4"/>
  <c r="A33" i="4"/>
  <c r="C32" i="4"/>
  <c r="B32" i="4"/>
  <c r="A32" i="4"/>
  <c r="C31" i="4"/>
  <c r="B31" i="4"/>
  <c r="A31" i="4"/>
  <c r="C30" i="4"/>
  <c r="B30" i="4"/>
  <c r="A30" i="4"/>
  <c r="C29" i="4"/>
  <c r="B29" i="4"/>
  <c r="A29" i="4"/>
  <c r="C28" i="4"/>
  <c r="B28" i="4"/>
  <c r="A28" i="4"/>
  <c r="C27" i="4"/>
  <c r="B27" i="4"/>
  <c r="A27" i="4"/>
  <c r="C26" i="4"/>
  <c r="B26" i="4"/>
  <c r="A26" i="4"/>
  <c r="C25" i="4"/>
  <c r="B25" i="4"/>
  <c r="A25" i="4"/>
  <c r="C24" i="4"/>
  <c r="B24" i="4"/>
  <c r="A24" i="4"/>
  <c r="C23" i="4"/>
  <c r="B23" i="4"/>
  <c r="A23" i="4"/>
  <c r="C22" i="4"/>
  <c r="B22" i="4"/>
  <c r="A22" i="4"/>
  <c r="C21" i="4"/>
  <c r="B21" i="4"/>
  <c r="A21" i="4"/>
  <c r="C20" i="4"/>
  <c r="B20" i="4"/>
  <c r="A20" i="4"/>
  <c r="C19" i="4"/>
  <c r="B19" i="4"/>
  <c r="A19" i="4"/>
  <c r="C18" i="4"/>
  <c r="B18" i="4"/>
  <c r="A18" i="4"/>
  <c r="C17" i="4"/>
  <c r="B17" i="4"/>
  <c r="A17" i="4"/>
  <c r="C16" i="4"/>
  <c r="B16" i="4"/>
  <c r="A16" i="4"/>
  <c r="C15" i="4"/>
  <c r="B15" i="4"/>
  <c r="A15" i="4"/>
  <c r="C14" i="4"/>
  <c r="B14" i="4"/>
  <c r="A14" i="4"/>
  <c r="C13" i="4"/>
  <c r="B13" i="4"/>
  <c r="A13" i="4"/>
  <c r="C12" i="4"/>
  <c r="B12" i="4"/>
  <c r="A12" i="4"/>
  <c r="C11" i="4"/>
  <c r="B11" i="4"/>
  <c r="A11" i="4"/>
  <c r="C10" i="4"/>
  <c r="B10" i="4"/>
  <c r="A10" i="4"/>
  <c r="C9" i="4"/>
  <c r="B9" i="4"/>
  <c r="A9" i="4"/>
  <c r="C8" i="4"/>
  <c r="B8" i="4"/>
  <c r="A8" i="4"/>
  <c r="C7" i="4"/>
  <c r="B7" i="4"/>
  <c r="A7" i="4"/>
  <c r="C6" i="4"/>
  <c r="B6" i="4"/>
  <c r="A6" i="4"/>
  <c r="B19" i="2"/>
  <c r="B20" i="2"/>
  <c r="B21" i="2"/>
  <c r="B22" i="2"/>
  <c r="B23" i="2"/>
  <c r="B24" i="2"/>
  <c r="A17" i="2"/>
  <c r="A19" i="2"/>
  <c r="A20" i="2"/>
  <c r="A21" i="2"/>
  <c r="C252" i="2"/>
  <c r="B252" i="2"/>
  <c r="A252" i="2"/>
  <c r="C251" i="2"/>
  <c r="B251" i="2"/>
  <c r="A251" i="2"/>
  <c r="C250" i="2"/>
  <c r="B250" i="2"/>
  <c r="A250" i="2"/>
  <c r="C249" i="2"/>
  <c r="B249" i="2"/>
  <c r="A249" i="2"/>
  <c r="C248" i="2"/>
  <c r="B248" i="2"/>
  <c r="A248" i="2"/>
  <c r="C247" i="2"/>
  <c r="B247" i="2"/>
  <c r="A247" i="2"/>
  <c r="C246" i="2"/>
  <c r="B246" i="2"/>
  <c r="A246" i="2"/>
  <c r="C245" i="2"/>
  <c r="B245" i="2"/>
  <c r="A245" i="2"/>
  <c r="C244" i="2"/>
  <c r="B244" i="2"/>
  <c r="A244" i="2"/>
  <c r="C243" i="2"/>
  <c r="B243" i="2"/>
  <c r="A243" i="2"/>
  <c r="C242" i="2"/>
  <c r="B242" i="2"/>
  <c r="A242" i="2"/>
  <c r="C241" i="2"/>
  <c r="B241" i="2"/>
  <c r="A241" i="2"/>
  <c r="C240" i="2"/>
  <c r="B240" i="2"/>
  <c r="A240" i="2"/>
  <c r="C239" i="2"/>
  <c r="B239" i="2"/>
  <c r="A239" i="2"/>
  <c r="C238" i="2"/>
  <c r="B238" i="2"/>
  <c r="A238" i="2"/>
  <c r="C237" i="2"/>
  <c r="B237" i="2"/>
  <c r="A237" i="2"/>
  <c r="C236" i="2"/>
  <c r="B236" i="2"/>
  <c r="A236" i="2"/>
  <c r="C235" i="2"/>
  <c r="B235" i="2"/>
  <c r="A235" i="2"/>
  <c r="C234" i="2"/>
  <c r="B234" i="2"/>
  <c r="A234" i="2"/>
  <c r="C233" i="2"/>
  <c r="B233" i="2"/>
  <c r="A233" i="2"/>
  <c r="C232" i="2"/>
  <c r="B232" i="2"/>
  <c r="A232" i="2"/>
  <c r="C231" i="2"/>
  <c r="B231" i="2"/>
  <c r="A231" i="2"/>
  <c r="C230" i="2"/>
  <c r="B230" i="2"/>
  <c r="A230" i="2"/>
  <c r="C229" i="2"/>
  <c r="B229" i="2"/>
  <c r="A229" i="2"/>
  <c r="C228" i="2"/>
  <c r="B228" i="2"/>
  <c r="A228" i="2"/>
  <c r="C227" i="2"/>
  <c r="B227" i="2"/>
  <c r="A227" i="2"/>
  <c r="C226" i="2"/>
  <c r="B226" i="2"/>
  <c r="A226" i="2"/>
  <c r="C225" i="2"/>
  <c r="B225" i="2"/>
  <c r="A225" i="2"/>
  <c r="C224" i="2"/>
  <c r="B224" i="2"/>
  <c r="A224" i="2"/>
  <c r="C223" i="2"/>
  <c r="B223" i="2"/>
  <c r="A223" i="2"/>
  <c r="C222" i="2"/>
  <c r="B222" i="2"/>
  <c r="A222" i="2"/>
  <c r="C221" i="2"/>
  <c r="B221" i="2"/>
  <c r="A221" i="2"/>
  <c r="C220" i="2"/>
  <c r="B220" i="2"/>
  <c r="A220" i="2"/>
  <c r="C219" i="2"/>
  <c r="B219" i="2"/>
  <c r="A219" i="2"/>
  <c r="C218" i="2"/>
  <c r="B218" i="2"/>
  <c r="A218" i="2"/>
  <c r="C217" i="2"/>
  <c r="B217" i="2"/>
  <c r="A217" i="2"/>
  <c r="C216" i="2"/>
  <c r="B216" i="2"/>
  <c r="A216" i="2"/>
  <c r="C215" i="2"/>
  <c r="B215" i="2"/>
  <c r="A215" i="2"/>
  <c r="C214" i="2"/>
  <c r="B214" i="2"/>
  <c r="A214" i="2"/>
  <c r="C213" i="2"/>
  <c r="B213" i="2"/>
  <c r="A213" i="2"/>
  <c r="C212" i="2"/>
  <c r="B212" i="2"/>
  <c r="A212" i="2"/>
  <c r="C211" i="2"/>
  <c r="B211" i="2"/>
  <c r="A211" i="2"/>
  <c r="C210" i="2"/>
  <c r="B210" i="2"/>
  <c r="A210" i="2"/>
  <c r="C209" i="2"/>
  <c r="B209" i="2"/>
  <c r="A209" i="2"/>
  <c r="C208" i="2"/>
  <c r="B208" i="2"/>
  <c r="A208" i="2"/>
  <c r="C207" i="2"/>
  <c r="B207" i="2"/>
  <c r="A207" i="2"/>
  <c r="C206" i="2"/>
  <c r="B206" i="2"/>
  <c r="A206" i="2"/>
  <c r="C205" i="2"/>
  <c r="B205" i="2"/>
  <c r="A205" i="2"/>
  <c r="C204" i="2"/>
  <c r="B204" i="2"/>
  <c r="A204" i="2"/>
  <c r="C203" i="2"/>
  <c r="B203" i="2"/>
  <c r="A203" i="2"/>
  <c r="C202" i="2"/>
  <c r="B202" i="2"/>
  <c r="A202" i="2"/>
  <c r="C201" i="2"/>
  <c r="B201" i="2"/>
  <c r="A201" i="2"/>
  <c r="C200" i="2"/>
  <c r="B200" i="2"/>
  <c r="A200" i="2"/>
  <c r="C199" i="2"/>
  <c r="B199" i="2"/>
  <c r="A199" i="2"/>
  <c r="C198" i="2"/>
  <c r="B198" i="2"/>
  <c r="A198" i="2"/>
  <c r="C197" i="2"/>
  <c r="B197" i="2"/>
  <c r="A197" i="2"/>
  <c r="C196" i="2"/>
  <c r="B196" i="2"/>
  <c r="A196" i="2"/>
  <c r="C195" i="2"/>
  <c r="B195" i="2"/>
  <c r="A195" i="2"/>
  <c r="C194" i="2"/>
  <c r="B194" i="2"/>
  <c r="A194" i="2"/>
  <c r="C193" i="2"/>
  <c r="B193" i="2"/>
  <c r="A193" i="2"/>
  <c r="C192" i="2"/>
  <c r="B192" i="2"/>
  <c r="A192" i="2"/>
  <c r="C191" i="2"/>
  <c r="B191" i="2"/>
  <c r="A191" i="2"/>
  <c r="C190" i="2"/>
  <c r="B190" i="2"/>
  <c r="A190" i="2"/>
  <c r="C189" i="2"/>
  <c r="B189" i="2"/>
  <c r="A189" i="2"/>
  <c r="C188" i="2"/>
  <c r="B188" i="2"/>
  <c r="A188" i="2"/>
  <c r="C187" i="2"/>
  <c r="B187" i="2"/>
  <c r="A187" i="2"/>
  <c r="C186" i="2"/>
  <c r="B186" i="2"/>
  <c r="A186" i="2"/>
  <c r="C185" i="2"/>
  <c r="B185" i="2"/>
  <c r="A185" i="2"/>
  <c r="C184" i="2"/>
  <c r="B184" i="2"/>
  <c r="A184" i="2"/>
  <c r="C183" i="2"/>
  <c r="B183" i="2"/>
  <c r="A183" i="2"/>
  <c r="C182" i="2"/>
  <c r="B182" i="2"/>
  <c r="A182" i="2"/>
  <c r="C181" i="2"/>
  <c r="B181" i="2"/>
  <c r="A181" i="2"/>
  <c r="C180" i="2"/>
  <c r="B180" i="2"/>
  <c r="A180" i="2"/>
  <c r="C179" i="2"/>
  <c r="B179" i="2"/>
  <c r="A179" i="2"/>
  <c r="C178" i="2"/>
  <c r="B178" i="2"/>
  <c r="A178" i="2"/>
  <c r="C177" i="2"/>
  <c r="B177" i="2"/>
  <c r="A177" i="2"/>
  <c r="C176" i="2"/>
  <c r="B176" i="2"/>
  <c r="A176" i="2"/>
  <c r="C175" i="2"/>
  <c r="B175" i="2"/>
  <c r="A175" i="2"/>
  <c r="C174" i="2"/>
  <c r="B174" i="2"/>
  <c r="A174" i="2"/>
  <c r="C173" i="2"/>
  <c r="B173" i="2"/>
  <c r="A173" i="2"/>
  <c r="C172" i="2"/>
  <c r="B172" i="2"/>
  <c r="A172" i="2"/>
  <c r="C171" i="2"/>
  <c r="B171" i="2"/>
  <c r="A171" i="2"/>
  <c r="C170" i="2"/>
  <c r="B170" i="2"/>
  <c r="A170" i="2"/>
  <c r="C169" i="2"/>
  <c r="B169" i="2"/>
  <c r="A169" i="2"/>
  <c r="C168" i="2"/>
  <c r="B168" i="2"/>
  <c r="A168" i="2"/>
  <c r="C167" i="2"/>
  <c r="B167" i="2"/>
  <c r="A167" i="2"/>
  <c r="C166" i="2"/>
  <c r="B166" i="2"/>
  <c r="A166" i="2"/>
  <c r="C165" i="2"/>
  <c r="B165" i="2"/>
  <c r="A165" i="2"/>
  <c r="C164" i="2"/>
  <c r="B164" i="2"/>
  <c r="A164" i="2"/>
  <c r="C163" i="2"/>
  <c r="B163" i="2"/>
  <c r="A163" i="2"/>
  <c r="C162" i="2"/>
  <c r="B162" i="2"/>
  <c r="A162" i="2"/>
  <c r="C161" i="2"/>
  <c r="B161" i="2"/>
  <c r="A161" i="2"/>
  <c r="C160" i="2"/>
  <c r="B160" i="2"/>
  <c r="A160" i="2"/>
  <c r="C159" i="2"/>
  <c r="B159" i="2"/>
  <c r="A159" i="2"/>
  <c r="C158" i="2"/>
  <c r="B158" i="2"/>
  <c r="A158" i="2"/>
  <c r="C157" i="2"/>
  <c r="B157" i="2"/>
  <c r="A157" i="2"/>
  <c r="C156" i="2"/>
  <c r="B156" i="2"/>
  <c r="A156" i="2"/>
  <c r="C155" i="2"/>
  <c r="B155" i="2"/>
  <c r="A155" i="2"/>
  <c r="C154" i="2"/>
  <c r="B154" i="2"/>
  <c r="A154" i="2"/>
  <c r="C153" i="2"/>
  <c r="B153" i="2"/>
  <c r="A153" i="2"/>
  <c r="C152" i="2"/>
  <c r="B152" i="2"/>
  <c r="A152" i="2"/>
  <c r="C151" i="2"/>
  <c r="B151" i="2"/>
  <c r="A151" i="2"/>
  <c r="C150" i="2"/>
  <c r="B150" i="2"/>
  <c r="A150" i="2"/>
  <c r="C149" i="2"/>
  <c r="B149" i="2"/>
  <c r="A149" i="2"/>
  <c r="C148" i="2"/>
  <c r="B148" i="2"/>
  <c r="A148" i="2"/>
  <c r="C147" i="2"/>
  <c r="B147" i="2"/>
  <c r="A147" i="2"/>
  <c r="C146" i="2"/>
  <c r="B146" i="2"/>
  <c r="A146" i="2"/>
  <c r="C145" i="2"/>
  <c r="B145" i="2"/>
  <c r="A145" i="2"/>
  <c r="C144" i="2"/>
  <c r="B144" i="2"/>
  <c r="A144" i="2"/>
  <c r="C143" i="2"/>
  <c r="B143" i="2"/>
  <c r="A143" i="2"/>
  <c r="C142" i="2"/>
  <c r="B142" i="2"/>
  <c r="A142" i="2"/>
  <c r="C141" i="2"/>
  <c r="B141" i="2"/>
  <c r="A141" i="2"/>
  <c r="C140" i="2"/>
  <c r="B140" i="2"/>
  <c r="A140" i="2"/>
  <c r="C139" i="2"/>
  <c r="B139" i="2"/>
  <c r="A139" i="2"/>
  <c r="C138" i="2"/>
  <c r="B138" i="2"/>
  <c r="A138" i="2"/>
  <c r="C137" i="2"/>
  <c r="B137" i="2"/>
  <c r="A137" i="2"/>
  <c r="C136" i="2"/>
  <c r="B136" i="2"/>
  <c r="A136" i="2"/>
  <c r="C135" i="2"/>
  <c r="B135" i="2"/>
  <c r="A135" i="2"/>
  <c r="C126" i="2"/>
  <c r="B126" i="2"/>
  <c r="A126" i="2"/>
  <c r="C125" i="2"/>
  <c r="B125" i="2"/>
  <c r="A125" i="2"/>
  <c r="C124" i="2"/>
  <c r="B124" i="2"/>
  <c r="A124" i="2"/>
  <c r="C123" i="2"/>
  <c r="B123" i="2"/>
  <c r="A123" i="2"/>
  <c r="C122" i="2"/>
  <c r="B122" i="2"/>
  <c r="A122" i="2"/>
  <c r="C121" i="2"/>
  <c r="B121" i="2"/>
  <c r="A121" i="2"/>
  <c r="C120" i="2"/>
  <c r="B120" i="2"/>
  <c r="A120" i="2"/>
  <c r="C119" i="2"/>
  <c r="B119" i="2"/>
  <c r="A119" i="2"/>
  <c r="C118" i="2"/>
  <c r="B118" i="2"/>
  <c r="A118" i="2"/>
  <c r="C117" i="2"/>
  <c r="B117" i="2"/>
  <c r="A117" i="2"/>
  <c r="C116" i="2"/>
  <c r="B116" i="2"/>
  <c r="A116" i="2"/>
  <c r="C115" i="2"/>
  <c r="B115" i="2"/>
  <c r="A115" i="2"/>
  <c r="C114" i="2"/>
  <c r="B114" i="2"/>
  <c r="A114" i="2"/>
  <c r="C113" i="2"/>
  <c r="B113" i="2"/>
  <c r="A113" i="2"/>
  <c r="C112" i="2"/>
  <c r="B112" i="2"/>
  <c r="A112" i="2"/>
  <c r="C111" i="2"/>
  <c r="B111" i="2"/>
  <c r="A111" i="2"/>
  <c r="C110" i="2"/>
  <c r="B110" i="2"/>
  <c r="A110" i="2"/>
  <c r="C109" i="2"/>
  <c r="B109" i="2"/>
  <c r="A109" i="2"/>
  <c r="C108" i="2"/>
  <c r="B108" i="2"/>
  <c r="A108" i="2"/>
  <c r="C107" i="2"/>
  <c r="B107" i="2"/>
  <c r="A107" i="2"/>
  <c r="C106" i="2"/>
  <c r="B106" i="2"/>
  <c r="A106" i="2"/>
  <c r="C105" i="2"/>
  <c r="B105" i="2"/>
  <c r="A105" i="2"/>
  <c r="C104" i="2"/>
  <c r="B104" i="2"/>
  <c r="A104" i="2"/>
  <c r="C103" i="2"/>
  <c r="B103" i="2"/>
  <c r="A103" i="2"/>
  <c r="C102" i="2"/>
  <c r="B102" i="2"/>
  <c r="A102" i="2"/>
  <c r="C101" i="2"/>
  <c r="B101" i="2"/>
  <c r="A101" i="2"/>
  <c r="C100" i="2"/>
  <c r="B100" i="2"/>
  <c r="A100" i="2"/>
  <c r="C99" i="2"/>
  <c r="B99" i="2"/>
  <c r="A99" i="2"/>
  <c r="C98" i="2"/>
  <c r="B98" i="2"/>
  <c r="A98" i="2"/>
  <c r="C97" i="2"/>
  <c r="B97" i="2"/>
  <c r="A97" i="2"/>
  <c r="C96" i="2"/>
  <c r="B96" i="2"/>
  <c r="A96" i="2"/>
  <c r="C95" i="2"/>
  <c r="B95" i="2"/>
  <c r="A95" i="2"/>
  <c r="C94" i="2"/>
  <c r="B94" i="2"/>
  <c r="A94" i="2"/>
  <c r="C93" i="2"/>
  <c r="B93" i="2"/>
  <c r="A93" i="2"/>
  <c r="C92" i="2"/>
  <c r="B92" i="2"/>
  <c r="A92" i="2"/>
  <c r="C91" i="2"/>
  <c r="B91" i="2"/>
  <c r="A91" i="2"/>
  <c r="C90" i="2"/>
  <c r="B90" i="2"/>
  <c r="A90" i="2"/>
  <c r="C89" i="2"/>
  <c r="B89" i="2"/>
  <c r="A89" i="2"/>
  <c r="C88" i="2"/>
  <c r="B88" i="2"/>
  <c r="A88" i="2"/>
  <c r="C87" i="2"/>
  <c r="B87" i="2"/>
  <c r="A87" i="2"/>
  <c r="C86" i="2"/>
  <c r="B86" i="2"/>
  <c r="A86" i="2"/>
  <c r="C85" i="2"/>
  <c r="B85" i="2"/>
  <c r="A85" i="2"/>
  <c r="C84" i="2"/>
  <c r="B84" i="2"/>
  <c r="A84" i="2"/>
  <c r="C83" i="2"/>
  <c r="B83" i="2"/>
  <c r="A83" i="2"/>
  <c r="C82" i="2"/>
  <c r="B82" i="2"/>
  <c r="A82" i="2"/>
  <c r="C81" i="2"/>
  <c r="B81" i="2"/>
  <c r="A81" i="2"/>
  <c r="C80" i="2"/>
  <c r="B80" i="2"/>
  <c r="A80" i="2"/>
  <c r="C79" i="2"/>
  <c r="B79" i="2"/>
  <c r="A79" i="2"/>
  <c r="C78" i="2"/>
  <c r="B78" i="2"/>
  <c r="A78" i="2"/>
  <c r="C77" i="2"/>
  <c r="B77" i="2"/>
  <c r="A77" i="2"/>
  <c r="C76" i="2"/>
  <c r="B76" i="2"/>
  <c r="A76" i="2"/>
  <c r="C75" i="2"/>
  <c r="B75" i="2"/>
  <c r="A75" i="2"/>
  <c r="C74" i="2"/>
  <c r="B74" i="2"/>
  <c r="A74" i="2"/>
  <c r="C73" i="2"/>
  <c r="B73" i="2"/>
  <c r="A73" i="2"/>
  <c r="C72" i="2"/>
  <c r="B72" i="2"/>
  <c r="A72" i="2"/>
  <c r="C71" i="2"/>
  <c r="B71" i="2"/>
  <c r="A71" i="2"/>
  <c r="C70" i="2"/>
  <c r="B70" i="2"/>
  <c r="A70" i="2"/>
  <c r="C69" i="2"/>
  <c r="B69" i="2"/>
  <c r="A69" i="2"/>
  <c r="C68" i="2"/>
  <c r="B68" i="2"/>
  <c r="A68" i="2"/>
  <c r="C67" i="2"/>
  <c r="B67" i="2"/>
  <c r="A67" i="2"/>
  <c r="C66" i="2"/>
  <c r="B66" i="2"/>
  <c r="A66" i="2"/>
  <c r="C65" i="2"/>
  <c r="B65" i="2"/>
  <c r="A65" i="2"/>
  <c r="C64" i="2"/>
  <c r="B64" i="2"/>
  <c r="A64" i="2"/>
  <c r="C63" i="2"/>
  <c r="B63" i="2"/>
  <c r="A63" i="2"/>
  <c r="C62" i="2"/>
  <c r="B62" i="2"/>
  <c r="A62" i="2"/>
  <c r="C61" i="2"/>
  <c r="B61" i="2"/>
  <c r="A61" i="2"/>
  <c r="C60" i="2"/>
  <c r="B60" i="2"/>
  <c r="A60" i="2"/>
  <c r="C59" i="2"/>
  <c r="B59" i="2"/>
  <c r="A59" i="2"/>
  <c r="C58" i="2"/>
  <c r="B58" i="2"/>
  <c r="A58" i="2"/>
  <c r="C57" i="2"/>
  <c r="B57" i="2"/>
  <c r="A57" i="2"/>
  <c r="C56" i="2"/>
  <c r="B56" i="2"/>
  <c r="A56" i="2"/>
  <c r="C55" i="2"/>
  <c r="B55" i="2"/>
  <c r="A55" i="2"/>
  <c r="C54" i="2"/>
  <c r="B54" i="2"/>
  <c r="A54" i="2"/>
  <c r="C53" i="2"/>
  <c r="B53" i="2"/>
  <c r="A53" i="2"/>
  <c r="C52" i="2"/>
  <c r="B52" i="2"/>
  <c r="A52" i="2"/>
  <c r="C51" i="2"/>
  <c r="B51" i="2"/>
  <c r="A51" i="2"/>
  <c r="C50" i="2"/>
  <c r="B50" i="2"/>
  <c r="A50" i="2"/>
  <c r="C49" i="2"/>
  <c r="B49" i="2"/>
  <c r="A49" i="2"/>
  <c r="C48" i="2"/>
  <c r="B48" i="2"/>
  <c r="A48" i="2"/>
  <c r="C47" i="2"/>
  <c r="B47" i="2"/>
  <c r="A47" i="2"/>
  <c r="C46" i="2"/>
  <c r="B46" i="2"/>
  <c r="A46" i="2"/>
  <c r="C45" i="2"/>
  <c r="B45" i="2"/>
  <c r="A45" i="2"/>
  <c r="C44" i="2"/>
  <c r="B44" i="2"/>
  <c r="A44" i="2"/>
  <c r="C43" i="2"/>
  <c r="B43" i="2"/>
  <c r="A43" i="2"/>
  <c r="C42" i="2"/>
  <c r="B42" i="2"/>
  <c r="A42" i="2"/>
  <c r="C41" i="2"/>
  <c r="B41" i="2"/>
  <c r="A41" i="2"/>
  <c r="C40" i="2"/>
  <c r="B40" i="2"/>
  <c r="A40" i="2"/>
  <c r="C39" i="2"/>
  <c r="B39" i="2"/>
  <c r="A39" i="2"/>
  <c r="C38" i="2"/>
  <c r="B38" i="2"/>
  <c r="A38" i="2"/>
  <c r="C37" i="2"/>
  <c r="B37" i="2"/>
  <c r="A37" i="2"/>
  <c r="C36" i="2"/>
  <c r="B36" i="2"/>
  <c r="A36" i="2"/>
  <c r="C35" i="2"/>
  <c r="B35" i="2"/>
  <c r="A35" i="2"/>
  <c r="C34" i="2"/>
  <c r="B34" i="2"/>
  <c r="A34" i="2"/>
  <c r="C33" i="2"/>
  <c r="B33" i="2"/>
  <c r="A33" i="2"/>
  <c r="C32" i="2"/>
  <c r="B32" i="2"/>
  <c r="A32" i="2"/>
  <c r="C31" i="2"/>
  <c r="B31" i="2"/>
  <c r="A31" i="2"/>
  <c r="C30" i="2"/>
  <c r="B30" i="2"/>
  <c r="A30" i="2"/>
  <c r="C29" i="2"/>
  <c r="B29" i="2"/>
  <c r="A29" i="2"/>
  <c r="C28" i="2"/>
  <c r="B28" i="2"/>
  <c r="A28" i="2"/>
  <c r="C27" i="2"/>
  <c r="B27" i="2"/>
  <c r="A27" i="2"/>
  <c r="C26" i="2"/>
  <c r="B26" i="2"/>
  <c r="A26" i="2"/>
  <c r="C25" i="2"/>
  <c r="B25" i="2"/>
  <c r="A25" i="2"/>
  <c r="C24" i="2"/>
  <c r="A24" i="2"/>
  <c r="C23" i="2"/>
  <c r="A23" i="2"/>
  <c r="C22" i="2"/>
  <c r="A22" i="2"/>
  <c r="C21" i="2"/>
  <c r="C20" i="2"/>
  <c r="C19" i="2"/>
  <c r="C17" i="2"/>
  <c r="B17" i="2"/>
  <c r="C16" i="2"/>
  <c r="B16" i="2"/>
  <c r="A16" i="2"/>
  <c r="C15" i="2"/>
  <c r="B15" i="2"/>
  <c r="A15" i="2"/>
  <c r="C14" i="2"/>
  <c r="B14" i="2"/>
  <c r="A14" i="2"/>
  <c r="C13" i="2"/>
  <c r="B13" i="2"/>
  <c r="A13" i="2"/>
  <c r="C12" i="2"/>
  <c r="B12" i="2"/>
  <c r="A12" i="2"/>
  <c r="C11" i="2"/>
  <c r="B11" i="2"/>
  <c r="A11" i="2"/>
  <c r="C10" i="2"/>
  <c r="B10" i="2"/>
  <c r="A10" i="2"/>
  <c r="C9" i="2"/>
  <c r="B9" i="2"/>
  <c r="A9" i="2"/>
  <c r="C8" i="2"/>
  <c r="B8" i="2"/>
  <c r="A8" i="2"/>
  <c r="C7" i="2"/>
  <c r="B7" i="2"/>
  <c r="A7" i="2"/>
  <c r="A6" i="7" l="1"/>
  <c r="C7" i="7" l="1"/>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7" i="7"/>
  <c r="C289" i="7"/>
  <c r="C290" i="7"/>
  <c r="C291" i="7"/>
  <c r="C292" i="7"/>
  <c r="C293" i="7"/>
  <c r="C294" i="7"/>
  <c r="C295" i="7"/>
  <c r="C296" i="7"/>
  <c r="C297" i="7"/>
  <c r="C298"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7" i="7"/>
  <c r="B289" i="7"/>
  <c r="B290" i="7"/>
  <c r="B291" i="7"/>
  <c r="B292" i="7"/>
  <c r="B293" i="7"/>
  <c r="B294" i="7"/>
  <c r="B295" i="7"/>
  <c r="B296" i="7"/>
  <c r="B297" i="7"/>
  <c r="B298"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7" i="7"/>
  <c r="A289" i="7"/>
  <c r="A290" i="7"/>
  <c r="A291" i="7"/>
  <c r="A292" i="7"/>
  <c r="A293" i="7"/>
  <c r="A294" i="7"/>
  <c r="A295" i="7"/>
  <c r="A296" i="7"/>
  <c r="A297" i="7"/>
  <c r="A298"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350" i="7"/>
  <c r="A351" i="7"/>
  <c r="A352" i="7"/>
  <c r="A353" i="7"/>
  <c r="A354" i="7"/>
  <c r="A355" i="7"/>
  <c r="A356" i="7"/>
  <c r="A357" i="7"/>
  <c r="A358" i="7"/>
  <c r="A359" i="7"/>
  <c r="A360" i="7"/>
  <c r="A361" i="7"/>
  <c r="A362" i="7"/>
  <c r="A363" i="7"/>
  <c r="A364" i="7"/>
  <c r="A365" i="7"/>
  <c r="A366" i="7"/>
  <c r="A367" i="7"/>
  <c r="A368" i="7"/>
  <c r="A369" i="7"/>
  <c r="A370" i="7"/>
  <c r="A371" i="7"/>
  <c r="A372" i="7"/>
  <c r="A373" i="7"/>
  <c r="A374" i="7"/>
  <c r="A375" i="7"/>
  <c r="A376" i="7"/>
  <c r="A377" i="7"/>
  <c r="A378" i="7"/>
  <c r="A379" i="7"/>
  <c r="A380" i="7"/>
  <c r="A381" i="7"/>
  <c r="A382" i="7"/>
  <c r="A383" i="7"/>
  <c r="A384" i="7"/>
  <c r="F1"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tc={0FBA9B2F-865A-4BEE-9D01-BB4D08392F0E}</author>
    <author>tc={549B4D7B-BAA0-4934-A138-862BC5644BAB}</author>
    <author>tc={120CCDA6-8FE6-48C5-B4C0-C5957E944BE6}</author>
  </authors>
  <commentList>
    <comment ref="C56" authorId="0" shapeId="0" xr:uid="{0FBA9B2F-865A-4BEE-9D01-BB4D08392F0E}">
      <text>
        <t>[Comentário encadeado]
Sua versão do Excel permite que você leia este comentário encadeado, no entanto, as edições serão removidas se o arquivo for aberto em uma versão mais recente do Excel. Saiba mais: https://go.microsoft.com/fwlink/?linkid=870924
Comentário:
    Cliente cancelou</t>
      </text>
    </comment>
    <comment ref="E62" authorId="1" shapeId="0" xr:uid="{549B4D7B-BAA0-4934-A138-862BC5644BAB}">
      <text>
        <t>[Comentário encadeado]
Sua versão do Excel permite que você leia este comentário encadeado, no entanto, as edições serão removidas se o arquivo for aberto em uma versão mais recente do Excel. Saiba mais: https://go.microsoft.com/fwlink/?linkid=870924
Comentário:
    Cliente cancelou</t>
      </text>
    </comment>
    <comment ref="F430" authorId="2" shapeId="0" xr:uid="{120CCDA6-8FE6-48C5-B4C0-C5957E944BE6}">
      <text>
        <t>[Comentário encadeado]
Sua versão do Excel permite que você leia este comentário encadeado, no entanto, as edições serão removidas se o arquivo for aberto em uma versão mais recente do Excel. Saiba mais: https://go.microsoft.com/fwlink/?linkid=870924
Comentário:
    Cancelado, já possui Inmetro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tc={3EDBF909-4BBB-4D54-86BB-4C28FBE2FA40}</author>
    <author>tc={52E9B548-6095-41F8-987B-E834BA822E0F}</author>
    <author>Rai Batista</author>
    <author>tc={C50DDB6E-6BFE-45A8-B9B7-68BA1E87DC01}</author>
    <author>tc={C0727E07-409A-4930-BF97-0C75FD564CE8}</author>
    <author>tc={D35DFEBD-70BC-4961-9EA0-BD0CD8C347AD}</author>
    <author>tc={551CBCBA-1DAF-49AC-BC6C-F3DEEAC047EC}</author>
    <author>tc={D127B3AB-CE25-4C11-8451-A34F6492F2AB}</author>
    <author>tc={99662CF1-B7F9-4023-A9EF-B6E391B512CE}</author>
    <author>tc={BCBE7AF0-6848-42F1-8B6A-91032A346245}</author>
  </authors>
  <commentList>
    <comment ref="B98" authorId="0" shapeId="0" xr:uid="{3EDBF909-4BBB-4D54-86BB-4C28FBE2FA40}">
      <text>
        <t>[Comentário encadeado]
Sua versão do Excel permite que você leia este comentário encadeado, no entanto, as edições serão removidas se o arquivo for aberto em uma versão mais recente do Excel. Saiba mais: https://go.microsoft.com/fwlink/?linkid=870924
Comentário:
    Cliente desistiu do processo</t>
      </text>
    </comment>
    <comment ref="D98" authorId="1" shapeId="0" xr:uid="{52E9B548-6095-41F8-987B-E834BA822E0F}">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 ref="B109" authorId="2" shapeId="0" xr:uid="{BFB4E407-1154-4DAC-AC04-F02829AE5AF7}">
      <text>
        <r>
          <rPr>
            <b/>
            <sz val="9"/>
            <color indexed="81"/>
            <rFont val="Segoe UI"/>
            <family val="2"/>
          </rPr>
          <t>Rai Batista:</t>
        </r>
        <r>
          <rPr>
            <sz val="9"/>
            <color indexed="81"/>
            <rFont val="Segoe UI"/>
            <family val="2"/>
          </rPr>
          <t xml:space="preserve">
Esta ok, apenas acerto.</t>
        </r>
      </text>
    </comment>
    <comment ref="D179" authorId="3" shapeId="0" xr:uid="{C50DDB6E-6BFE-45A8-B9B7-68BA1E87DC01}">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 ref="D299" authorId="4" shapeId="0" xr:uid="{C0727E07-409A-4930-BF97-0C75FD564CE8}">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 ref="D407" authorId="5" shapeId="0" xr:uid="{D35DFEBD-70BC-4961-9EA0-BD0CD8C347AD}">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 ref="D409" authorId="6" shapeId="0" xr:uid="{551CBCBA-1DAF-49AC-BC6C-F3DEEAC047EC}">
      <text>
        <t>[Comentário encadeado]
Sua versão do Excel permite que você leia este comentário encadeado, no entanto, as edições serão removidas se o arquivo for aberto em uma versão mais recente do Excel. Saiba mais: https://go.microsoft.com/fwlink/?linkid=870924
Comentário:
    Sem aceite</t>
      </text>
    </comment>
    <comment ref="D438" authorId="7" shapeId="0" xr:uid="{D127B3AB-CE25-4C11-8451-A34F6492F2AB}">
      <text>
        <t>[Comentário encadeado]
Sua versão do Excel permite que você leia este comentário encadeado, no entanto, as edições serão removidas se o arquivo for aberto em uma versão mais recente do Excel. Saiba mais: https://go.microsoft.com/fwlink/?linkid=870924
Comentário:
    Cancelado, já possuía Inmetro</t>
      </text>
    </comment>
    <comment ref="D461" authorId="8" shapeId="0" xr:uid="{99662CF1-B7F9-4023-A9EF-B6E391B512CE}">
      <text>
        <t>[Comentário encadeado]
Sua versão do Excel permite que você leia este comentário encadeado, no entanto, as edições serão removidas se o arquivo for aberto em uma versão mais recente do Excel. Saiba mais: https://go.microsoft.com/fwlink/?linkid=870924
Comentário:
    Desistiu por falta de documento</t>
      </text>
    </comment>
    <comment ref="D529" authorId="9" shapeId="0" xr:uid="{BCBE7AF0-6848-42F1-8B6A-91032A346245}">
      <text>
        <t>[Comentário encadeado]
Sua versão do Excel permite que você leia este comentário encadeado, no entanto, as edições serão removidas se o arquivo for aberto em uma versão mais recente do Excel. Saiba mais: https://go.microsoft.com/fwlink/?linkid=870924
Comentário:
    Desistiu do processo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tc={31123612-2651-4080-AAF3-D4BD412157B3}</author>
  </authors>
  <commentList>
    <comment ref="V166" authorId="0" shapeId="0" xr:uid="{31123612-2651-4080-AAF3-D4BD412157B3}">
      <text>
        <t>[Comentário encadeado]
Sua versão do Excel permite que você leia este comentário encadeado, no entanto, as edições serão removidas se o arquivo for aberto em uma versão mais recente do Excel. Saiba mais: https://go.microsoft.com/fwlink/?linkid=870924
Comentário:
    Inicialmente foi disponibilizado o certificado CSA 70207041, onde não foi evidenciado as condição de uso, após a inspeção foi verificado o certificado IECEx BAS 05.0035X que está marcado no produto, bem como as condições de uso.</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tc={2BC197DD-488E-48D0-8B31-0CF803D75527}</author>
  </authors>
  <commentList>
    <comment ref="F347" authorId="0" shapeId="0" xr:uid="{2BC197DD-488E-48D0-8B31-0CF803D75527}">
      <text>
        <t>[Comentário encadeado]
Sua versão do Excel permite que você leia este comentário encadeado, no entanto, as edições serão removidas se o arquivo for aberto em uma versão mais recente do Excel. Saiba mais: https://go.microsoft.com/fwlink/?linkid=870924
Comentário:
    Já foi feito a inspeção - porém o processo consta um divergencia</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<sst xmlns="http://schemas.openxmlformats.org/spreadsheetml/2006/main" count="40444" uniqueCount="13236">
  <si>
    <t>COMERCIAL</t>
  </si>
  <si>
    <t>ENGENHARIA</t>
  </si>
  <si>
    <t>DIRETORIA</t>
  </si>
  <si>
    <t>Rev.</t>
  </si>
  <si>
    <t>Número do certificado</t>
  </si>
  <si>
    <t>Solicitante</t>
  </si>
  <si>
    <t>CNPJ</t>
  </si>
  <si>
    <t>Contrato</t>
  </si>
  <si>
    <t>Projeto</t>
  </si>
  <si>
    <t>Equipamento</t>
  </si>
  <si>
    <t>Modelo do equipamento</t>
  </si>
  <si>
    <t>Fabricante</t>
  </si>
  <si>
    <t>Data Solicitaçao</t>
  </si>
  <si>
    <t>Data Aceite</t>
  </si>
  <si>
    <t>Responsável pela análise</t>
  </si>
  <si>
    <t>Certificado de origem</t>
  </si>
  <si>
    <t xml:space="preserve">QT </t>
  </si>
  <si>
    <t>Data  conclusão da avaliação</t>
  </si>
  <si>
    <t>Responsável pela decisão</t>
  </si>
  <si>
    <t>Data decisão</t>
  </si>
  <si>
    <t>Data emissão do certificado</t>
  </si>
  <si>
    <t>Site</t>
  </si>
  <si>
    <t>LMP 25.0001</t>
  </si>
  <si>
    <t xml:space="preserve">INCAL Comércio, Importação e Exportação de Instrumentos LTDA </t>
  </si>
  <si>
    <t>184561.1</t>
  </si>
  <si>
    <t xml:space="preserve">Indicador digital de pressão </t>
  </si>
  <si>
    <t>XP2i</t>
  </si>
  <si>
    <t>Crystal Engineering Corporation</t>
  </si>
  <si>
    <t>FM</t>
  </si>
  <si>
    <t>IECEx FTZU 12.0009X</t>
  </si>
  <si>
    <t>DT</t>
  </si>
  <si>
    <t>LMP 25.0002</t>
  </si>
  <si>
    <t>INSTRUMENTHA TECNOLOGIA EM MEDICAO LTDA</t>
  </si>
  <si>
    <t>184563.1</t>
  </si>
  <si>
    <t xml:space="preserve">Chave de nível </t>
  </si>
  <si>
    <t>KAX (1-8431-2)</t>
  </si>
  <si>
    <t>Monitor Technologies LLC</t>
  </si>
  <si>
    <t>IECEx SIR 06.0081</t>
  </si>
  <si>
    <t>LMP 25.0003</t>
  </si>
  <si>
    <t>HEATEX</t>
  </si>
  <si>
    <t>184565.1</t>
  </si>
  <si>
    <t>LMP 25.0004</t>
  </si>
  <si>
    <t>WIKA DO BRASIL Indústria e Comércio Ltda</t>
  </si>
  <si>
    <t>184567.1</t>
  </si>
  <si>
    <t>Transmissor de Nível</t>
  </si>
  <si>
    <t xml:space="preserve"> FFG-BP.20H2O N-UNK48-875</t>
  </si>
  <si>
    <t>KSR Kuebler Niveau-Messtechnik AG</t>
  </si>
  <si>
    <t>FR</t>
  </si>
  <si>
    <t>ZELM 10 ATEX 0439</t>
  </si>
  <si>
    <t>LMP 25.0005</t>
  </si>
  <si>
    <t>KIDDE BRASIL LTDA</t>
  </si>
  <si>
    <t>184562.1</t>
  </si>
  <si>
    <t xml:space="preserve">Comutador de pressão </t>
  </si>
  <si>
    <t>Kidde-Fenwal Inc</t>
  </si>
  <si>
    <t>E14877</t>
  </si>
  <si>
    <t>LMP 25.0006</t>
  </si>
  <si>
    <t>DIGITROL INDÚSTRIA E COMÉRCIO LTDA</t>
  </si>
  <si>
    <t>184560.1</t>
  </si>
  <si>
    <t xml:space="preserve">Transdutor de pressão </t>
  </si>
  <si>
    <t>2242EA00K20CEFFACAZZ (SPX)</t>
  </si>
  <si>
    <t>Dynisco Instruments</t>
  </si>
  <si>
    <t>FM19US0195</t>
  </si>
  <si>
    <t>LMP 25.0007</t>
  </si>
  <si>
    <t>SPECIALTY PRODUCT TECHNOLOGIES COMERCIO E INDUSTRIA DE EQUIPAMENTOS</t>
  </si>
  <si>
    <t>184598.1</t>
  </si>
  <si>
    <t xml:space="preserve">Encoder óptico (transdutor de rotação) </t>
  </si>
  <si>
    <t xml:space="preserve">ISD253600AA0002 </t>
  </si>
  <si>
    <t>Dynapar Corporation</t>
  </si>
  <si>
    <t>LMP 25.0008X</t>
  </si>
  <si>
    <t>PEPPERL + FUCHS LTDA</t>
  </si>
  <si>
    <t>184554.1</t>
  </si>
  <si>
    <t>Termômetro</t>
  </si>
  <si>
    <t xml:space="preserve"> Ex-MP4 a</t>
  </si>
  <si>
    <t>Pepperl+Fuchs SE</t>
  </si>
  <si>
    <t>EPS 10 ATEX 1 242 X</t>
  </si>
  <si>
    <t>LMP 25.0009</t>
  </si>
  <si>
    <t>184554.2</t>
  </si>
  <si>
    <t xml:space="preserve">Leitor de código de barras </t>
  </si>
  <si>
    <t>IDM-Z1-164-D-1D-J1-SU-P-N0</t>
  </si>
  <si>
    <t>IECEx IBE 18.0008</t>
  </si>
  <si>
    <t>LMP 25.0010</t>
  </si>
  <si>
    <t>184554.3</t>
  </si>
  <si>
    <t>IDM-Z1-164-M-1D-J1-BT-P-N0</t>
  </si>
  <si>
    <t>Pepperl+Fuchs Ltda</t>
  </si>
  <si>
    <t>IECEx IBE 18.0009</t>
  </si>
  <si>
    <t>LMP 25.0011X</t>
  </si>
  <si>
    <t>184554.4</t>
  </si>
  <si>
    <t>LVL-M3-ANG31B-PAAANA-E2NA</t>
  </si>
  <si>
    <t>LMP 25.0012X</t>
  </si>
  <si>
    <t>184554.8</t>
  </si>
  <si>
    <t>Fonte de alimentação de transmissor (barreira isoladora)</t>
  </si>
  <si>
    <t xml:space="preserve"> KCD2-STC-Ex1.2O.ES</t>
  </si>
  <si>
    <t>Pepperl+Fuchs Co. Ltd</t>
  </si>
  <si>
    <t>IECEx BAS 13.0043X</t>
  </si>
  <si>
    <t>LMP 25.0013</t>
  </si>
  <si>
    <t>184554.9</t>
  </si>
  <si>
    <t xml:space="preserve">Módulo de Driver Solenóide </t>
  </si>
  <si>
    <t>KFD2-SL2-Ex2</t>
  </si>
  <si>
    <t>IECEx TUN 04.0001</t>
  </si>
  <si>
    <t>LMP 25.0014</t>
  </si>
  <si>
    <t>LMP 25.0015</t>
  </si>
  <si>
    <t>184554.5</t>
  </si>
  <si>
    <t>Caixa de Emenda para Fibra Óptica</t>
  </si>
  <si>
    <t>FO Splice Tray</t>
  </si>
  <si>
    <t>IECEx BAS 14.0169U</t>
  </si>
  <si>
    <t>LMP 25.0016</t>
  </si>
  <si>
    <t>184554.6</t>
  </si>
  <si>
    <t xml:space="preserve">Fonte de Alimentação </t>
  </si>
  <si>
    <t>PS1000-A6-24.5</t>
  </si>
  <si>
    <t>IECEx EPS 20.0058X</t>
  </si>
  <si>
    <t>LMP 25.0017</t>
  </si>
  <si>
    <t>184554.7</t>
  </si>
  <si>
    <t xml:space="preserve">Caixa de Junção </t>
  </si>
  <si>
    <t>F.FS1.T50.B24.E.0-Y922301</t>
  </si>
  <si>
    <t>IECEx PTB 09.0016X</t>
  </si>
  <si>
    <t>LMP 25.0018</t>
  </si>
  <si>
    <t>SMART SUPPLY COMÉRCIO E SERVIÇOS LTDA.</t>
  </si>
  <si>
    <t>184591.1</t>
  </si>
  <si>
    <t>Transmissor de loop de corrente</t>
  </si>
  <si>
    <t xml:space="preserve"> Unicont PDF-401-8Ex</t>
  </si>
  <si>
    <t>Nivelco Ipari Elektronika Zrt. / Nivelco Process Control Co.</t>
  </si>
  <si>
    <t>BKI15ATEX0013X</t>
  </si>
  <si>
    <t>LMP 25.0019</t>
  </si>
  <si>
    <t>SENSYCAL INSTRUMENTOS E SISTEMAS LTDA</t>
  </si>
  <si>
    <t>184600.1</t>
  </si>
  <si>
    <t>Sensor pressão</t>
  </si>
  <si>
    <t xml:space="preserve"> UNIK 5900 / PTX 59B2-TD-A2-CA-H4-PP</t>
  </si>
  <si>
    <t>Druck Limited</t>
  </si>
  <si>
    <t>IECEx BAS 12.0046X</t>
  </si>
  <si>
    <t>LMP 25.0020</t>
  </si>
  <si>
    <t>WILLY INSTRUMENTOS DE MEDICAO E CONTROLE LTDA</t>
  </si>
  <si>
    <t>LMP 25.0021</t>
  </si>
  <si>
    <t>Unitech Comercial de Instrumentos Eireli</t>
  </si>
  <si>
    <t>184613.1</t>
  </si>
  <si>
    <t>Flameproof</t>
  </si>
  <si>
    <t xml:space="preserve">Sensor de velocidade </t>
  </si>
  <si>
    <t>70085-1010-081</t>
  </si>
  <si>
    <t>IECEx ETL 16.0039X</t>
  </si>
  <si>
    <t>LMP 25.0022</t>
  </si>
  <si>
    <t>BENTLY DO BRASIL LTDA</t>
  </si>
  <si>
    <t>184608.1</t>
  </si>
  <si>
    <t>Transmissor de umidade</t>
  </si>
  <si>
    <t>HYGROPRO XP-1-1-0-1-0-0-0-3-0</t>
  </si>
  <si>
    <t>Panametrics LLC</t>
  </si>
  <si>
    <t>IECEx FMG 23.0021X</t>
  </si>
  <si>
    <t>LMP 25.0023</t>
  </si>
  <si>
    <t>184611.1</t>
  </si>
  <si>
    <t xml:space="preserve">Transmissor de nível </t>
  </si>
  <si>
    <t>FFG-P.22H3O N-UNC14-1814, FFG-P.22H3O N-UNC14-2453,
FFG-P.22H3O N-UNC14-1354</t>
  </si>
  <si>
    <t>KSR Kuebler Niveau-Messtechnik GmbH</t>
  </si>
  <si>
    <t>ZELM 13 ATEX 0508 X</t>
  </si>
  <si>
    <t>LMP 25.0024</t>
  </si>
  <si>
    <t>184610.1</t>
  </si>
  <si>
    <t>AVK-ADFUVK18/T15-L1,950/M1,800/14 (BLR-SBD)</t>
  </si>
  <si>
    <t>TÜV 13 ATEX 7399 X</t>
  </si>
  <si>
    <t>LMP 25.0025</t>
  </si>
  <si>
    <t>Workship</t>
  </si>
  <si>
    <t>184607.1</t>
  </si>
  <si>
    <t>Modulo de Entrada Power Loop</t>
  </si>
  <si>
    <t>BN-342/EX</t>
  </si>
  <si>
    <t>Autronica Fire and Security AS</t>
  </si>
  <si>
    <t>IECEx PRE 17.0051</t>
  </si>
  <si>
    <t>LMP 25.0026</t>
  </si>
  <si>
    <t>LAAM Offshore</t>
  </si>
  <si>
    <t>184578.1</t>
  </si>
  <si>
    <t xml:space="preserve">Operador solenoide </t>
  </si>
  <si>
    <t>nass magnet Hungria Kft.</t>
  </si>
  <si>
    <t>IECEx PTB 05.0006X</t>
  </si>
  <si>
    <t>LMP 25.0027</t>
  </si>
  <si>
    <t>CONTECH INDUSTRIA E COMERCIO DE EQUIPAMENTOS ELETRONICOS LTDA</t>
  </si>
  <si>
    <t>184628.1</t>
  </si>
  <si>
    <t>Rotâmetro</t>
  </si>
  <si>
    <t xml:space="preserve"> MT3809G</t>
  </si>
  <si>
    <t>Brooks Instrument, LLC.</t>
  </si>
  <si>
    <t>IECEx DEK 13.0027X</t>
  </si>
  <si>
    <t>LMP 25.0028</t>
  </si>
  <si>
    <t>Clark Reliance do Brasil Equipamentos Industriais LTDA</t>
  </si>
  <si>
    <t>184310.1</t>
  </si>
  <si>
    <t>Tri-Magnet Level Switches, MODEL JHHF12</t>
  </si>
  <si>
    <t xml:space="preserve">Chave de nível tipo boia horizontal </t>
  </si>
  <si>
    <t>JHH12FSA7F1D8 / 12S – BR-JHH12F</t>
  </si>
  <si>
    <t>FM16US0146X</t>
  </si>
  <si>
    <t>LMP 25.0029</t>
  </si>
  <si>
    <t>ZAMOT USINAGEM E MOLDES LTDA</t>
  </si>
  <si>
    <t>184599.1</t>
  </si>
  <si>
    <t>Cabeça de Comando EX</t>
  </si>
  <si>
    <t>202-749-260563 (codificação Kidde: WK-897494-000)</t>
  </si>
  <si>
    <t>Ascotech, S.A. de C.V. (parte da Asco, L.P.)</t>
  </si>
  <si>
    <t>LMP 25.0030</t>
  </si>
  <si>
    <t>184637.1</t>
  </si>
  <si>
    <t xml:space="preserve">Detector de incêndio </t>
  </si>
  <si>
    <t>V-120/AP</t>
  </si>
  <si>
    <t>IECEx DNV 21.0082X</t>
  </si>
  <si>
    <t>LMP 25.0031</t>
  </si>
  <si>
    <t>IEC INSTALACOES E ENGENHARIA DE CORROSAO LTDA</t>
  </si>
  <si>
    <t>184612.1</t>
  </si>
  <si>
    <t xml:space="preserve">Registrador de dados de corrosão </t>
  </si>
  <si>
    <t>MS3510E</t>
  </si>
  <si>
    <t>Metal Samples Company (a Division of Alabama Specialty Products Inc)</t>
  </si>
  <si>
    <t>IECEx ETL 17.0020X</t>
  </si>
  <si>
    <t>LMP 25.0032</t>
  </si>
  <si>
    <t>DISMETER COMERCIAL ELETRICA LTDA</t>
  </si>
  <si>
    <t>184057.1</t>
  </si>
  <si>
    <t>LMP 25.0033</t>
  </si>
  <si>
    <t>184641.1</t>
  </si>
  <si>
    <t>Multi outlet Portatil</t>
  </si>
  <si>
    <t xml:space="preserve">Sistema de plugue e tomadas </t>
  </si>
  <si>
    <t>GHG 5117306R0001 + GHG 5118306R0001</t>
  </si>
  <si>
    <t>IECEx BVS 17.0045X</t>
  </si>
  <si>
    <t>LMP 25.0034</t>
  </si>
  <si>
    <t>184642.1</t>
  </si>
  <si>
    <t>Cable reel</t>
  </si>
  <si>
    <t>Carretel de cabo</t>
  </si>
  <si>
    <t xml:space="preserve"> CR 27 3 216 (codificação Eaton: GHG 9310003R0042)</t>
  </si>
  <si>
    <t>IECEx PTB 20.0015</t>
  </si>
  <si>
    <t>LMP 25.0035</t>
  </si>
  <si>
    <t>AQUASENSOR TECNOLOGIA LTDA</t>
  </si>
  <si>
    <t>184692.1</t>
  </si>
  <si>
    <t>LMP 25.0036</t>
  </si>
  <si>
    <t>WORKSHIP DO BRASIL LTDA</t>
  </si>
  <si>
    <t>184632.1</t>
  </si>
  <si>
    <t xml:space="preserve">Sistema de módulos </t>
  </si>
  <si>
    <t>EQ3750DW</t>
  </si>
  <si>
    <t>Detector Electronics Corporation</t>
  </si>
  <si>
    <t>IECEx UL 20.0112X</t>
  </si>
  <si>
    <t>LMP 25.0037</t>
  </si>
  <si>
    <t>FLUKE DO BRASIL LTDA</t>
  </si>
  <si>
    <t>184695.1</t>
  </si>
  <si>
    <t xml:space="preserve">Calibrador de Pressão </t>
  </si>
  <si>
    <t>718EX-300G</t>
  </si>
  <si>
    <t>Anhui Shifu Instruments Co. Ltd.</t>
  </si>
  <si>
    <t>IECEx SIR 17.0077X</t>
  </si>
  <si>
    <t>LMP 25.0038</t>
  </si>
  <si>
    <t>194696.1</t>
  </si>
  <si>
    <t>700G07 / 700G29 / 700G31</t>
  </si>
  <si>
    <t>IECEx SIR 17.0034X</t>
  </si>
  <si>
    <t>LMP 25.0039</t>
  </si>
  <si>
    <t>184697.1</t>
  </si>
  <si>
    <t xml:space="preserve">Sensor de Pressão - </t>
  </si>
  <si>
    <t>UNIK 5700</t>
  </si>
  <si>
    <t>Baker Hughes Sensing and Inspection (Changzhou) Co Ltd</t>
  </si>
  <si>
    <t>IECEx BAS 10.0103X</t>
  </si>
  <si>
    <t>LMP 25.0040</t>
  </si>
  <si>
    <t>PROMINENT BRASIL LTDA</t>
  </si>
  <si>
    <t>184640.1</t>
  </si>
  <si>
    <t xml:space="preserve">Bomba Dosadora </t>
  </si>
  <si>
    <t>EXBb G0308NP10A001</t>
  </si>
  <si>
    <t>ProMinent GmbH</t>
  </si>
  <si>
    <t>DMT 03 ATEX E 023</t>
  </si>
  <si>
    <t>LMP 25.0041</t>
  </si>
  <si>
    <t>184640.2</t>
  </si>
  <si>
    <t>EXBb G1601SS21A621</t>
  </si>
  <si>
    <t>LMP 25.0042</t>
  </si>
  <si>
    <t>Microkits Indústria e Comércio Ltda</t>
  </si>
  <si>
    <t>184699.1</t>
  </si>
  <si>
    <t xml:space="preserve">Controlador de válvula </t>
  </si>
  <si>
    <t>ALS-400 (MB701)</t>
  </si>
  <si>
    <t>Wuxi Aphe Flow Smart Controls Maker Co., Ltd</t>
  </si>
  <si>
    <t>GYB23.1536X</t>
  </si>
  <si>
    <t>LMP 25.0043</t>
  </si>
  <si>
    <t>184670.1</t>
  </si>
  <si>
    <t>Controlador de válvula</t>
  </si>
  <si>
    <t xml:space="preserve"> ALSD-400 (MB701EXD)</t>
  </si>
  <si>
    <t>GYB21.3662X</t>
  </si>
  <si>
    <t>MP</t>
  </si>
  <si>
    <t>LMP 25.0044</t>
  </si>
  <si>
    <t>184724.1</t>
  </si>
  <si>
    <t xml:space="preserve">Transmissor de umidade </t>
  </si>
  <si>
    <t>HYGROPROII-1-1-0-1-0-0-0-3-0</t>
  </si>
  <si>
    <t>IECEx FMG 22.0008X</t>
  </si>
  <si>
    <t>LMP 25.0045</t>
  </si>
  <si>
    <t>184703.1</t>
  </si>
  <si>
    <t xml:space="preserve">Detector térmico </t>
  </si>
  <si>
    <t>BD-501/EX</t>
  </si>
  <si>
    <t>IECEx NEM 11.0009X</t>
  </si>
  <si>
    <t>LMP 25.0046</t>
  </si>
  <si>
    <t>184508.1</t>
  </si>
  <si>
    <t xml:space="preserve">Luminária </t>
  </si>
  <si>
    <t>eLLK 92036/36 NE</t>
  </si>
  <si>
    <t>Cooper Crouse-Hinds GmbH</t>
  </si>
  <si>
    <t>IECEx BVS 09.0033</t>
  </si>
  <si>
    <t>LMP 25.0047</t>
  </si>
  <si>
    <t>DSA Offshore Ltda</t>
  </si>
  <si>
    <t>184726.1</t>
  </si>
  <si>
    <t xml:space="preserve">Sensor de gás Sensepoint </t>
  </si>
  <si>
    <t>HT 2106B2310</t>
  </si>
  <si>
    <t>Honeywell Analytics Ltd</t>
  </si>
  <si>
    <t>Baseefa08ATEX0264X</t>
  </si>
  <si>
    <t>LMP 25.0048</t>
  </si>
  <si>
    <t>Technics Engenharia de Automação Ltda</t>
  </si>
  <si>
    <t>184732.1</t>
  </si>
  <si>
    <t>Barreira isoladora</t>
  </si>
  <si>
    <t>KFD0-SCS-Ex1.55</t>
  </si>
  <si>
    <t>PTB 02 ATEX 2064</t>
  </si>
  <si>
    <t>LMP 25.0049</t>
  </si>
  <si>
    <t>184733.1</t>
  </si>
  <si>
    <t xml:space="preserve">Barreira isoladora </t>
  </si>
  <si>
    <t xml:space="preserve"> KFD0-SCS-Ex1.55</t>
  </si>
  <si>
    <t>LMP 25.0050</t>
  </si>
  <si>
    <t>184734.1</t>
  </si>
  <si>
    <t>LMP 25.0051</t>
  </si>
  <si>
    <t>184734.2</t>
  </si>
  <si>
    <t>a definir</t>
  </si>
  <si>
    <t>LMP 25.0052</t>
  </si>
  <si>
    <t>184734.3</t>
  </si>
  <si>
    <t>LMP 25.0053</t>
  </si>
  <si>
    <t>184734.4</t>
  </si>
  <si>
    <t>LMP 25.0054</t>
  </si>
  <si>
    <t>184734.5</t>
  </si>
  <si>
    <t>LMP 25.0055</t>
  </si>
  <si>
    <t>184734.6</t>
  </si>
  <si>
    <t>LMP 25.0056</t>
  </si>
  <si>
    <t>184734.7</t>
  </si>
  <si>
    <t>LMP 25.0057</t>
  </si>
  <si>
    <t>184734.8</t>
  </si>
  <si>
    <t>LMP 25.0058</t>
  </si>
  <si>
    <t>184734.9</t>
  </si>
  <si>
    <t>LMP 25.0059</t>
  </si>
  <si>
    <t>184734.10</t>
  </si>
  <si>
    <t>LMP 25.0060</t>
  </si>
  <si>
    <t>184738.1</t>
  </si>
  <si>
    <t xml:space="preserve">Sensor magnético de velocidade </t>
  </si>
  <si>
    <t>M231</t>
  </si>
  <si>
    <t>Barksdale, Inc.</t>
  </si>
  <si>
    <t>LMP 25.0061</t>
  </si>
  <si>
    <t>184739.1</t>
  </si>
  <si>
    <t>Conversor de condutividade</t>
  </si>
  <si>
    <t>Hach Company</t>
  </si>
  <si>
    <t>ETL Listed (online)</t>
  </si>
  <si>
    <t>LMP 25.0062</t>
  </si>
  <si>
    <t>SMART SUPPLY COMÉRCIO E SERVIÇOS LTDA</t>
  </si>
  <si>
    <t>184747.1</t>
  </si>
  <si>
    <t>Ar Condicionado Ex</t>
  </si>
  <si>
    <t>Unidade evaporadora: FTXM50A2V1B/EX
Caixa de conexão: RXM50A5V1B/EX
Unidade condensadora: RXM50A5V1B/EX</t>
  </si>
  <si>
    <t xml:space="preserve">Atexxo
Manufacturing, </t>
  </si>
  <si>
    <t>Declaração Aão Aplicabilidade</t>
  </si>
  <si>
    <t>LMP 25.0063</t>
  </si>
  <si>
    <t>STEIC TECNOLOGIA LTDA</t>
  </si>
  <si>
    <t>184725.1</t>
  </si>
  <si>
    <t xml:space="preserve">Vaporizador </t>
  </si>
  <si>
    <t>FAS 2000</t>
  </si>
  <si>
    <t>Makeen Energy</t>
  </si>
  <si>
    <t>IECEx QPS 24.0009X</t>
  </si>
  <si>
    <t>LMP 25.0064</t>
  </si>
  <si>
    <t>184748.1</t>
  </si>
  <si>
    <t>T35-002N-B13</t>
  </si>
  <si>
    <t>Ametek Magnetrol USA, LLC</t>
  </si>
  <si>
    <t>IECEx BKI 13.0006</t>
  </si>
  <si>
    <t>LMP 25.0065</t>
  </si>
  <si>
    <t>184748.2</t>
  </si>
  <si>
    <t>Radio Digital Ex</t>
  </si>
  <si>
    <t>LMP 25.0066</t>
  </si>
  <si>
    <t>184748.3</t>
  </si>
  <si>
    <t xml:space="preserve">Controlador de purga </t>
  </si>
  <si>
    <t>Tryclops PST-12S1</t>
  </si>
  <si>
    <t>Purge Solutions, Inc</t>
  </si>
  <si>
    <t>IECEx DNV 09.0001X</t>
  </si>
  <si>
    <t>LMP 25.0067</t>
  </si>
  <si>
    <t>184748.4</t>
  </si>
  <si>
    <t>LMP 25.0068</t>
  </si>
  <si>
    <t>184748.5</t>
  </si>
  <si>
    <t>LMP 25.0069</t>
  </si>
  <si>
    <t>184741.1</t>
  </si>
  <si>
    <t xml:space="preserve">Monitor de Cabeça de Controle </t>
  </si>
  <si>
    <t>85-100000-100</t>
  </si>
  <si>
    <t>Kidde-Fenwal Inc.</t>
  </si>
  <si>
    <t>FM 164767</t>
  </si>
  <si>
    <t>LMP 25.0070</t>
  </si>
  <si>
    <t>184746.1</t>
  </si>
  <si>
    <t>Monitor de Posição de Válvula</t>
  </si>
  <si>
    <t>2007SBY2B2M020000305</t>
  </si>
  <si>
    <t>Westlock Controls Corporation</t>
  </si>
  <si>
    <t>IECEx ETL 17.0008X</t>
  </si>
  <si>
    <t>LMP 25.0071</t>
  </si>
  <si>
    <t>184760.1</t>
  </si>
  <si>
    <t>KCD2-STC-Ex1.2O.ES</t>
  </si>
  <si>
    <t>Pepperl+Fuchs Co. Ltd.</t>
  </si>
  <si>
    <t>LMP 25.0072</t>
  </si>
  <si>
    <t>YOKOGAWA AMERICA DO SUL LTDA</t>
  </si>
  <si>
    <t>184761.1</t>
  </si>
  <si>
    <t>LMP 25.0073</t>
  </si>
  <si>
    <t>184750.1</t>
  </si>
  <si>
    <t xml:space="preserve">Chave magnética de nível </t>
  </si>
  <si>
    <t>HLS-SBI HAG-FV2”/150/RF-L450/360/0-VU-V44HI-Ex</t>
  </si>
  <si>
    <t>IBExU03ATEX1038 X</t>
  </si>
  <si>
    <t>LMP 25.0074</t>
  </si>
  <si>
    <t>184766.1</t>
  </si>
  <si>
    <t>Chave de nível tipo boia horizontal</t>
  </si>
  <si>
    <t xml:space="preserve"> JHS1FSA7F2H4 / CR-JHS1F</t>
  </si>
  <si>
    <t>Clark-Reliance Corporation</t>
  </si>
  <si>
    <t>LMP 25.0075</t>
  </si>
  <si>
    <t>183474.1</t>
  </si>
  <si>
    <t>LMP 25.0076</t>
  </si>
  <si>
    <t>183474.2</t>
  </si>
  <si>
    <t>LMP 25.0077</t>
  </si>
  <si>
    <t>183474.3</t>
  </si>
  <si>
    <t>LMP 25.0078</t>
  </si>
  <si>
    <t>183474.4</t>
  </si>
  <si>
    <t>LMP 25.0079</t>
  </si>
  <si>
    <t>183474.5</t>
  </si>
  <si>
    <t>LMP 25.0080</t>
  </si>
  <si>
    <t>183474.6</t>
  </si>
  <si>
    <t>LMP 25.0081</t>
  </si>
  <si>
    <t>183474.7</t>
  </si>
  <si>
    <t>LMP 25.0082</t>
  </si>
  <si>
    <t>183474.8</t>
  </si>
  <si>
    <t>LMP 25.0083</t>
  </si>
  <si>
    <t>183474.9</t>
  </si>
  <si>
    <t>LMP 25.0084</t>
  </si>
  <si>
    <t>183474.10</t>
  </si>
  <si>
    <t>LMP 25.0085</t>
  </si>
  <si>
    <t>INCAL Comércio, Importação e Exportação de Instrumentos LTDA</t>
  </si>
  <si>
    <t>184791.1</t>
  </si>
  <si>
    <t xml:space="preserve">Registrador de pressão de referência </t>
  </si>
  <si>
    <t>nVision</t>
  </si>
  <si>
    <t>IECEx SIR 09.0053X</t>
  </si>
  <si>
    <t>LMP 25.0086</t>
  </si>
  <si>
    <t>SPECIALTY PRODUCT TECHNOLOGIES COMERCIO E INDUSTRIA DE EQUIP</t>
  </si>
  <si>
    <t>184798.1</t>
  </si>
  <si>
    <t>Encoder (transdutor de rotação)</t>
  </si>
  <si>
    <t xml:space="preserve"> X251000004</t>
  </si>
  <si>
    <t>E116133</t>
  </si>
  <si>
    <t>LMP 25.0087</t>
  </si>
  <si>
    <t>MS SERVIÇOS ESPECIALIZADOS LTDA</t>
  </si>
  <si>
    <t>184803.1</t>
  </si>
  <si>
    <t>LMP 25.0088</t>
  </si>
  <si>
    <t>184806.1</t>
  </si>
  <si>
    <t>Pressostato</t>
  </si>
  <si>
    <t xml:space="preserve"> D732T XK3MDYW</t>
  </si>
  <si>
    <t>Ashcroft, Inc</t>
  </si>
  <si>
    <t>E38812</t>
  </si>
  <si>
    <t>LMP 25.0089</t>
  </si>
  <si>
    <t>184805.1</t>
  </si>
  <si>
    <t>Manômetro digital</t>
  </si>
  <si>
    <t xml:space="preserve"> 302089SD02L500MB</t>
  </si>
  <si>
    <t>FM Approvals</t>
  </si>
  <si>
    <t>LMP 25.0090</t>
  </si>
  <si>
    <t>184813.1</t>
  </si>
  <si>
    <t xml:space="preserve">Kit de interface para detector de gás Power and Communication Cable </t>
  </si>
  <si>
    <t>(P/N CH0104)</t>
  </si>
  <si>
    <t>Crowcon Detection Instruments Ltd</t>
  </si>
  <si>
    <t>IECEx ULD 10.0018</t>
  </si>
  <si>
    <t>LMP 25.0091</t>
  </si>
  <si>
    <t>184812.1</t>
  </si>
  <si>
    <t>Barksdale, Inc</t>
  </si>
  <si>
    <t>LMP 25.0092</t>
  </si>
  <si>
    <t>184810.1</t>
  </si>
  <si>
    <t>Equipamento de Telemetria</t>
  </si>
  <si>
    <t>Chave de vibração</t>
  </si>
  <si>
    <t xml:space="preserve"> 365A-A0</t>
  </si>
  <si>
    <t>E164999</t>
  </si>
  <si>
    <t>LMP 25.0093</t>
  </si>
  <si>
    <t>184811.1</t>
  </si>
  <si>
    <t>Pressure Switch Series S20</t>
  </si>
  <si>
    <t xml:space="preserve">Pressostato </t>
  </si>
  <si>
    <t>RS310IDCH2J02 (Série S30)</t>
  </si>
  <si>
    <t>BAS01ATEX2113X</t>
  </si>
  <si>
    <t>LMP 25.0094</t>
  </si>
  <si>
    <t>184802.1</t>
  </si>
  <si>
    <t>Transmissor de umidade HYGROPROII</t>
  </si>
  <si>
    <t>LMP 25.0095</t>
  </si>
  <si>
    <t>184793.1</t>
  </si>
  <si>
    <t>FFG-BP.20H3O D-UTK48-925</t>
  </si>
  <si>
    <t>ZELM 13 ATEX 0508X</t>
  </si>
  <si>
    <t>LO</t>
  </si>
  <si>
    <t>LMP 25.0096</t>
  </si>
  <si>
    <t>LEWA BRASIL EQUIPAMENTOS LTDA</t>
  </si>
  <si>
    <t>184767.1</t>
  </si>
  <si>
    <t>Solenoide  (componente da bomba dosadora MBH-8)</t>
  </si>
  <si>
    <t>GTCE100AGDD01-003</t>
  </si>
  <si>
    <t>Magnet-Schultz GmbH &amp; Co. KG</t>
  </si>
  <si>
    <t>IECEx IBE 14.0008X</t>
  </si>
  <si>
    <t>LMP 25.0097</t>
  </si>
  <si>
    <t>184767.2</t>
  </si>
  <si>
    <t>Bomba Dosadora LEWA Modelo MLM15</t>
  </si>
  <si>
    <t>LMP 25.0098</t>
  </si>
  <si>
    <t>184768.1</t>
  </si>
  <si>
    <t>IHM SIEMENS modelo 6AV2 124-0GC01-0AX0</t>
  </si>
  <si>
    <t>LMP 25.0099</t>
  </si>
  <si>
    <t>184768.2</t>
  </si>
  <si>
    <t>IHM SIEMENS modelo 6AV2 128-3GB06-0AX1</t>
  </si>
  <si>
    <t>LMP 25.0100</t>
  </si>
  <si>
    <t>184769.1</t>
  </si>
  <si>
    <t>Medidor de vazão LEWA Modelo KMM</t>
  </si>
  <si>
    <t>LMP 25.0101</t>
  </si>
  <si>
    <t>SANEAX COMERCIO DE MATERIAIS PARA SANEAMENTO LTDA</t>
  </si>
  <si>
    <t>184823.1</t>
  </si>
  <si>
    <t>Sensor indutivo de proximidade</t>
  </si>
  <si>
    <t xml:space="preserve"> NF504A</t>
  </si>
  <si>
    <t>ifm efector GmbH</t>
  </si>
  <si>
    <t>IECEx PTB 08.0058</t>
  </si>
  <si>
    <t>LMP 25.0102</t>
  </si>
  <si>
    <t>L'ACQUA D'ORO AXA METAIS IND. COM. E SERV. LTDA</t>
  </si>
  <si>
    <t>184824.1</t>
  </si>
  <si>
    <t xml:space="preserve">Sensor indutivo de proximidade </t>
  </si>
  <si>
    <t>NF504A</t>
  </si>
  <si>
    <t>LMP 25.0103</t>
  </si>
  <si>
    <t>VIBROPAC INDUSTRIA E COMERCIO DE EQUIPAMENTOS LTDA</t>
  </si>
  <si>
    <t>184837.1</t>
  </si>
  <si>
    <t>LMP 25.0104</t>
  </si>
  <si>
    <t>Specialty Product Technologies Comércio e Indústria de Equipamentos Ltda.</t>
  </si>
  <si>
    <t>184829.1</t>
  </si>
  <si>
    <t xml:space="preserve">Encoder (transdutor de rotação) </t>
  </si>
  <si>
    <t>RX70TI/200EK.72KF-K0</t>
  </si>
  <si>
    <t>Hengstler GmbH</t>
  </si>
  <si>
    <t>IECEx PTB 12.0002X</t>
  </si>
  <si>
    <t>LMP 25.0105</t>
  </si>
  <si>
    <t>184820.1</t>
  </si>
  <si>
    <t>Condicionador de ar</t>
  </si>
  <si>
    <t>processo ELT</t>
  </si>
  <si>
    <t>LMP 25.0106</t>
  </si>
  <si>
    <t>Heatex Engenharia e Sistemas Tecnologicos do Brasil LTDA</t>
  </si>
  <si>
    <t>184835.1</t>
  </si>
  <si>
    <t>Teclado  + Barreira de alimentação</t>
  </si>
  <si>
    <t>DT-5K-FSR-NI-CXPS2/USB +  PS2-IS-BARRIER</t>
  </si>
  <si>
    <t>iKey, Ltd</t>
  </si>
  <si>
    <t>FM18US0155X</t>
  </si>
  <si>
    <t>LMP 25.0107</t>
  </si>
  <si>
    <t>184836.1</t>
  </si>
  <si>
    <t>IHM</t>
  </si>
  <si>
    <t>SPC-618WE-PUD</t>
  </si>
  <si>
    <t>Advantech Co. Ltd</t>
  </si>
  <si>
    <t>IECEx UL 24.0074X</t>
  </si>
  <si>
    <t>LMP 25.0108</t>
  </si>
  <si>
    <t>184830.1</t>
  </si>
  <si>
    <t xml:space="preserve">Rotâmetro </t>
  </si>
  <si>
    <t>MT3809G</t>
  </si>
  <si>
    <t>Brooks Instrument, LLC</t>
  </si>
  <si>
    <t>LMP 25.0109</t>
  </si>
  <si>
    <t>Fluxo Soluções Integradas Ltda</t>
  </si>
  <si>
    <t>184832.1</t>
  </si>
  <si>
    <t>Monitor de óleo em água (detector de hidrocarbonetos)</t>
  </si>
  <si>
    <t xml:space="preserve"> ID-223/2500</t>
  </si>
  <si>
    <t>Agar Environmental Ltd</t>
  </si>
  <si>
    <t>IECEx ITS 11.0022X</t>
  </si>
  <si>
    <t>LMP 25.0110</t>
  </si>
  <si>
    <t>SOLUTION CONTROLES INDUSTRIAIS LTDA</t>
  </si>
  <si>
    <t>184841.1</t>
  </si>
  <si>
    <t>Atuador Elétrico</t>
  </si>
  <si>
    <t>LMP 25.0111</t>
  </si>
  <si>
    <t>M.G.F. SOLUCOES INDUSTRIAIS LTDA</t>
  </si>
  <si>
    <t>184839.1</t>
  </si>
  <si>
    <t xml:space="preserve">Monitor de posição de válvula </t>
  </si>
  <si>
    <t>Westlock Controls Corporation / Crane Co.</t>
  </si>
  <si>
    <t>LMP 25.0112</t>
  </si>
  <si>
    <t>NIVETEC INSTRUMENTAÇÃO E CONTROLE LTDA</t>
  </si>
  <si>
    <t>184828.1</t>
  </si>
  <si>
    <t>Chave de nível</t>
  </si>
  <si>
    <t xml:space="preserve"> NivoPOINT MRG-109-7Ex</t>
  </si>
  <si>
    <t>ExNB 17 ATEX 0003 X</t>
  </si>
  <si>
    <t>LMP 25.0113</t>
  </si>
  <si>
    <t>MAGNOTECH COMERCIO E SERVICOS INDUSTRIAIS LTDA</t>
  </si>
  <si>
    <t>184847.1</t>
  </si>
  <si>
    <t xml:space="preserve">Grampo de aterramento , rebobinador de cabo </t>
  </si>
  <si>
    <t>70AG/BX, 601KR/AW20030BX</t>
  </si>
  <si>
    <t>Eltex-Elektrostatik GmbH</t>
  </si>
  <si>
    <t>IECEx BVS 16.0016X</t>
  </si>
  <si>
    <t>LMP 25.0114</t>
  </si>
  <si>
    <t>MS SERVICOS ESPECIALIZADOS LTDA</t>
  </si>
  <si>
    <t>184849.1</t>
  </si>
  <si>
    <t xml:space="preserve"> KAX (1-8431-2)</t>
  </si>
  <si>
    <t>LMP 25.0115</t>
  </si>
  <si>
    <t>Aselco Industria, Comercio, Importação e Exportação de Instrumentação LTDA</t>
  </si>
  <si>
    <t>184855.1</t>
  </si>
  <si>
    <t>Transmissor de corrosão Microcor</t>
  </si>
  <si>
    <t xml:space="preserve"> MWT-3905-MDL</t>
  </si>
  <si>
    <t>Rohrback Cosasco Systems Inc.</t>
  </si>
  <si>
    <t>IECEx SIR 19.0018X</t>
  </si>
  <si>
    <t>LMP 25.0116</t>
  </si>
  <si>
    <t>184814.1</t>
  </si>
  <si>
    <t>LMP 25.0117</t>
  </si>
  <si>
    <t>184814.2</t>
  </si>
  <si>
    <t>LMP 25.0118</t>
  </si>
  <si>
    <t>184814.3</t>
  </si>
  <si>
    <t>LMP 25.0119</t>
  </si>
  <si>
    <t>Agau Equipamentos de Medição Ltda</t>
  </si>
  <si>
    <t>184864.1</t>
  </si>
  <si>
    <t>LMP 25.0120</t>
  </si>
  <si>
    <t>184758.1</t>
  </si>
  <si>
    <t xml:space="preserve">Manômetro / Termômetro / Manômetro de pressão diferencial </t>
  </si>
  <si>
    <t xml:space="preserve"> 100 T6500 /  100 AM / F6509</t>
  </si>
  <si>
    <t xml:space="preserve">Willy Instrumentos de Medição e Controle Ltda. (Brasil) / Ashcroft Instruments GmbH (Alemanha) </t>
  </si>
  <si>
    <t>NA (declaração)</t>
  </si>
  <si>
    <t>NA</t>
  </si>
  <si>
    <t>LMP 25.0121</t>
  </si>
  <si>
    <t>184881.1</t>
  </si>
  <si>
    <t>Manômetro</t>
  </si>
  <si>
    <t xml:space="preserve"> 452074SD02LXC4FM1500#</t>
  </si>
  <si>
    <t>Ashcroft, Inc.</t>
  </si>
  <si>
    <t>LMP 25.0122</t>
  </si>
  <si>
    <t>STEUTE DO BRASIL EQUIPAMENTOS ELETRO-ELETRONICOS LTDA</t>
  </si>
  <si>
    <t>184885.1</t>
  </si>
  <si>
    <t xml:space="preserve">Luminária Tubular com LED </t>
  </si>
  <si>
    <t>6036/31101-42500-111050-850-0000ST00</t>
  </si>
  <si>
    <t>R. Stahl Schaltgeräte GmbH</t>
  </si>
  <si>
    <t>IECEx EPS 13.0027</t>
  </si>
  <si>
    <t>LMP 25.0123</t>
  </si>
  <si>
    <t>66.220.047/0001-79</t>
  </si>
  <si>
    <t>184892.1</t>
  </si>
  <si>
    <t>Westlock Controls Corporation / Crane Co</t>
  </si>
  <si>
    <t>LMP 25.0124</t>
  </si>
  <si>
    <t>07.645.541/0001-16</t>
  </si>
  <si>
    <t>184893.1</t>
  </si>
  <si>
    <t xml:space="preserve">Sensor de temperatura </t>
  </si>
  <si>
    <t>S96</t>
  </si>
  <si>
    <t>Ashcroft Instruments (Jiaxing) Co., Ltd</t>
  </si>
  <si>
    <t>IECEx NEP 24.0022X e IECEx NEP 24.0023X</t>
  </si>
  <si>
    <t>LMP 25.0125</t>
  </si>
  <si>
    <t>Gruen Biogas LTDA</t>
  </si>
  <si>
    <t>184804.1</t>
  </si>
  <si>
    <t>Transmitter Series ExSens</t>
  </si>
  <si>
    <t>LMP 25.0126</t>
  </si>
  <si>
    <t>NIVEFLOW INSTRUMENTACAO LTDA</t>
  </si>
  <si>
    <t>184903.1</t>
  </si>
  <si>
    <t>chave de nível modelo 1-8411-2X</t>
  </si>
  <si>
    <t>LMP 25.0127</t>
  </si>
  <si>
    <t>BRAVO SOLUCOES E ENGENHARIA LTDA</t>
  </si>
  <si>
    <t>183620.1</t>
  </si>
  <si>
    <t>Radar de Nível</t>
  </si>
  <si>
    <t>LMP 25.0128</t>
  </si>
  <si>
    <t>PENSALAB EQUIPAMENTOS INDUSTRIAIS S.A.</t>
  </si>
  <si>
    <t>184890.1</t>
  </si>
  <si>
    <t>Analisador de pressão de vapor (PVR)</t>
  </si>
  <si>
    <t>LMP 25.0129</t>
  </si>
  <si>
    <t>184908.1</t>
  </si>
  <si>
    <t>Multiponto Termopar, S96 SX</t>
  </si>
  <si>
    <t>LMP 25.0130</t>
  </si>
  <si>
    <t>PRIMOR IMPORTACAO LTDA</t>
  </si>
  <si>
    <t>184940.1</t>
  </si>
  <si>
    <t>LMP 25.0131</t>
  </si>
  <si>
    <t>184949.1</t>
  </si>
  <si>
    <t>LMP 25.0132</t>
  </si>
  <si>
    <t>184950.1</t>
  </si>
  <si>
    <t>Sensor</t>
  </si>
  <si>
    <t>LMP 25.0133</t>
  </si>
  <si>
    <t>LMP 25.0134</t>
  </si>
  <si>
    <t>LMP 25.0135</t>
  </si>
  <si>
    <t>LMP 25.0136</t>
  </si>
  <si>
    <t>LMP 25.0137</t>
  </si>
  <si>
    <t>LMP 25.0138</t>
  </si>
  <si>
    <t>LMP 25.0139</t>
  </si>
  <si>
    <t>LMP 25.0140</t>
  </si>
  <si>
    <t>LMP 25.0141</t>
  </si>
  <si>
    <t>LMP 25.0142</t>
  </si>
  <si>
    <t>LMP 25.0143</t>
  </si>
  <si>
    <t>LMP 25.0144</t>
  </si>
  <si>
    <t>LMP 25.0145</t>
  </si>
  <si>
    <t>LMP 25.0146</t>
  </si>
  <si>
    <t>LMP 25.0147</t>
  </si>
  <si>
    <t>LMP 25.0148</t>
  </si>
  <si>
    <t>LMP 25.0149</t>
  </si>
  <si>
    <t>LMP 25.0150</t>
  </si>
  <si>
    <t>LMP 25.0151</t>
  </si>
  <si>
    <t>LMP 25.0152</t>
  </si>
  <si>
    <t>LMP 25.0153</t>
  </si>
  <si>
    <t>LMP 25.0154</t>
  </si>
  <si>
    <t>LMP 25.0155</t>
  </si>
  <si>
    <t>LMP 25.0156</t>
  </si>
  <si>
    <t>LMP 25.0157</t>
  </si>
  <si>
    <t>LMP 25.0158</t>
  </si>
  <si>
    <t>LMP 25.0159</t>
  </si>
  <si>
    <t>LMP 25.0160</t>
  </si>
  <si>
    <t>LMP 25.0161</t>
  </si>
  <si>
    <t>LMP 25.0162</t>
  </si>
  <si>
    <t>LMP 25.0163</t>
  </si>
  <si>
    <t>LMP 25.0164</t>
  </si>
  <si>
    <t>LMP 25.0165</t>
  </si>
  <si>
    <t>LMP 25.0166</t>
  </si>
  <si>
    <t>LMP 25.0167</t>
  </si>
  <si>
    <t>LMP 25.0168</t>
  </si>
  <si>
    <t>LMP 25.0169</t>
  </si>
  <si>
    <t>LMP 25.0170</t>
  </si>
  <si>
    <t>LMP 25.0171</t>
  </si>
  <si>
    <t>LMP 25.0172</t>
  </si>
  <si>
    <t>LMP 25.0173</t>
  </si>
  <si>
    <t>LMP 25.0174</t>
  </si>
  <si>
    <t>LMP 25.0175</t>
  </si>
  <si>
    <t>LMP 25.0176</t>
  </si>
  <si>
    <t>LMP 25.0177</t>
  </si>
  <si>
    <t>LMP 25.0178</t>
  </si>
  <si>
    <t>LMP 25.0179</t>
  </si>
  <si>
    <t>LMP 25.0180</t>
  </si>
  <si>
    <t>LMP 25.0181</t>
  </si>
  <si>
    <t>LMP 25.0182</t>
  </si>
  <si>
    <t>LMP 25.0183</t>
  </si>
  <si>
    <t>LMP 25.0184</t>
  </si>
  <si>
    <t>LMP 25.0185</t>
  </si>
  <si>
    <t>LMP 25.0186</t>
  </si>
  <si>
    <t>LMP 25.0187</t>
  </si>
  <si>
    <t>LMP 25.0188</t>
  </si>
  <si>
    <t>LMP 25.0189</t>
  </si>
  <si>
    <t>LMP 25.0190</t>
  </si>
  <si>
    <t>LMP 25.0191</t>
  </si>
  <si>
    <t>LMP 25.0192</t>
  </si>
  <si>
    <t>LMP 25.0193</t>
  </si>
  <si>
    <t>LMP 25.0194</t>
  </si>
  <si>
    <t>LMP 25.0195</t>
  </si>
  <si>
    <t>LMP 25.0196</t>
  </si>
  <si>
    <t>LMP 25.0197</t>
  </si>
  <si>
    <t>LMP 25.0198</t>
  </si>
  <si>
    <t>LMP 25.0199</t>
  </si>
  <si>
    <t>LMP 25.0200</t>
  </si>
  <si>
    <t>LMP 25.0201</t>
  </si>
  <si>
    <t>LMP 25.0202</t>
  </si>
  <si>
    <t>LMP 25.0203</t>
  </si>
  <si>
    <t>LMP 25.0204</t>
  </si>
  <si>
    <t>LMP 25.0205</t>
  </si>
  <si>
    <t>LMP 25.0206</t>
  </si>
  <si>
    <t>LMP 25.0207</t>
  </si>
  <si>
    <t>LMP 25.0208</t>
  </si>
  <si>
    <t>LMP 25.0209</t>
  </si>
  <si>
    <t>LMP 25.0210</t>
  </si>
  <si>
    <t>LMP 25.0211</t>
  </si>
  <si>
    <t>LMP 25.0212</t>
  </si>
  <si>
    <t>LMP 25.0213</t>
  </si>
  <si>
    <t>LMP 25.0214</t>
  </si>
  <si>
    <t>LMP 25.0215</t>
  </si>
  <si>
    <t>LMP 25.0216</t>
  </si>
  <si>
    <t>LMP 25.0217</t>
  </si>
  <si>
    <t>LMP 25.0218</t>
  </si>
  <si>
    <t>LMP 25.0219</t>
  </si>
  <si>
    <t>LMP 25.0220</t>
  </si>
  <si>
    <t>LMP 25.0221</t>
  </si>
  <si>
    <t>LMP 25.0222</t>
  </si>
  <si>
    <t>LMP 25.0223</t>
  </si>
  <si>
    <t>LMP 25.0224</t>
  </si>
  <si>
    <t>LMP 25.0225</t>
  </si>
  <si>
    <t>LMP 25.0226</t>
  </si>
  <si>
    <t>LMP 25.0227</t>
  </si>
  <si>
    <t>LMP 25.0228</t>
  </si>
  <si>
    <t>LMP 25.0229</t>
  </si>
  <si>
    <t>LMP 25.0230</t>
  </si>
  <si>
    <t>LMP 25.0231</t>
  </si>
  <si>
    <t>LMP 25.0232</t>
  </si>
  <si>
    <t>LMP 25.0233</t>
  </si>
  <si>
    <t>LMP 25.0234</t>
  </si>
  <si>
    <t>LMP 25.0235</t>
  </si>
  <si>
    <t>LMP 25.0236</t>
  </si>
  <si>
    <t>LMP 25.0237</t>
  </si>
  <si>
    <t>LMP 25.0238</t>
  </si>
  <si>
    <t>LMP 25.0239</t>
  </si>
  <si>
    <t>LMP 25.0240</t>
  </si>
  <si>
    <t>LMP 25.0241</t>
  </si>
  <si>
    <t>LMP 25.0242</t>
  </si>
  <si>
    <t>LMP 25.0243</t>
  </si>
  <si>
    <t>LMP 25.0244</t>
  </si>
  <si>
    <t>LMP 25.0245</t>
  </si>
  <si>
    <t>LMP 25.0246</t>
  </si>
  <si>
    <t>LMP 25.0247</t>
  </si>
  <si>
    <t>LMP 25.0248</t>
  </si>
  <si>
    <t>LMP 25.0249</t>
  </si>
  <si>
    <t>LMP 25.0250</t>
  </si>
  <si>
    <t>LMP 25.0251</t>
  </si>
  <si>
    <t>LMP 25.0252</t>
  </si>
  <si>
    <t>LMP 25.0253</t>
  </si>
  <si>
    <t>LMP 25.0254</t>
  </si>
  <si>
    <t>LMP 25.0255</t>
  </si>
  <si>
    <t>LMP 25.0256</t>
  </si>
  <si>
    <t>LMP 25.0257</t>
  </si>
  <si>
    <t>LMP 25.0258</t>
  </si>
  <si>
    <t>LMP 25.0259</t>
  </si>
  <si>
    <t>LMP 25.0260</t>
  </si>
  <si>
    <t>LMP 25.0261</t>
  </si>
  <si>
    <t>LMP 25.0262</t>
  </si>
  <si>
    <t>LMP 25.0263</t>
  </si>
  <si>
    <t>LMP 25.0264</t>
  </si>
  <si>
    <t>LMP 25.0265</t>
  </si>
  <si>
    <t>LMP 25.0266</t>
  </si>
  <si>
    <t>LMP 25.0267</t>
  </si>
  <si>
    <t>LMP 25.0268</t>
  </si>
  <si>
    <t>LMP 25.0269</t>
  </si>
  <si>
    <t>LMP 25.0270</t>
  </si>
  <si>
    <t>LMP 25.0271</t>
  </si>
  <si>
    <t>LMP 25.0272</t>
  </si>
  <si>
    <t>LMP 25.0273</t>
  </si>
  <si>
    <t>LMP 25.0274</t>
  </si>
  <si>
    <t>LMP 25.0275</t>
  </si>
  <si>
    <t>LMP 25.0276</t>
  </si>
  <si>
    <t>LMP 25.0277</t>
  </si>
  <si>
    <t>LMP 25.0278</t>
  </si>
  <si>
    <t>LMP 25.0279</t>
  </si>
  <si>
    <t>LMP 25.0280</t>
  </si>
  <si>
    <t>LMP 25.0281</t>
  </si>
  <si>
    <t>LMP 25.0282</t>
  </si>
  <si>
    <t>LMP 25.0283</t>
  </si>
  <si>
    <t>LMP 25.0284</t>
  </si>
  <si>
    <t>LMP 25.0285</t>
  </si>
  <si>
    <t>LMP 25.0286</t>
  </si>
  <si>
    <t>LMP 25.0287</t>
  </si>
  <si>
    <t>LMP 25.0288</t>
  </si>
  <si>
    <t>LMP 25.0289</t>
  </si>
  <si>
    <t>LMP 25.0290</t>
  </si>
  <si>
    <t>LMP 25.0291</t>
  </si>
  <si>
    <t>LMP 25.0292</t>
  </si>
  <si>
    <t>LMP 25.0293</t>
  </si>
  <si>
    <t>LMP 25.0294</t>
  </si>
  <si>
    <t>LMP 25.0295</t>
  </si>
  <si>
    <t>LMP 25.0296</t>
  </si>
  <si>
    <t>LMP 25.0297</t>
  </si>
  <si>
    <t>LMP 25.0298</t>
  </si>
  <si>
    <t>LMP 25.0299</t>
  </si>
  <si>
    <t>LMP 25.0300</t>
  </si>
  <si>
    <t>LMP 25.0301</t>
  </si>
  <si>
    <t>LMP 25.0302</t>
  </si>
  <si>
    <t>LMP 25.0303</t>
  </si>
  <si>
    <t>LMP 25.0304</t>
  </si>
  <si>
    <t>LMP 25.0305</t>
  </si>
  <si>
    <t>LMP 25.0306</t>
  </si>
  <si>
    <t>LMP 25.0307</t>
  </si>
  <si>
    <t>LMP 25.0308</t>
  </si>
  <si>
    <t>LMP 25.0309</t>
  </si>
  <si>
    <t>LMP 25.0310</t>
  </si>
  <si>
    <t>LMP 25.0311</t>
  </si>
  <si>
    <t>LMP 25.0312</t>
  </si>
  <si>
    <t>LMP 25.0313</t>
  </si>
  <si>
    <t>LMP 25.0314</t>
  </si>
  <si>
    <t>LMP 25.0315</t>
  </si>
  <si>
    <t>LMP 25.0316</t>
  </si>
  <si>
    <t>LMP 25.0317</t>
  </si>
  <si>
    <t>LMP 25.0318</t>
  </si>
  <si>
    <t>LMP 25.0319</t>
  </si>
  <si>
    <t>LMP 25.0320</t>
  </si>
  <si>
    <t>LMP 25.0321</t>
  </si>
  <si>
    <t>LMP 25.0322</t>
  </si>
  <si>
    <t>LMP 25.0323</t>
  </si>
  <si>
    <t>LMP 25.0324</t>
  </si>
  <si>
    <t>LMP 25.0325</t>
  </si>
  <si>
    <t>LMP 25.0326</t>
  </si>
  <si>
    <t>LMP 25.0327</t>
  </si>
  <si>
    <t>LMP 25.0328</t>
  </si>
  <si>
    <t>LMP 25.0329</t>
  </si>
  <si>
    <t>LMP 25.0330</t>
  </si>
  <si>
    <t>LMP 25.0331</t>
  </si>
  <si>
    <t>LMP 25.0332</t>
  </si>
  <si>
    <t>LMP 25.0333</t>
  </si>
  <si>
    <t>LMP 25.0334</t>
  </si>
  <si>
    <t>LMP 25.0335</t>
  </si>
  <si>
    <t>LMP 25.0336</t>
  </si>
  <si>
    <t>LMP 25.0337</t>
  </si>
  <si>
    <t>LMP 25.0338</t>
  </si>
  <si>
    <t>LMP 25.0339</t>
  </si>
  <si>
    <t>LMP 25.0340</t>
  </si>
  <si>
    <t>LMP 25.0341</t>
  </si>
  <si>
    <t>LMP 25.0342</t>
  </si>
  <si>
    <t>LMP 25.0343</t>
  </si>
  <si>
    <t>LMP 25.0344</t>
  </si>
  <si>
    <t>LMP 25.0345</t>
  </si>
  <si>
    <t>LMP 25.0346</t>
  </si>
  <si>
    <t>LMP 25.0347</t>
  </si>
  <si>
    <t>LMP 25.0348</t>
  </si>
  <si>
    <t>LMP 25.0349</t>
  </si>
  <si>
    <t>LMP 25.0350</t>
  </si>
  <si>
    <t>LMP 25.0351</t>
  </si>
  <si>
    <t>LMP 25.0352</t>
  </si>
  <si>
    <t>LMP 25.0353</t>
  </si>
  <si>
    <t>LMP 25.0354</t>
  </si>
  <si>
    <t>LMP 25.0355</t>
  </si>
  <si>
    <t>LMP 25.0356</t>
  </si>
  <si>
    <t>LMP 25.0357</t>
  </si>
  <si>
    <t>LMP 25.0358</t>
  </si>
  <si>
    <t>LMP 25.0359</t>
  </si>
  <si>
    <t>LMP 25.0360</t>
  </si>
  <si>
    <t>LMP 25.0361</t>
  </si>
  <si>
    <t>LMP 25.0362</t>
  </si>
  <si>
    <t>LMP 25.0363</t>
  </si>
  <si>
    <t>LMP 25.0364</t>
  </si>
  <si>
    <t>LMP 25.0365</t>
  </si>
  <si>
    <t>LMP 25.0366</t>
  </si>
  <si>
    <t>LMP 25.0367</t>
  </si>
  <si>
    <t>LMP 25.0368</t>
  </si>
  <si>
    <t>LMP 25.0369</t>
  </si>
  <si>
    <t>LMP 25.0370</t>
  </si>
  <si>
    <t>LMP 25.0371</t>
  </si>
  <si>
    <t>LMP 25.0372</t>
  </si>
  <si>
    <t>LMP 25.0373</t>
  </si>
  <si>
    <t>LMP 25.0374</t>
  </si>
  <si>
    <t>LMP 25.0375</t>
  </si>
  <si>
    <t>LMP 25.0376</t>
  </si>
  <si>
    <t>LMP 25.0377</t>
  </si>
  <si>
    <t>LMP 25.0378</t>
  </si>
  <si>
    <t>LMP 25.0379</t>
  </si>
  <si>
    <t>LMP 25.0380</t>
  </si>
  <si>
    <t>LMP 25.0381</t>
  </si>
  <si>
    <t>LMP 25.0382</t>
  </si>
  <si>
    <t>LMP 25.0383</t>
  </si>
  <si>
    <t>LMP 25.0384</t>
  </si>
  <si>
    <t>LMP 25.0385</t>
  </si>
  <si>
    <t>LMP 25.0386</t>
  </si>
  <si>
    <t>LMP 25.0387</t>
  </si>
  <si>
    <t>LMP 25.0388</t>
  </si>
  <si>
    <t>LMP 25.0389</t>
  </si>
  <si>
    <t>LMP 25.0390</t>
  </si>
  <si>
    <t>LMP 25.0391</t>
  </si>
  <si>
    <t>LMP 25.0392</t>
  </si>
  <si>
    <t>LMP 25.0393</t>
  </si>
  <si>
    <t>LMP 25.0394</t>
  </si>
  <si>
    <t>LMP 25.0395</t>
  </si>
  <si>
    <t>LMP 25.0396</t>
  </si>
  <si>
    <t>LMP 25.0397</t>
  </si>
  <si>
    <t>LMP 25.0398</t>
  </si>
  <si>
    <t>LMP 25.0399</t>
  </si>
  <si>
    <t>LMP 25.0400</t>
  </si>
  <si>
    <t>LMP 25.0401</t>
  </si>
  <si>
    <t>LMP 25.0402</t>
  </si>
  <si>
    <t>LMP 25.0403</t>
  </si>
  <si>
    <t>LMP 25.0404</t>
  </si>
  <si>
    <t>LMP 25.0405</t>
  </si>
  <si>
    <t>LMP 25.0406</t>
  </si>
  <si>
    <t>LMP 25.0407</t>
  </si>
  <si>
    <t>LMP 25.0408</t>
  </si>
  <si>
    <t>LMP 25.0409</t>
  </si>
  <si>
    <t>LMP 25.0410</t>
  </si>
  <si>
    <t>LMP 25.0411</t>
  </si>
  <si>
    <t>LMP 25.0412</t>
  </si>
  <si>
    <t>LMP 25.0413</t>
  </si>
  <si>
    <t>LMP 25.0414</t>
  </si>
  <si>
    <t>LMP 25.0415</t>
  </si>
  <si>
    <t>LMP 25.0416</t>
  </si>
  <si>
    <t>LMP 25.0417</t>
  </si>
  <si>
    <t>LMP 25.0418</t>
  </si>
  <si>
    <t>LMP 25.0419</t>
  </si>
  <si>
    <t>LMP 25.0420</t>
  </si>
  <si>
    <t>LMP 25.0421</t>
  </si>
  <si>
    <t>LMP 25.0422</t>
  </si>
  <si>
    <t>LMP 25.0423</t>
  </si>
  <si>
    <t>LMP 25.0424</t>
  </si>
  <si>
    <t>LMP 25.0425</t>
  </si>
  <si>
    <t>LMP 25.0426</t>
  </si>
  <si>
    <t>LMP 25.0427</t>
  </si>
  <si>
    <t>LMP 25.0428</t>
  </si>
  <si>
    <t>LMP 25.0429</t>
  </si>
  <si>
    <t>LMP 25.0430</t>
  </si>
  <si>
    <t>LMP 25.0431</t>
  </si>
  <si>
    <t>LMP 25.0432</t>
  </si>
  <si>
    <t>LMP 25.0433</t>
  </si>
  <si>
    <t>LMP 25.0434</t>
  </si>
  <si>
    <t>LMP 25.0435</t>
  </si>
  <si>
    <t>LMP 25.0436</t>
  </si>
  <si>
    <t>LMP 25.0437</t>
  </si>
  <si>
    <t>LMP 25.0438</t>
  </si>
  <si>
    <t>LMP 25.0439</t>
  </si>
  <si>
    <t>LMP 25.0440</t>
  </si>
  <si>
    <t>LMP 25.0441</t>
  </si>
  <si>
    <t>LMP 25.0442</t>
  </si>
  <si>
    <t>LMP 25.0443</t>
  </si>
  <si>
    <t>LMP 25.0444</t>
  </si>
  <si>
    <t>LMP 25.0445</t>
  </si>
  <si>
    <t>LMP 25.0446</t>
  </si>
  <si>
    <t>LMP 25.0447</t>
  </si>
  <si>
    <t>LMP 25.0448</t>
  </si>
  <si>
    <t>LMP 25.0449</t>
  </si>
  <si>
    <t>LMP 25.0450</t>
  </si>
  <si>
    <t>LMP 25.0451</t>
  </si>
  <si>
    <t>LMP 25.0452</t>
  </si>
  <si>
    <t>LMP 25.0453</t>
  </si>
  <si>
    <t>LMP 25.0454</t>
  </si>
  <si>
    <t>LMP 25.0455</t>
  </si>
  <si>
    <t>LMP 25.0456</t>
  </si>
  <si>
    <t>LMP 25.0457</t>
  </si>
  <si>
    <t>LMP 25.0458</t>
  </si>
  <si>
    <t>LMP 25.0459</t>
  </si>
  <si>
    <t>LMP 25.0460</t>
  </si>
  <si>
    <t>LMP 25.0461</t>
  </si>
  <si>
    <t>LMP 25.0462</t>
  </si>
  <si>
    <t>LMP 25.0463</t>
  </si>
  <si>
    <t>LMP 25.0464</t>
  </si>
  <si>
    <t>LMP 25.0465</t>
  </si>
  <si>
    <t>LMP 25.0466</t>
  </si>
  <si>
    <t>LMP 25.0467</t>
  </si>
  <si>
    <t>LMP 25.0468</t>
  </si>
  <si>
    <t>LMP 25.0469</t>
  </si>
  <si>
    <t>LMP 25.0470</t>
  </si>
  <si>
    <t>LMP 25.0471</t>
  </si>
  <si>
    <t>LMP 25.0472</t>
  </si>
  <si>
    <t>LMP 25.0473</t>
  </si>
  <si>
    <t>LMP 25.0474</t>
  </si>
  <si>
    <t>LMP 25.0475</t>
  </si>
  <si>
    <t>LMP 25.0476</t>
  </si>
  <si>
    <t>LMP 25.0477</t>
  </si>
  <si>
    <t>LMP 25.0478</t>
  </si>
  <si>
    <t>LMP 25.0479</t>
  </si>
  <si>
    <t>LMP 25.0480</t>
  </si>
  <si>
    <t>LMP 25.0481</t>
  </si>
  <si>
    <t>LMP 25.0482</t>
  </si>
  <si>
    <t>LMP 25.0483</t>
  </si>
  <si>
    <t>LMP 25.0484</t>
  </si>
  <si>
    <t>LMP 25.0485</t>
  </si>
  <si>
    <t>LMP 25.0486</t>
  </si>
  <si>
    <t>LMP 25.0487</t>
  </si>
  <si>
    <t>LMP 25.0488</t>
  </si>
  <si>
    <t>LMP 25.0489</t>
  </si>
  <si>
    <t>LMP 25.0490</t>
  </si>
  <si>
    <t>LMP 25.0491</t>
  </si>
  <si>
    <t>LMP 25.0492</t>
  </si>
  <si>
    <t>LMP 25.0493</t>
  </si>
  <si>
    <t>LMP 25.0494</t>
  </si>
  <si>
    <t>LMP 25.0495</t>
  </si>
  <si>
    <t>LMP 25.0496</t>
  </si>
  <si>
    <t>LMP 25.0497</t>
  </si>
  <si>
    <t>LMP 25.0498</t>
  </si>
  <si>
    <t>LMP 25.0499</t>
  </si>
  <si>
    <t>LMP 25.0500</t>
  </si>
  <si>
    <t>LMP 25.0501</t>
  </si>
  <si>
    <t>LMP 25.0502</t>
  </si>
  <si>
    <t>LMP 25.0503</t>
  </si>
  <si>
    <t>LMP 25.0504</t>
  </si>
  <si>
    <t>LMP 25.0505</t>
  </si>
  <si>
    <t>LMP 25.0506</t>
  </si>
  <si>
    <t>LMP 25.0507</t>
  </si>
  <si>
    <t>LMP 25.0508</t>
  </si>
  <si>
    <t>LMP 25.0509</t>
  </si>
  <si>
    <t>LMP 25.0510</t>
  </si>
  <si>
    <t>LMP 25.0511</t>
  </si>
  <si>
    <t>LMP 25.0512</t>
  </si>
  <si>
    <t>LMP 25.0513</t>
  </si>
  <si>
    <t>LMP 25.0514</t>
  </si>
  <si>
    <t>LMP 25.0515</t>
  </si>
  <si>
    <t>LMP 25.0516</t>
  </si>
  <si>
    <t>LMP 25.0517</t>
  </si>
  <si>
    <t>LMP 25.0518</t>
  </si>
  <si>
    <t>LMP 25.0519</t>
  </si>
  <si>
    <t>LMP 25.0520</t>
  </si>
  <si>
    <t>LMP 25.0521</t>
  </si>
  <si>
    <t>LMP 25.0522</t>
  </si>
  <si>
    <t>LMP 25.0523</t>
  </si>
  <si>
    <t>LMP 25.0524</t>
  </si>
  <si>
    <t>LMP 25.0525</t>
  </si>
  <si>
    <t>LMP 25.0526</t>
  </si>
  <si>
    <t>LMP 25.0527</t>
  </si>
  <si>
    <t>LMP 25.0528</t>
  </si>
  <si>
    <t>LMP 25.0529</t>
  </si>
  <si>
    <t>LMP 25.0530</t>
  </si>
  <si>
    <t>LMP 25.0531</t>
  </si>
  <si>
    <t>LMP 25.0532</t>
  </si>
  <si>
    <t>LMP 25.0533</t>
  </si>
  <si>
    <t>LMP 25.0534</t>
  </si>
  <si>
    <t>LMP 25.0535</t>
  </si>
  <si>
    <t>LMP 25.0536</t>
  </si>
  <si>
    <t>LMP 25.0537</t>
  </si>
  <si>
    <t>LMP 25.0538</t>
  </si>
  <si>
    <t>LMP 25.0539</t>
  </si>
  <si>
    <t>LMP 25.0540</t>
  </si>
  <si>
    <t>LMP 25.0541</t>
  </si>
  <si>
    <t>LMP 25.0542</t>
  </si>
  <si>
    <t>LMP 25.0543</t>
  </si>
  <si>
    <t>LMP 25.0544</t>
  </si>
  <si>
    <t>LMP 25.0545</t>
  </si>
  <si>
    <t>LMP 25.0546</t>
  </si>
  <si>
    <t>LMP 25.0547</t>
  </si>
  <si>
    <t>LMP 25.0548</t>
  </si>
  <si>
    <t>LMP 25.0549</t>
  </si>
  <si>
    <t>LMP 25.0550</t>
  </si>
  <si>
    <t>LMP 25.0551</t>
  </si>
  <si>
    <t>LMP 25.0552</t>
  </si>
  <si>
    <t>LMP 25.0553</t>
  </si>
  <si>
    <t>LMP 25.0554</t>
  </si>
  <si>
    <t>LMP 25.0555</t>
  </si>
  <si>
    <t>LMP 25.0556</t>
  </si>
  <si>
    <t>LMP 25.0557</t>
  </si>
  <si>
    <t>LMP 25.0558</t>
  </si>
  <si>
    <t>LMP 25.0559</t>
  </si>
  <si>
    <t>LMP 25.0560</t>
  </si>
  <si>
    <t>LMP 25.0561</t>
  </si>
  <si>
    <t>LMP 25.0562</t>
  </si>
  <si>
    <t>LMP 25.0563</t>
  </si>
  <si>
    <t>LMP 25.0564</t>
  </si>
  <si>
    <t>LMP 25.0565</t>
  </si>
  <si>
    <t>LMP 25.0566</t>
  </si>
  <si>
    <t>LMP 25.0567</t>
  </si>
  <si>
    <t>LMP 25.0568</t>
  </si>
  <si>
    <t>LMP 25.0569</t>
  </si>
  <si>
    <t>LMP 25.0570</t>
  </si>
  <si>
    <t>LMP 25.0571</t>
  </si>
  <si>
    <t>LMP 25.0572</t>
  </si>
  <si>
    <t>LMP 25.0573</t>
  </si>
  <si>
    <t>LMP 25.0574</t>
  </si>
  <si>
    <t>LMP 25.0575</t>
  </si>
  <si>
    <t>LMP 25.0576</t>
  </si>
  <si>
    <t>LMP 25.0577</t>
  </si>
  <si>
    <t>LMP 25.0578</t>
  </si>
  <si>
    <t>LMP 25.0579</t>
  </si>
  <si>
    <t>LMP 25.0580</t>
  </si>
  <si>
    <t>LMP 25.0581</t>
  </si>
  <si>
    <t>LMP 25.0582</t>
  </si>
  <si>
    <t>LMP 25.0583</t>
  </si>
  <si>
    <t>LMP 25.0584</t>
  </si>
  <si>
    <t>LMP 25.0585</t>
  </si>
  <si>
    <t>LMP 25.0586</t>
  </si>
  <si>
    <t>LMP 25.0587</t>
  </si>
  <si>
    <t>LMP 25.0588</t>
  </si>
  <si>
    <t>LMP 25.0589</t>
  </si>
  <si>
    <t>LMP 25.0590</t>
  </si>
  <si>
    <t>LMP 25.0591</t>
  </si>
  <si>
    <t>LMP 25.0592</t>
  </si>
  <si>
    <t>LMP 25.0593</t>
  </si>
  <si>
    <t>LMP 25.0594</t>
  </si>
  <si>
    <t>LMP 25.0595</t>
  </si>
  <si>
    <t>LMP 25.0596</t>
  </si>
  <si>
    <t>LMP 25.0597</t>
  </si>
  <si>
    <t>LMP 25.0598</t>
  </si>
  <si>
    <t>LMP 25.0599</t>
  </si>
  <si>
    <t>LMP 25.0600</t>
  </si>
  <si>
    <t>Vega Brasil</t>
  </si>
  <si>
    <t>184617.1</t>
  </si>
  <si>
    <t xml:space="preserve">Transmissor de nível tipo radar </t>
  </si>
  <si>
    <t>VEGAPULS PS69.ACBXXCHXKMXXX</t>
  </si>
  <si>
    <t>VEGA Grieshaber KG</t>
  </si>
  <si>
    <t>PTB 14 ATEX 2007 X</t>
  </si>
  <si>
    <t>LMP 25.0601</t>
  </si>
  <si>
    <t>184715.1</t>
  </si>
  <si>
    <t>VEGA Americas, Inc</t>
  </si>
  <si>
    <t>LMP 25.0602</t>
  </si>
  <si>
    <t>184714.1</t>
  </si>
  <si>
    <t xml:space="preserve">Chave de nível tipo vibratória </t>
  </si>
  <si>
    <t>VEGAVIB VB63.GXAGCRAMX</t>
  </si>
  <si>
    <t>BVS 04 ATEX E 079 X</t>
  </si>
  <si>
    <t>LMP 25.0603</t>
  </si>
  <si>
    <t>184601.1</t>
  </si>
  <si>
    <t xml:space="preserve">Transmissor de nível tipo onda guiada </t>
  </si>
  <si>
    <t>VEGAFLEX FX81.ACATBFHXKDAX</t>
  </si>
  <si>
    <t>TÜV 12 ATEX 098523 X</t>
  </si>
  <si>
    <t>LMP 25.0604</t>
  </si>
  <si>
    <t>184874.1</t>
  </si>
  <si>
    <t>LMP 25.0605</t>
  </si>
  <si>
    <t>184770.1</t>
  </si>
  <si>
    <t>Chave de nível tipo vibratória</t>
  </si>
  <si>
    <t xml:space="preserve"> VEGACAP CP64.GXFNCRANX</t>
  </si>
  <si>
    <t>TÜV 17 ATEX 199560 X</t>
  </si>
  <si>
    <t>LMP 25.0606</t>
  </si>
  <si>
    <t>184771.1</t>
  </si>
  <si>
    <t xml:space="preserve">Transmissor de Pressão de Montagem Suspensa </t>
  </si>
  <si>
    <t>VEGAWELL WL52.AXA4AKD1AC1X</t>
  </si>
  <si>
    <t>TÜV 06 ATEX 553449 X</t>
  </si>
  <si>
    <t>LMP 25.0607</t>
  </si>
  <si>
    <t>184772.1</t>
  </si>
  <si>
    <t xml:space="preserve">Indicador digital remoto </t>
  </si>
  <si>
    <t>VEGADIS DIS82.ICHKIJACX</t>
  </si>
  <si>
    <t>VEGA Americas, Inc.</t>
  </si>
  <si>
    <t>IECEx DEK 14.0048X</t>
  </si>
  <si>
    <t>LMP 25.0608</t>
  </si>
  <si>
    <t>184749.1</t>
  </si>
  <si>
    <t>VEGAWAVE WE63.LIAGDRANX</t>
  </si>
  <si>
    <t>IECEx PTB 21.0014X</t>
  </si>
  <si>
    <t>LMP 25.0609</t>
  </si>
  <si>
    <t>184844.1</t>
  </si>
  <si>
    <t>LMP 25.0610</t>
  </si>
  <si>
    <t>184876.1</t>
  </si>
  <si>
    <t>Transmissor de pressão</t>
  </si>
  <si>
    <t>VEGABAR B87.IDBCAXGCHXWINX</t>
  </si>
  <si>
    <t>IECEx TUN 14.0026X</t>
  </si>
  <si>
    <t>LMP 25.0611</t>
  </si>
  <si>
    <t>184875.1</t>
  </si>
  <si>
    <t>VEGAPULS PS69.IRCSDAHXANAXX</t>
  </si>
  <si>
    <t>IECEx BVS 16.0017 X</t>
  </si>
  <si>
    <t>LMP 25.0612</t>
  </si>
  <si>
    <t>184901.1</t>
  </si>
  <si>
    <t>LMP 25.0613</t>
  </si>
  <si>
    <t>184902.1</t>
  </si>
  <si>
    <t>LMP 25.0614</t>
  </si>
  <si>
    <t>LMP 25.0615</t>
  </si>
  <si>
    <t>LMP 25.0616</t>
  </si>
  <si>
    <t>LMP 25.0617</t>
  </si>
  <si>
    <t>LMP 25.0618</t>
  </si>
  <si>
    <t>LMP 25.0619</t>
  </si>
  <si>
    <t>LMP 25.0620</t>
  </si>
  <si>
    <t>LMP 25.0621</t>
  </si>
  <si>
    <t>LMP 25.0622</t>
  </si>
  <si>
    <t>LMP 25.0623</t>
  </si>
  <si>
    <t>LMP 25.0624</t>
  </si>
  <si>
    <t>LMP 25.0625</t>
  </si>
  <si>
    <t>LMP 25.0626</t>
  </si>
  <si>
    <t>LMP 25.0627</t>
  </si>
  <si>
    <t>LMP 25.0628</t>
  </si>
  <si>
    <t>LMP 25.0629</t>
  </si>
  <si>
    <t>LMP 25.0630</t>
  </si>
  <si>
    <t>LMP 25.0631</t>
  </si>
  <si>
    <t>LMP 25.0632</t>
  </si>
  <si>
    <t>LMP 25.0633</t>
  </si>
  <si>
    <t>LMP 25.0634</t>
  </si>
  <si>
    <t>LMP 25.0635</t>
  </si>
  <si>
    <t>LMP 25.0636</t>
  </si>
  <si>
    <t>LMP 25.0637</t>
  </si>
  <si>
    <t>LMP 25.0638</t>
  </si>
  <si>
    <t>LMP 25.0639</t>
  </si>
  <si>
    <t>LMP 25.0640</t>
  </si>
  <si>
    <t>LMP 25.0641</t>
  </si>
  <si>
    <t>LMP 25.0642</t>
  </si>
  <si>
    <t>LMP 25.0643</t>
  </si>
  <si>
    <t>LMP 25.0644</t>
  </si>
  <si>
    <t>LMP 25.0645</t>
  </si>
  <si>
    <t>LMP 25.0646</t>
  </si>
  <si>
    <t>LMP 25.0647</t>
  </si>
  <si>
    <t>LMP 25.0648</t>
  </si>
  <si>
    <t>LMP 25.0649</t>
  </si>
  <si>
    <t>LMP 25.0650</t>
  </si>
  <si>
    <t>LMP 25.0651</t>
  </si>
  <si>
    <t>LMP 25.0652</t>
  </si>
  <si>
    <t>LMP 25.0653</t>
  </si>
  <si>
    <t>LMP 25.0654</t>
  </si>
  <si>
    <t>LMP 25.0655</t>
  </si>
  <si>
    <t>LMP 25.0656</t>
  </si>
  <si>
    <t>LMP 25.0657</t>
  </si>
  <si>
    <t>LMP 25.0658</t>
  </si>
  <si>
    <t>LMP 25.0659</t>
  </si>
  <si>
    <t>LMP 25.0660</t>
  </si>
  <si>
    <t>LMP 25.0661</t>
  </si>
  <si>
    <t>LMP 25.0662</t>
  </si>
  <si>
    <t>LMP 25.0663</t>
  </si>
  <si>
    <t>LMP 25.0664</t>
  </si>
  <si>
    <t>LMP 25.0665</t>
  </si>
  <si>
    <t>LMP 25.0666</t>
  </si>
  <si>
    <t>LMP 25.0667</t>
  </si>
  <si>
    <t>LMP 25.0668</t>
  </si>
  <si>
    <t>LMP 25.0669</t>
  </si>
  <si>
    <t>LMP 25.0670</t>
  </si>
  <si>
    <t>LMP 25.0671</t>
  </si>
  <si>
    <t>LMP 25.0672</t>
  </si>
  <si>
    <t>LMP 25.0673</t>
  </si>
  <si>
    <t>LMP 25.0674</t>
  </si>
  <si>
    <t>LMP 25.0675</t>
  </si>
  <si>
    <t>LMP 25.0676</t>
  </si>
  <si>
    <t>LMP 25.0677</t>
  </si>
  <si>
    <t>LMP 25.0678</t>
  </si>
  <si>
    <t>LMP 25.0679</t>
  </si>
  <si>
    <t>LMP 25.0680</t>
  </si>
  <si>
    <t>LMP 25.0681</t>
  </si>
  <si>
    <t>LMP 25.0682</t>
  </si>
  <si>
    <t>LMP 25.0683</t>
  </si>
  <si>
    <t>LMP 25.0684</t>
  </si>
  <si>
    <t>LMP 25.0685</t>
  </si>
  <si>
    <t>LMP 25.0686</t>
  </si>
  <si>
    <t>LMP 25.0687</t>
  </si>
  <si>
    <t>LMP 25.0688</t>
  </si>
  <si>
    <t>LMP 25.0689</t>
  </si>
  <si>
    <t>LMP 25.0690</t>
  </si>
  <si>
    <t>LMP 25.0691</t>
  </si>
  <si>
    <t>LMP 25.0692</t>
  </si>
  <si>
    <t>LMP 25.0693</t>
  </si>
  <si>
    <t>LMP 25.0694</t>
  </si>
  <si>
    <t>LMP 25.0695</t>
  </si>
  <si>
    <t>LMP 25.0696</t>
  </si>
  <si>
    <t>LMP 25.0697</t>
  </si>
  <si>
    <t>LMP 25.0698</t>
  </si>
  <si>
    <t>LMP 25.0699</t>
  </si>
  <si>
    <t>LMP 25.0700</t>
  </si>
  <si>
    <t>LMP 25.0701</t>
  </si>
  <si>
    <t>LMP 25.0702</t>
  </si>
  <si>
    <t>LMP 25.0703</t>
  </si>
  <si>
    <t>LMP 25.0704</t>
  </si>
  <si>
    <t>LMP 25.0705</t>
  </si>
  <si>
    <t>LMP 25.0706</t>
  </si>
  <si>
    <t>LMP 25.0707</t>
  </si>
  <si>
    <t>LMP 25.0708</t>
  </si>
  <si>
    <t>LMP 25.0709</t>
  </si>
  <si>
    <t>LMP 25.0710</t>
  </si>
  <si>
    <t>LMP 25.0711</t>
  </si>
  <si>
    <t>LMP 25.0712</t>
  </si>
  <si>
    <t>LMP 25.0713</t>
  </si>
  <si>
    <t>LMP 25.0714</t>
  </si>
  <si>
    <t>LMP 25.0715</t>
  </si>
  <si>
    <t>LMP 25.0716</t>
  </si>
  <si>
    <t>LMP 25.0717</t>
  </si>
  <si>
    <t>LMP 25.0718</t>
  </si>
  <si>
    <t>LMP 25.0719</t>
  </si>
  <si>
    <t>LMP 25.0720</t>
  </si>
  <si>
    <t>LMP 25.0721</t>
  </si>
  <si>
    <t>LMP 25.0722</t>
  </si>
  <si>
    <t>LMP 25.0723</t>
  </si>
  <si>
    <t>LMP 25.0724</t>
  </si>
  <si>
    <t>LMP 25.0725</t>
  </si>
  <si>
    <t>LMP 25.0726</t>
  </si>
  <si>
    <t>LMP 25.0727</t>
  </si>
  <si>
    <t>LMP 25.0728</t>
  </si>
  <si>
    <t>LMP 25.0729</t>
  </si>
  <si>
    <t>LMP 25.0730</t>
  </si>
  <si>
    <t>LMP 25.0731</t>
  </si>
  <si>
    <t>LMP 25.0732</t>
  </si>
  <si>
    <t>LMP 25.0733</t>
  </si>
  <si>
    <t>LMP 25.0734</t>
  </si>
  <si>
    <t>LMP 25.0735</t>
  </si>
  <si>
    <t>LMP 25.0736</t>
  </si>
  <si>
    <t>LMP 25.0737</t>
  </si>
  <si>
    <t>LMP 25.0738</t>
  </si>
  <si>
    <t>LMP 25.0739</t>
  </si>
  <si>
    <t>LMP 25.0740</t>
  </si>
  <si>
    <t>LMP 25.0741</t>
  </si>
  <si>
    <t>LMP 25.0742</t>
  </si>
  <si>
    <t>LMP 25.0743</t>
  </si>
  <si>
    <t>LMP 25.0744</t>
  </si>
  <si>
    <t>LMP 25.0745</t>
  </si>
  <si>
    <t>LMP 25.0746</t>
  </si>
  <si>
    <t>LMP 25.0747</t>
  </si>
  <si>
    <t>LMP 25.0748</t>
  </si>
  <si>
    <t>LMP 25.0749</t>
  </si>
  <si>
    <t>LMP 25.0750</t>
  </si>
  <si>
    <t>LMP 25.0751</t>
  </si>
  <si>
    <t>LMP 25.0752</t>
  </si>
  <si>
    <t>LMP 25.0753</t>
  </si>
  <si>
    <t>LMP 25.0754</t>
  </si>
  <si>
    <t>LMP 25.0755</t>
  </si>
  <si>
    <t>LMP 25.0756</t>
  </si>
  <si>
    <t>LMP 25.0757</t>
  </si>
  <si>
    <t>LMP 25.0758</t>
  </si>
  <si>
    <t>LMP 25.0759</t>
  </si>
  <si>
    <t>LMP 25.0760</t>
  </si>
  <si>
    <t>LMP 25.0761</t>
  </si>
  <si>
    <t>LMP 25.0762</t>
  </si>
  <si>
    <t>LMP 25.0763</t>
  </si>
  <si>
    <t>LMP 25.0764</t>
  </si>
  <si>
    <t>LMP 25.0765</t>
  </si>
  <si>
    <t>LMP 25.0766</t>
  </si>
  <si>
    <t>LMP 25.0767</t>
  </si>
  <si>
    <t>LMP 25.0768</t>
  </si>
  <si>
    <t>LMP 25.0769</t>
  </si>
  <si>
    <t>LMP 25.0770</t>
  </si>
  <si>
    <t>LMP 25.0771</t>
  </si>
  <si>
    <t>LMP 25.0772</t>
  </si>
  <si>
    <t>LMP 25.0773</t>
  </si>
  <si>
    <t>LMP 25.0774</t>
  </si>
  <si>
    <t>LMP 25.0775</t>
  </si>
  <si>
    <t>LMP 25.0776</t>
  </si>
  <si>
    <t>LMP 25.0777</t>
  </si>
  <si>
    <t>LMP 25.0778</t>
  </si>
  <si>
    <t>LMP 25.0779</t>
  </si>
  <si>
    <t>LMP 25.0780</t>
  </si>
  <si>
    <t>LMP 25.0781</t>
  </si>
  <si>
    <t>LMP 25.0782</t>
  </si>
  <si>
    <t>LMP 25.0783</t>
  </si>
  <si>
    <t>LMP 25.0784</t>
  </si>
  <si>
    <t>LMP 25.0785</t>
  </si>
  <si>
    <t>LMP 25.0786</t>
  </si>
  <si>
    <t>LMP 25.0787</t>
  </si>
  <si>
    <t>LMP 25.0788</t>
  </si>
  <si>
    <t>LMP 25.0789</t>
  </si>
  <si>
    <t>LMP 25.0790</t>
  </si>
  <si>
    <t>LMP 25.0791</t>
  </si>
  <si>
    <t>LMP 25.0792</t>
  </si>
  <si>
    <t>LMP 25.0793</t>
  </si>
  <si>
    <t>LMP 25.0794</t>
  </si>
  <si>
    <t>LMP 25.0795</t>
  </si>
  <si>
    <t>LMP 25.0796</t>
  </si>
  <si>
    <t>LMP 25.0797</t>
  </si>
  <si>
    <t>LMP 25.0798</t>
  </si>
  <si>
    <t>LMP 25.0799</t>
  </si>
  <si>
    <t>LMP 25.0800X</t>
  </si>
  <si>
    <t>Alutal Controles Industriais Ltda</t>
  </si>
  <si>
    <t xml:space="preserve">Chave de fluxo/nível térmico </t>
  </si>
  <si>
    <t>TD2-7H00-0G0 / TMC-A240-026</t>
  </si>
  <si>
    <t>IECEx FMG 19.0047X</t>
  </si>
  <si>
    <t>LMP 25.0801X</t>
  </si>
  <si>
    <t xml:space="preserve">Transmissor de nível Universal </t>
  </si>
  <si>
    <t>V</t>
  </si>
  <si>
    <t>Ametek Drexelbrook</t>
  </si>
  <si>
    <t>FM23US0053X</t>
  </si>
  <si>
    <t>LMP 25.0802X</t>
  </si>
  <si>
    <t>XA15-1H4B-HA9</t>
  </si>
  <si>
    <t>FM21ATEX0060X</t>
  </si>
  <si>
    <t>LMP 25.0803X</t>
  </si>
  <si>
    <t>E4M-51B3-0A1-53-0RC</t>
  </si>
  <si>
    <t>FM23US0028X</t>
  </si>
  <si>
    <t>LMP 25.0804X</t>
  </si>
  <si>
    <t xml:space="preserve">Chave de fluxo térmico </t>
  </si>
  <si>
    <t>TD2-7D00-0G3 / TMC-A110-007</t>
  </si>
  <si>
    <t>FM19ATEX0203X</t>
  </si>
  <si>
    <t>LMP 25.0805</t>
  </si>
  <si>
    <t xml:space="preserve"> T35-002N-B11</t>
  </si>
  <si>
    <t>BKI19ATEX0015 X</t>
  </si>
  <si>
    <t>LMP 25.0806X</t>
  </si>
  <si>
    <t>TD1-2D00-0C1 / TMC-A210-020</t>
  </si>
  <si>
    <t>LMP 25.0807X</t>
  </si>
  <si>
    <t>TD1-2D00-0C0 / TMA-A230-026</t>
  </si>
  <si>
    <t>LMP 25.0808X</t>
  </si>
  <si>
    <t>A15-2H4B-HB9</t>
  </si>
  <si>
    <t>LMP 25.0809</t>
  </si>
  <si>
    <t>Transmissor de nível R96-520A-A10 / RA6-A730-200</t>
  </si>
  <si>
    <t>R96-520A-A10 / RA6-A730-200</t>
  </si>
  <si>
    <t>FM15ATEX0058X</t>
  </si>
  <si>
    <t>LMP 25.0810</t>
  </si>
  <si>
    <t>355-510A-C0R</t>
  </si>
  <si>
    <t>Magnetrol International N.V.</t>
  </si>
  <si>
    <t>ISSeP09ATEX009X</t>
  </si>
  <si>
    <t>LMP 25.0811X</t>
  </si>
  <si>
    <t>LMP 25.0812X</t>
  </si>
  <si>
    <t>TD2-7D00-0G0 / TMM-A110-010</t>
  </si>
  <si>
    <t>LMP 25.0813X</t>
  </si>
  <si>
    <t xml:space="preserve">Transmissor de vazão termal </t>
  </si>
  <si>
    <t>TA2-A1B0-130 / TER-A04A-211</t>
  </si>
  <si>
    <t>FM19ATEX0205X</t>
  </si>
  <si>
    <t>LMP 25.0814X</t>
  </si>
  <si>
    <t>PXLX / 700-0207-001</t>
  </si>
  <si>
    <t>FM19US0144X</t>
  </si>
  <si>
    <t>LMP 25.0815X</t>
  </si>
  <si>
    <t>TD2-8H00-0G0 / TMB-A240-017</t>
  </si>
  <si>
    <t>LMP 25.0816</t>
  </si>
  <si>
    <t>FT50</t>
  </si>
  <si>
    <t>Joyo M&amp;C Technology Co., ltd</t>
  </si>
  <si>
    <t>CCRI 19.1476</t>
  </si>
  <si>
    <t>LMP 25.0817</t>
  </si>
  <si>
    <t xml:space="preserve">Chave de fluxo </t>
  </si>
  <si>
    <t>F50-1A2B-BAC</t>
  </si>
  <si>
    <t>LMP 25.0818X</t>
  </si>
  <si>
    <t xml:space="preserve"> B15-4G3B-CD9</t>
  </si>
  <si>
    <t>LMP 25.0819</t>
  </si>
  <si>
    <t>Ceraterm Comércio de Equipamentos e Serviços Ltda</t>
  </si>
  <si>
    <t>TD2-8D00-0G3 / TMC-A110-014</t>
  </si>
  <si>
    <t>LMP 25.0820</t>
  </si>
  <si>
    <t>Transmissor de nível</t>
  </si>
  <si>
    <t xml:space="preserve"> PXLX2</t>
  </si>
  <si>
    <t>LMP 25.0821</t>
  </si>
  <si>
    <t>F10-4D22-BC9</t>
  </si>
  <si>
    <t>LMP 25.0822</t>
  </si>
  <si>
    <t>JM4-511A-B20 / 2CF-001F-E01-00-065 e JM4-511A-B20 / 2CF-001F-E01-00-115</t>
  </si>
  <si>
    <t>FM14ATEX0059X</t>
  </si>
  <si>
    <t>LMP 25.0823</t>
  </si>
  <si>
    <t>Chave de fluxo térmico 0</t>
  </si>
  <si>
    <t>TD2-8D00-0G0 / TEC-A110-02</t>
  </si>
  <si>
    <t>LMP 25.0824</t>
  </si>
  <si>
    <t>TD2-8H00-032</t>
  </si>
  <si>
    <t>LMP 25.0825</t>
  </si>
  <si>
    <t>LMP 25.0826</t>
  </si>
  <si>
    <t>TD2-7H00-0G0 / TEA-A110-006</t>
  </si>
  <si>
    <t>LMP 25.0827</t>
  </si>
  <si>
    <t>TD2-8H00-0G2 / TMC-A110-019</t>
  </si>
  <si>
    <t>LMP 25.0828X</t>
  </si>
  <si>
    <t xml:space="preserve">Transmissor de vibração </t>
  </si>
  <si>
    <t>ST5491E-022-0120-00</t>
  </si>
  <si>
    <t>Metrix Instrument Co.</t>
  </si>
  <si>
    <t>E115725</t>
  </si>
  <si>
    <t>LMP 25.0829</t>
  </si>
  <si>
    <t>TD2-7D00-0G0 / TEA-A110-012</t>
  </si>
  <si>
    <t>LMP 25.0830</t>
  </si>
  <si>
    <t>Chave de Fluxo Térmico</t>
  </si>
  <si>
    <t>LMP 25.0831X</t>
  </si>
  <si>
    <t>B15-4H3B-BD9</t>
  </si>
  <si>
    <t>LMP 25.0832X</t>
  </si>
  <si>
    <t>TFL30</t>
  </si>
  <si>
    <t>LMP 25.0833</t>
  </si>
  <si>
    <t>Conectal Monitoramento Global Ltda</t>
  </si>
  <si>
    <t>Chave de Fluxonivel Termal</t>
  </si>
  <si>
    <t>LMP 25.0834X</t>
  </si>
  <si>
    <t>XA15-1G3T-BB9</t>
  </si>
  <si>
    <t>LMP 25.0835</t>
  </si>
  <si>
    <t>TD2-7D00-030 / TMC-B110-005</t>
  </si>
  <si>
    <t>FM19CA0128X</t>
  </si>
  <si>
    <t>LMP 25.0836</t>
  </si>
  <si>
    <t xml:space="preserve">Chave de Nível </t>
  </si>
  <si>
    <t>XC29-1T30-HA9</t>
  </si>
  <si>
    <t>LMP 25.0837</t>
  </si>
  <si>
    <t>Chave de Fluxo Térmica</t>
  </si>
  <si>
    <t>TD2-8H00-0G0 / TMB-A230-020</t>
  </si>
  <si>
    <t>LMP 25.0838</t>
  </si>
  <si>
    <t>T31-003B-A01</t>
  </si>
  <si>
    <t>LMP 25.0839</t>
  </si>
  <si>
    <t>LMP 25.0840</t>
  </si>
  <si>
    <t xml:space="preserve">Tranmissor de Nível </t>
  </si>
  <si>
    <t>E4M-51B3-0A1-55-0RA</t>
  </si>
  <si>
    <t>IECEx FMG 23.0009X</t>
  </si>
  <si>
    <t>LMP 25.0841</t>
  </si>
  <si>
    <t>TD2-7H00-0G0 / TEA-A330-00</t>
  </si>
  <si>
    <t>LMP 25.0842</t>
  </si>
  <si>
    <t>LMP 25.0843</t>
  </si>
  <si>
    <t>TA2-A4B0-440 / TER-A43A-157</t>
  </si>
  <si>
    <t>LMP 25.0844X</t>
  </si>
  <si>
    <t>TA2-A4B0-930 / TMR-A03A-020</t>
  </si>
  <si>
    <t>LMP 25.0845</t>
  </si>
  <si>
    <t xml:space="preserve"> XJM4-511A-B21 / 2CH-001F-E01-00-215</t>
  </si>
  <si>
    <t>IECEx FMG 14.0028X</t>
  </si>
  <si>
    <t>LMP 25.0846X</t>
  </si>
  <si>
    <t>PXLX2</t>
  </si>
  <si>
    <t>FM16ATEX0024X</t>
  </si>
  <si>
    <t>LMP 25.0847</t>
  </si>
  <si>
    <t>Chave de Nível do tipo RF Admitância</t>
  </si>
  <si>
    <t>LMP 25.0848</t>
  </si>
  <si>
    <t>Transmissor de nível do tipo RF</t>
  </si>
  <si>
    <t>LMP 25.0849</t>
  </si>
  <si>
    <t xml:space="preserve"> E4M-51C3-0A1-53-0RA</t>
  </si>
  <si>
    <t>LMP 25.0850</t>
  </si>
  <si>
    <t>Chave de fluxo</t>
  </si>
  <si>
    <t xml:space="preserve"> XF10-4E54-FC9</t>
  </si>
  <si>
    <t>LMP 25.0851</t>
  </si>
  <si>
    <t>JM4-511A-B20 / 2CH-001F-201-00-097</t>
  </si>
  <si>
    <t>LMP 25.0852</t>
  </si>
  <si>
    <t xml:space="preserve"> JM4-511A-B10 / 2CH-00AF-101-00-081</t>
  </si>
  <si>
    <t>LMP 25.0853</t>
  </si>
  <si>
    <t>LMP 25.0854</t>
  </si>
  <si>
    <t>TD2-8D00-0G2 / XTMC-A430-036</t>
  </si>
  <si>
    <t>LMP 25.0855</t>
  </si>
  <si>
    <t>Transmissor de Nível Universal V</t>
  </si>
  <si>
    <t>(VP01022D306120)</t>
  </si>
  <si>
    <t>LMP 25.0856</t>
  </si>
  <si>
    <t>LMP 25.0857</t>
  </si>
  <si>
    <t>E4M-51C3-0A1-53-0RA</t>
  </si>
  <si>
    <t>LMP 25.0858</t>
  </si>
  <si>
    <t>Chave de aterramento de Antebordo</t>
  </si>
  <si>
    <t xml:space="preserve">Sistema de aterramento e transbordamento </t>
  </si>
  <si>
    <t>BJJY-II-A</t>
  </si>
  <si>
    <t>CCRI 19.1421</t>
  </si>
  <si>
    <t>LMP 25.0859</t>
  </si>
  <si>
    <t>YK-RD704-1050/G/A/H/1/Q/M/X/X/19</t>
  </si>
  <si>
    <t>Dalian Yoke Instrument Co., Ltd.</t>
  </si>
  <si>
    <t>SYEx21.04183</t>
  </si>
  <si>
    <t>LMP 25.0860</t>
  </si>
  <si>
    <t>Transmissor de Temperatura</t>
  </si>
  <si>
    <t xml:space="preserve"> YK-WB301-19</t>
  </si>
  <si>
    <t>Dalian Yoke Instrument &amp; Meter Co., Ltd.</t>
  </si>
  <si>
    <t>CCRI 23.1006X</t>
  </si>
  <si>
    <t>LMP 25.0861</t>
  </si>
  <si>
    <t>TD1-2D00-0C0 / TMA-A330-027</t>
  </si>
  <si>
    <t>LMP 25.0862</t>
  </si>
  <si>
    <t>JM4-511A-B10 / 2CH-00AF-101-00-207, JM4-511A-B10 / 2CH-00AF-101-00-185</t>
  </si>
  <si>
    <t>LMP 25.0863</t>
  </si>
  <si>
    <t>LMP 25.0864</t>
  </si>
  <si>
    <t xml:space="preserve">Sensor de nível </t>
  </si>
  <si>
    <t>700-0002-037</t>
  </si>
  <si>
    <t>IECEx FMG 23.0026X</t>
  </si>
  <si>
    <t>LMP 25.0865</t>
  </si>
  <si>
    <t>ORS-AA1C-001</t>
  </si>
  <si>
    <t>Orion Instruments</t>
  </si>
  <si>
    <t>Sira 10ATEX1139X</t>
  </si>
  <si>
    <t>LMP 25.0866</t>
  </si>
  <si>
    <t xml:space="preserve">Transmissor de Nível </t>
  </si>
  <si>
    <t xml:space="preserve"> E4M-51C1-3A1-55-MRA</t>
  </si>
  <si>
    <t>LMP 25.0867</t>
  </si>
  <si>
    <t>LMP 25.0868</t>
  </si>
  <si>
    <t>07.092.005/0001-30</t>
  </si>
  <si>
    <t>LMP 25.0869</t>
  </si>
  <si>
    <t>XA15-1K4B-BA9</t>
  </si>
  <si>
    <t>LMP 25.0870</t>
  </si>
  <si>
    <t>Analisador de gás</t>
  </si>
  <si>
    <t>T212</t>
  </si>
  <si>
    <t>Analytical Systems KECO</t>
  </si>
  <si>
    <t>ExVeritas 23ATEX1652X</t>
  </si>
  <si>
    <t>24.4</t>
  </si>
  <si>
    <t>LMP 25.0871</t>
  </si>
  <si>
    <t>07.092.005/0002-11</t>
  </si>
  <si>
    <t>R82-5B0A-031</t>
  </si>
  <si>
    <t>ISSeP09ATEX020X</t>
  </si>
  <si>
    <t>LMP 25.0872</t>
  </si>
  <si>
    <t>XE4M-51B1-2B1-64-0AC</t>
  </si>
  <si>
    <t>LMP 25.0873</t>
  </si>
  <si>
    <t>Chave de Nível</t>
  </si>
  <si>
    <t>T35-002N-B02</t>
  </si>
  <si>
    <t>LMP 25.0874</t>
  </si>
  <si>
    <t xml:space="preserve"> 07.092.005/0002-11</t>
  </si>
  <si>
    <t>Chave de Fluxo</t>
  </si>
  <si>
    <t xml:space="preserve"> TD1-2D00-0C0 / TMC-A110-005</t>
  </si>
  <si>
    <t>LMP 25.0875</t>
  </si>
  <si>
    <t>LMP 25.0876</t>
  </si>
  <si>
    <t>TRANSMISSOR DE VAZAO MASSICA
TERMAL</t>
  </si>
  <si>
    <t>LMP 25.0877</t>
  </si>
  <si>
    <t>TRANSMISSOR DE NIVEL ULTRASSONICO</t>
  </si>
  <si>
    <t>LMP 25.0878</t>
  </si>
  <si>
    <t>TRANSMISSOR DE NIVEL DO TIPO RADAR</t>
  </si>
  <si>
    <t>LMP 25.0879</t>
  </si>
  <si>
    <t>F10-4D24-FKK</t>
  </si>
  <si>
    <t>FM21US0099X</t>
  </si>
  <si>
    <t>LMP 25.0880</t>
  </si>
  <si>
    <t>LMP 25.0881</t>
  </si>
  <si>
    <t>CHAVE DE NIVEL DO TIPO RF</t>
  </si>
  <si>
    <t>LMP 25.0882</t>
  </si>
  <si>
    <t>Chave de Nivel do Tipo Boia Alutal/Magnetrol</t>
  </si>
  <si>
    <t>LMP 25.0883</t>
  </si>
  <si>
    <t>LMP 25.0884</t>
  </si>
  <si>
    <t>LMP 25.0885</t>
  </si>
  <si>
    <t>LMP 25.0886</t>
  </si>
  <si>
    <t>LMP 25.0887</t>
  </si>
  <si>
    <t>LMP 25.0888</t>
  </si>
  <si>
    <t>LMP 25.0889</t>
  </si>
  <si>
    <t>LMP 25.0890</t>
  </si>
  <si>
    <t>LMP 25.0891</t>
  </si>
  <si>
    <t>LMP 25.0892</t>
  </si>
  <si>
    <t>LMP 25.0893</t>
  </si>
  <si>
    <t>LMP 25.0894</t>
  </si>
  <si>
    <t>LMP 25.0895</t>
  </si>
  <si>
    <t>LMP 25.0896</t>
  </si>
  <si>
    <t>LMP 25.0897</t>
  </si>
  <si>
    <t>LMP 25.0898</t>
  </si>
  <si>
    <t>LMP 25.0899</t>
  </si>
  <si>
    <t>LMP 25.0900</t>
  </si>
  <si>
    <t>LMP 25.0901</t>
  </si>
  <si>
    <t>LMP 25.0902</t>
  </si>
  <si>
    <t>LMP 25.0903</t>
  </si>
  <si>
    <t>LMP 25.0904</t>
  </si>
  <si>
    <t>LMP 25.0905</t>
  </si>
  <si>
    <t>LMP 25.0906</t>
  </si>
  <si>
    <t>LMP 25.0907</t>
  </si>
  <si>
    <t>LMP 25.0908</t>
  </si>
  <si>
    <t>LMP 25.0909</t>
  </si>
  <si>
    <t>LMP 25.0910</t>
  </si>
  <si>
    <t>LMP 25.0911</t>
  </si>
  <si>
    <t>LMP 25.0912</t>
  </si>
  <si>
    <t>LMP 25.0913</t>
  </si>
  <si>
    <t>LMP 25.0914</t>
  </si>
  <si>
    <t>LMP 25.0915</t>
  </si>
  <si>
    <t>LMP 25.0916</t>
  </si>
  <si>
    <t>LMP 25.0917</t>
  </si>
  <si>
    <t>LMP 25.0918</t>
  </si>
  <si>
    <t>LMP 25.0919</t>
  </si>
  <si>
    <t>LMP 25.0920</t>
  </si>
  <si>
    <t>LMP 25.0921</t>
  </si>
  <si>
    <t>LMP 25.0922</t>
  </si>
  <si>
    <t>LMP 25.0923</t>
  </si>
  <si>
    <t>LMP 25.0924</t>
  </si>
  <si>
    <t>LMP 25.0925</t>
  </si>
  <si>
    <t>LMP 25.0926</t>
  </si>
  <si>
    <t>LMP 25.0927</t>
  </si>
  <si>
    <t>LMP 25.0928</t>
  </si>
  <si>
    <t>LMP 25.0929</t>
  </si>
  <si>
    <t>LMP 25.0930</t>
  </si>
  <si>
    <t>LMP 25.0931</t>
  </si>
  <si>
    <t>LMP 25.0932</t>
  </si>
  <si>
    <t>LMP 25.0933</t>
  </si>
  <si>
    <t>LMP 25.0934</t>
  </si>
  <si>
    <t>LMP 25.0935</t>
  </si>
  <si>
    <t>LMP 25.0936</t>
  </si>
  <si>
    <t>LMP 25.0937</t>
  </si>
  <si>
    <t>LMP 25.0938</t>
  </si>
  <si>
    <t>LMP 25.0939</t>
  </si>
  <si>
    <t>LMP 25.0940</t>
  </si>
  <si>
    <t>LMP 25.0941</t>
  </si>
  <si>
    <t>LMP 25.0942</t>
  </si>
  <si>
    <t>LMP 25.0943</t>
  </si>
  <si>
    <t>LMP 25.0944</t>
  </si>
  <si>
    <t>LMP 25.0945</t>
  </si>
  <si>
    <t>LMP 25.0946</t>
  </si>
  <si>
    <t>LMP 25.0947</t>
  </si>
  <si>
    <t>LMP 25.0948</t>
  </si>
  <si>
    <t>LMP 25.0949</t>
  </si>
  <si>
    <t>LMP 25.0950</t>
  </si>
  <si>
    <t>LMP 25.0951</t>
  </si>
  <si>
    <t>LMP 25.0952</t>
  </si>
  <si>
    <t>LMP 25.0953</t>
  </si>
  <si>
    <t>LMP 25.0954</t>
  </si>
  <si>
    <t>LMP 25.0955</t>
  </si>
  <si>
    <t>LMP 25.0956</t>
  </si>
  <si>
    <t>LMP 25.0957</t>
  </si>
  <si>
    <t>LMP 25.0958</t>
  </si>
  <si>
    <t>LMP 25.0959</t>
  </si>
  <si>
    <t>LMP 25.0960</t>
  </si>
  <si>
    <t>LMP 25.0961</t>
  </si>
  <si>
    <t>LMP 25.0962</t>
  </si>
  <si>
    <t>LMP 25.0963</t>
  </si>
  <si>
    <t>LMP 25.0964</t>
  </si>
  <si>
    <t>LMP 25.0965</t>
  </si>
  <si>
    <t>LMP 25.0966</t>
  </si>
  <si>
    <t>LMP 25.0967</t>
  </si>
  <si>
    <t>LMP 25.0968</t>
  </si>
  <si>
    <t>LMP 25.0969</t>
  </si>
  <si>
    <t>LMP 25.0970</t>
  </si>
  <si>
    <t>LMP 25.0971</t>
  </si>
  <si>
    <t>LMP 25.0972</t>
  </si>
  <si>
    <t>LMP 25.0973</t>
  </si>
  <si>
    <t>LMP 25.0974</t>
  </si>
  <si>
    <t>LMP 25.0975</t>
  </si>
  <si>
    <t>LMP 25.0976</t>
  </si>
  <si>
    <t>LMP 25.0977</t>
  </si>
  <si>
    <t>LMP 25.0978</t>
  </si>
  <si>
    <t>LMP 25.0979</t>
  </si>
  <si>
    <t>LMP 25.0980</t>
  </si>
  <si>
    <t>LMP 25.0981</t>
  </si>
  <si>
    <t>LMP 25.0982</t>
  </si>
  <si>
    <t>LMP 25.0983</t>
  </si>
  <si>
    <t>LMP 25.0984</t>
  </si>
  <si>
    <t>LMP 25.0985</t>
  </si>
  <si>
    <t>LMP 25.0986</t>
  </si>
  <si>
    <t>LMP 25.0987</t>
  </si>
  <si>
    <t>LMP 25.0988</t>
  </si>
  <si>
    <t>LMP 25.0989</t>
  </si>
  <si>
    <t>LMP 25.0990</t>
  </si>
  <si>
    <t>LMP 25.0991</t>
  </si>
  <si>
    <t>LMP 25.0992</t>
  </si>
  <si>
    <t>LMP 25.0993</t>
  </si>
  <si>
    <t>LMP 25.0994</t>
  </si>
  <si>
    <t>LMP 25.0995</t>
  </si>
  <si>
    <t>LMP 25.0996</t>
  </si>
  <si>
    <t>LMP 25.0997</t>
  </si>
  <si>
    <t>LMP 25.0998</t>
  </si>
  <si>
    <t>LMP 25.0999</t>
  </si>
  <si>
    <t>LMP 25.1000</t>
  </si>
  <si>
    <t>LMP 24.0001X</t>
  </si>
  <si>
    <t>Bently do Brasil Ltda</t>
  </si>
  <si>
    <t>183337.1</t>
  </si>
  <si>
    <t>Acelerômetro</t>
  </si>
  <si>
    <t>AM3100T2-Z2</t>
  </si>
  <si>
    <t>Bently Nevada LLC</t>
  </si>
  <si>
    <t>DEKRA 17ATEX0019 X</t>
  </si>
  <si>
    <t>US</t>
  </si>
  <si>
    <t>Ok</t>
  </si>
  <si>
    <t>LMP 24.0002X</t>
  </si>
  <si>
    <t>183338.1</t>
  </si>
  <si>
    <t>LMP 24.0003X</t>
  </si>
  <si>
    <t>Crouse Hinds Comércio de Produtos Elétricos Ltda.</t>
  </si>
  <si>
    <t>183336.1</t>
  </si>
  <si>
    <t>Transmissor Analógico</t>
  </si>
  <si>
    <t>MTL831C</t>
  </si>
  <si>
    <t>Relcom Inc</t>
  </si>
  <si>
    <t>lECEx FMG 20.0038X</t>
  </si>
  <si>
    <t>LMP 24.0004X</t>
  </si>
  <si>
    <t>Maqshow Serviços, Comércio e Locação de Equipamentos Ltda.</t>
  </si>
  <si>
    <t>183303.1</t>
  </si>
  <si>
    <t>Luz Portátil LED</t>
  </si>
  <si>
    <t>GU-Z!-LED</t>
  </si>
  <si>
    <t>BME Nitech Ltd</t>
  </si>
  <si>
    <t>IECEx ITS 20.0008X</t>
  </si>
  <si>
    <t>LMP 24.0005</t>
  </si>
  <si>
    <t>Niveflow Instrumentação Ltda</t>
  </si>
  <si>
    <t>183345.1</t>
  </si>
  <si>
    <t>Chave de Nível Tipo Pá Rotativa</t>
  </si>
  <si>
    <t>KAX 1-8431-2</t>
  </si>
  <si>
    <t>CSAE 21UKEX9587</t>
  </si>
  <si>
    <t>LMP 24.0006X</t>
  </si>
  <si>
    <t>Dismeter Comercial Elétrica Ltda.</t>
  </si>
  <si>
    <t>183343.1</t>
  </si>
  <si>
    <t>Alarme sonoro/visual</t>
  </si>
  <si>
    <t>YL60B</t>
  </si>
  <si>
    <t>R. STAHL Schaltgeräte GmbH</t>
  </si>
  <si>
    <t>IECEx BAS 05.0086X</t>
  </si>
  <si>
    <t>LMP 24.0007X</t>
  </si>
  <si>
    <t>183344.1</t>
  </si>
  <si>
    <t>Unidade de alimentação de transdutor de vibração</t>
  </si>
  <si>
    <t>9147/20-99-10</t>
  </si>
  <si>
    <t>IECEx BVS 12.0001X</t>
  </si>
  <si>
    <t>LMP 24.0008</t>
  </si>
  <si>
    <t>183348.1</t>
  </si>
  <si>
    <t>Leitor de código de barras</t>
  </si>
  <si>
    <t>IDM-Z1-161-M-1D-J1-BT-N-N0</t>
  </si>
  <si>
    <t>LMP 24.0009X</t>
  </si>
  <si>
    <t>183348.2</t>
  </si>
  <si>
    <t>Conversor de temperatura (barreira)</t>
  </si>
  <si>
    <t>KFD0-TT-Ex1</t>
  </si>
  <si>
    <t>Pepperl+Fuchs Asia Pte. Ltd.</t>
  </si>
  <si>
    <t>TÜV 01 ATEX 1777 X</t>
  </si>
  <si>
    <t>LMP 24.0010</t>
  </si>
  <si>
    <t>183348.3</t>
  </si>
  <si>
    <t>Base carregadora para leitor de código de barras</t>
  </si>
  <si>
    <t>IDM-Z1-x64-B-J1-BT-N0</t>
  </si>
  <si>
    <t>LMP 24.0011</t>
  </si>
  <si>
    <t>183348.4</t>
  </si>
  <si>
    <t>Amplificador isolador (barreira)</t>
  </si>
  <si>
    <t>KFD2-SH-Ex1</t>
  </si>
  <si>
    <t>PTB 00 ATEX 2042</t>
  </si>
  <si>
    <t>LMP 24.0012</t>
  </si>
  <si>
    <t>183348.5</t>
  </si>
  <si>
    <t>Dispositivo de diagnóstico portátil</t>
  </si>
  <si>
    <t>FDH-1</t>
  </si>
  <si>
    <t>ZELM 14 ATEX 0531</t>
  </si>
  <si>
    <t>LMP 24.0013X</t>
  </si>
  <si>
    <t>183348.6</t>
  </si>
  <si>
    <t>Transmissor de sinal (barreira isoladora)</t>
  </si>
  <si>
    <t>HiC2027</t>
  </si>
  <si>
    <t>IECEx BAS 13.0042X</t>
  </si>
  <si>
    <t>LMP 24.0014</t>
  </si>
  <si>
    <t>183348.7</t>
  </si>
  <si>
    <t>KFD2-PT2-Ex1</t>
  </si>
  <si>
    <t>BAS00ATEX7171</t>
  </si>
  <si>
    <t>LMP 24.0016</t>
  </si>
  <si>
    <t>183348.8</t>
  </si>
  <si>
    <t>Ident-Ex 01</t>
  </si>
  <si>
    <t>ECOM Instruments GmbH</t>
  </si>
  <si>
    <t>IECEx EPS 20.0051</t>
  </si>
  <si>
    <t>LMP 24.0017X</t>
  </si>
  <si>
    <t>183348.9</t>
  </si>
  <si>
    <t>Ex-MP4 a</t>
  </si>
  <si>
    <t>LMP 24.0015</t>
  </si>
  <si>
    <t>183348.10</t>
  </si>
  <si>
    <t>Leitor de código de barras + base carregadora</t>
  </si>
  <si>
    <t xml:space="preserve">IDM-Z1-161-M-1D-J1-BT-N-N0 + IDM-Z1-x64-B-J1-BT-N0 </t>
  </si>
  <si>
    <t>LMP 24.0018X</t>
  </si>
  <si>
    <t>Viena Comércio e Acessórios Industriais Ltda.</t>
  </si>
  <si>
    <t>183349.1</t>
  </si>
  <si>
    <t>Fonte de Alimentação</t>
  </si>
  <si>
    <t>BXNE412002</t>
  </si>
  <si>
    <t>RÉGULATEURS GEORGIN</t>
  </si>
  <si>
    <t>IECEx LCI 09.0013X</t>
  </si>
  <si>
    <t>LMP 24.0019X</t>
  </si>
  <si>
    <t>Smart Supply Comércio e Serviços Ltda.</t>
  </si>
  <si>
    <t>183351.1</t>
  </si>
  <si>
    <t>Controlador de purga</t>
  </si>
  <si>
    <t>PST-12S1</t>
  </si>
  <si>
    <t>Purge Solutions, Inc.</t>
  </si>
  <si>
    <t>LMP 24.0020X</t>
  </si>
  <si>
    <t>Nivetec Instrumentação e Controle Ltda.</t>
  </si>
  <si>
    <t>183352.1</t>
  </si>
  <si>
    <t>Chave de Nível tipo Bóia</t>
  </si>
  <si>
    <t>MRA-407-7 / MRA-207-7</t>
  </si>
  <si>
    <t>LMP 24.0021X</t>
  </si>
  <si>
    <t>183353.1</t>
  </si>
  <si>
    <t>Receiver</t>
  </si>
  <si>
    <t>MTL838C</t>
  </si>
  <si>
    <t>IECEx FMG 20.0040X</t>
  </si>
  <si>
    <t>LMP 24.0022X</t>
  </si>
  <si>
    <t>SPTECH Comércio e Indústria de Equipamentos Ltda.</t>
  </si>
  <si>
    <t>183706.1</t>
  </si>
  <si>
    <t>Encoder absoluto (transdutor de rotação)</t>
  </si>
  <si>
    <t>AX71/1212EK.72DPB-F0</t>
  </si>
  <si>
    <t>LMP 24.0023X</t>
  </si>
  <si>
    <t>Sensycal Instrumentos e Sistemas Ltd</t>
  </si>
  <si>
    <t>183715.1</t>
  </si>
  <si>
    <t>Calibrador portátil de pressão</t>
  </si>
  <si>
    <t>DPI 610E IS</t>
  </si>
  <si>
    <t>SGS21ATEX0009X</t>
  </si>
  <si>
    <t>LMP 24.0024X</t>
  </si>
  <si>
    <t>Bahia Control Comércio Representações e Serviços Ltda</t>
  </si>
  <si>
    <t>183357.1</t>
  </si>
  <si>
    <t xml:space="preserve">Analisador de gases para medições de enxofre </t>
  </si>
  <si>
    <t>Ametek Process Instruments</t>
  </si>
  <si>
    <t>ITRAC14ATEX0050X</t>
  </si>
  <si>
    <t>LMP 24.0025X</t>
  </si>
  <si>
    <t>FT Automação Industrial Ltda.</t>
  </si>
  <si>
    <t>183358.1</t>
  </si>
  <si>
    <t>Sistema de Pressurização</t>
  </si>
  <si>
    <t>SmartPurge SP2</t>
  </si>
  <si>
    <t>Expo Technologies Ltd</t>
  </si>
  <si>
    <t>IECEx FME 11.0006X</t>
  </si>
  <si>
    <t>LMP 24.0026X</t>
  </si>
  <si>
    <t>183361.1</t>
  </si>
  <si>
    <t>Invólucro com sensor de proximidade</t>
  </si>
  <si>
    <t>175751-01-00-00-00</t>
  </si>
  <si>
    <t>IECEx UL 21.0088X</t>
  </si>
  <si>
    <t>LMP 24.0027X</t>
  </si>
  <si>
    <t>Willy Instrumentos de Medição e Controle Ltda.</t>
  </si>
  <si>
    <t>183369.1</t>
  </si>
  <si>
    <t>B724S XCNFSJLYW</t>
  </si>
  <si>
    <t>SIRA 02ATEX1391X</t>
  </si>
  <si>
    <t>LMP 24.0028X</t>
  </si>
  <si>
    <t>182971.1</t>
  </si>
  <si>
    <t>Sensor de Condutividade</t>
  </si>
  <si>
    <t>SC4A</t>
  </si>
  <si>
    <t>Yokogawa Process Analyzers Europe B.V.</t>
  </si>
  <si>
    <t>IECEx DEK 14.0032X</t>
  </si>
  <si>
    <t>LMP 24.0029X</t>
  </si>
  <si>
    <t>RP Supply Máquina, Equipamentos e Comércio Ltda.</t>
  </si>
  <si>
    <t>183717.1</t>
  </si>
  <si>
    <t>3301H2S1V4AM0060AAE2M1P1Q4Q8</t>
  </si>
  <si>
    <t>Rosemount Inc.</t>
  </si>
  <si>
    <t>BAS02ATEX1163X</t>
  </si>
  <si>
    <t>LMP 24.0059X</t>
  </si>
  <si>
    <t>183376.1</t>
  </si>
  <si>
    <t>Analisador de gases</t>
  </si>
  <si>
    <t>5100 HD</t>
  </si>
  <si>
    <t>IECEx DNV 11.0004X</t>
  </si>
  <si>
    <t>LMP 24.0031</t>
  </si>
  <si>
    <t>Copaza Indústria e Comércio de Máquinas Ltda.</t>
  </si>
  <si>
    <t>Exaustor</t>
  </si>
  <si>
    <t>MAK M56-4</t>
  </si>
  <si>
    <t>Euromotori</t>
  </si>
  <si>
    <t>CESI 06 ATEX 059</t>
  </si>
  <si>
    <t>LMP 24.0032X</t>
  </si>
  <si>
    <t>Termolab Central Analítica de Laboratórios Ltda.</t>
  </si>
  <si>
    <t>183378.1</t>
  </si>
  <si>
    <t>P700-EX</t>
  </si>
  <si>
    <t>Dostmann electronic GmbH</t>
  </si>
  <si>
    <t>TÜV 13 ATEX 117115 X</t>
  </si>
  <si>
    <t>LMP 24.0033X</t>
  </si>
  <si>
    <t>WIKA DO BRASIL Indústria e Comércio Ltda.</t>
  </si>
  <si>
    <t>183382.1</t>
  </si>
  <si>
    <t>Chave Magnética de Nível</t>
  </si>
  <si>
    <t>BGU-V-Exd-10PVC</t>
  </si>
  <si>
    <t>IBExU19ATEX1075X</t>
  </si>
  <si>
    <t>LMP 24.0034X</t>
  </si>
  <si>
    <t>SLC Ferreira Importação</t>
  </si>
  <si>
    <t>183381.1</t>
  </si>
  <si>
    <t xml:space="preserve">Transmissor de temperatura </t>
  </si>
  <si>
    <t>TTF300-E3C2H + TTH200-Y0</t>
  </si>
  <si>
    <t>ABB AG</t>
  </si>
  <si>
    <t>PTB 99 ATEX 1144 X</t>
  </si>
  <si>
    <t>LMP 24.0035X</t>
  </si>
  <si>
    <t>183384.1</t>
  </si>
  <si>
    <t>PXA</t>
  </si>
  <si>
    <t>WIKA Alexander Wiegand SE &amp; Co. KG</t>
  </si>
  <si>
    <t>IECEx PRE 16.0073X</t>
  </si>
  <si>
    <t>LMP 24.0036X</t>
  </si>
  <si>
    <t>Wika do Brasil Indústria e Comércio Ltda</t>
  </si>
  <si>
    <t>183385.1</t>
  </si>
  <si>
    <t>Transmissor de Pressão</t>
  </si>
  <si>
    <t>E-10-A-BBS-GD-ZGDXN8-ZZ</t>
  </si>
  <si>
    <t>IECEx DEK 15.0048X</t>
  </si>
  <si>
    <t>LMP 24.0037X</t>
  </si>
  <si>
    <t>183393.1</t>
  </si>
  <si>
    <t>ALSD-400 (MB701-SOV524VCC)</t>
  </si>
  <si>
    <t>LMP 24.0038X</t>
  </si>
  <si>
    <t>183394.1</t>
  </si>
  <si>
    <t>Transmissor de temperatura</t>
  </si>
  <si>
    <t>TTR200-E1</t>
  </si>
  <si>
    <t>PTB 05 ATEX 2017 X</t>
  </si>
  <si>
    <t>LMP 24.0039X</t>
  </si>
  <si>
    <t>CMS Científica do Brasil Ltda</t>
  </si>
  <si>
    <t>183395.1</t>
  </si>
  <si>
    <t>Sensor de pH</t>
  </si>
  <si>
    <t>InPro InPro4801/SG/120/PT1000</t>
  </si>
  <si>
    <t>Mettler-Toledo GmbH</t>
  </si>
  <si>
    <t>IECEx SEV 14.0025X</t>
  </si>
  <si>
    <t>LMP 24.0040</t>
  </si>
  <si>
    <t>183391.1</t>
  </si>
  <si>
    <t>Higrômetro Portátil</t>
  </si>
  <si>
    <t>PM880</t>
  </si>
  <si>
    <t>Baseefa02ATEX0191</t>
  </si>
  <si>
    <t>LMP 24.0041X</t>
  </si>
  <si>
    <t>Macaetec Instrumentos de Medição Ltda</t>
  </si>
  <si>
    <t>183387.1</t>
  </si>
  <si>
    <t xml:space="preserve">Calibrador de pressão </t>
  </si>
  <si>
    <t>700G05, 700G10, 700G30, 700G31</t>
  </si>
  <si>
    <t>Anhui Shifu Instruments Co Ltd</t>
  </si>
  <si>
    <t>LMP 24.0042X</t>
  </si>
  <si>
    <t>Fluke do Brasil Ltda.</t>
  </si>
  <si>
    <t>183386.1</t>
  </si>
  <si>
    <t>700G30, 700G31</t>
  </si>
  <si>
    <t>LMP 24.0043</t>
  </si>
  <si>
    <t>183388.1</t>
  </si>
  <si>
    <t>Calibrador de processo multifunção</t>
  </si>
  <si>
    <t>725Ex</t>
  </si>
  <si>
    <t>CSA 044340</t>
  </si>
  <si>
    <t>LMP 24.0044X</t>
  </si>
  <si>
    <t>CF Comércio e Sistemas Contra Incêndio Ltda.</t>
  </si>
  <si>
    <t>183371.1</t>
  </si>
  <si>
    <t>Detector de chama UV/IR</t>
  </si>
  <si>
    <t>RFD-2000X</t>
  </si>
  <si>
    <t>Rezontech Co., Ltd</t>
  </si>
  <si>
    <t>FM12ATEX0091X</t>
  </si>
  <si>
    <t>LMP 24.0045</t>
  </si>
  <si>
    <t>Engezer Produtos e Serviços Ltda</t>
  </si>
  <si>
    <t>183313.1</t>
  </si>
  <si>
    <t>Ar-condicionado</t>
  </si>
  <si>
    <t>SH24N30A-B</t>
  </si>
  <si>
    <t>Friedrich Air Conditioning Co.</t>
  </si>
  <si>
    <t>E58686</t>
  </si>
  <si>
    <t>LMP 24.0046X</t>
  </si>
  <si>
    <t>183399.1</t>
  </si>
  <si>
    <t>Fonte de alimentação</t>
  </si>
  <si>
    <t>CPS20.241</t>
  </si>
  <si>
    <t>PULS Electronics (Suzhou C) Co., Ltd</t>
  </si>
  <si>
    <t>IECEx EPS 13.0016X</t>
  </si>
  <si>
    <t>LMP 24.0047</t>
  </si>
  <si>
    <t>183400.1</t>
  </si>
  <si>
    <t>SH20M30B-B</t>
  </si>
  <si>
    <t>LMP 24.0048X</t>
  </si>
  <si>
    <t>183403.1</t>
  </si>
  <si>
    <t>Sensor de vibração</t>
  </si>
  <si>
    <t>Bently Nevada Inc.</t>
  </si>
  <si>
    <t>IECEx CSA 19.0010X</t>
  </si>
  <si>
    <t>LMP 24.0049X</t>
  </si>
  <si>
    <t>Aselco Industria, Comercio, Importação e Exportação de Instrumentação Ltda</t>
  </si>
  <si>
    <t>183406.1</t>
  </si>
  <si>
    <t>Analisador de gás a laser</t>
  </si>
  <si>
    <t>GasTDL-3100 DC24V</t>
  </si>
  <si>
    <t>Hubei Cubic-Ruiyi Instrument Co.,Ltd.</t>
  </si>
  <si>
    <t>CNEx21.1174X</t>
  </si>
  <si>
    <t>LMP 24.0050X</t>
  </si>
  <si>
    <t>183407.1</t>
  </si>
  <si>
    <t>Transmissor multicanal de condutividade/pH/ORP/ISE</t>
  </si>
  <si>
    <t>1056-01-20-32-NA</t>
  </si>
  <si>
    <t>Emerson / Rosemount Inc.</t>
  </si>
  <si>
    <t>FM16US0180X</t>
  </si>
  <si>
    <t>LMP 24.0051</t>
  </si>
  <si>
    <t>Steute do Brasil Equipamentos Eletro-Eletrônicos Ltda.</t>
  </si>
  <si>
    <t>183410.1</t>
  </si>
  <si>
    <t>LMP 24.0052X</t>
  </si>
  <si>
    <t>183411.1</t>
  </si>
  <si>
    <t>Transmissor/display de corrente de loop</t>
  </si>
  <si>
    <t>Unicont PDF-401-8Ex</t>
  </si>
  <si>
    <t>BKI15ATEX0013 X</t>
  </si>
  <si>
    <t>LMP 24.0053X</t>
  </si>
  <si>
    <t>GLM Comércio e Serviço de Representação Ltda.</t>
  </si>
  <si>
    <t>183413.1</t>
  </si>
  <si>
    <t>Aquecedor</t>
  </si>
  <si>
    <t>CP VariTherm DPA 300 T3 60 TS10</t>
  </si>
  <si>
    <t>Intertec-Hess Gmb</t>
  </si>
  <si>
    <t>IECEx PTB 07.0052X</t>
  </si>
  <si>
    <t>LMP 24.0054X</t>
  </si>
  <si>
    <t>183414.1</t>
  </si>
  <si>
    <t>E-10-A-BCL-NB-ZGDXLA-ZZ</t>
  </si>
  <si>
    <t>WIKA Alexander Wiegand SE &amp; Co. K</t>
  </si>
  <si>
    <t>LMP 24.0055X</t>
  </si>
  <si>
    <t>Cameron Tecnologia de Controle de Fluxo Ltda.</t>
  </si>
  <si>
    <t>183415.1</t>
  </si>
  <si>
    <t>AMETEK Magnetrol USA, LLC</t>
  </si>
  <si>
    <t>LMP 24.0056</t>
  </si>
  <si>
    <t>Segurpro</t>
  </si>
  <si>
    <t>183417.1</t>
  </si>
  <si>
    <t>Sinaleira e alarme auxiliar para telefone</t>
  </si>
  <si>
    <t>TWIN-EEXII tipo 5842/1 (FHF11883314)</t>
  </si>
  <si>
    <t>FHF Funke + Huster Fernsig GmbH</t>
  </si>
  <si>
    <t>IECEx PTB 13.0048</t>
  </si>
  <si>
    <t>LMP 24.0057X</t>
  </si>
  <si>
    <t>183421</t>
  </si>
  <si>
    <t>Interruptor</t>
  </si>
  <si>
    <t>IECEx EXA 16.0005X</t>
  </si>
  <si>
    <t>LMP 24.0058X</t>
  </si>
  <si>
    <t>Digitrol Indústria e Comércio Ltda.</t>
  </si>
  <si>
    <t>183412.1</t>
  </si>
  <si>
    <t>TF-16-EX, EN-D</t>
  </si>
  <si>
    <t>optek-Danulat GmbH</t>
  </si>
  <si>
    <t>IECEx BVS 12.0045X</t>
  </si>
  <si>
    <t>LMP 24.0030</t>
  </si>
  <si>
    <t>183425.1</t>
  </si>
  <si>
    <t xml:space="preserve">Analisador de umidade </t>
  </si>
  <si>
    <t>3050-RM</t>
  </si>
  <si>
    <t>E112070</t>
  </si>
  <si>
    <t>LMP 24.0060X</t>
  </si>
  <si>
    <t>183423.1</t>
  </si>
  <si>
    <t>350900-158</t>
  </si>
  <si>
    <t>LMP 24.0061X</t>
  </si>
  <si>
    <t>183424.1</t>
  </si>
  <si>
    <t>LMP 24.0062X</t>
  </si>
  <si>
    <t>183427.1</t>
  </si>
  <si>
    <t>LMP 24.0063X</t>
  </si>
  <si>
    <t>183426.1</t>
  </si>
  <si>
    <t>Termostato</t>
  </si>
  <si>
    <t>TS10</t>
  </si>
  <si>
    <t>PTB 03 ATEX 2027 X</t>
  </si>
  <si>
    <t>LMP 24.0064</t>
  </si>
  <si>
    <t>183435.1</t>
  </si>
  <si>
    <t>365A-A2E</t>
  </si>
  <si>
    <t>Robertshaw - Schneider Electric Systems, USA</t>
  </si>
  <si>
    <t>LMP 24.0065</t>
  </si>
  <si>
    <t>183436.1</t>
  </si>
  <si>
    <t>Analisador de pH/ORP/Cloro</t>
  </si>
  <si>
    <t>56-03-24-32-HT</t>
  </si>
  <si>
    <t>LMP 24.0066X</t>
  </si>
  <si>
    <t>Incal Comércio, Importação e Exportação de Instrumentos Ltda.</t>
  </si>
  <si>
    <t>183434.1</t>
  </si>
  <si>
    <t>Additel685Ex</t>
  </si>
  <si>
    <t>Additel Corporation</t>
  </si>
  <si>
    <t>IECEx SIR 21.0024X</t>
  </si>
  <si>
    <t>LMP 24.0067X</t>
  </si>
  <si>
    <t>183433.1</t>
  </si>
  <si>
    <t>Calibrador e registrador de processo multifunções</t>
  </si>
  <si>
    <t>Additel226Ex</t>
  </si>
  <si>
    <t>IECEx TUR 20.0010X</t>
  </si>
  <si>
    <t>LMP 24.0068X</t>
  </si>
  <si>
    <t>Luftkorps Tecnologia e Bens Industriais Ltda.</t>
  </si>
  <si>
    <t>183448.1</t>
  </si>
  <si>
    <t>Transdutor de pressão</t>
  </si>
  <si>
    <t>Sitrans P DS III 7MF4433-1EA23-1DC7-Z A02+C11+C12+C14+E26</t>
  </si>
  <si>
    <t>Siemens Sensors &amp; Communication Ltd.</t>
  </si>
  <si>
    <t>GYJ18.1245X</t>
  </si>
  <si>
    <t>LMP 24.0069X</t>
  </si>
  <si>
    <t>183440.1</t>
  </si>
  <si>
    <t>Ventilador</t>
  </si>
  <si>
    <t>CMVeco 250/250</t>
  </si>
  <si>
    <t>Colasit AG</t>
  </si>
  <si>
    <t>Baseefa15ATEX0237X</t>
  </si>
  <si>
    <t>LMP 24.0070X</t>
  </si>
  <si>
    <t>183444.1</t>
  </si>
  <si>
    <t>Transdutor de vibração</t>
  </si>
  <si>
    <t>LMP 24.0071X</t>
  </si>
  <si>
    <t>183445.1</t>
  </si>
  <si>
    <t>Chave fim de curso</t>
  </si>
  <si>
    <t>SLP5130-AL</t>
  </si>
  <si>
    <t>QLight Co., Ltd.</t>
  </si>
  <si>
    <t>IECEx EPS 15.0030X</t>
  </si>
  <si>
    <t>LMP 24.0072</t>
  </si>
  <si>
    <t>183446.1</t>
  </si>
  <si>
    <t>LMP 24.0073</t>
  </si>
  <si>
    <t>183653.1</t>
  </si>
  <si>
    <t>LMP 24.0074</t>
  </si>
  <si>
    <t>183449.1</t>
  </si>
  <si>
    <t>KAX (1-8411-2X)</t>
  </si>
  <si>
    <t>LMP 24.0075</t>
  </si>
  <si>
    <t>Vibropac Indústria e Comércio de Equipamentos Ltda</t>
  </si>
  <si>
    <t>183458.1</t>
  </si>
  <si>
    <t>Motor elétrico monofásico</t>
  </si>
  <si>
    <t>SCSE (56C17G5322L)</t>
  </si>
  <si>
    <t>Regal Rexnord Corporation (Marathon Motors)</t>
  </si>
  <si>
    <t>47504 (CSA)</t>
  </si>
  <si>
    <t>LMP 24.0076X</t>
  </si>
  <si>
    <t>183452.1</t>
  </si>
  <si>
    <t>TTH300-E1H</t>
  </si>
  <si>
    <t>PTB 20 ATEX 2008 X</t>
  </si>
  <si>
    <t>LMP 24.0077</t>
  </si>
  <si>
    <t>Agau Equipamentos de Medição Ltda.</t>
  </si>
  <si>
    <t>183455.1</t>
  </si>
  <si>
    <t>LMP 24.0078X</t>
  </si>
  <si>
    <t>Analyser Comércio e Indústria Ltda.</t>
  </si>
  <si>
    <t>183460.1</t>
  </si>
  <si>
    <t>OxyTrend-X</t>
  </si>
  <si>
    <t>ADEV S.r.l.</t>
  </si>
  <si>
    <t>CESI 20ATEX010X</t>
  </si>
  <si>
    <t>LMP 24.0079X</t>
  </si>
  <si>
    <t>183453.1</t>
  </si>
  <si>
    <t>ALS-400 (MB701EXD)</t>
  </si>
  <si>
    <t>LMP 24.0080X</t>
  </si>
  <si>
    <t>183465.1</t>
  </si>
  <si>
    <t>Grampo de Aterramento com Cabo Retrátil</t>
  </si>
  <si>
    <t>70BGS04
601KR/AW20030BX</t>
  </si>
  <si>
    <t>LMP 24.0081X</t>
  </si>
  <si>
    <t>Secur-Comercial Importadora e Exportadora Ltda.</t>
  </si>
  <si>
    <t>183462.1</t>
  </si>
  <si>
    <t>Válvula Solenoide</t>
  </si>
  <si>
    <t>30201LC-1.2-2R-B5-S2</t>
  </si>
  <si>
    <t>Rotex Automation Limited</t>
  </si>
  <si>
    <t>TI22ATEX278X</t>
  </si>
  <si>
    <t>LMP 24.0082</t>
  </si>
  <si>
    <t>183467.1</t>
  </si>
  <si>
    <t>30 2089 SD 02L 1000#</t>
  </si>
  <si>
    <t>CSA</t>
  </si>
  <si>
    <t>LMP 24.0083X</t>
  </si>
  <si>
    <t>183469.1</t>
  </si>
  <si>
    <t>Carretel de Cabo</t>
  </si>
  <si>
    <t>Gifas-Electric GmbH</t>
  </si>
  <si>
    <t>IECEx SEV 23.0015X</t>
  </si>
  <si>
    <t>LMP 24.0084</t>
  </si>
  <si>
    <t>183476.1</t>
  </si>
  <si>
    <t>Analisador de oxigênio</t>
  </si>
  <si>
    <t>GPR-25 XP</t>
  </si>
  <si>
    <t>AII Analytical Industries Inc</t>
  </si>
  <si>
    <t>2Y4A1.AE</t>
  </si>
  <si>
    <t>LMP 24.0085</t>
  </si>
  <si>
    <t>183480.1</t>
  </si>
  <si>
    <t>Analisador de gás tóxico</t>
  </si>
  <si>
    <t>GTD-2000Tx</t>
  </si>
  <si>
    <t>Gastron Co., Limited</t>
  </si>
  <si>
    <t>IECEx SIR 08.0003</t>
  </si>
  <si>
    <t>LMP 24.0086</t>
  </si>
  <si>
    <t>183481.1</t>
  </si>
  <si>
    <t>Analisador de gás combustível</t>
  </si>
  <si>
    <t>GTD-2000Ex</t>
  </si>
  <si>
    <t>LMP 24.0087</t>
  </si>
  <si>
    <t>183491.1</t>
  </si>
  <si>
    <t>Bomba dosadora</t>
  </si>
  <si>
    <t>E-752 (E702-498SP)</t>
  </si>
  <si>
    <t>Milton Roy Company</t>
  </si>
  <si>
    <t>E126340</t>
  </si>
  <si>
    <t>LMP 24.0088X</t>
  </si>
  <si>
    <t>183365.1</t>
  </si>
  <si>
    <t>Lâmpada Indicativa para Painel de Montagem</t>
  </si>
  <si>
    <t>8013/311</t>
  </si>
  <si>
    <t>IECEx PTB 07.0010X</t>
  </si>
  <si>
    <t>LMP 24.0089</t>
  </si>
  <si>
    <t>183637.1</t>
  </si>
  <si>
    <t>Detector de PIG</t>
  </si>
  <si>
    <t>DSES</t>
  </si>
  <si>
    <t>ESP Safety, Inc</t>
  </si>
  <si>
    <t>Nemko 18ATEX1215</t>
  </si>
  <si>
    <t>LMP 24.0090X</t>
  </si>
  <si>
    <t>183954.1</t>
  </si>
  <si>
    <t>Sensor magnético</t>
  </si>
  <si>
    <t>RC10-14-N0 e RC15-14-N3</t>
  </si>
  <si>
    <t>PTB 99 ATEX 2128 X</t>
  </si>
  <si>
    <t>LMP 24.0091</t>
  </si>
  <si>
    <t>184052.1</t>
  </si>
  <si>
    <t>365A-A0</t>
  </si>
  <si>
    <t>Robertshaw - Schneider Electric Systems, U</t>
  </si>
  <si>
    <t>LMP 24.0092</t>
  </si>
  <si>
    <t>184055.1</t>
  </si>
  <si>
    <t>Dispositivo de sinal sonoro</t>
  </si>
  <si>
    <t>UTM</t>
  </si>
  <si>
    <t>Federal Signal Corporation</t>
  </si>
  <si>
    <t>E12629</t>
  </si>
  <si>
    <t>LMP 24.0093X</t>
  </si>
  <si>
    <t>184076.1</t>
  </si>
  <si>
    <t xml:space="preserve">Sensor indutivo </t>
  </si>
  <si>
    <t>RC15-14-N0 e RC15-14-N3-Y</t>
  </si>
  <si>
    <t>LMP 24.0094</t>
  </si>
  <si>
    <t>184076.2</t>
  </si>
  <si>
    <t xml:space="preserve">Sensor magnético </t>
  </si>
  <si>
    <t>MB35-F12-1N e MMB70-12GH50-1N-V1</t>
  </si>
  <si>
    <t>IECEx TUN 20.0007</t>
  </si>
  <si>
    <t>LMP 24.0095X</t>
  </si>
  <si>
    <t>184067.1</t>
  </si>
  <si>
    <t>LMP 24.0096X</t>
  </si>
  <si>
    <t>184068.1</t>
  </si>
  <si>
    <t xml:space="preserve">Registrador de Pressão de </t>
  </si>
  <si>
    <t>Referência nVision</t>
  </si>
  <si>
    <t xml:space="preserve">Crystal Engineering Corp. </t>
  </si>
  <si>
    <t xml:space="preserve">IECEx SIR 09.0053X </t>
  </si>
  <si>
    <t>LMP 24.0097X</t>
  </si>
  <si>
    <t>184069.1</t>
  </si>
  <si>
    <t>LMP 24.0098</t>
  </si>
  <si>
    <t>184081.1</t>
  </si>
  <si>
    <t xml:space="preserve">Sensor de vibração </t>
  </si>
  <si>
    <t>EX686B71</t>
  </si>
  <si>
    <t xml:space="preserve">PCB Piezotronics, Inc. </t>
  </si>
  <si>
    <t>LMP 24.0099X</t>
  </si>
  <si>
    <t>184098.1</t>
  </si>
  <si>
    <t>LMP 24.0100X</t>
  </si>
  <si>
    <t>184099.1</t>
  </si>
  <si>
    <t>LMP 24.0101X</t>
  </si>
  <si>
    <t>184110.1</t>
  </si>
  <si>
    <t xml:space="preserve">Transmissor de pressão Sitrans P DS III </t>
  </si>
  <si>
    <t>(7MF4233-1GA00-2PC6-Z A02+C11+C12+D61+E28)</t>
  </si>
  <si>
    <t>Siemens S.A.S</t>
  </si>
  <si>
    <t>RU C-DE.BH02.B.00331/20</t>
  </si>
  <si>
    <t>LMP 24.0102</t>
  </si>
  <si>
    <t>Instrukon</t>
  </si>
  <si>
    <t>184201.1</t>
  </si>
  <si>
    <t>LMP 24.0103X</t>
  </si>
  <si>
    <t>Pensalab Equipamentos Industriais S.A.</t>
  </si>
  <si>
    <t>184194.1</t>
  </si>
  <si>
    <t>LMP 24.0104</t>
  </si>
  <si>
    <t>184162.1</t>
  </si>
  <si>
    <t xml:space="preserve">Dispositivo de controle e sinal </t>
  </si>
  <si>
    <t>8040/12</t>
  </si>
  <si>
    <t>IECEx PTB 06.0025</t>
  </si>
  <si>
    <t>LMP 24.0105X</t>
  </si>
  <si>
    <t>Ceraterm Comércio de Equipamentos e Serviços Ltd</t>
  </si>
  <si>
    <t>181825.255</t>
  </si>
  <si>
    <t>706-512A-A21 / 7CT-4300-A10-20-1</t>
  </si>
  <si>
    <t>FM14ATEX0041X</t>
  </si>
  <si>
    <t>LMP 24.0106X</t>
  </si>
  <si>
    <t>181825.256</t>
  </si>
  <si>
    <t>JM4-511A-B10 / 2C1-11AF-N01-AB-300</t>
  </si>
  <si>
    <t>LMP 24.0107X</t>
  </si>
  <si>
    <t>181825.257</t>
  </si>
  <si>
    <t>B15-2E2P-BD9</t>
  </si>
  <si>
    <t>IECEx FMG 21.0032X</t>
  </si>
  <si>
    <t>LMP 24.0108X</t>
  </si>
  <si>
    <t>181825.258</t>
  </si>
  <si>
    <t>R86-511A-B10 / RB1-4300-A00-20-000</t>
  </si>
  <si>
    <t>FM17ATEX0027X</t>
  </si>
  <si>
    <t>LMP 24.0109X</t>
  </si>
  <si>
    <t>181825.259</t>
  </si>
  <si>
    <t>706-512A-B10 / 7CT-5300-A10-20-122</t>
  </si>
  <si>
    <t>LMP 24.0110X</t>
  </si>
  <si>
    <t>181825.260</t>
  </si>
  <si>
    <t>XE3A-AG4A-S1E</t>
  </si>
  <si>
    <t>FM19ATEX0208X</t>
  </si>
  <si>
    <t>LMP 24.0111X</t>
  </si>
  <si>
    <t>181825.261</t>
  </si>
  <si>
    <t>XE3A-AG4A-S1</t>
  </si>
  <si>
    <t>LMP 24.0112X</t>
  </si>
  <si>
    <t>181825.263</t>
  </si>
  <si>
    <t>R82-526A-041</t>
  </si>
  <si>
    <t>FM Approvals (online)</t>
  </si>
  <si>
    <t>LMP 24.0113</t>
  </si>
  <si>
    <t>181825.262</t>
  </si>
  <si>
    <t>A15-1H3P-CKS</t>
  </si>
  <si>
    <t>0J2A9.AF</t>
  </si>
  <si>
    <t>LMP 24.0114X</t>
  </si>
  <si>
    <t>181825.264</t>
  </si>
  <si>
    <t>700-512A-A50 / 7D1-4100-A00-31-007 e 700-512A-A50 / 7D1-4100-A00-31-009</t>
  </si>
  <si>
    <t>FM19ATEX0197X</t>
  </si>
  <si>
    <t>LMP 24.0115X</t>
  </si>
  <si>
    <t>181825.265</t>
  </si>
  <si>
    <t>RNL2-0100-DB1F</t>
  </si>
  <si>
    <t>IECEx FTZU 18.0007X</t>
  </si>
  <si>
    <t>LMP 24.0116X</t>
  </si>
  <si>
    <t>181825.266</t>
  </si>
  <si>
    <t>LMP 24.0117</t>
  </si>
  <si>
    <t>181825.267</t>
  </si>
  <si>
    <t>A15-1G3T-HM4</t>
  </si>
  <si>
    <t>LMP 24.0118X</t>
  </si>
  <si>
    <t>181825.268</t>
  </si>
  <si>
    <t>A15-1H3B-HA9</t>
  </si>
  <si>
    <t>LMP 24.0119X</t>
  </si>
  <si>
    <t>181825.269</t>
  </si>
  <si>
    <t>R80-511A-310 / RC1-3100-A00-00-000</t>
  </si>
  <si>
    <t>FM21US0091X</t>
  </si>
  <si>
    <t>LMP 24.0120X</t>
  </si>
  <si>
    <t>181825.270</t>
  </si>
  <si>
    <t>R82-5B6A-041</t>
  </si>
  <si>
    <t>LMP 24.0121</t>
  </si>
  <si>
    <t>181825.271</t>
  </si>
  <si>
    <t>F10-4D24-BKB</t>
  </si>
  <si>
    <t>LMP 24.0122X</t>
  </si>
  <si>
    <t>181825.272</t>
  </si>
  <si>
    <t>LMP 24.0123X</t>
  </si>
  <si>
    <t>181825.273</t>
  </si>
  <si>
    <t>706-520A-BA0</t>
  </si>
  <si>
    <t>18/03/204</t>
  </si>
  <si>
    <t>LMP 24.0124X</t>
  </si>
  <si>
    <t>181825.274</t>
  </si>
  <si>
    <t>T62-1H3F-BAC</t>
  </si>
  <si>
    <t>LMP 24.0125</t>
  </si>
  <si>
    <t>181825.275</t>
  </si>
  <si>
    <t>Transmissor de vazão termal</t>
  </si>
  <si>
    <t>TA2-A1B0-930 / TMR-A03A-025</t>
  </si>
  <si>
    <t>LMP 24.0126</t>
  </si>
  <si>
    <t>181825.276</t>
  </si>
  <si>
    <t>A15-1H4B-HB9</t>
  </si>
  <si>
    <t>LMP 24.0127X</t>
  </si>
  <si>
    <t>181825.277</t>
  </si>
  <si>
    <t>TA2-A4B0-930 / TMR-A11A-012 e TA2-A4B0-130 / TMR-A11A-020</t>
  </si>
  <si>
    <t>LMP 24.0128X</t>
  </si>
  <si>
    <t>181825.278</t>
  </si>
  <si>
    <t>706-512A-A10 / 7CT-1100-A10-20-152</t>
  </si>
  <si>
    <t>LMP 24.0129X</t>
  </si>
  <si>
    <t>181825.279</t>
  </si>
  <si>
    <t>TA2-A1B0-930 / TER-A03A-080</t>
  </si>
  <si>
    <t>LMP 24.0130X</t>
  </si>
  <si>
    <t>181825.280</t>
  </si>
  <si>
    <t>TA2-A1B0-930 / TMR-A11A-015</t>
  </si>
  <si>
    <t>LMP 24.0131X</t>
  </si>
  <si>
    <t>181825.281</t>
  </si>
  <si>
    <t>TA2-A1B0-130 / TMR-A03A-016 e TA2-A1B0-130 / TMR-A03A-055</t>
  </si>
  <si>
    <t>LMP 24.0132X</t>
  </si>
  <si>
    <t>181825.282</t>
  </si>
  <si>
    <t>A15-1H3B-BKS</t>
  </si>
  <si>
    <t>LMP 24.0133X</t>
  </si>
  <si>
    <t>181825.283</t>
  </si>
  <si>
    <t>706-512A-A10 / 7C1-4100-A00-31-002 e 706-512A-A10 / 7CT-1100-A10-20-160</t>
  </si>
  <si>
    <t>LMP 24.0134X</t>
  </si>
  <si>
    <t>181825.284</t>
  </si>
  <si>
    <t>706-512A-B10 / 7CT-4100-A10-00-065</t>
  </si>
  <si>
    <t>LMP 24.0135X</t>
  </si>
  <si>
    <t>181825.285</t>
  </si>
  <si>
    <t>XB40-5C20-RC9</t>
  </si>
  <si>
    <t>LMP 24.0136X</t>
  </si>
  <si>
    <t>181825.286</t>
  </si>
  <si>
    <t>TA2-A1B0-130 / TMR-A04A-136</t>
  </si>
  <si>
    <t>LMP 24.0137X</t>
  </si>
  <si>
    <t>181825.287</t>
  </si>
  <si>
    <t>XC29-2P30-BC9</t>
  </si>
  <si>
    <t>LMP 24.0138</t>
  </si>
  <si>
    <t>181825.288</t>
  </si>
  <si>
    <t>XC75-1S30-BKJ</t>
  </si>
  <si>
    <t>LMP 24.0139X</t>
  </si>
  <si>
    <t>181825.289</t>
  </si>
  <si>
    <t>TA2-A4B0-B30 / TFT-A11A-000</t>
  </si>
  <si>
    <t>LMP 24.0140X</t>
  </si>
  <si>
    <t>181828.290</t>
  </si>
  <si>
    <t>C29-1T30-HA9</t>
  </si>
  <si>
    <t>LMP 24.0141X</t>
  </si>
  <si>
    <t>181825.291</t>
  </si>
  <si>
    <t>805-511A-A20</t>
  </si>
  <si>
    <t>KEMA 98ATEX4467 X</t>
  </si>
  <si>
    <t>LMP 24.0142X</t>
  </si>
  <si>
    <t>181825.292</t>
  </si>
  <si>
    <t>XC29-1T30-HM4</t>
  </si>
  <si>
    <t>LMP 24.0143X</t>
  </si>
  <si>
    <t>181825.293</t>
  </si>
  <si>
    <t>XE4M-51C1-0B0-53-ORC</t>
  </si>
  <si>
    <t>LMP 24.0144X</t>
  </si>
  <si>
    <t>181825.294</t>
  </si>
  <si>
    <t>XE4M-51C1-0A0-53-NAB</t>
  </si>
  <si>
    <t>LMP 24.0145X</t>
  </si>
  <si>
    <t>181825.295</t>
  </si>
  <si>
    <t>XE4M-51C1-0A9-57-NAA</t>
  </si>
  <si>
    <t>LMP 24.0146X</t>
  </si>
  <si>
    <t>181825.296</t>
  </si>
  <si>
    <t>XE4M-51C3-0A9-57-NAA</t>
  </si>
  <si>
    <t>LMP 24.0147X</t>
  </si>
  <si>
    <t>181825.297</t>
  </si>
  <si>
    <t>E4M-51C3-0A1-54-ORA</t>
  </si>
  <si>
    <t>LMP 24.0148</t>
  </si>
  <si>
    <t>181825.298</t>
  </si>
  <si>
    <t>Medidor portátil de densidade</t>
  </si>
  <si>
    <t>DH-60</t>
  </si>
  <si>
    <t>Joyo M&amp;C Technology Co., Ltd</t>
  </si>
  <si>
    <t>CCRI 22.2081</t>
  </si>
  <si>
    <t>LMP 24.0149X</t>
  </si>
  <si>
    <t>181825.299</t>
  </si>
  <si>
    <t>LMP 24.0150X</t>
  </si>
  <si>
    <t>181825.300</t>
  </si>
  <si>
    <t>XE4M-51C3-0A1-53-0RB</t>
  </si>
  <si>
    <t>LMP 24.0151X</t>
  </si>
  <si>
    <t>181825.301</t>
  </si>
  <si>
    <t>Chave de fluxo/nível termal</t>
  </si>
  <si>
    <t>TD2-8D00-0G0/TEC-A110-013</t>
  </si>
  <si>
    <t>LMP 24.0152X</t>
  </si>
  <si>
    <t>181825.302</t>
  </si>
  <si>
    <t>TD2-7D00-0G0/TMC-A110-009, TD2-7D00-0G0/TMC-A110-007 e
TD2-7D00-0G0/TMC-A110-005</t>
  </si>
  <si>
    <t>LMP 24.0153X</t>
  </si>
  <si>
    <t>181825.303</t>
  </si>
  <si>
    <t>TD2-7H00-0G0/TEA-A110-008</t>
  </si>
  <si>
    <t>LMP 24.0154X</t>
  </si>
  <si>
    <t>181825.304</t>
  </si>
  <si>
    <t>C15-1H3B-QMN</t>
  </si>
  <si>
    <t>LMP 24.0155X</t>
  </si>
  <si>
    <t>181825.305</t>
  </si>
  <si>
    <t>TD2-8D00-0C2/TMC-A110-055</t>
  </si>
  <si>
    <t>LMP 24.0156X</t>
  </si>
  <si>
    <t>181825.306</t>
  </si>
  <si>
    <t>TD1-2D00-0C0/TMA-A110-014</t>
  </si>
  <si>
    <t>LMP 24.0157X</t>
  </si>
  <si>
    <t xml:space="preserve">Ceraterm Comércio de Equipamentos e Serviços Ltda </t>
  </si>
  <si>
    <t>181825.307</t>
  </si>
  <si>
    <t>TD2-7D00-0G3/TMC-A110-007</t>
  </si>
  <si>
    <t>LMP 24.0158X</t>
  </si>
  <si>
    <t>181825.308</t>
  </si>
  <si>
    <t>TD2-8D00-0G0/TMA-A440-028</t>
  </si>
  <si>
    <t>LMP 24.0159X</t>
  </si>
  <si>
    <t>181825.309</t>
  </si>
  <si>
    <t>XE4M-51C3-0A1-54-0RB</t>
  </si>
  <si>
    <t>LMP 24.0160X</t>
  </si>
  <si>
    <t>181825.310</t>
  </si>
  <si>
    <t>TD2-8D00-0G2/TMC-A110-005</t>
  </si>
  <si>
    <t>LMP 24.0161X</t>
  </si>
  <si>
    <t>181825.311</t>
  </si>
  <si>
    <t xml:space="preserve">Magnetrol International N.V. </t>
  </si>
  <si>
    <t>LMP 24.0162X</t>
  </si>
  <si>
    <t>181825.312</t>
  </si>
  <si>
    <t>JM4-511A-B20 / 2CF-001F-101-00-045</t>
  </si>
  <si>
    <t>LMP 24.0163X</t>
  </si>
  <si>
    <t>181825.313</t>
  </si>
  <si>
    <t>JM4-511A-B20/2CF-011F-E01-00-051</t>
  </si>
  <si>
    <t>LMP 24.0164X</t>
  </si>
  <si>
    <t>181825.314</t>
  </si>
  <si>
    <t xml:space="preserve">Transmissor de nível, </t>
  </si>
  <si>
    <t>R82-5B6A-011</t>
  </si>
  <si>
    <t>MAGNETROL INTERNATIONAL n.v .</t>
  </si>
  <si>
    <t>LMP 24.0165X</t>
  </si>
  <si>
    <t>181825.315</t>
  </si>
  <si>
    <t xml:space="preserve">Chave de Nível Ultrassônica </t>
  </si>
  <si>
    <t>TD1-2D00-0C0-0C0 / TMA-A110-006</t>
  </si>
  <si>
    <t xml:space="preserve">AMETEK Magnetrol USA, LLC </t>
  </si>
  <si>
    <t>LMP 24.0166X</t>
  </si>
  <si>
    <t>181825.316</t>
  </si>
  <si>
    <t>B15-1H3B-BD9</t>
  </si>
  <si>
    <t xml:space="preserve">IECEx FMG 21.0032X </t>
  </si>
  <si>
    <t>LMP 24.0167X</t>
  </si>
  <si>
    <t>181825.317</t>
  </si>
  <si>
    <t>Transmissor de Nível Magnetostritivo</t>
  </si>
  <si>
    <t xml:space="preserve">JM4-511A-B20+2CH-001F-201-00-097 /JM4-511A-B20+2CF-011F-E01-00-051 
/JM4-511A-B20+2CF-011F-201-00-051 </t>
  </si>
  <si>
    <t>LMP 24.0168X</t>
  </si>
  <si>
    <t>181825.318</t>
  </si>
  <si>
    <t>Chave de Nível,</t>
  </si>
  <si>
    <t xml:space="preserve"> A15-4E2B-FA9</t>
  </si>
  <si>
    <t>LMP 24.0169X</t>
  </si>
  <si>
    <t xml:space="preserve">XC75-1S30-BKJ </t>
  </si>
  <si>
    <t>LMP 24.0170X</t>
  </si>
  <si>
    <t>XE4M-51A3-0A1-53-0RB</t>
  </si>
  <si>
    <t>LMP 24.0171X</t>
  </si>
  <si>
    <t>XE3E-JQ3C-S1E</t>
  </si>
  <si>
    <t>FM17US0315X</t>
  </si>
  <si>
    <t>LMP 24.0172</t>
  </si>
  <si>
    <t>LMP 24.0173X</t>
  </si>
  <si>
    <t>181825.322</t>
  </si>
  <si>
    <t>Transmissor de Nível Radar Onda Livre</t>
  </si>
  <si>
    <t>Magnetrol International N.V</t>
  </si>
  <si>
    <t>Ex ia IIC T4</t>
  </si>
  <si>
    <t>LMP 24.0174X</t>
  </si>
  <si>
    <t>LMP 24.0175X</t>
  </si>
  <si>
    <t>TA2-A1B0-930 / TMR-A11A-060</t>
  </si>
  <si>
    <t>LMP 24.0176X</t>
  </si>
  <si>
    <t xml:space="preserve">TA2-A1B0-140 / TMR-A03A-174 </t>
  </si>
  <si>
    <t>Ex db qb IIC T4...T3 Gb</t>
  </si>
  <si>
    <t>LMP 24.0177X</t>
  </si>
  <si>
    <t xml:space="preserve">Chave de fluxo/nível termal </t>
  </si>
  <si>
    <t>TD1-2D00-0C0 / TMC-A110-020</t>
  </si>
  <si>
    <t>LMP 24.0178X</t>
  </si>
  <si>
    <t>A15-1H4B-BKS</t>
  </si>
  <si>
    <t>LMP 24.0179X</t>
  </si>
  <si>
    <t>JM4-511A-B20 / 2CH-001F-E01-00-115</t>
  </si>
  <si>
    <t>LMP 24.0180X</t>
  </si>
  <si>
    <t>R96-511A-B10 / RAA-A630-300</t>
  </si>
  <si>
    <t>LMP 24.0181</t>
  </si>
  <si>
    <t>XJ30-2V40-FC9</t>
  </si>
  <si>
    <t>LMP 24.0182X</t>
  </si>
  <si>
    <t>TD2-7D00-0C0 / TMA-A330-250</t>
  </si>
  <si>
    <t xml:space="preserve">Ametek Magnetrol USA, LLC </t>
  </si>
  <si>
    <t>LMP 24.0183X</t>
  </si>
  <si>
    <t>Ex ma/d IIC T6 Ga/Gb</t>
  </si>
  <si>
    <t>LMP 24.0184X</t>
  </si>
  <si>
    <t xml:space="preserve"> TD2-8H00-0G2 / XTMH-A110-005</t>
  </si>
  <si>
    <t>LMP 24.0185X</t>
  </si>
  <si>
    <t>LMP 24.0186X</t>
  </si>
  <si>
    <t>TA2-A4B0-133 / TMR-A03A-080</t>
  </si>
  <si>
    <t xml:space="preserve">FM19ATEX0205X </t>
  </si>
  <si>
    <t>LMP 24.0187X</t>
  </si>
  <si>
    <t>LMP 24.0188X</t>
  </si>
  <si>
    <t>XE4M-51A1-0A1-64-0AC</t>
  </si>
  <si>
    <t>LMP 24.0189X</t>
  </si>
  <si>
    <t>VP01042D60-612-0</t>
  </si>
  <si>
    <t>LMP 24.0190X</t>
  </si>
  <si>
    <t>LMP 24.0191X</t>
  </si>
  <si>
    <t>XA10-1H3A-BKB</t>
  </si>
  <si>
    <t>LMP 24.0192X</t>
  </si>
  <si>
    <t>TD2-7D00-0G0 / TEA-A210-002</t>
  </si>
  <si>
    <t>LMP 24.0193</t>
  </si>
  <si>
    <t>Chave de Fluxo por Dispersão Térmica</t>
  </si>
  <si>
    <t>TMA-A430-023 / TG1-120D-2A0</t>
  </si>
  <si>
    <t>ISSeP00ATEX006</t>
  </si>
  <si>
    <t>LMP 24.0194X</t>
  </si>
  <si>
    <t>LMP 24.0195X</t>
  </si>
  <si>
    <t>LMP 24.0196X</t>
  </si>
  <si>
    <t>LMP 24.0197X</t>
  </si>
  <si>
    <t>LMP 24.0198X</t>
  </si>
  <si>
    <t>LMP 24.0199X</t>
  </si>
  <si>
    <t>LMP 24.0200X</t>
  </si>
  <si>
    <t>Eurosul Fornecedora de Navios Ltda</t>
  </si>
  <si>
    <t>183493.1</t>
  </si>
  <si>
    <t>Fone com microfone (headset)</t>
  </si>
  <si>
    <t>Twin Cup MT72H540P3E-50</t>
  </si>
  <si>
    <t>3M Svenska AB</t>
  </si>
  <si>
    <t>IECEx NEM 09.0005X</t>
  </si>
  <si>
    <t>LMP 24.0201</t>
  </si>
  <si>
    <t>DMAF</t>
  </si>
  <si>
    <t>183495.1</t>
  </si>
  <si>
    <t xml:space="preserve">Válvula solenoide </t>
  </si>
  <si>
    <t xml:space="preserve">ASGB01-T6-01-XV </t>
  </si>
  <si>
    <t>Stark Industrial Automation Co., Ltd.</t>
  </si>
  <si>
    <t>SYEx 21.0527</t>
  </si>
  <si>
    <t>LMP 24.0202X</t>
  </si>
  <si>
    <t>183496.1</t>
  </si>
  <si>
    <t>Chave fim de curso (monitor de posição de válvula)</t>
  </si>
  <si>
    <t>ITS-31M</t>
  </si>
  <si>
    <t>Ex d IIC T6 Gb</t>
  </si>
  <si>
    <t>LMP 24.0203</t>
  </si>
  <si>
    <t>183497.1</t>
  </si>
  <si>
    <t>Atuador elétrico</t>
  </si>
  <si>
    <t>AOX-M-020+MY-V4-SD</t>
  </si>
  <si>
    <t>Zhejiang Aoxiang Auto-Control Technology Co., Ltd.</t>
  </si>
  <si>
    <t>CE23.6912X</t>
  </si>
  <si>
    <t>LMP 24.0204X</t>
  </si>
  <si>
    <t>183498.1</t>
  </si>
  <si>
    <t xml:space="preserve">Reguladora de pressão aquecida </t>
  </si>
  <si>
    <t>HPR-2</t>
  </si>
  <si>
    <t xml:space="preserve">Crane Instrumentation Sampling, Inc. / Hoke, Inc; (antiga Circor) </t>
  </si>
  <si>
    <t>TRL03ATEX11001X</t>
  </si>
  <si>
    <t>LMP 24.0205X</t>
  </si>
  <si>
    <t>183501.1</t>
  </si>
  <si>
    <t>Transmissor universal</t>
  </si>
  <si>
    <t>LXT380</t>
  </si>
  <si>
    <t>Teledyne Analytical Instruments</t>
  </si>
  <si>
    <t>IECEx ETL 17.0030X</t>
  </si>
  <si>
    <t>LMP 24.0206</t>
  </si>
  <si>
    <t>183509.1</t>
  </si>
  <si>
    <t>LMP 24.0207</t>
  </si>
  <si>
    <t>183510.1</t>
  </si>
  <si>
    <t>Detector portátil de vazamento</t>
  </si>
  <si>
    <t>VPAC II (D9203IS)</t>
  </si>
  <si>
    <t>Mistras Group Inc.</t>
  </si>
  <si>
    <t>IECEx PRE 18.0050</t>
  </si>
  <si>
    <t>LMP 24.0208X</t>
  </si>
  <si>
    <t>183511.1</t>
  </si>
  <si>
    <t>EX622B01</t>
  </si>
  <si>
    <t>PCB Piezotronics</t>
  </si>
  <si>
    <t>IECEx LCIE 15.0016X</t>
  </si>
  <si>
    <t>LMP 24.0209X</t>
  </si>
  <si>
    <t>183504.1</t>
  </si>
  <si>
    <t>Monitor de posição de válvula</t>
  </si>
  <si>
    <t>SRX70S5SR-GY7</t>
  </si>
  <si>
    <t>Imtex Controls</t>
  </si>
  <si>
    <t>IECEx SIR 09.0066X</t>
  </si>
  <si>
    <t>LMP 24.0210</t>
  </si>
  <si>
    <t>RST Equipamentos e Serviços Ltda.</t>
  </si>
  <si>
    <t>183512.1</t>
  </si>
  <si>
    <t>YANTAI AUTO INSTRUMENT MAKING CO., LTD.</t>
  </si>
  <si>
    <t>ECM 24 ATEX-B 0Q16</t>
  </si>
  <si>
    <t>LMP 24.0211X</t>
  </si>
  <si>
    <t>183507.1</t>
  </si>
  <si>
    <t>Medidor de Nivel UTN</t>
  </si>
  <si>
    <t>FFG-BP.20H3OD-UTK48-925</t>
  </si>
  <si>
    <t>KSR KUEBLER</t>
  </si>
  <si>
    <t>LMP 24.0212X</t>
  </si>
  <si>
    <t>183508.1</t>
  </si>
  <si>
    <t>E-10-A-BCQ-NB-ZGCXGA-ZZ, E-10-A-BCL-NB-ZGCXGA-ZZ</t>
  </si>
  <si>
    <t>LMP 24.0213</t>
  </si>
  <si>
    <t>183513.1</t>
  </si>
  <si>
    <t>Amplificador (barreira isoladora)</t>
  </si>
  <si>
    <t>KFD2-SOT20Ex1.LB (159M7810)</t>
  </si>
  <si>
    <t>IECEx PTB 05.0011</t>
  </si>
  <si>
    <t>LMP 24.0214X</t>
  </si>
  <si>
    <t>Workship do Brasil Ltda.</t>
  </si>
  <si>
    <t>183520.1</t>
  </si>
  <si>
    <t xml:space="preserve">Unidade de interface para sistema de alarme contra incêndio </t>
  </si>
  <si>
    <t>BN-500/EX</t>
  </si>
  <si>
    <t>LMP 24.0215X</t>
  </si>
  <si>
    <t>183521.1</t>
  </si>
  <si>
    <t>Detector de fumaça</t>
  </si>
  <si>
    <t>BHH-500/EX/SPARE (V-530-EXIA/BH500) / BDH-500/EX/SPARE (V-530-EXIA/BD500)</t>
  </si>
  <si>
    <t>LMP 24.0216X</t>
  </si>
  <si>
    <t>183515.1</t>
  </si>
  <si>
    <t>Sensor de ORP</t>
  </si>
  <si>
    <t>Memosens
SE 565X/1 - NMSN</t>
  </si>
  <si>
    <t>Knick Elektronische Messgeräte GmbH &amp; Co. KG</t>
  </si>
  <si>
    <t>IECEx BVS 16.0030X</t>
  </si>
  <si>
    <t>LMP 24.0217X</t>
  </si>
  <si>
    <t>183523.1</t>
  </si>
  <si>
    <t>Sensor de condutividade</t>
  </si>
  <si>
    <t>SE 630X - MS</t>
  </si>
  <si>
    <t>IECEx BVS 15.0114X</t>
  </si>
  <si>
    <t>LMP 24.0218X</t>
  </si>
  <si>
    <t>183514.1</t>
  </si>
  <si>
    <t>MicroTREK HBR-717-6Ex</t>
  </si>
  <si>
    <t>Nivelco Ipari Elektronika Zrt. (Nivelco Process Control Co.)</t>
  </si>
  <si>
    <t>BKI22ATEX0003 X</t>
  </si>
  <si>
    <t>LMP 24.0219X</t>
  </si>
  <si>
    <t>183525.1</t>
  </si>
  <si>
    <t>Farol Xenon</t>
  </si>
  <si>
    <t>XB4</t>
  </si>
  <si>
    <t>Eaton MEDC Limited</t>
  </si>
  <si>
    <t>IECEx BAS 10.0078X</t>
  </si>
  <si>
    <t>LMP 24.0220</t>
  </si>
  <si>
    <t>183527.1</t>
  </si>
  <si>
    <t>E-752 (E702-297)</t>
  </si>
  <si>
    <t>LMP 24.0221</t>
  </si>
  <si>
    <t>183516.1</t>
  </si>
  <si>
    <t>LMP 24.0222X</t>
  </si>
  <si>
    <t>183517.1</t>
  </si>
  <si>
    <t>Calibrador de pressão</t>
  </si>
  <si>
    <t>700G07 / 700G08 / 700G27</t>
  </si>
  <si>
    <t>LMP 24.0223X</t>
  </si>
  <si>
    <t>183518.1</t>
  </si>
  <si>
    <t>700G10 / 700G29 / 700G30</t>
  </si>
  <si>
    <t>LMP 24.0224X</t>
  </si>
  <si>
    <t>183519.1</t>
  </si>
  <si>
    <t>LMP 24.0225X</t>
  </si>
  <si>
    <t>Karvel Brasil Comércio de Máquinas e Equipamentos Ltda.</t>
  </si>
  <si>
    <t>183526.1</t>
  </si>
  <si>
    <t>Temporizador eletrônico</t>
  </si>
  <si>
    <t>ETM-IS11-113 (ML468)</t>
  </si>
  <si>
    <t>Expo Technologies Ltd.</t>
  </si>
  <si>
    <t>IECEx FME10.0001X</t>
  </si>
  <si>
    <t>LMP 24.0226X</t>
  </si>
  <si>
    <t>Tricomex Ltda.</t>
  </si>
  <si>
    <t>183533.1</t>
  </si>
  <si>
    <t>APC-2000ALW</t>
  </si>
  <si>
    <t>Aplisens S.A.</t>
  </si>
  <si>
    <t>lECEx KDB 19.0003X</t>
  </si>
  <si>
    <t>LMP 24.0227</t>
  </si>
  <si>
    <t>183532.1</t>
  </si>
  <si>
    <t>A4WAF0242C25000#G</t>
  </si>
  <si>
    <t>Ashcroft Inc.</t>
  </si>
  <si>
    <t>FM18US0253</t>
  </si>
  <si>
    <t>LMP 24.0228X</t>
  </si>
  <si>
    <t>LMP 24.0229X</t>
  </si>
  <si>
    <t>LMP 24.0230X</t>
  </si>
  <si>
    <t>LMP 24.0231</t>
  </si>
  <si>
    <t>183502.1</t>
  </si>
  <si>
    <t>Bomba centrífuga</t>
  </si>
  <si>
    <t>P3-DJH-60</t>
  </si>
  <si>
    <t>Sundyne Corporation</t>
  </si>
  <si>
    <t>LMP 24.0232</t>
  </si>
  <si>
    <t>183539.1</t>
  </si>
  <si>
    <t>Célula de Carga</t>
  </si>
  <si>
    <t>Kistler Brand</t>
  </si>
  <si>
    <t>Venture Measurement Company LLC</t>
  </si>
  <si>
    <t>ITS05ATEX15079</t>
  </si>
  <si>
    <t>LMP 24.0233X</t>
  </si>
  <si>
    <t>183541.1</t>
  </si>
  <si>
    <t>Analisador de umidade</t>
  </si>
  <si>
    <t>Aurora H2O-NG-2-0-0</t>
  </si>
  <si>
    <t>IECEx FMG 09.0013X</t>
  </si>
  <si>
    <t>LMP 24.0234</t>
  </si>
  <si>
    <t>Anton Paar Brasil Imp. Exp. Com. Instrumentos Analíticos Ltda.</t>
  </si>
  <si>
    <t>183542.1</t>
  </si>
  <si>
    <t>Sensor de Medidor de Vazão de Massa</t>
  </si>
  <si>
    <t>AB025-L1SA1-240-111G4B-0</t>
  </si>
  <si>
    <t>Anton Paar GmbH</t>
  </si>
  <si>
    <t>DEKRA 23ATEX0094</t>
  </si>
  <si>
    <t>LMP 24.0235X</t>
  </si>
  <si>
    <t>183543.1</t>
  </si>
  <si>
    <t>Transmissor e Medidor de Vazão</t>
  </si>
  <si>
    <t>PA0K C114 (AB025-L1SA1-240-111G4B-0)</t>
  </si>
  <si>
    <t>DEKRA 23ATEX0093 X</t>
  </si>
  <si>
    <t>LMP 24.0236</t>
  </si>
  <si>
    <t>183545.1</t>
  </si>
  <si>
    <t>FPSN7JJS07</t>
  </si>
  <si>
    <t>Ashcroft Inc</t>
  </si>
  <si>
    <t>UL E38812</t>
  </si>
  <si>
    <t>LMP 24.0237</t>
  </si>
  <si>
    <t>Kidde Brasil Ltda.</t>
  </si>
  <si>
    <t>183464.1</t>
  </si>
  <si>
    <t>Lâmpada UV</t>
  </si>
  <si>
    <t>W8066A1001</t>
  </si>
  <si>
    <t>Detector Electronics Corporation (Det-Tronics)</t>
  </si>
  <si>
    <t>CSA 052532</t>
  </si>
  <si>
    <t>LMP 24.0238</t>
  </si>
  <si>
    <t xml:space="preserve">Copabo Indústria e Comércio de Produtos Técnicos Ltda						</t>
  </si>
  <si>
    <t>ver certificado origem</t>
  </si>
  <si>
    <t xml:space="preserve">17/04/2024	</t>
  </si>
  <si>
    <t>LMP 24.0239</t>
  </si>
  <si>
    <t>Válvula Solenóid</t>
  </si>
  <si>
    <t>LMP 24.0240</t>
  </si>
  <si>
    <t>Limit Switch</t>
  </si>
  <si>
    <t>LMP 24.0241X</t>
  </si>
  <si>
    <t>LMP 24.0242</t>
  </si>
  <si>
    <t>183551.1</t>
  </si>
  <si>
    <t>KAX (1-8411-2)</t>
  </si>
  <si>
    <t>LMP 24.0243X</t>
  </si>
  <si>
    <t>183552.1</t>
  </si>
  <si>
    <t>Aurora H20</t>
  </si>
  <si>
    <t>22/04/204</t>
  </si>
  <si>
    <t>LMP 24.0244</t>
  </si>
  <si>
    <t>183553.1</t>
  </si>
  <si>
    <t>LMP 24.0245</t>
  </si>
  <si>
    <t>183528.1</t>
  </si>
  <si>
    <t>LMP 24.0246</t>
  </si>
  <si>
    <t>183528.2</t>
  </si>
  <si>
    <t>KFD2-SRA-Ex4</t>
  </si>
  <si>
    <t>ZELM 99 ATEX 0009</t>
  </si>
  <si>
    <t>LMP 24.0247</t>
  </si>
  <si>
    <t>183528.3</t>
  </si>
  <si>
    <t>LMP 24.0248</t>
  </si>
  <si>
    <t>183528.5</t>
  </si>
  <si>
    <t>Protetor de surtos</t>
  </si>
  <si>
    <t>FN-LB-I</t>
  </si>
  <si>
    <t>PTB 00 ATEX 2175</t>
  </si>
  <si>
    <t>LMP 24.0249X</t>
  </si>
  <si>
    <t>183528.4</t>
  </si>
  <si>
    <t xml:space="preserve">Barreira isoladora com saída USB </t>
  </si>
  <si>
    <t>SK-PC-Z1D1-UU1-10-HS</t>
  </si>
  <si>
    <t>EXA 18 ATEX 0054X</t>
  </si>
  <si>
    <t>LMP 24.0250</t>
  </si>
  <si>
    <t>183528.6</t>
  </si>
  <si>
    <t xml:space="preserve">Conversor de extensômetro (barreira isoladora) </t>
  </si>
  <si>
    <t>KFD2-WAC2-Ex1.D</t>
  </si>
  <si>
    <t>Pepperl+Fuchs Asia Pte. Ltd</t>
  </si>
  <si>
    <t>IECEx TUN 06.0005</t>
  </si>
  <si>
    <t>LMP 24.0251</t>
  </si>
  <si>
    <t>183528.9</t>
  </si>
  <si>
    <t>(revisão)</t>
  </si>
  <si>
    <t>LMP 24.0252</t>
  </si>
  <si>
    <t>183528.8</t>
  </si>
  <si>
    <t xml:space="preserve">Sistema de Purga e Pressurização </t>
  </si>
  <si>
    <t>1002-WPS-CI Tipo Z</t>
  </si>
  <si>
    <t>UL-US-2341080-2</t>
  </si>
  <si>
    <t>LMP 24.0253X</t>
  </si>
  <si>
    <t>183528.7</t>
  </si>
  <si>
    <t xml:space="preserve">Monitor remoto </t>
  </si>
  <si>
    <t>DM-320P-LB-19SC-D-VNNNNS1-NN0</t>
  </si>
  <si>
    <t>IECEx ULD 22.0017X</t>
  </si>
  <si>
    <t>LMP 24.0254</t>
  </si>
  <si>
    <t>183528.10</t>
  </si>
  <si>
    <t xml:space="preserve">Fonte de alimentação para leitor de código de barras </t>
  </si>
  <si>
    <t>SK-IDM-Z1-160-BD-1D-J1-AC-U-N</t>
  </si>
  <si>
    <t>IECEx IBE 18.0010</t>
  </si>
  <si>
    <t>LMP 24.0255X</t>
  </si>
  <si>
    <t>183561.1</t>
  </si>
  <si>
    <t>Analisador de pH</t>
  </si>
  <si>
    <t>FLXA21-D-P-D-CB-P1-NN-A-N-LA-N-NN/UM/CD4</t>
  </si>
  <si>
    <t>Yokogawa Electric Corporation</t>
  </si>
  <si>
    <t>IECEx DEK 11.0044X</t>
  </si>
  <si>
    <t>LMP 24.0256</t>
  </si>
  <si>
    <t>183564.1</t>
  </si>
  <si>
    <t>Transmissor</t>
  </si>
  <si>
    <t>IECEx BVS 10.0103</t>
  </si>
  <si>
    <t>LMP 24.0257X</t>
  </si>
  <si>
    <t>183569.1</t>
  </si>
  <si>
    <t>Reguladora de Pressão Aquecida</t>
  </si>
  <si>
    <t>Circor Instrumentation Technologies,</t>
  </si>
  <si>
    <t>LMP 24.0258X</t>
  </si>
  <si>
    <t>184335.1</t>
  </si>
  <si>
    <t>Hison Axial Flow</t>
  </si>
  <si>
    <t>Airtrade Singapore Pte LtdlAirtrade Systems Pte Limited</t>
  </si>
  <si>
    <t>Baseefa09ATEX0300X</t>
  </si>
  <si>
    <t>LMP 24.0259X</t>
  </si>
  <si>
    <t>183572.1</t>
  </si>
  <si>
    <t>CPG1500-ST-A-S-BG616-MLSZ-13-C</t>
  </si>
  <si>
    <t>IECEx BVS 16.0033X</t>
  </si>
  <si>
    <t>LMP 24.0260X</t>
  </si>
  <si>
    <t>183565.1</t>
  </si>
  <si>
    <t>LMP 24.0261</t>
  </si>
  <si>
    <t>183583.1</t>
  </si>
  <si>
    <t xml:space="preserve">Encoder </t>
  </si>
  <si>
    <t>LMP 24.0262</t>
  </si>
  <si>
    <t xml:space="preserve">183588	</t>
  </si>
  <si>
    <t>183588.1</t>
  </si>
  <si>
    <t>Barreira de Diodo Zener</t>
  </si>
  <si>
    <t>MTL7787</t>
  </si>
  <si>
    <t>MTL Instruments PVT Ltd.</t>
  </si>
  <si>
    <t>IECEx BAS 04.0025</t>
  </si>
  <si>
    <t>LMP 24.0263X</t>
  </si>
  <si>
    <t>183581.1</t>
  </si>
  <si>
    <t>III-24V-DC-39-LC-H-01 (30201LC-1.2-2R-B5-S2)</t>
  </si>
  <si>
    <t>Rotex</t>
  </si>
  <si>
    <t>LMP 24.0264</t>
  </si>
  <si>
    <t>183589.1</t>
  </si>
  <si>
    <t>Canhão Monitor Fixo 4” Monsoon Controle Remoto</t>
  </si>
  <si>
    <t>Y4-E21A-A</t>
  </si>
  <si>
    <t>Task Force Tips LLC</t>
  </si>
  <si>
    <t>TUVNA 21 EX 093</t>
  </si>
  <si>
    <t>LMP 24.0265X</t>
  </si>
  <si>
    <t>183593.1</t>
  </si>
  <si>
    <t>B732V XCNMDTA</t>
  </si>
  <si>
    <t>IECEx SIR 14.0077X</t>
  </si>
  <si>
    <t>LMP 24.0266</t>
  </si>
  <si>
    <t>Inova</t>
  </si>
  <si>
    <t>183601.1</t>
  </si>
  <si>
    <t>Barreira</t>
  </si>
  <si>
    <t>Knick</t>
  </si>
  <si>
    <t>LMP 24.0267X</t>
  </si>
  <si>
    <t>Magnotech Comércio e Serviços Industriais Ltda.</t>
  </si>
  <si>
    <t>183595.1</t>
  </si>
  <si>
    <t>Grampo de aterramento e rebobinador de cabo</t>
  </si>
  <si>
    <t xml:space="preserve">70AG/BX, 70BGS04, 70AK/050 e  601KR/AW20030BX </t>
  </si>
  <si>
    <t>LMP 24.0268X</t>
  </si>
  <si>
    <t>183596.1</t>
  </si>
  <si>
    <t>Dispositivo de Aterramento</t>
  </si>
  <si>
    <t>Terracompact II
TCO030B</t>
  </si>
  <si>
    <t>PTB 99ATEX2188X</t>
  </si>
  <si>
    <t>LMP 24.0269X</t>
  </si>
  <si>
    <t>183602.1</t>
  </si>
  <si>
    <t>Terrabox
TCB030/S0 / TCB030/S2</t>
  </si>
  <si>
    <t>PTB 00ATEX2174X</t>
  </si>
  <si>
    <t>LMP 24.0270X</t>
  </si>
  <si>
    <t>183599.1</t>
  </si>
  <si>
    <t>Indicador digital de pressão</t>
  </si>
  <si>
    <t>LMP 24.0271X</t>
  </si>
  <si>
    <t>183603.1</t>
  </si>
  <si>
    <t>Interruptor de segurança</t>
  </si>
  <si>
    <t>GHG2632301R0001</t>
  </si>
  <si>
    <t xml:space="preserve"> Cooper Crouse-Hinds GmbH </t>
  </si>
  <si>
    <t>IECEx BVS 19.0054X</t>
  </si>
  <si>
    <t>LMP 24.0272X</t>
  </si>
  <si>
    <t>183612.1</t>
  </si>
  <si>
    <t>Sonda de temperatura</t>
  </si>
  <si>
    <t>S50</t>
  </si>
  <si>
    <t>Ashcroft Instruments GmbH</t>
  </si>
  <si>
    <t>IECEx LCIE 13.0023X</t>
  </si>
  <si>
    <t>LMP 24.0273X</t>
  </si>
  <si>
    <t>Siegwerk Brasil Indústria de Tintas Ltda. (FT Automação)</t>
  </si>
  <si>
    <t>183606.1</t>
  </si>
  <si>
    <t>Teclado</t>
  </si>
  <si>
    <t>DT-5K-FSR-IS-CXPS2/USB / DT-5K-FSR-NI-CXPS2/USB</t>
  </si>
  <si>
    <t>iKey, Ltd.</t>
  </si>
  <si>
    <t>LMP 24.0274X</t>
  </si>
  <si>
    <t>Jirehmaq Máquinas Industriais Eireli (FT Automação)</t>
  </si>
  <si>
    <t>183607.1</t>
  </si>
  <si>
    <t>Mouse</t>
  </si>
  <si>
    <t>HP-DT-FSR-NI-CXPS2/USB</t>
  </si>
  <si>
    <t>LMP 24.0275X</t>
  </si>
  <si>
    <t>183608.1</t>
  </si>
  <si>
    <t>Sensor Transdutor</t>
  </si>
  <si>
    <t>AC982-1D</t>
  </si>
  <si>
    <t>Connection Technology Center, Inc.</t>
  </si>
  <si>
    <t xml:space="preserve"> IECEx SIR 15.0060X</t>
  </si>
  <si>
    <t>LMP 24.0276X</t>
  </si>
  <si>
    <t>183614.1</t>
  </si>
  <si>
    <t>Transmissor de Umidade</t>
  </si>
  <si>
    <t xml:space="preserve"> Panametrics LLC</t>
  </si>
  <si>
    <t xml:space="preserve"> IECEx FMG 22.0008X</t>
  </si>
  <si>
    <t>LMP 24.0277X</t>
  </si>
  <si>
    <t>183605.1</t>
  </si>
  <si>
    <t>Sistema Eletrônico de Controle de Purga e Pressurização</t>
  </si>
  <si>
    <t>SP2-PM-SS</t>
  </si>
  <si>
    <t>LMP 24.0278X</t>
  </si>
  <si>
    <t>183615.1</t>
  </si>
  <si>
    <t>B732V XCNTA</t>
  </si>
  <si>
    <t>Sira 02ATEX1391X</t>
  </si>
  <si>
    <t>LMP 24.0279</t>
  </si>
  <si>
    <t>183616.1</t>
  </si>
  <si>
    <t>Dispositivo comunicador</t>
  </si>
  <si>
    <t>Trex (TREXLHPKL9S3S)</t>
  </si>
  <si>
    <t>R. Stahl HMI Systems GmbH</t>
  </si>
  <si>
    <t>IECEx SIR 16.005</t>
  </si>
  <si>
    <t>LMP 24.0280</t>
  </si>
  <si>
    <t>Linde GmbH</t>
  </si>
  <si>
    <t>183563.1</t>
  </si>
  <si>
    <t xml:space="preserve">Hydrogen </t>
  </si>
  <si>
    <t>PSA Unit / PSA Valve Skid</t>
  </si>
  <si>
    <t>Linde GmbH (Linde Engineering)</t>
  </si>
  <si>
    <t>FM10ATEX0039X    BAS97ATEX1089X      PTB 07 ATEX 2019    PTB 01 ATEX 1016</t>
  </si>
  <si>
    <t>LMP 24.0281</t>
  </si>
  <si>
    <t>183621.1</t>
  </si>
  <si>
    <t>Transmissor de nível por radar</t>
  </si>
  <si>
    <t>F78MP0402G2A</t>
  </si>
  <si>
    <t>LMP 24.0282</t>
  </si>
  <si>
    <t>Célula de carga</t>
  </si>
  <si>
    <t>S2-300K-T-M (Load Stand II)</t>
  </si>
  <si>
    <t>LMP 24.0283</t>
  </si>
  <si>
    <t>183617.1</t>
  </si>
  <si>
    <t>Ventilador axial</t>
  </si>
  <si>
    <t>ACW-1400/578-49</t>
  </si>
  <si>
    <t>Novenco Building &amp; Industry A/S</t>
  </si>
  <si>
    <t>Vários (skid)</t>
  </si>
  <si>
    <t>LMP 24.0284X</t>
  </si>
  <si>
    <t>183625.1</t>
  </si>
  <si>
    <t xml:space="preserve"> IECEx FMG 09.0013X</t>
  </si>
  <si>
    <t>LMP 24.0285X</t>
  </si>
  <si>
    <t>183626.1</t>
  </si>
  <si>
    <t>LMP 24.0286X</t>
  </si>
  <si>
    <t>Superquip Serviços e Equipamentos Técnicos Ltd</t>
  </si>
  <si>
    <t>183627.1</t>
  </si>
  <si>
    <t>Sensor magnético (componente elétrico do medidor de vazão)</t>
  </si>
  <si>
    <t>TDF/bc-S-HT-2-PR/CO (TZN150-400)</t>
  </si>
  <si>
    <t>Faure Herman</t>
  </si>
  <si>
    <t>LCIE 03 ATEX 6230 X</t>
  </si>
  <si>
    <t>LMP 24.0287X</t>
  </si>
  <si>
    <t>Consórcio Gás Sul</t>
  </si>
  <si>
    <t>Transmissor de Gás</t>
  </si>
  <si>
    <t>IPX2/4-20MA/3-15PSIG/20PSI/-NG1</t>
  </si>
  <si>
    <t>Moore Industries International Inc.</t>
  </si>
  <si>
    <t>SIRA13ATEX2399X</t>
  </si>
  <si>
    <t>LMP 24.0288</t>
  </si>
  <si>
    <t>183630.1</t>
  </si>
  <si>
    <t>Sensor de velocidade</t>
  </si>
  <si>
    <t>MiniVLS211/ia</t>
  </si>
  <si>
    <t xml:space="preserve"> Compact Instruments Ltd </t>
  </si>
  <si>
    <t xml:space="preserve"> IECEx BAS 15.0032</t>
  </si>
  <si>
    <t>LMP 24.0289X</t>
  </si>
  <si>
    <t>183632.1</t>
  </si>
  <si>
    <t>Transmissor de corrosão</t>
  </si>
  <si>
    <t>ER-420-1-B-T-0-10-2</t>
  </si>
  <si>
    <t>Rohrback Cosasco Systems</t>
  </si>
  <si>
    <t>IECEx SIR 16.0008X</t>
  </si>
  <si>
    <t>LMP 24.0290X</t>
  </si>
  <si>
    <t>183634.1</t>
  </si>
  <si>
    <t>Encoder Absoluto (Transdutor de Rotação)</t>
  </si>
  <si>
    <t>LMP 24.0291X</t>
  </si>
  <si>
    <t>Woodcock &amp; Wilson Ltd.</t>
  </si>
  <si>
    <t xml:space="preserve">Sira 09ATEX6230X </t>
  </si>
  <si>
    <t>LMP 24.0292X</t>
  </si>
  <si>
    <t>183638.1</t>
  </si>
  <si>
    <t>Sistema de Iluminação para Helideque</t>
  </si>
  <si>
    <t>HPDEX-C-5M</t>
  </si>
  <si>
    <t xml:space="preserve"> Calzoni S.r.l.</t>
  </si>
  <si>
    <t>IECEx CES 15.0002X</t>
  </si>
  <si>
    <t>LMP 24.0293X</t>
  </si>
  <si>
    <t>183639.1</t>
  </si>
  <si>
    <t>LMP 24.0294X</t>
  </si>
  <si>
    <t>183640.1</t>
  </si>
  <si>
    <t>Luminária Portátil</t>
  </si>
  <si>
    <t>WL-5</t>
  </si>
  <si>
    <t>The Wolf Safety Lamp Co. Limited</t>
  </si>
  <si>
    <t>IECEx CML 18.0199X</t>
  </si>
  <si>
    <t>LMP 24.0295X</t>
  </si>
  <si>
    <t>183641.1</t>
  </si>
  <si>
    <t>Conversor de Sinal I/P</t>
  </si>
  <si>
    <t>TEIP11-OS</t>
  </si>
  <si>
    <t>DMT 02 ATEX E 121 X</t>
  </si>
  <si>
    <t>LMP 24.0296X</t>
  </si>
  <si>
    <t>183568</t>
  </si>
  <si>
    <t>183568.1</t>
  </si>
  <si>
    <t>BVS15ATEXE141X</t>
  </si>
  <si>
    <t>LMP 24.0297</t>
  </si>
  <si>
    <t>183618</t>
  </si>
  <si>
    <t>183618.1</t>
  </si>
  <si>
    <t>LMP 24.0298</t>
  </si>
  <si>
    <t>Technics Sistemas de Automação Ltda</t>
  </si>
  <si>
    <t>183619</t>
  </si>
  <si>
    <t>183619.1</t>
  </si>
  <si>
    <t>LMP 24.0299X</t>
  </si>
  <si>
    <t>WEG Equipamentos Elétricos S/A Energia</t>
  </si>
  <si>
    <t>183643</t>
  </si>
  <si>
    <t>183643.1</t>
  </si>
  <si>
    <t>Sonda de Temperatura</t>
  </si>
  <si>
    <t xml:space="preserve"> Ashcroft Instruments GmbH</t>
  </si>
  <si>
    <t xml:space="preserve"> IECEx LCIE 13.0023X</t>
  </si>
  <si>
    <t>07/06./2024</t>
  </si>
  <si>
    <t>LMP 24.0300X</t>
  </si>
  <si>
    <t>183642</t>
  </si>
  <si>
    <t>183642.1</t>
  </si>
  <si>
    <t>Lanterna Angular</t>
  </si>
  <si>
    <t>3415M</t>
  </si>
  <si>
    <t>Pelican Products, Inc.</t>
  </si>
  <si>
    <t>IECEx ITS 17.0018X</t>
  </si>
  <si>
    <t>LMP 24.0301X</t>
  </si>
  <si>
    <t>183644</t>
  </si>
  <si>
    <t>183644.1</t>
  </si>
  <si>
    <t>LMP 24.0302X</t>
  </si>
  <si>
    <t>LAAM Offshore Indústria, Comércio e Serviços de Cabos de Aço Ltda. - M</t>
  </si>
  <si>
    <t>183646</t>
  </si>
  <si>
    <t>183646.1</t>
  </si>
  <si>
    <t>6AV6 643-0CD01-1AX1</t>
  </si>
  <si>
    <t>Siemens AG</t>
  </si>
  <si>
    <t>FM17US0371X</t>
  </si>
  <si>
    <t>LMP 24.0303X</t>
  </si>
  <si>
    <t>Wika DO BRASIL Indústria e Comércio Ltda</t>
  </si>
  <si>
    <t>183645</t>
  </si>
  <si>
    <t>183645.1</t>
  </si>
  <si>
    <t>Chave de nível tipo boia AL-ADF-</t>
  </si>
  <si>
    <t>FV3”/150/RF-VUUU-L885/12-V44A (FLS-SAD)</t>
  </si>
  <si>
    <t>LMP 24.0304X</t>
  </si>
  <si>
    <t>183658</t>
  </si>
  <si>
    <t>183658.1</t>
  </si>
  <si>
    <t>LMP 24.0305X</t>
  </si>
  <si>
    <t>183655</t>
  </si>
  <si>
    <t>183655.1</t>
  </si>
  <si>
    <t>LMP 24.0306X</t>
  </si>
  <si>
    <t>CONTECH Indústria e Comércio de Equipamentos Eletrônicos Ltda.</t>
  </si>
  <si>
    <t>183958</t>
  </si>
  <si>
    <t>183958.1</t>
  </si>
  <si>
    <t>LMP 24.0307X</t>
  </si>
  <si>
    <t>Wimpex</t>
  </si>
  <si>
    <t>183959</t>
  </si>
  <si>
    <t>183959.1</t>
  </si>
  <si>
    <t xml:space="preserve">Detector analisador de gás </t>
  </si>
  <si>
    <t>GT-40</t>
  </si>
  <si>
    <t>Teledyne Gas Measurement Instruments Ltd.</t>
  </si>
  <si>
    <t xml:space="preserve">Ex d ia IIB T3 </t>
  </si>
  <si>
    <t>LMP 24.0308X</t>
  </si>
  <si>
    <t>183957</t>
  </si>
  <si>
    <t>183957.1</t>
  </si>
  <si>
    <t>LMP 24.0309X</t>
  </si>
  <si>
    <t>183651</t>
  </si>
  <si>
    <t>183651.1</t>
  </si>
  <si>
    <t>Luz Indicadora para montagem em painel</t>
  </si>
  <si>
    <t>LMP 24.0310X</t>
  </si>
  <si>
    <t>183955</t>
  </si>
  <si>
    <t>183955.1</t>
  </si>
  <si>
    <t>Manômetro Digital Additel</t>
  </si>
  <si>
    <t xml:space="preserve">IECEx TUR 16.0023X </t>
  </si>
  <si>
    <t>LMP 24.0311X</t>
  </si>
  <si>
    <t>183962</t>
  </si>
  <si>
    <t>183962.1</t>
  </si>
  <si>
    <t>SITRANS FCT030 (7ME4603-8CG04-3AN0-Z F11+L68)</t>
  </si>
  <si>
    <t>SIRA 11ATEX1342X</t>
  </si>
  <si>
    <t>LMP 24.0312X</t>
  </si>
  <si>
    <t>183964</t>
  </si>
  <si>
    <t>183964.1</t>
  </si>
  <si>
    <t>Sistema de Módulos</t>
  </si>
  <si>
    <t>EQ3730DT</t>
  </si>
  <si>
    <t>LMP 24.0313</t>
  </si>
  <si>
    <t>183968</t>
  </si>
  <si>
    <t>183968.1</t>
  </si>
  <si>
    <t>642DEAM8102 (P/N: 17-73)</t>
  </si>
  <si>
    <t xml:space="preserve">Custom Control Sensors, Inc. </t>
  </si>
  <si>
    <t>E32961</t>
  </si>
  <si>
    <t>LMP 24.0314</t>
  </si>
  <si>
    <t>Ingredion Brasil Ingredientes Industriais Ltda. (Willy)</t>
  </si>
  <si>
    <t>183956</t>
  </si>
  <si>
    <t>183956.1</t>
  </si>
  <si>
    <t>B732S XFMFSJL06</t>
  </si>
  <si>
    <t>LMP 24.0315</t>
  </si>
  <si>
    <t>183953</t>
  </si>
  <si>
    <t>183953.1</t>
  </si>
  <si>
    <t>Estações Manuais de Alarme de Incêndio</t>
  </si>
  <si>
    <t>MPSR1-D45WX-GE
(RMS-EX-WP-6T)</t>
  </si>
  <si>
    <t>RSG Security, Inc.</t>
  </si>
  <si>
    <t>E154860 (UL)</t>
  </si>
  <si>
    <t>LMP 24.0316</t>
  </si>
  <si>
    <t>Instrumentha Tecnologia em Medição Ltda.</t>
  </si>
  <si>
    <t>183967</t>
  </si>
  <si>
    <t>183967.1</t>
  </si>
  <si>
    <t>KAX (1-8411-2)
KAX (1-8431-2)</t>
  </si>
  <si>
    <t>LMP 24.0318</t>
  </si>
  <si>
    <t>Ricitec Geo Ltda.</t>
  </si>
  <si>
    <t>183972</t>
  </si>
  <si>
    <t>183972.1</t>
  </si>
  <si>
    <t>Lanterna de Ângulo Reto</t>
  </si>
  <si>
    <t>3091325 (Intertek)</t>
  </si>
  <si>
    <t>LMP 24.0317</t>
  </si>
  <si>
    <t>183973</t>
  </si>
  <si>
    <t>183973.1</t>
  </si>
  <si>
    <t>Lanterna LED</t>
  </si>
  <si>
    <t>E184884 (UL)</t>
  </si>
  <si>
    <t>LMP 24.0319</t>
  </si>
  <si>
    <t>183974</t>
  </si>
  <si>
    <t>183974.1</t>
  </si>
  <si>
    <t>Lanterna Portátil</t>
  </si>
  <si>
    <t>710414 (SGS)</t>
  </si>
  <si>
    <t>LMP 24.0320X</t>
  </si>
  <si>
    <t>183975</t>
  </si>
  <si>
    <t>183975.1</t>
  </si>
  <si>
    <t>Calibrador de Pressão</t>
  </si>
  <si>
    <t>700G29 / 700G30 / 700G31</t>
  </si>
  <si>
    <t>LMP 24.0321X</t>
  </si>
  <si>
    <t>183971</t>
  </si>
  <si>
    <t>183971.1</t>
  </si>
  <si>
    <t>Servotough Oxy 1900</t>
  </si>
  <si>
    <t>Servomex Group Limited</t>
  </si>
  <si>
    <t>IECEx BAS 09.0029X</t>
  </si>
  <si>
    <t>LMP 24.0322X</t>
  </si>
  <si>
    <t>183985</t>
  </si>
  <si>
    <t>183985.1</t>
  </si>
  <si>
    <t>Sensor de pressão</t>
  </si>
  <si>
    <t>UNIK 5000</t>
  </si>
  <si>
    <t>LMP 24.0323X</t>
  </si>
  <si>
    <t>183976</t>
  </si>
  <si>
    <t>183976.1</t>
  </si>
  <si>
    <t>718EX-100G / 718EX-300G</t>
  </si>
  <si>
    <t>LMP 24.0324</t>
  </si>
  <si>
    <t>183567</t>
  </si>
  <si>
    <t>183567.1</t>
  </si>
  <si>
    <t>IECEx DEK 16.0065</t>
  </si>
  <si>
    <t>LMP 24.0325X</t>
  </si>
  <si>
    <t>Lewa Brasil Equipamentos Ltda.</t>
  </si>
  <si>
    <t>183647</t>
  </si>
  <si>
    <t>183647.1</t>
  </si>
  <si>
    <t>6AV2-124-0GC01-0AX0</t>
  </si>
  <si>
    <t>IECEx DEK 19.0071X</t>
  </si>
  <si>
    <t>LMP 24.0326X</t>
  </si>
  <si>
    <t>183648</t>
  </si>
  <si>
    <t>183648.1</t>
  </si>
  <si>
    <t>Medidor de Vazão</t>
  </si>
  <si>
    <t>KMM</t>
  </si>
  <si>
    <t>LMP 24.0327X</t>
  </si>
  <si>
    <t>183649</t>
  </si>
  <si>
    <t>183649.1</t>
  </si>
  <si>
    <t xml:space="preserve">Bomba Magnética </t>
  </si>
  <si>
    <t>MLM15</t>
  </si>
  <si>
    <t>Lewa GmbH</t>
  </si>
  <si>
    <t xml:space="preserve">IECEx IBE 14.0008X </t>
  </si>
  <si>
    <t>LMP 24.0328X</t>
  </si>
  <si>
    <t>183650</t>
  </si>
  <si>
    <t>183650.1</t>
  </si>
  <si>
    <t xml:space="preserve">Bomba Pneumática </t>
  </si>
  <si>
    <t>PBH</t>
  </si>
  <si>
    <t xml:space="preserve">Lewa GmbH </t>
  </si>
  <si>
    <t>LMP 24.0329X</t>
  </si>
  <si>
    <t>183950.1</t>
  </si>
  <si>
    <t>Detector de Gás</t>
  </si>
  <si>
    <t>UNIPHOS-500DT</t>
  </si>
  <si>
    <t>Uniphos Envirotronic Pvt Limited</t>
  </si>
  <si>
    <t>IECEx BAS 14.0148X</t>
  </si>
  <si>
    <t>LMP 24.0330X</t>
  </si>
  <si>
    <t>183977</t>
  </si>
  <si>
    <t>183977.1</t>
  </si>
  <si>
    <t>700G07 / 700G08 / 700G10 / 700G27</t>
  </si>
  <si>
    <t>LMP 24.0331X</t>
  </si>
  <si>
    <t>183986</t>
  </si>
  <si>
    <t>183986.1</t>
  </si>
  <si>
    <t>LMP 24.0332X</t>
  </si>
  <si>
    <t>183986.2</t>
  </si>
  <si>
    <t>LMP 24.0333</t>
  </si>
  <si>
    <t>LMP 24.0334</t>
  </si>
  <si>
    <t>183963</t>
  </si>
  <si>
    <t>183963.1</t>
  </si>
  <si>
    <t xml:space="preserve">Bomba dosadora </t>
  </si>
  <si>
    <t>E-751 (E701-498SP)</t>
  </si>
  <si>
    <t>LMP 24.0335X</t>
  </si>
  <si>
    <t>183993.1</t>
  </si>
  <si>
    <t>Converter FXopis/TX</t>
  </si>
  <si>
    <t xml:space="preserve">9721/13-11-14 </t>
  </si>
  <si>
    <t>lECEx TUR 13.0014X</t>
  </si>
  <si>
    <t>LMP 24.0336X</t>
  </si>
  <si>
    <t>183996</t>
  </si>
  <si>
    <t>183996.1</t>
  </si>
  <si>
    <t>Analisador de Umidade</t>
  </si>
  <si>
    <t>LMP 24.0337X</t>
  </si>
  <si>
    <t>183997</t>
  </si>
  <si>
    <t>183997.1</t>
  </si>
  <si>
    <t>Sensor de nível BLR-SBI</t>
  </si>
  <si>
    <t xml:space="preserve"> (MG-AUVK10/MT/T32-L1,600/M1,450/14-Ex) </t>
  </si>
  <si>
    <t>KEMA 01ATEX1052 X</t>
  </si>
  <si>
    <t>LMP 24.0338X</t>
  </si>
  <si>
    <t>183998</t>
  </si>
  <si>
    <t>183998.1</t>
  </si>
  <si>
    <t xml:space="preserve">Analisador de processos </t>
  </si>
  <si>
    <t>Hobré Raman</t>
  </si>
  <si>
    <t>Hobré Instruments</t>
  </si>
  <si>
    <t>IECEx DEK 22.0025X IECEx DEK 14.0067 IECEx DEK 14.0067 IECEx DEK 14.0067 IECEx EPS 18.0024 IECEx LC 16.0006X IECEx BVS 17.0006X IECEx SIR 06.0109X IECEx PTB 06.0025 IECEx CML 18.0182X  IECEx ITS 16.0012X  IECEx PTB 13.0047U</t>
  </si>
  <si>
    <t>LMP 24.0339X</t>
  </si>
  <si>
    <t>183989</t>
  </si>
  <si>
    <t>183989.1</t>
  </si>
  <si>
    <t>LMP 24.0340</t>
  </si>
  <si>
    <t>184000</t>
  </si>
  <si>
    <t>184000.1</t>
  </si>
  <si>
    <t>LMP 24.0341X</t>
  </si>
  <si>
    <t>184053</t>
  </si>
  <si>
    <t>184053.1</t>
  </si>
  <si>
    <t>Transdutor de Vibração</t>
  </si>
  <si>
    <t>LMP 24.0342</t>
  </si>
  <si>
    <t>184057</t>
  </si>
  <si>
    <t>Sensor/Indutor de proximidade</t>
  </si>
  <si>
    <t>Ex IS M30B 10ABBAB N 1GD 5m</t>
  </si>
  <si>
    <t>Steute Technologies GmbH &amp; Co. KG</t>
  </si>
  <si>
    <t>IECEx IMQ 14.0001</t>
  </si>
  <si>
    <t>LMP 24.0343X</t>
  </si>
  <si>
    <t>184056</t>
  </si>
  <si>
    <t>184056.1</t>
  </si>
  <si>
    <t>LMP 24.0344</t>
  </si>
  <si>
    <t>184084</t>
  </si>
  <si>
    <t>184084.1</t>
  </si>
  <si>
    <t>LMP 24.0345X</t>
  </si>
  <si>
    <t>LMP 24.0346X</t>
  </si>
  <si>
    <t>184073</t>
  </si>
  <si>
    <t>180473.1</t>
  </si>
  <si>
    <t>Módulo de saída digital</t>
  </si>
  <si>
    <t>9477/15-08-12</t>
  </si>
  <si>
    <t xml:space="preserve">IECEx PTB 06.0001X </t>
  </si>
  <si>
    <t>LMP 24.0347</t>
  </si>
  <si>
    <t>Smart Control Válvulas Industriais Ltda.</t>
  </si>
  <si>
    <t>184063</t>
  </si>
  <si>
    <t>184063.1</t>
  </si>
  <si>
    <t>Vávlula Solenóide</t>
  </si>
  <si>
    <t xml:space="preserve">S07BS852TSPA24M1.5S </t>
  </si>
  <si>
    <t>Dingzhou YuFei Electronic Technology Co., Ltd</t>
  </si>
  <si>
    <t>ZJEx 22.0086</t>
  </si>
  <si>
    <t>LMP 24.0348</t>
  </si>
  <si>
    <t>Aquasensor Tecnologia Ltda</t>
  </si>
  <si>
    <t>184070</t>
  </si>
  <si>
    <t>184070.1</t>
  </si>
  <si>
    <t xml:space="preserve">Chave de nível KAX </t>
  </si>
  <si>
    <t>(1-8411-2X)</t>
  </si>
  <si>
    <t>LMP 24.0349</t>
  </si>
  <si>
    <t>183969</t>
  </si>
  <si>
    <t>183969.1</t>
  </si>
  <si>
    <t>LMP 24.0350</t>
  </si>
  <si>
    <t>184088</t>
  </si>
  <si>
    <t>184088.1</t>
  </si>
  <si>
    <t xml:space="preserve">Célula de carga </t>
  </si>
  <si>
    <t>GC035-CSA e GC060-CSA</t>
  </si>
  <si>
    <t xml:space="preserve">Trimble Inc. </t>
  </si>
  <si>
    <t>LMP 24.0351</t>
  </si>
  <si>
    <t>184079</t>
  </si>
  <si>
    <t>184079.1</t>
  </si>
  <si>
    <t>LMP 24.0352X</t>
  </si>
  <si>
    <t>Fluxo</t>
  </si>
  <si>
    <t>184083</t>
  </si>
  <si>
    <t>184083.1</t>
  </si>
  <si>
    <t>Detector de Hidrocarbonetos na água</t>
  </si>
  <si>
    <t xml:space="preserve"> 223/500 </t>
  </si>
  <si>
    <t>Agar Environmental LTD</t>
  </si>
  <si>
    <t>LMP 24.0353X</t>
  </si>
  <si>
    <t>184096.1</t>
  </si>
  <si>
    <t xml:space="preserve">Detector óptico de fumaça </t>
  </si>
  <si>
    <t>U5015A2N13A</t>
  </si>
  <si>
    <t>IECEx FMG 15.0014X</t>
  </si>
  <si>
    <t>LMP 24.0354X</t>
  </si>
  <si>
    <t>184112.1</t>
  </si>
  <si>
    <t>Acionador GST</t>
  </si>
  <si>
    <t>Gulf Security Technology Co., Ltd</t>
  </si>
  <si>
    <t>Presafe14 ATEX 5549X</t>
  </si>
  <si>
    <t>LMP 24.0355X</t>
  </si>
  <si>
    <t>184118.1</t>
  </si>
  <si>
    <t>Módulo de interface de acelerômetro,</t>
  </si>
  <si>
    <t>Bently Nevada</t>
  </si>
  <si>
    <t>IECEx CML 15.0033X</t>
  </si>
  <si>
    <t>LMP 24.0356X</t>
  </si>
  <si>
    <t>184119.1</t>
  </si>
  <si>
    <t>Transmissor de Vazão de Líquidos</t>
  </si>
  <si>
    <t>XMT1000LC-3-AC-0-AL-00-2-0-0-0</t>
  </si>
  <si>
    <t>IECEx SIR 17.0021X</t>
  </si>
  <si>
    <t>LMP 24.0357X</t>
  </si>
  <si>
    <t>184120.1</t>
  </si>
  <si>
    <t>Transdutor de Fluxo Ultrassônico</t>
  </si>
  <si>
    <t>CRS-05-MB (C-RS-401)</t>
  </si>
  <si>
    <t>IECEx SIR 18.0052X</t>
  </si>
  <si>
    <t>LMP 24.0358</t>
  </si>
  <si>
    <t>LMP 24.0359</t>
  </si>
  <si>
    <t>LMP 24.0360</t>
  </si>
  <si>
    <t>RPIX NEGOCIOS EM TECNOLOGIA LTDA</t>
  </si>
  <si>
    <t>184117.1</t>
  </si>
  <si>
    <t>SGSNA/18/SUW/00090</t>
  </si>
  <si>
    <t>LMP 24.0361</t>
  </si>
  <si>
    <t>184113.1</t>
  </si>
  <si>
    <t>116-BF-502/BF-501/EX/BF-502/EX/BF-502/EX/BF_x0002_503/EX/BF-501/EX/BF-501/EX/BF-502/EX/BF_x0002_501/EX/BF-503-EX/</t>
  </si>
  <si>
    <t xml:space="preserve">Acionador manual de alarme </t>
  </si>
  <si>
    <t>BF-501/EX, BF-502/EX, BF-503/EX, BF-503/EX/0500 e BF-503/EX/0100</t>
  </si>
  <si>
    <t xml:space="preserve">Nemko 03ATEX218X </t>
  </si>
  <si>
    <t>LMP 24.0362</t>
  </si>
  <si>
    <t>L'ACQUA D'ORO</t>
  </si>
  <si>
    <t>LMP 24.0363</t>
  </si>
  <si>
    <t>SANEAX</t>
  </si>
  <si>
    <t>LMP 24.0364</t>
  </si>
  <si>
    <t>GRUEN</t>
  </si>
  <si>
    <t>184071.1</t>
  </si>
  <si>
    <t xml:space="preserve">Transmitter Series ExSens </t>
  </si>
  <si>
    <t>LMP 24.0365</t>
  </si>
  <si>
    <t>LMP 24.0366</t>
  </si>
  <si>
    <t>184171.1</t>
  </si>
  <si>
    <t>LMP 24.0367X</t>
  </si>
  <si>
    <t>184163.1</t>
  </si>
  <si>
    <t>RXB-H</t>
  </si>
  <si>
    <t xml:space="preserve">E27764 (UL) </t>
  </si>
  <si>
    <t>LMP 24.0368</t>
  </si>
  <si>
    <t>183610.1</t>
  </si>
  <si>
    <t xml:space="preserve">Lanterna de mão, </t>
  </si>
  <si>
    <t>Pelican Products Inc</t>
  </si>
  <si>
    <t>LMP 24.0369</t>
  </si>
  <si>
    <t>184164.1</t>
  </si>
  <si>
    <t xml:space="preserve">Cabeça de comando elétrica </t>
  </si>
  <si>
    <t>20161028-E65682</t>
  </si>
  <si>
    <t>LMP 24.0370</t>
  </si>
  <si>
    <t>MGF (KIDDE)</t>
  </si>
  <si>
    <t>184165.1</t>
  </si>
  <si>
    <t>Cabeça de comando elétrica 202-749-260563 (codificação Kidde: WK-897494-000</t>
  </si>
  <si>
    <t>LMP 24.0371</t>
  </si>
  <si>
    <t>Prominet</t>
  </si>
  <si>
    <t>184177.1</t>
  </si>
  <si>
    <t>LMP 24.0372</t>
  </si>
  <si>
    <t>Zamot Usinagem e Moldes Ltda.</t>
  </si>
  <si>
    <t>184166.1</t>
  </si>
  <si>
    <t>LMP 24.0373</t>
  </si>
  <si>
    <t xml:space="preserve">CASA OLIVETTI </t>
  </si>
  <si>
    <t>184167.1</t>
  </si>
  <si>
    <t>LMP 24.0374</t>
  </si>
  <si>
    <t>Steel Fire</t>
  </si>
  <si>
    <t>184168.1</t>
  </si>
  <si>
    <t>LMP 24.0375</t>
  </si>
  <si>
    <t>Firegass</t>
  </si>
  <si>
    <t>184169.1</t>
  </si>
  <si>
    <t>LMP 24.0376X</t>
  </si>
  <si>
    <t>184174.1</t>
  </si>
  <si>
    <t xml:space="preserve">Sensor de Vibração </t>
  </si>
  <si>
    <t xml:space="preserve">350900-158 </t>
  </si>
  <si>
    <t>LMP 24.0377X</t>
  </si>
  <si>
    <t>184175.1</t>
  </si>
  <si>
    <t>Sensor de Vibração -  350901</t>
  </si>
  <si>
    <t>LMP 24.0378X</t>
  </si>
  <si>
    <t>Maccomevap</t>
  </si>
  <si>
    <t>184094.2</t>
  </si>
  <si>
    <t>LMP 24.0379X</t>
  </si>
  <si>
    <t>DPI610E</t>
  </si>
  <si>
    <t>LMP 24.0380X</t>
  </si>
  <si>
    <t>184178.1</t>
  </si>
  <si>
    <t>Analisador</t>
  </si>
  <si>
    <t xml:space="preserve">1056-02-22-30HT </t>
  </si>
  <si>
    <t xml:space="preserve">Rosemount Analytical Inc </t>
  </si>
  <si>
    <t>LMP 24.0381X</t>
  </si>
  <si>
    <t>184179.1</t>
  </si>
  <si>
    <t>NBB20-U1K-N0</t>
  </si>
  <si>
    <t>IECEx PTB 11.0021X</t>
  </si>
  <si>
    <t>LMP 24.0382</t>
  </si>
  <si>
    <t>184078.1</t>
  </si>
  <si>
    <t xml:space="preserve">Conversor de célula de carga (barreira isoladora) </t>
  </si>
  <si>
    <t>LMP 24.0383</t>
  </si>
  <si>
    <t>184078.2</t>
  </si>
  <si>
    <t>Barreira Eletrônica de Segurança Intrínseca</t>
  </si>
  <si>
    <t>LMP 24.0384</t>
  </si>
  <si>
    <t>184078.3</t>
  </si>
  <si>
    <t xml:space="preserve"> Leitor de codigos de 
barras 1D, USB/Serial, Zona 
1/21 </t>
  </si>
  <si>
    <t>LMP 24.0385</t>
  </si>
  <si>
    <t>184078.4</t>
  </si>
  <si>
    <t>IDM-Z1-264-M-2D-J1-BT-N-N0 + base carregadora IDM-Z1-x64-B-J1-BT-N0</t>
  </si>
  <si>
    <t>LMP 24.0386X</t>
  </si>
  <si>
    <t>184078.5</t>
  </si>
  <si>
    <t xml:space="preserve">Conjunto de controle de baixa tensão </t>
  </si>
  <si>
    <t>PSC1.IFS.GR.18.24.10-Y918718</t>
  </si>
  <si>
    <t>IECEx CES 15.0016X</t>
  </si>
  <si>
    <t>LMP 24.0387</t>
  </si>
  <si>
    <t>184078.6</t>
  </si>
  <si>
    <t>LMP 24.0388X</t>
  </si>
  <si>
    <t>184078.7</t>
  </si>
  <si>
    <t xml:space="preserve">Barreira isoladora com saída </t>
  </si>
  <si>
    <t>USB SK-PC-Z1D1-UU1-10-HS</t>
  </si>
  <si>
    <t>LMP 24.0389</t>
  </si>
  <si>
    <t>184078.8</t>
  </si>
  <si>
    <t xml:space="preserve">Amplificador Isolador (Barreira) </t>
  </si>
  <si>
    <t xml:space="preserve">Pepperl+Fuchs Asia Pte. Ltd. </t>
  </si>
  <si>
    <t xml:space="preserve">PTB 00 ATEX 2042 </t>
  </si>
  <si>
    <t>LMP 24.0390</t>
  </si>
  <si>
    <t>184078.10</t>
  </si>
  <si>
    <t xml:space="preserve">Dispositivo de diagnóstico portátil </t>
  </si>
  <si>
    <t>LMP 24.0391</t>
  </si>
  <si>
    <t>184078.9</t>
  </si>
  <si>
    <t xml:space="preserve">Termômetro </t>
  </si>
  <si>
    <t>LMP 24.0392X</t>
  </si>
  <si>
    <t>Analisador de Oxigênio</t>
  </si>
  <si>
    <t>INSTA TRANS-XD</t>
  </si>
  <si>
    <t>Teledyne Instruments</t>
  </si>
  <si>
    <t>IECEx BAS 12.0078X</t>
  </si>
  <si>
    <t>LMP 24.0393</t>
  </si>
  <si>
    <t>LMP 24.0394</t>
  </si>
  <si>
    <t>184180.1</t>
  </si>
  <si>
    <t>Fireye 65UV5</t>
  </si>
  <si>
    <t>LMP 24.0395X</t>
  </si>
  <si>
    <t>184193.1</t>
  </si>
  <si>
    <t xml:space="preserve">Tomada </t>
  </si>
  <si>
    <t>8572/14-306</t>
  </si>
  <si>
    <t>IECEx EPS 14.0092X</t>
  </si>
  <si>
    <t>LMP 24.0396X</t>
  </si>
  <si>
    <t>184195.1</t>
  </si>
  <si>
    <t xml:space="preserve">Posicionador Eletropneumático </t>
  </si>
  <si>
    <t>TS600RX35S0</t>
  </si>
  <si>
    <t>Tissin Co., Ltd</t>
  </si>
  <si>
    <t>IECEx EPS 18.0078X</t>
  </si>
  <si>
    <t>Pendente</t>
  </si>
  <si>
    <t>LMP 24.0397</t>
  </si>
  <si>
    <t>184188.1</t>
  </si>
  <si>
    <t>Detector de gás</t>
  </si>
  <si>
    <t>TGAES</t>
  </si>
  <si>
    <t>Nemko 13ATEX1555</t>
  </si>
  <si>
    <t>LMP 24.0398X</t>
  </si>
  <si>
    <t>184181.1</t>
  </si>
  <si>
    <t xml:space="preserve">Analisador de gás </t>
  </si>
  <si>
    <t>SERVOTOUGH Oxy</t>
  </si>
  <si>
    <t xml:space="preserve">Servomex Group Ltd </t>
  </si>
  <si>
    <t>IECEx BAS 0IECEx BAS 09.0029X9.0029X</t>
  </si>
  <si>
    <t>LMP 24.0399</t>
  </si>
  <si>
    <t>184200.1</t>
  </si>
  <si>
    <t xml:space="preserve">Ar-condicionado  + Painel de controle </t>
  </si>
  <si>
    <t>BFKT-70 + BCX-220/20</t>
  </si>
  <si>
    <t>Wuxi Kangning Electrical Apparatus for Explosive Atmosphere Co., LTD</t>
  </si>
  <si>
    <t>EPT 15 ATEX 2173</t>
  </si>
  <si>
    <t>LMP 24.0400X</t>
  </si>
  <si>
    <t xml:space="preserve">Indicador </t>
  </si>
  <si>
    <t>Imtex Controls Limited</t>
  </si>
  <si>
    <t>IECEx SIR 08.0099X</t>
  </si>
  <si>
    <t>LMP 24.0401X</t>
  </si>
  <si>
    <t>Helideck lighting system</t>
  </si>
  <si>
    <t>Calzoni S.r.l</t>
  </si>
  <si>
    <t>LMP 24.0402X</t>
  </si>
  <si>
    <t>184202.1</t>
  </si>
  <si>
    <t>LMP 24.0403X</t>
  </si>
  <si>
    <t>184203.1</t>
  </si>
  <si>
    <t>Brooks Instrument LLC</t>
  </si>
  <si>
    <t>LMP 24.0404X</t>
  </si>
  <si>
    <t>184206.1</t>
  </si>
  <si>
    <t xml:space="preserve">Encoder absoluto (transdutor de rotação) </t>
  </si>
  <si>
    <t>RX70TI/360EK.72KF-F0</t>
  </si>
  <si>
    <t xml:space="preserve">IECEx PTB 12.0002X </t>
  </si>
  <si>
    <t>LMP 24.0405X</t>
  </si>
  <si>
    <t>184210.1</t>
  </si>
  <si>
    <t xml:space="preserve">UE SYSTEMS / ULTRAPROBE 2000 WTG-1 </t>
  </si>
  <si>
    <t>WARBLE WTG-1</t>
  </si>
  <si>
    <t>UE Systems</t>
  </si>
  <si>
    <t>Sira 04ATEX2269X</t>
  </si>
  <si>
    <t>LMP 24.0406X</t>
  </si>
  <si>
    <t>FACHO HOMES</t>
  </si>
  <si>
    <t>Daniamant Ltd</t>
  </si>
  <si>
    <t>IECEx ITS 09.0022X</t>
  </si>
  <si>
    <t>LMP 24.0407X</t>
  </si>
  <si>
    <t>184211.1</t>
  </si>
  <si>
    <t xml:space="preserve">Ponto de Chamada Manual 
</t>
  </si>
  <si>
    <t>BF-503/EX/0100</t>
  </si>
  <si>
    <t>LMP 24.0408X</t>
  </si>
  <si>
    <t>184214.4</t>
  </si>
  <si>
    <t>Analisador de Gás</t>
  </si>
  <si>
    <t>XMO2-8CE-31-0</t>
  </si>
  <si>
    <t>IECEx ITS 12.0058X</t>
  </si>
  <si>
    <t>LMP 24.0409X</t>
  </si>
  <si>
    <t>Heatex</t>
  </si>
  <si>
    <t>EXgate™</t>
  </si>
  <si>
    <t>BARTEC AS</t>
  </si>
  <si>
    <t>IECEx PRE 20.0102X</t>
  </si>
  <si>
    <t>LMP 24.0410</t>
  </si>
  <si>
    <t>CANCELADO pelo Cliente</t>
  </si>
  <si>
    <t>Estação de Alarme de Incendio</t>
  </si>
  <si>
    <t>PTB 01 ATEX 1105</t>
  </si>
  <si>
    <t>LMP 24.0411X</t>
  </si>
  <si>
    <t>M.G.F</t>
  </si>
  <si>
    <t>184216.1</t>
  </si>
  <si>
    <t>LMP 24.0412X</t>
  </si>
  <si>
    <t>Zamot (KIDDE)</t>
  </si>
  <si>
    <t>184217.1</t>
  </si>
  <si>
    <t>Limit Swicht</t>
  </si>
  <si>
    <t>LMP 24.0413</t>
  </si>
  <si>
    <t>184222.1</t>
  </si>
  <si>
    <t>SS2100i-1</t>
  </si>
  <si>
    <t>Endress+Hauser Optical Analysis Inc</t>
  </si>
  <si>
    <t>IECEx CML 21.0155X, IECEx SIR 12.0114X, IECEx PTB 07.0052X, IECEx PTB 08.0011X, IECEx EPS 18.0110X</t>
  </si>
  <si>
    <t>LMP 24.0414</t>
  </si>
  <si>
    <t>184222.2</t>
  </si>
  <si>
    <t>LMP 24.0415</t>
  </si>
  <si>
    <t>184222.3</t>
  </si>
  <si>
    <t>LMP 24.0416</t>
  </si>
  <si>
    <t>184222.4</t>
  </si>
  <si>
    <t>LMP 24.0417X</t>
  </si>
  <si>
    <t>184225.1</t>
  </si>
  <si>
    <t>Transmissor de oxigênio oxy</t>
  </si>
  <si>
    <t xml:space="preserve">IQ com invólucro GUB2W </t>
  </si>
  <si>
    <t>IECEx FMG 14.0016X</t>
  </si>
  <si>
    <t>LMP 24.0418X</t>
  </si>
  <si>
    <t>184226.1</t>
  </si>
  <si>
    <t>XMTC</t>
  </si>
  <si>
    <t>LMP 24.0419X</t>
  </si>
  <si>
    <t>184082.1</t>
  </si>
  <si>
    <t>AX71/0012EK.72DPA-F0</t>
  </si>
  <si>
    <t xml:space="preserve">Hengstler GmbH </t>
  </si>
  <si>
    <t>LMP 24.0420</t>
  </si>
  <si>
    <t>184229.1</t>
  </si>
  <si>
    <t xml:space="preserve">Módulo PowerLoop 
</t>
  </si>
  <si>
    <t>LMP 24.0421X</t>
  </si>
  <si>
    <t>184230.1</t>
  </si>
  <si>
    <t>Bomba Magnética</t>
  </si>
  <si>
    <t xml:space="preserve">MAH-3EX </t>
  </si>
  <si>
    <t>LMP 24.0422X</t>
  </si>
  <si>
    <t>184232.1</t>
  </si>
  <si>
    <t xml:space="preserve">Módulo industrial Ethernet </t>
  </si>
  <si>
    <t>EDS-516A-MM-ST</t>
  </si>
  <si>
    <t>Moxa, Inc.</t>
  </si>
  <si>
    <t>DEMKO 09 ATEX 0812123X</t>
  </si>
  <si>
    <t>LMP 24.0423X</t>
  </si>
  <si>
    <t>184234.1</t>
  </si>
  <si>
    <t>IECEx LCIE 13.0050X</t>
  </si>
  <si>
    <t>LMP 24.0424X</t>
  </si>
  <si>
    <t>184235.1</t>
  </si>
  <si>
    <t>LMP 24.0425X</t>
  </si>
  <si>
    <t>184233.1</t>
  </si>
  <si>
    <t>unicont PKK-312-8</t>
  </si>
  <si>
    <t>NIVELCO</t>
  </si>
  <si>
    <t>BKI24ATEX0001X</t>
  </si>
  <si>
    <t>LMP 24.0426</t>
  </si>
  <si>
    <t>Switch</t>
  </si>
  <si>
    <t>Steute</t>
  </si>
  <si>
    <t>IECEx BVS 07.0013</t>
  </si>
  <si>
    <t>LMP 24.0427</t>
  </si>
  <si>
    <t>184228.1</t>
  </si>
  <si>
    <t>Transmissor de Umidade Relativa</t>
  </si>
  <si>
    <t>MMY31"A"-B-3-A-2-A</t>
  </si>
  <si>
    <t xml:space="preserve">3020974 (FM) </t>
  </si>
  <si>
    <t>LMP 24.0428</t>
  </si>
  <si>
    <t>184239.1</t>
  </si>
  <si>
    <t>Chave Fim de Curso</t>
  </si>
  <si>
    <t>ExM 14 WHL74</t>
  </si>
  <si>
    <t>steute Technologies GmbH &amp; Co. KG</t>
  </si>
  <si>
    <t>PTB 03 ATEX 1069 X</t>
  </si>
  <si>
    <t>LMP 24.0429</t>
  </si>
  <si>
    <t>184241.1</t>
  </si>
  <si>
    <t xml:space="preserve">ifm efector GmbH </t>
  </si>
  <si>
    <t>LMP 24.0430X</t>
  </si>
  <si>
    <t>ENE Tecnologia Ltda</t>
  </si>
  <si>
    <t xml:space="preserve"> 184243.1 </t>
  </si>
  <si>
    <t xml:space="preserve">Detector portátil de gás  </t>
  </si>
  <si>
    <t>SKY3000-WH-M4</t>
  </si>
  <si>
    <t>Shenzhen Yuante Technology Co., Ltd</t>
  </si>
  <si>
    <t>IECEx CQM 21.0009X</t>
  </si>
  <si>
    <t>LMP 24.0431</t>
  </si>
  <si>
    <t>184236.1</t>
  </si>
  <si>
    <t xml:space="preserve">Interruptor controlado por corrente Unicont </t>
  </si>
  <si>
    <t>PKK-312-8Ex</t>
  </si>
  <si>
    <t>BKI16ATEX0008</t>
  </si>
  <si>
    <t>LMP 24.0432</t>
  </si>
  <si>
    <t>184242.1</t>
  </si>
  <si>
    <t xml:space="preserve">Controlador de traço térmico </t>
  </si>
  <si>
    <t>920SIS (P/N 10260-006 920 SIS)</t>
  </si>
  <si>
    <t>nVent Thermal LLC / Raychem</t>
  </si>
  <si>
    <t>LMP 24.0433X</t>
  </si>
  <si>
    <t>Brahme</t>
  </si>
  <si>
    <t>184273.1</t>
  </si>
  <si>
    <t>Sensor de Gases</t>
  </si>
  <si>
    <t>Sensepoint HT 2106B2310</t>
  </si>
  <si>
    <t>IECEx BAS 08.0069X</t>
  </si>
  <si>
    <t>LMP 24.0434X</t>
  </si>
  <si>
    <t>184245.1</t>
  </si>
  <si>
    <t xml:space="preserve">Calibrador portátil de pressão </t>
  </si>
  <si>
    <t>DPI610E-SPC</t>
  </si>
  <si>
    <t>IECEx BAS 21.0005X</t>
  </si>
  <si>
    <t>LMP 24.0435X</t>
  </si>
  <si>
    <t>184248.1</t>
  </si>
  <si>
    <t xml:space="preserve">Indicador de campo </t>
  </si>
  <si>
    <t>JDF200A7 L1E1C1C6</t>
  </si>
  <si>
    <t>ABB S.p.A</t>
  </si>
  <si>
    <t>ITS16ATEX101065X</t>
  </si>
  <si>
    <t>LMP 24.0436X</t>
  </si>
  <si>
    <t>184249.1</t>
  </si>
  <si>
    <t xml:space="preserve">Transmissor de loop de corrente </t>
  </si>
  <si>
    <t>Unicont PDF-501-8Ex</t>
  </si>
  <si>
    <t>Nivelco Ipari Elektronika Zrt. / Nivelco Process Control Co</t>
  </si>
  <si>
    <t>LMP 24.0437X</t>
  </si>
  <si>
    <t>184247.1</t>
  </si>
  <si>
    <t xml:space="preserve">Transmissor de corrosão </t>
  </si>
  <si>
    <t>ER-420-0-B-T-0-10-2</t>
  </si>
  <si>
    <t>IECEX SIRA 16.0008X</t>
  </si>
  <si>
    <t>LMP 24.0438X</t>
  </si>
  <si>
    <t>184157.1</t>
  </si>
  <si>
    <t>AX71/1213EK.72SGX-K0</t>
  </si>
  <si>
    <t>LMP 24.0439</t>
  </si>
  <si>
    <t>184250.1</t>
  </si>
  <si>
    <t xml:space="preserve">Chave de nível Nivoswitch </t>
  </si>
  <si>
    <t>RGT-403-9Ex</t>
  </si>
  <si>
    <t>BKI10ATEX0012X</t>
  </si>
  <si>
    <t>LMP 24.0440X</t>
  </si>
  <si>
    <t>184252.1</t>
  </si>
  <si>
    <t>Sensor de Pressão</t>
  </si>
  <si>
    <t xml:space="preserve"> UNIK 5000</t>
  </si>
  <si>
    <t>Baseefa 10ATEX0204X</t>
  </si>
  <si>
    <t>LMP 24.0441</t>
  </si>
  <si>
    <t>BZ-500</t>
  </si>
  <si>
    <t>IECEx BAS 08.0079</t>
  </si>
  <si>
    <t>LMP 24.0442X</t>
  </si>
  <si>
    <t>FLUKE-700G-31</t>
  </si>
  <si>
    <t>IECEx EPS 13.0006X</t>
  </si>
  <si>
    <t>LMP 24.0443X</t>
  </si>
  <si>
    <t>184258.1</t>
  </si>
  <si>
    <t>LXT 380</t>
  </si>
  <si>
    <t xml:space="preserve">Teledyne Analytical Instruments </t>
  </si>
  <si>
    <t>LMP 24.0444X</t>
  </si>
  <si>
    <t>CASA OLIVETTI</t>
  </si>
  <si>
    <t>184268.1</t>
  </si>
  <si>
    <t>LMP 24.0445X</t>
  </si>
  <si>
    <t>184267.1</t>
  </si>
  <si>
    <t>Posicionador de Válvula</t>
  </si>
  <si>
    <t>TS900RC35S20</t>
  </si>
  <si>
    <t>Tissin Co., Ltd.</t>
  </si>
  <si>
    <t>IECEx EPS 19.0052X</t>
  </si>
  <si>
    <t>LMP 24.0446X</t>
  </si>
  <si>
    <t>Eximport</t>
  </si>
  <si>
    <t>LMP 24.0447</t>
  </si>
  <si>
    <t>Murray - Redlands</t>
  </si>
  <si>
    <t>184261.1</t>
  </si>
  <si>
    <t>Computador de Fluxo de Transferência de Custódia</t>
  </si>
  <si>
    <t>TCS 3000</t>
  </si>
  <si>
    <t>Total Control Systems a division of Murray Equipment, Inc.</t>
  </si>
  <si>
    <t>E320593 (UL)</t>
  </si>
  <si>
    <t>LMP 24.0448</t>
  </si>
  <si>
    <t>184270.1</t>
  </si>
  <si>
    <t xml:space="preserve"> B7 22S XCN JL K3 MD 06</t>
  </si>
  <si>
    <t>LMP 24.0449</t>
  </si>
  <si>
    <t>184246.1</t>
  </si>
  <si>
    <t>KAX (1-8431-2)
KAX (1-8411-2)</t>
  </si>
  <si>
    <t>LMP 24.0450</t>
  </si>
  <si>
    <t>VEGA Brasil Indústria e Comércio Ltda.</t>
  </si>
  <si>
    <t>LMP 24.0451</t>
  </si>
  <si>
    <t>LMP 24.0452</t>
  </si>
  <si>
    <t>184244.1</t>
  </si>
  <si>
    <t>CIFNAHKMAX / CIFNAHKMXX</t>
  </si>
  <si>
    <t>IECEx TUN 05.0008X</t>
  </si>
  <si>
    <t>LMP 24.0453</t>
  </si>
  <si>
    <t>184264.1</t>
  </si>
  <si>
    <t xml:space="preserve">Sensor de Nível tipo Radar </t>
  </si>
  <si>
    <t>VEGAPULS PS62.DXEAM3VDMAX</t>
  </si>
  <si>
    <t>PTB 03 ATEX 2163 X</t>
  </si>
  <si>
    <t>LMP 24.0454</t>
  </si>
  <si>
    <t xml:space="preserve">184301.1 </t>
  </si>
  <si>
    <t>VEGADIS 81 DIS81.IHIANOKAX</t>
  </si>
  <si>
    <t>IECEx BVS 06.0014</t>
  </si>
  <si>
    <t>LMP 24.0455</t>
  </si>
  <si>
    <t>184315.1</t>
  </si>
  <si>
    <t xml:space="preserve">Chave de nível tipo vibratória  </t>
  </si>
  <si>
    <t>VEGASWING SWING61.DIGBVXURL</t>
  </si>
  <si>
    <t>IECEx KEM 08.0031X</t>
  </si>
  <si>
    <t>LMP 24.0456</t>
  </si>
  <si>
    <t>184265.1</t>
  </si>
  <si>
    <t xml:space="preserve">Chave de nível tipo vibratória VEGACAL </t>
  </si>
  <si>
    <t>CL63.CIFNAHKMAX</t>
  </si>
  <si>
    <t>LMP 24.0457</t>
  </si>
  <si>
    <t>184277.1</t>
  </si>
  <si>
    <t>VEGAVIB VB61.CIANCZKMX</t>
  </si>
  <si>
    <t xml:space="preserve">VEGA Grieshaber KG </t>
  </si>
  <si>
    <t>IECEx PTB 07.0015X</t>
  </si>
  <si>
    <t>LMP 24.0458</t>
  </si>
  <si>
    <t>184529.1</t>
  </si>
  <si>
    <t xml:space="preserve">Barreira de micro-ondas VEGAMIP </t>
  </si>
  <si>
    <t>MPR61.DXANA1RANX (unidade receptora) e 
VEGAMIP MPT61.DXANA1TAJX (unidade transmissora)</t>
  </si>
  <si>
    <t>IECEx BVS 11.0098</t>
  </si>
  <si>
    <t>LMP 24.0459</t>
  </si>
  <si>
    <t>184485.1</t>
  </si>
  <si>
    <t>VEGASWING SWING61.CANBVXNNL</t>
  </si>
  <si>
    <t>PTB 00 ATEX 2216 X</t>
  </si>
  <si>
    <t>LMP 24.0460X</t>
  </si>
  <si>
    <t>E4M-51C3-AJ1-54-0RC</t>
  </si>
  <si>
    <t>LMP 24.0461X</t>
  </si>
  <si>
    <t>LMP 24.0462X</t>
  </si>
  <si>
    <t>ORS-SA1C-001</t>
  </si>
  <si>
    <t>IECEx SIR 10.0074X</t>
  </si>
  <si>
    <t>LMP 24.0463X</t>
  </si>
  <si>
    <t xml:space="preserve"> 07.092.005/0001-30</t>
  </si>
  <si>
    <t>Chave de Fluxo/Nível Termal</t>
  </si>
  <si>
    <t>TD1-2DC0-0C0/TEL-AV10-000
TD2-7H00-0G0/TEA-A110-006</t>
  </si>
  <si>
    <t>LMP 24.0464X</t>
  </si>
  <si>
    <t>XF10-4E54-FC9</t>
  </si>
  <si>
    <t>LMP 24.0465X</t>
  </si>
  <si>
    <t>TD2-8H00-0G2/TEC-A110-002</t>
  </si>
  <si>
    <t>LMP 24.0466X</t>
  </si>
  <si>
    <t>TD2-7D00-0G0 / TED-A230-006</t>
  </si>
  <si>
    <t>LMP 24.0467X</t>
  </si>
  <si>
    <t>LMP 24.0468X</t>
  </si>
  <si>
    <t>Ceraterm Comércio de Equipamentos e Serviç</t>
  </si>
  <si>
    <t>31.764.370/0001-29</t>
  </si>
  <si>
    <t>TA2-A1B0-130 / TER-A04A-056</t>
  </si>
  <si>
    <t>LMP 24.0469X</t>
  </si>
  <si>
    <t>LMP 24.0470X</t>
  </si>
  <si>
    <t>A15-4E2B-FA9</t>
  </si>
  <si>
    <t>LMP 24.0471</t>
  </si>
  <si>
    <t>T3B-W04B-12A</t>
  </si>
  <si>
    <t>FM19US0093</t>
  </si>
  <si>
    <t>LMP 24.0472X</t>
  </si>
  <si>
    <t>F10-4D22-BKB</t>
  </si>
  <si>
    <t>LMP 24.0473X</t>
  </si>
  <si>
    <t>C15-1H3B-QM</t>
  </si>
  <si>
    <t xml:space="preserve">FM21US0099X </t>
  </si>
  <si>
    <t>LMP 24.0474</t>
  </si>
  <si>
    <t xml:space="preserve">A15-1G3Q-BB9 e A15-1G3E-BB9 </t>
  </si>
  <si>
    <t>LMP 24.0475X</t>
  </si>
  <si>
    <t>LMP 24.0476X</t>
  </si>
  <si>
    <t xml:space="preserve">Ametek Drexelbrook </t>
  </si>
  <si>
    <t>LMP 24.0477X</t>
  </si>
  <si>
    <t>TD2-7D00-0G0 / TED-A110-004</t>
  </si>
  <si>
    <t>LMP 24.0478X</t>
  </si>
  <si>
    <t>XA15-4G3B-BB9</t>
  </si>
  <si>
    <t>LMP 24.0479X</t>
  </si>
  <si>
    <t xml:space="preserve">XE4M-51B3-0A9-64-0AB </t>
  </si>
  <si>
    <t xml:space="preserve">FM23ATEX0017X </t>
  </si>
  <si>
    <t>LMP 24.0480</t>
  </si>
  <si>
    <t>XH31-1B20-JDE</t>
  </si>
  <si>
    <t>LMP 24.0481X</t>
  </si>
  <si>
    <t>F50-4C2F-BA9 e F50-4D2F-BA9</t>
  </si>
  <si>
    <t>LMP 24.0482X</t>
  </si>
  <si>
    <t>LMP 24.0483X</t>
  </si>
  <si>
    <t xml:space="preserve">Chave de fluxo termal  </t>
  </si>
  <si>
    <t>TD1-2D00-0C0 / TMC-A110-006, TD1-2D00-0C0 / TMC-B110-024, TD1-2D00-0C0 
/ TMC-A110-008, TD1-2D00-0C0 / TMC-A110-010</t>
  </si>
  <si>
    <t>Ex db + ib/db IIC T5...T4 Ga/Gb</t>
  </si>
  <si>
    <t>LMP 24.0484X</t>
  </si>
  <si>
    <t>emitido</t>
  </si>
  <si>
    <t>LMP 24.0485</t>
  </si>
  <si>
    <t xml:space="preserve">07.092.005/0001-30 </t>
  </si>
  <si>
    <t>700-512A-A50 / 7DT-1100-A10-20-278</t>
  </si>
  <si>
    <t>LMP 24.0486X</t>
  </si>
  <si>
    <t>LMP 24.0487X</t>
  </si>
  <si>
    <t>B15-1G3B-BD9</t>
  </si>
  <si>
    <t>LMP 24.0488X</t>
  </si>
  <si>
    <t>TD2-8D00-0G3 / TMC-A110-005</t>
  </si>
  <si>
    <t>LMP 24.0489</t>
  </si>
  <si>
    <t xml:space="preserve">Chave de Fluxo por Dispersão Térmica 
</t>
  </si>
  <si>
    <t xml:space="preserve">TMC-D340-065 / TG1-120D-2A0 </t>
  </si>
  <si>
    <t>LMP 24.0490X</t>
  </si>
  <si>
    <t xml:space="preserve">JM4-511A-A10 / 2CF-00AN-101-00-060 </t>
  </si>
  <si>
    <t xml:space="preserve">FM14ATEX0059X </t>
  </si>
  <si>
    <t>LMP 24.0491X</t>
  </si>
  <si>
    <t>TD2-8H00-0G2 / TMC-A110-019, TD2-7D00-0G0 / TEA-A210-002 e 
TD2-8H00-0G2 / TMA-M110-030</t>
  </si>
  <si>
    <t xml:space="preserve">FM19ATEX0203X </t>
  </si>
  <si>
    <t>LMP 24.0492X</t>
  </si>
  <si>
    <t xml:space="preserve">Chave de nível  </t>
  </si>
  <si>
    <t>XA15-2E2B-HA9</t>
  </si>
  <si>
    <t>LMP 24.0493X</t>
  </si>
  <si>
    <t xml:space="preserve">Transmissor de nível  </t>
  </si>
  <si>
    <t>700-512A-A50 / 7DF-1100-A00-01-250</t>
  </si>
  <si>
    <t xml:space="preserve">FM19ATEX0197X </t>
  </si>
  <si>
    <t>LMP 24.0494X</t>
  </si>
  <si>
    <t>TD1-2D00-0C0 / TMA-A110-051</t>
  </si>
  <si>
    <t>LMP 24.0495X</t>
  </si>
  <si>
    <t xml:space="preserve">TD2-8D00-0G0 / TMC-A110-007 </t>
  </si>
  <si>
    <t>LMP 24.0496X</t>
  </si>
  <si>
    <t>JM4-511A-B20 / 2CH-001F-401-00-101</t>
  </si>
  <si>
    <t>LMP 24.0497X</t>
  </si>
  <si>
    <t xml:space="preserve">Medidor de densidade </t>
  </si>
  <si>
    <t>DM-50-1-1-1-1</t>
  </si>
  <si>
    <t>CCRI 19.1339X</t>
  </si>
  <si>
    <t>LMP 24.0498</t>
  </si>
  <si>
    <t>E4M-51A3-0A1-53-0RC</t>
  </si>
  <si>
    <t>FM23ATEX0017X</t>
  </si>
  <si>
    <t>LMP 24.0499X</t>
  </si>
  <si>
    <t>LMP 24.0500</t>
  </si>
  <si>
    <t>941-111M-005</t>
  </si>
  <si>
    <t>LMP 24.0501</t>
  </si>
  <si>
    <t>TD1-2D00-0C0 / TMC-A110-007</t>
  </si>
  <si>
    <t>LMP 24.0701</t>
  </si>
  <si>
    <t>184259.1</t>
  </si>
  <si>
    <t>LMP 24.0702</t>
  </si>
  <si>
    <t>184274.1</t>
  </si>
  <si>
    <t xml:space="preserve">Chave de nível NivoPOINT </t>
  </si>
  <si>
    <t>MRC-108-7Ex</t>
  </si>
  <si>
    <t xml:space="preserve">Nivelco Ipari Elektronika Zrt. / Nivelco Process Control Co. </t>
  </si>
  <si>
    <t>LMP 24.0703</t>
  </si>
  <si>
    <t>184271.1</t>
  </si>
  <si>
    <t>Sensor de proximidade</t>
  </si>
  <si>
    <t xml:space="preserve"> NJ50-FP-N-P1 (P/N 70133037)</t>
  </si>
  <si>
    <t>LMP 24.0704</t>
  </si>
  <si>
    <t>AWL</t>
  </si>
  <si>
    <t>LMP 24.0705</t>
  </si>
  <si>
    <t>184224.1</t>
  </si>
  <si>
    <t xml:space="preserve">Sistema de pressurização </t>
  </si>
  <si>
    <t>3003-WPSA-CI</t>
  </si>
  <si>
    <t>LMP 24.0706</t>
  </si>
  <si>
    <t>184224.2</t>
  </si>
  <si>
    <t xml:space="preserve">IECEx TUN 06.0005 </t>
  </si>
  <si>
    <t>LMP 24.0707</t>
  </si>
  <si>
    <t>184224.3</t>
  </si>
  <si>
    <t xml:space="preserve">Barreira de Segurança </t>
  </si>
  <si>
    <t>SB8002</t>
  </si>
  <si>
    <t>IECEx TUN 16.0023X</t>
  </si>
  <si>
    <t>LMP 24.0708</t>
  </si>
  <si>
    <t>184224.5</t>
  </si>
  <si>
    <t>KFD0-CS-Ex2.52</t>
  </si>
  <si>
    <t>IECEx BAS 08.0059</t>
  </si>
  <si>
    <t>LMP 24.0709</t>
  </si>
  <si>
    <t>184224.4</t>
  </si>
  <si>
    <t xml:space="preserve">Sonda magnética </t>
  </si>
  <si>
    <t>Magnet-Ex 12</t>
  </si>
  <si>
    <t>Pepperl + Fuchs AG</t>
  </si>
  <si>
    <t>PTB 01 ATEX 2018</t>
  </si>
  <si>
    <t>LMP 24.0710</t>
  </si>
  <si>
    <t>184224.8</t>
  </si>
  <si>
    <t xml:space="preserve">Amplificador isolador (barreira) </t>
  </si>
  <si>
    <t>IECEx TUN 19.0013X</t>
  </si>
  <si>
    <t>LMP 24.0711</t>
  </si>
  <si>
    <t>184224.7</t>
  </si>
  <si>
    <t xml:space="preserve"> IDM-Z1-164-M-1D-J1-BT-P-N0</t>
  </si>
  <si>
    <t>LMP 24.0712</t>
  </si>
  <si>
    <t>184224.6</t>
  </si>
  <si>
    <t>LMP 24.0713</t>
  </si>
  <si>
    <t>18224.10</t>
  </si>
  <si>
    <t>LMP 24.0714</t>
  </si>
  <si>
    <t>184224.9</t>
  </si>
  <si>
    <t>LMP 24.0715</t>
  </si>
  <si>
    <t>184209.1</t>
  </si>
  <si>
    <t xml:space="preserve">Chave fim de curso </t>
  </si>
  <si>
    <t>XCWD2102L10</t>
  </si>
  <si>
    <t>Ex-tech Solution</t>
  </si>
  <si>
    <t>INERIS 03ATEX0083X</t>
  </si>
  <si>
    <t>LMP 24.0716</t>
  </si>
  <si>
    <t>184313.1</t>
  </si>
  <si>
    <t>Unidade de Controle de Campo</t>
  </si>
  <si>
    <t>VECTOR</t>
  </si>
  <si>
    <t>ESP Safety, Inc.</t>
  </si>
  <si>
    <t>FM15ATEX0050X</t>
  </si>
  <si>
    <t>LMP 24.0717</t>
  </si>
  <si>
    <t>184314.1</t>
  </si>
  <si>
    <t xml:space="preserve">Analisador de gás SERVOTOUGH Oxy </t>
  </si>
  <si>
    <t>01910B1</t>
  </si>
  <si>
    <t>Servomex Group Ltd.</t>
  </si>
  <si>
    <t>LMP 24.0718</t>
  </si>
  <si>
    <t>Clark Reliance do Brasil Equipamentos Industriais Ltda.</t>
  </si>
  <si>
    <t>183604.1</t>
  </si>
  <si>
    <t>JMTG-A2A-022/01800-SS3 (CR-JMT)</t>
  </si>
  <si>
    <t>Clark-Reliance Corp.</t>
  </si>
  <si>
    <t>IECEx ETL 19.0030X</t>
  </si>
  <si>
    <t>LMP 24.0719</t>
  </si>
  <si>
    <t>184317.1</t>
  </si>
  <si>
    <t xml:space="preserve">Manômetro </t>
  </si>
  <si>
    <t>452074SD04LXC4FM200#</t>
  </si>
  <si>
    <t>LMP 24.0720</t>
  </si>
  <si>
    <t>184557.1</t>
  </si>
  <si>
    <t>VEGASWING SWING61.DCNBVXUCXV</t>
  </si>
  <si>
    <t>LMP 24.0721</t>
  </si>
  <si>
    <t>184509.1</t>
  </si>
  <si>
    <t>VEGASWING SWING63.CANAVXPZ</t>
  </si>
  <si>
    <t>LMP 24.0722</t>
  </si>
  <si>
    <t>184486.1</t>
  </si>
  <si>
    <t>VEGAFLEX FX81.ACATBHHXKMXX</t>
  </si>
  <si>
    <t>LMP 24.0723</t>
  </si>
  <si>
    <t>184326.1</t>
  </si>
  <si>
    <t xml:space="preserve">Instrumento controlador de sinal </t>
  </si>
  <si>
    <t>VEGATOR TOR112.ICXSKBX</t>
  </si>
  <si>
    <t>IECEx TUN 14.0004X</t>
  </si>
  <si>
    <t>LMP 24.0724</t>
  </si>
  <si>
    <t>184528.1</t>
  </si>
  <si>
    <t>VEGAVIB VB61LXAGCRA9X</t>
  </si>
  <si>
    <t>PTB 10 ATEX 1055 X</t>
  </si>
  <si>
    <t>LMP 24.0725</t>
  </si>
  <si>
    <t>184559.1</t>
  </si>
  <si>
    <t>VEGAPULS PS63.DXNAEHWMAX</t>
  </si>
  <si>
    <t>LMP 24.0726</t>
  </si>
  <si>
    <t>184558.1</t>
  </si>
  <si>
    <t xml:space="preserve">Separador de Alimentação </t>
  </si>
  <si>
    <t>Ex VEGATRENN 142</t>
  </si>
  <si>
    <t>IECEx ULD 20.0018X</t>
  </si>
  <si>
    <t>LMP 24.0727</t>
  </si>
  <si>
    <t>184602.1</t>
  </si>
  <si>
    <t xml:space="preserve">Sensor de Alimentação Ex </t>
  </si>
  <si>
    <t>VEGATRENN 141</t>
  </si>
  <si>
    <t>IECEx ULD 20.0019X</t>
  </si>
  <si>
    <t>LMP 24.0728</t>
  </si>
  <si>
    <t>184571.1</t>
  </si>
  <si>
    <t xml:space="preserve">Chave de Nível tipo Vibratória </t>
  </si>
  <si>
    <t>VEGAVIB VB61.LXAGCRA9X</t>
  </si>
  <si>
    <t>LMP 24.0729</t>
  </si>
  <si>
    <t>184543.1</t>
  </si>
  <si>
    <t xml:space="preserve">Chave de nível tipo capacitiva </t>
  </si>
  <si>
    <t>VEGACAP CP64.UXFAARANX</t>
  </si>
  <si>
    <t>LMP 24.0730</t>
  </si>
  <si>
    <t>184510.1</t>
  </si>
  <si>
    <t>VEGAWAVE WE63.LIANDRANX</t>
  </si>
  <si>
    <t>LMP 24.0731</t>
  </si>
  <si>
    <t>184511.1</t>
  </si>
  <si>
    <t>VEGAPULS PS61.CXBYDHKMXX</t>
  </si>
  <si>
    <t>PTB 03 ATEX 2060 X</t>
  </si>
  <si>
    <t>LMP 24.0732</t>
  </si>
  <si>
    <t>184266.1</t>
  </si>
  <si>
    <t xml:space="preserve">VEGATRENN 141 </t>
  </si>
  <si>
    <t>LMP 24.0733</t>
  </si>
  <si>
    <t>184530.1</t>
  </si>
  <si>
    <t xml:space="preserve">Transmissor de pressão </t>
  </si>
  <si>
    <t>VEGABAR B83.IDLFSGOSHXWINAM</t>
  </si>
  <si>
    <t>IECEx TUN 13.0033X</t>
  </si>
  <si>
    <t>LMP 24.0734</t>
  </si>
  <si>
    <t>14570.1</t>
  </si>
  <si>
    <t xml:space="preserve">Transmissor de Pressão VEGABAR </t>
  </si>
  <si>
    <t>B83.IDLFSGPSHXWINAM</t>
  </si>
  <si>
    <t>LMP 24.0735</t>
  </si>
  <si>
    <t>184614.1</t>
  </si>
  <si>
    <t>VEGACAL CL63.CXFGAHKNAX</t>
  </si>
  <si>
    <t>TÜV 05 ATEX 2808 X</t>
  </si>
  <si>
    <t>LMP 24.0736</t>
  </si>
  <si>
    <t>184616.1</t>
  </si>
  <si>
    <t xml:space="preserve">cChave de nível tipo vibratória </t>
  </si>
  <si>
    <t>LMP 24.0737</t>
  </si>
  <si>
    <t>184615.1</t>
  </si>
  <si>
    <t>LMP 24.0738</t>
  </si>
  <si>
    <t>184618.1</t>
  </si>
  <si>
    <t>LMP 24.0739</t>
  </si>
  <si>
    <t>184316.1</t>
  </si>
  <si>
    <t>VEGADIS DIS82.ACHKIMXCX</t>
  </si>
  <si>
    <t>Ex ia IIC T6...T1 Ga, Gb</t>
  </si>
  <si>
    <t>LMP 24.0740</t>
  </si>
  <si>
    <t>184278.1</t>
  </si>
  <si>
    <t xml:space="preserve">Sensor de Nível  </t>
  </si>
  <si>
    <t>ELS-1100-IS-ATEX (P/N: 250540)</t>
  </si>
  <si>
    <t>Setra Systems Inc. d/b/a Gems Sensors &amp; Controls</t>
  </si>
  <si>
    <t>IECEx SIR 17.0003X</t>
  </si>
  <si>
    <t>LMP 24.0741</t>
  </si>
  <si>
    <t>184279.1</t>
  </si>
  <si>
    <t xml:space="preserve">Transmissor Ultrassônico de Fluxo de Massa de Gás </t>
  </si>
  <si>
    <t xml:space="preserve">XGF868I-1-2-FI-F-3-4-0-CC </t>
  </si>
  <si>
    <t>IECEx SIR 17.0080X</t>
  </si>
  <si>
    <t>LMP 24.0742</t>
  </si>
  <si>
    <t>184283.1</t>
  </si>
  <si>
    <t xml:space="preserve"> E-751 (E721-76HV)</t>
  </si>
  <si>
    <t xml:space="preserve">Milton Roy Company </t>
  </si>
  <si>
    <t xml:space="preserve">E126340 </t>
  </si>
  <si>
    <t>LMP 24.0743</t>
  </si>
  <si>
    <t>184284.1</t>
  </si>
  <si>
    <t>FPSN7JH25 XFS</t>
  </si>
  <si>
    <t>LMP 24.0744</t>
  </si>
  <si>
    <t>LMP 24.0745</t>
  </si>
  <si>
    <t>184287.1</t>
  </si>
  <si>
    <t>RC15-14-N0</t>
  </si>
  <si>
    <t>LMP 24.0746</t>
  </si>
  <si>
    <t>184287.2</t>
  </si>
  <si>
    <t>MMB70-12GH50-1N</t>
  </si>
  <si>
    <t>LMP 24.0747</t>
  </si>
  <si>
    <t>184324.1</t>
  </si>
  <si>
    <t xml:space="preserve">Chave de nível tipo capacitiva  </t>
  </si>
  <si>
    <t>VEGACAL CL62.DIANAHW8XX</t>
  </si>
  <si>
    <t>IECEx TUN 05.0018X</t>
  </si>
  <si>
    <t>LMP 24.0748</t>
  </si>
  <si>
    <t>184325.1</t>
  </si>
  <si>
    <t xml:space="preserve">VEGASWING SWING61.CANBVXNNL </t>
  </si>
  <si>
    <t>LMP 24.0749</t>
  </si>
  <si>
    <t>184323.1</t>
  </si>
  <si>
    <t>VEGAVIB VB63LKANCRANX</t>
  </si>
  <si>
    <t>LMP 24.0750</t>
  </si>
  <si>
    <t>184291.1</t>
  </si>
  <si>
    <t>VEGAWAVE WAVES61.EEJ4RA</t>
  </si>
  <si>
    <t>BVS 07 ATEX E 017 X</t>
  </si>
  <si>
    <t>LMP 24.0751</t>
  </si>
  <si>
    <t>184488.1</t>
  </si>
  <si>
    <t xml:space="preserve">VEGAPULS PS64.IEGGIIHXVOAXM </t>
  </si>
  <si>
    <t xml:space="preserve">IECEx PTB 15.0023X </t>
  </si>
  <si>
    <t>LMP 24.0752</t>
  </si>
  <si>
    <t>184494.1</t>
  </si>
  <si>
    <t>VEGASWING SWING63.CAAGFXNN</t>
  </si>
  <si>
    <t>LMP 24.0753</t>
  </si>
  <si>
    <t>184290.1</t>
  </si>
  <si>
    <t xml:space="preserve">Transmissor de Separação Ex  </t>
  </si>
  <si>
    <t>VEGATRENN 151.ICXXKBX</t>
  </si>
  <si>
    <t>IECEx TUN 15.0030X</t>
  </si>
  <si>
    <t>LMP 24.0754</t>
  </si>
  <si>
    <t>3R Petroleum Offshore S.A (Steute)</t>
  </si>
  <si>
    <t>184300.1</t>
  </si>
  <si>
    <t>LMP 24.0755</t>
  </si>
  <si>
    <t>Steel Fire (KIDDE)</t>
  </si>
  <si>
    <t>184292.1</t>
  </si>
  <si>
    <t>LMP 24.0756</t>
  </si>
  <si>
    <t>18293.1</t>
  </si>
  <si>
    <t>E27764 (UL)</t>
  </si>
  <si>
    <t>LMP 24.0757</t>
  </si>
  <si>
    <t>Spirax</t>
  </si>
  <si>
    <t>184294.1</t>
  </si>
  <si>
    <t>LMP 24.0758</t>
  </si>
  <si>
    <t>184296.1</t>
  </si>
  <si>
    <t xml:space="preserve">Sensor de pH InPro </t>
  </si>
  <si>
    <t>3250i/SG/120 (P/N 52005373)</t>
  </si>
  <si>
    <t xml:space="preserve">Mettler-Toledo GmbH </t>
  </si>
  <si>
    <t>LMP 24.0759</t>
  </si>
  <si>
    <t>183405.1</t>
  </si>
  <si>
    <t>B767S XFS06</t>
  </si>
  <si>
    <t>LMP 24.0760</t>
  </si>
  <si>
    <t xml:space="preserve">PHD Master Consultoria Ltda. </t>
  </si>
  <si>
    <t>184306.1</t>
  </si>
  <si>
    <t>Antena</t>
  </si>
  <si>
    <t>RAD-ISM-2400-ANT-OMNI-6-0</t>
  </si>
  <si>
    <t>Phoenix Contact GmbH &amp; Co. KG</t>
  </si>
  <si>
    <t xml:space="preserve">IECEx IBE 14.0039X </t>
  </si>
  <si>
    <t>LMP 24.0761</t>
  </si>
  <si>
    <t xml:space="preserve">184307.1 </t>
  </si>
  <si>
    <t xml:space="preserve">Roteador </t>
  </si>
  <si>
    <t xml:space="preserve">FL WLAN 2010 </t>
  </si>
  <si>
    <t xml:space="preserve">Phoenix Contact GmbH &amp; Co. KG </t>
  </si>
  <si>
    <t>Ex ec IIC T4 Ga</t>
  </si>
  <si>
    <t>LMP 24.0762</t>
  </si>
  <si>
    <t>PHD</t>
  </si>
  <si>
    <t>184308.1</t>
  </si>
  <si>
    <t xml:space="preserve">Barreira de Antena </t>
  </si>
  <si>
    <t>BAR-ANT-N-N-EX</t>
  </si>
  <si>
    <t xml:space="preserve">IECEx IBE 15.0006X </t>
  </si>
  <si>
    <t>LMP 24.0763</t>
  </si>
  <si>
    <t>184311.1</t>
  </si>
  <si>
    <t>HYGROPROII</t>
  </si>
  <si>
    <t xml:space="preserve">FM22US0016X </t>
  </si>
  <si>
    <t>LMP 24.0764</t>
  </si>
  <si>
    <t>184312.1</t>
  </si>
  <si>
    <t>LMP 24.3000</t>
  </si>
  <si>
    <t>184318.1</t>
  </si>
  <si>
    <t xml:space="preserve">Calibrador e registrador de processo multifunções </t>
  </si>
  <si>
    <t>Additel260Ex</t>
  </si>
  <si>
    <t>Additel Coporation</t>
  </si>
  <si>
    <t>LMP 24.3001</t>
  </si>
  <si>
    <t>184321.1</t>
  </si>
  <si>
    <t>Chave de Nível Capacitiva</t>
  </si>
  <si>
    <t>SA270ADU1000-6</t>
  </si>
  <si>
    <t>Finetek Co., Ltd.</t>
  </si>
  <si>
    <t>GYB19.1962X</t>
  </si>
  <si>
    <t>LMP 24.3002</t>
  </si>
  <si>
    <t>LMP 24.3003</t>
  </si>
  <si>
    <t>184331.1</t>
  </si>
  <si>
    <t>Chave de nivel</t>
  </si>
  <si>
    <t>NivoPOINT MRD-103-7Ex</t>
  </si>
  <si>
    <t>LMP 24.3004</t>
  </si>
  <si>
    <t>LMP 24.3005</t>
  </si>
  <si>
    <t>Sandvik Rock Processing Brasil Ltda.</t>
  </si>
  <si>
    <t>184221.1</t>
  </si>
  <si>
    <t>Balança Dosadora de Correia</t>
  </si>
  <si>
    <t>MTD-E 08.45 T40</t>
  </si>
  <si>
    <t>Sandvik Rock Processing</t>
  </si>
  <si>
    <t>Skid</t>
  </si>
  <si>
    <t>LMP 24.3006</t>
  </si>
  <si>
    <t>184227.1</t>
  </si>
  <si>
    <t xml:space="preserve">Lanterna de mão RAZOR </t>
  </si>
  <si>
    <t>Koehler-Bright Star</t>
  </si>
  <si>
    <t>BAS21UKEX0609</t>
  </si>
  <si>
    <t>LMP 24.3007</t>
  </si>
  <si>
    <t xml:space="preserve">IECEx ETL 17.0008X </t>
  </si>
  <si>
    <t>LMP 24.3008</t>
  </si>
  <si>
    <t xml:space="preserve">Casa Olivetti </t>
  </si>
  <si>
    <t>184345.1</t>
  </si>
  <si>
    <t>LMP 24.3009</t>
  </si>
  <si>
    <t xml:space="preserve">Zamot </t>
  </si>
  <si>
    <t>LMP 24.3010</t>
  </si>
  <si>
    <t>Posicionador</t>
  </si>
  <si>
    <t>LMP 24.3011</t>
  </si>
  <si>
    <t>184431.1</t>
  </si>
  <si>
    <t>NTQ-100-1.1.X.EX e NTQ-200.1.1X.EX</t>
  </si>
  <si>
    <t>Nutork Corp.</t>
  </si>
  <si>
    <t>0P191202.NSS93</t>
  </si>
  <si>
    <t>LMP 24.3012</t>
  </si>
  <si>
    <t>184427.1</t>
  </si>
  <si>
    <t>Detector de incêndio</t>
  </si>
  <si>
    <t xml:space="preserve"> V-530-EXIA</t>
  </si>
  <si>
    <t xml:space="preserve">IECEx DNV 21.0082X </t>
  </si>
  <si>
    <t>LMP 24.3013</t>
  </si>
  <si>
    <t>184432.1</t>
  </si>
  <si>
    <t xml:space="preserve">700G05 e 700G30 </t>
  </si>
  <si>
    <t xml:space="preserve">Anhui Shifu Instruments Co Ltd </t>
  </si>
  <si>
    <t>Ex ic IIB T6 Gc</t>
  </si>
  <si>
    <t>LMP 24.3014</t>
  </si>
  <si>
    <t>184433.1</t>
  </si>
  <si>
    <t xml:space="preserve">	 FLUKE-718EX 30</t>
  </si>
  <si>
    <t>Ex ia IIC T4 Ga</t>
  </si>
  <si>
    <t>LMP 24.3015</t>
  </si>
  <si>
    <t>184434.1</t>
  </si>
  <si>
    <t>Posicionador eletro-pneumatico</t>
  </si>
  <si>
    <t xml:space="preserve"> SP520SL10A3N00</t>
  </si>
  <si>
    <t>Shinhwa Eng. Co., Ltd.</t>
  </si>
  <si>
    <t>EPS 21 ATEX 1 085X</t>
  </si>
  <si>
    <t>LMP 24.3016</t>
  </si>
  <si>
    <t>Digitrol Service</t>
  </si>
  <si>
    <t>184435.1</t>
  </si>
  <si>
    <t xml:space="preserve">SP520SL10A3N00 </t>
  </si>
  <si>
    <t>EPS 21 ATEX 1 085 X</t>
  </si>
  <si>
    <t>LMP 24.3017</t>
  </si>
  <si>
    <t>FORTINOX</t>
  </si>
  <si>
    <t>184436.1</t>
  </si>
  <si>
    <t>SP520SL10A3N00</t>
  </si>
  <si>
    <t>LMP 24.3018</t>
  </si>
  <si>
    <t>184437.1</t>
  </si>
  <si>
    <t>LMP 24.3019</t>
  </si>
  <si>
    <t>Esders</t>
  </si>
  <si>
    <t>184439.1</t>
  </si>
  <si>
    <t xml:space="preserve"> DSES</t>
  </si>
  <si>
    <t>LMP 24.3020</t>
  </si>
  <si>
    <t>184440.1</t>
  </si>
  <si>
    <t xml:space="preserve">Posicionador eletropneumático </t>
  </si>
  <si>
    <t xml:space="preserve">Tissin Co., Ltd. </t>
  </si>
  <si>
    <t>LMP 24.3021</t>
  </si>
  <si>
    <t>184444.1</t>
  </si>
  <si>
    <t xml:space="preserve">Fone com microfone (headset) </t>
  </si>
  <si>
    <t xml:space="preserve">Twin Cup MT72H540P3E-50 </t>
  </si>
  <si>
    <t xml:space="preserve">3M Svenska AB </t>
  </si>
  <si>
    <t>Nemko 09ATEX1119X</t>
  </si>
  <si>
    <t>LMP 24.3022</t>
  </si>
  <si>
    <t>184445.1</t>
  </si>
  <si>
    <t xml:space="preserve">R. Stahl Schaltgeräte GmbH </t>
  </si>
  <si>
    <t>IECEx PTB 16.0027</t>
  </si>
  <si>
    <t>LMP 24.3023</t>
  </si>
  <si>
    <t>184447.1</t>
  </si>
  <si>
    <t xml:space="preserve">Monitor de posição de válvula  </t>
  </si>
  <si>
    <t>LMP 24.3024</t>
  </si>
  <si>
    <t>184451.1</t>
  </si>
  <si>
    <t xml:space="preserve"> E-752 (E702-297) </t>
  </si>
  <si>
    <t>LMP 24.3025</t>
  </si>
  <si>
    <t xml:space="preserve">MASTER ENERGY </t>
  </si>
  <si>
    <t>184452.1</t>
  </si>
  <si>
    <t>LMP 24.3026</t>
  </si>
  <si>
    <t>BRAHME</t>
  </si>
  <si>
    <t>184453.1</t>
  </si>
  <si>
    <t xml:space="preserve">Sensor de chama ultravioleta </t>
  </si>
  <si>
    <t>LG1093AC01</t>
  </si>
  <si>
    <t xml:space="preserve">Ontic Engineering and Manufacturing, Inc </t>
  </si>
  <si>
    <t>FM21ATEX0063X</t>
  </si>
  <si>
    <t>LMP 24.3027</t>
  </si>
  <si>
    <t>184454.1</t>
  </si>
  <si>
    <t xml:space="preserve">Sensor de umidade </t>
  </si>
  <si>
    <t xml:space="preserve">M2LW-00-010-0 </t>
  </si>
  <si>
    <t xml:space="preserve">Panametrics LLC </t>
  </si>
  <si>
    <t>IECEx BAS 13.0129X</t>
  </si>
  <si>
    <t>LMP 24.3028</t>
  </si>
  <si>
    <t>184456.1</t>
  </si>
  <si>
    <t>Transmissor de oxigênio oxy.</t>
  </si>
  <si>
    <t>Panametrics LLC | Officine Meccaniche M.A.M.</t>
  </si>
  <si>
    <t xml:space="preserve">IECEx INE 11.0018X </t>
  </si>
  <si>
    <t>LMP 24.3029</t>
  </si>
  <si>
    <t>184457.1</t>
  </si>
  <si>
    <t>Chave de Nivel tipo Boia</t>
  </si>
  <si>
    <t>AL-ADF-FV3”/150/RF-VUUU-L769/12-V52A (FLS-SAD)</t>
  </si>
  <si>
    <t>KSR Kuebler Niveau-Messtechnik AG
Heinrich-Kübler-Platz 1 - 69439 Zwingenberg</t>
  </si>
  <si>
    <t>LMP 24.3030</t>
  </si>
  <si>
    <t>184458.1</t>
  </si>
  <si>
    <t xml:space="preserve"> AVK-ADFUVK18/T15-L1,950/M1,800/14 (BLR-SBD)</t>
  </si>
  <si>
    <t>LMP 24.3031</t>
  </si>
  <si>
    <t>Brahme Comércio de Materiais Eletro Eletrônicos Ltda</t>
  </si>
  <si>
    <t>184459.1</t>
  </si>
  <si>
    <t xml:space="preserve">Detector Fixo de Gás - </t>
  </si>
  <si>
    <t>GTQ-WD6200</t>
  </si>
  <si>
    <t xml:space="preserve">Hanwei Electronics Group Corporation </t>
  </si>
  <si>
    <t>TÜV 20 ATEX 8611 X</t>
  </si>
  <si>
    <t>LMP 24.3032</t>
  </si>
  <si>
    <t>184460.1</t>
  </si>
  <si>
    <t>Hanwei Electronics Group Corporation</t>
  </si>
  <si>
    <t>LMP 24.3033</t>
  </si>
  <si>
    <t xml:space="preserve">Ekiper Instalações Industriais e Segurança Contra Incêndio Ltda </t>
  </si>
  <si>
    <t>184461.1</t>
  </si>
  <si>
    <t xml:space="preserve">GTQ-WD6200 </t>
  </si>
  <si>
    <t xml:space="preserve">TÜV 20 ATEX 8611 X </t>
  </si>
  <si>
    <t>LMP 24.3034</t>
  </si>
  <si>
    <t>184462.1</t>
  </si>
  <si>
    <t>LMP 24.3035</t>
  </si>
  <si>
    <t>184463.1</t>
  </si>
  <si>
    <t xml:space="preserve">Módulo de entrada PowerLoop  </t>
  </si>
  <si>
    <t xml:space="preserve">Autronica Fire and Security AS </t>
  </si>
  <si>
    <t>LMP 24.3036</t>
  </si>
  <si>
    <t>184465.1</t>
  </si>
  <si>
    <t xml:space="preserve">Luz de boia salva-vidas </t>
  </si>
  <si>
    <t>L161</t>
  </si>
  <si>
    <t xml:space="preserve">Daniamant Ltd </t>
  </si>
  <si>
    <t>LMP 24.3037</t>
  </si>
  <si>
    <t>184467.1</t>
  </si>
  <si>
    <t xml:space="preserve">Compact Instruments Ltd </t>
  </si>
  <si>
    <t>IECEx BAS 15.0032</t>
  </si>
  <si>
    <t>LMP 24.3038</t>
  </si>
  <si>
    <t>184468.1</t>
  </si>
  <si>
    <t>LMP 24.3039</t>
  </si>
  <si>
    <t>184469.1</t>
  </si>
  <si>
    <t>(P/N: 1-8431-2)</t>
  </si>
  <si>
    <t xml:space="preserve">Monitor Technologies LLC </t>
  </si>
  <si>
    <t>LMP 24.3040</t>
  </si>
  <si>
    <t>PLC OPEN AUTOMACAO E MANUTENCAO INDUSTRIAL LTDA</t>
  </si>
  <si>
    <t>184470.1</t>
  </si>
  <si>
    <t xml:space="preserve"> (1-8431-2)</t>
  </si>
  <si>
    <t xml:space="preserve">CSAE 21UKEX9587 </t>
  </si>
  <si>
    <t>LMP 24.3041</t>
  </si>
  <si>
    <t>184471.1</t>
  </si>
  <si>
    <t>Chave de nível KAX</t>
  </si>
  <si>
    <t xml:space="preserve"> (P/N: 1-8431-2 e 1-8411-2)</t>
  </si>
  <si>
    <t>LMP 24.3042</t>
  </si>
  <si>
    <t>184472.1</t>
  </si>
  <si>
    <t xml:space="preserve">Sensor de umidade MIS Probe </t>
  </si>
  <si>
    <t>2 (P/N: MISP2-2W-T10-100-0)</t>
  </si>
  <si>
    <t>IECEx BAS 13.0130X</t>
  </si>
  <si>
    <t>LMP 24.3043</t>
  </si>
  <si>
    <t>184475.1</t>
  </si>
  <si>
    <t xml:space="preserve">Brooks Instrument, LLC. </t>
  </si>
  <si>
    <t>LMP 24.3044</t>
  </si>
  <si>
    <t>184476.1</t>
  </si>
  <si>
    <t>LMP 24.3045</t>
  </si>
  <si>
    <t>184477.1</t>
  </si>
  <si>
    <t xml:space="preserve">TRANSMISSOR DE PRESSAO </t>
  </si>
  <si>
    <t>MBS 3300 (060G3722)</t>
  </si>
  <si>
    <t>Danfoss Power Solutions ApS</t>
  </si>
  <si>
    <t>E227388</t>
  </si>
  <si>
    <t>LMP 24.3046</t>
  </si>
  <si>
    <t>184489.1</t>
  </si>
  <si>
    <t>LMP 24.3047</t>
  </si>
  <si>
    <t>184490.1</t>
  </si>
  <si>
    <t>Base Ex para Detector de Incêndio /</t>
  </si>
  <si>
    <t xml:space="preserve"> V-120</t>
  </si>
  <si>
    <t>LMP 24.3048</t>
  </si>
  <si>
    <t>184491.1</t>
  </si>
  <si>
    <t>LMP 24.3049</t>
  </si>
  <si>
    <t>184455.1</t>
  </si>
  <si>
    <t xml:space="preserve">Roteador de dados </t>
  </si>
  <si>
    <t>mCoreSDR</t>
  </si>
  <si>
    <t>LeeMAH Electronics, Inc. (Monico Monitoring, Inc.)</t>
  </si>
  <si>
    <t>ETL Listed</t>
  </si>
  <si>
    <t>LMP 24.3050</t>
  </si>
  <si>
    <t>184492.1</t>
  </si>
  <si>
    <t>RNM-405-N Ex</t>
  </si>
  <si>
    <t>BKI16ATEX0031</t>
  </si>
  <si>
    <t>LMP 24.3051</t>
  </si>
  <si>
    <t>184513.1</t>
  </si>
  <si>
    <t>T40-CO2-30-SF0-6-IS</t>
  </si>
  <si>
    <t>Fluke Process Instruments gmbH</t>
  </si>
  <si>
    <t>IECEx SIR 20.0047</t>
  </si>
  <si>
    <t>LMP 24.3052</t>
  </si>
  <si>
    <t>184512.1</t>
  </si>
  <si>
    <t>Dispositivo de Sinalização Audível -</t>
  </si>
  <si>
    <t xml:space="preserve"> DB3B GD</t>
  </si>
  <si>
    <t>Baseefa13ATEX0231X</t>
  </si>
  <si>
    <t>LMP 24.3053</t>
  </si>
  <si>
    <t>184502.1</t>
  </si>
  <si>
    <t xml:space="preserve"> E-752 (E712-277)</t>
  </si>
  <si>
    <t>LMP 24.3054</t>
  </si>
  <si>
    <t>FLUXO Soluções Integradas Ltda.</t>
  </si>
  <si>
    <t>184503.1</t>
  </si>
  <si>
    <t xml:space="preserve">Monitor de óleo em água (detector de hidrocarbonetos) </t>
  </si>
  <si>
    <t>ID-223/500</t>
  </si>
  <si>
    <t>LMP 24.3055</t>
  </si>
  <si>
    <t>184191.1</t>
  </si>
  <si>
    <t>LMP 24.3056</t>
  </si>
  <si>
    <t>184515.1</t>
  </si>
  <si>
    <t>VIM62PP-E1V16-0NE-I420KA4</t>
  </si>
  <si>
    <t>IECEx CSAE 22.0042X</t>
  </si>
  <si>
    <t>LMP 24.3057</t>
  </si>
  <si>
    <t>184484.1</t>
  </si>
  <si>
    <t xml:space="preserve">Higrômetro portátil </t>
  </si>
  <si>
    <t>PM880-BB</t>
  </si>
  <si>
    <t>LMP 24.3058</t>
  </si>
  <si>
    <t>ZT INDUSTRIA E COMERCIO DE EQUIPAMENTOS LTDA</t>
  </si>
  <si>
    <t>184548.1</t>
  </si>
  <si>
    <t xml:space="preserve"> 2007SBY2B2M020000305</t>
  </si>
  <si>
    <t>FM16US0176X e IECEx ETL 17.0008X</t>
  </si>
  <si>
    <t>LMP 24.3059</t>
  </si>
  <si>
    <t>HGS GAS E AGUA DO BRASIL LTDA</t>
  </si>
  <si>
    <t>184496.1</t>
  </si>
  <si>
    <t>PS 23/N</t>
  </si>
  <si>
    <t>Coelbo S.r.l.</t>
  </si>
  <si>
    <t>IECEx EPS 13.0033</t>
  </si>
  <si>
    <t>LMP 24.3060</t>
  </si>
  <si>
    <t>DIGITROL</t>
  </si>
  <si>
    <t>184507.1</t>
  </si>
  <si>
    <t xml:space="preserve">Conversor fotométrico </t>
  </si>
  <si>
    <t>C4201-EX (montado no painel de controle Bartec B)</t>
  </si>
  <si>
    <t>optek-Danulat GmbH / Bartec nederland b.v.</t>
  </si>
  <si>
    <t>IECEx DEK 13.0075</t>
  </si>
  <si>
    <t>LMP 24.3061</t>
  </si>
  <si>
    <t>184507.2</t>
  </si>
  <si>
    <t>LMP 24.3062</t>
  </si>
  <si>
    <t>FILLPRO INDUSTRIAL LTDA</t>
  </si>
  <si>
    <t>184505.2</t>
  </si>
  <si>
    <t>LMP 24.3063</t>
  </si>
  <si>
    <t>184536.1</t>
  </si>
  <si>
    <t xml:space="preserve">Medidor de nível </t>
  </si>
  <si>
    <t>LMP 24.3064</t>
  </si>
  <si>
    <t>184501.1</t>
  </si>
  <si>
    <t>MAH-3EX</t>
  </si>
  <si>
    <t>LMP 24.3065</t>
  </si>
  <si>
    <t>184531.1</t>
  </si>
  <si>
    <t>Echo Point (P/N 02-030020)</t>
  </si>
  <si>
    <t>Rohrback Cosasco Systems, Inc.</t>
  </si>
  <si>
    <t>CML 21ATEX2802X</t>
  </si>
  <si>
    <t>LMP 24.3066</t>
  </si>
  <si>
    <t>184539.1</t>
  </si>
  <si>
    <t>LMP 24.3067</t>
  </si>
  <si>
    <t>184540.1</t>
  </si>
  <si>
    <t>LMP 24.3068</t>
  </si>
  <si>
    <t>184334.1</t>
  </si>
  <si>
    <t>Unidade de ventilação</t>
  </si>
  <si>
    <t xml:space="preserve"> MAK M56-4</t>
  </si>
  <si>
    <t>Euromotori S.r.l.</t>
  </si>
  <si>
    <t>CESI 06 ATEX 059X</t>
  </si>
  <si>
    <t>LMP 24.3069</t>
  </si>
  <si>
    <t>184207.1</t>
  </si>
  <si>
    <t>Sinalizador visual de advertência</t>
  </si>
  <si>
    <t xml:space="preserve"> WV450XD21-220C</t>
  </si>
  <si>
    <t>Federal Signal Corp.</t>
  </si>
  <si>
    <t>IECEx UL 06.0010X</t>
  </si>
  <si>
    <t>LMP 24.3070</t>
  </si>
  <si>
    <t>184544.1</t>
  </si>
  <si>
    <t>LMP 24.3071</t>
  </si>
  <si>
    <t>184544.2</t>
  </si>
  <si>
    <t>LMP 24.3072</t>
  </si>
  <si>
    <t>184498.1</t>
  </si>
  <si>
    <t>MIS Probe 2 (MISP2)</t>
  </si>
  <si>
    <t>Baker Hughes EMEA (GE Sensing EMEA)</t>
  </si>
  <si>
    <t>LMP 24.3073</t>
  </si>
  <si>
    <t>184545.1</t>
  </si>
  <si>
    <t>BLR-SBI (MG-AUVK18/MT/OTMT84-L1,950/M1,800/14-Ex</t>
  </si>
  <si>
    <t>KSR KUEBLER Niveau-Messtechnik GmbH</t>
  </si>
  <si>
    <t>LMP 24.3074</t>
  </si>
  <si>
    <t>184546.1</t>
  </si>
  <si>
    <t>T15.H-AIZZZ</t>
  </si>
  <si>
    <t>Wika Alexander Wiegand SE &amp; Co. KG</t>
  </si>
  <si>
    <t>IECEx BVS 19.0022X</t>
  </si>
  <si>
    <t>LMP 24.3075</t>
  </si>
  <si>
    <t>184547.1</t>
  </si>
  <si>
    <t xml:space="preserve">Indicador de Campo
</t>
  </si>
  <si>
    <t>DIH50-I</t>
  </si>
  <si>
    <t>IECEx BVS 16.0075X</t>
  </si>
  <si>
    <t>LMP 24.3076</t>
  </si>
  <si>
    <t>FIREGASS COMERCIO E SERVICOS PREVENCAO E COMBATE A INCENDIO LTDA</t>
  </si>
  <si>
    <t>184541.1</t>
  </si>
  <si>
    <t>LMP 24.3077</t>
  </si>
  <si>
    <t>184533.1</t>
  </si>
  <si>
    <t xml:space="preserve">Bomba de dosagem </t>
  </si>
  <si>
    <t>EXtronic EXBbG0814SS20A001</t>
  </si>
  <si>
    <t>LMP 24.3078</t>
  </si>
  <si>
    <t>184533.2</t>
  </si>
  <si>
    <t>EXtronic EXBbG1601SS21A621</t>
  </si>
  <si>
    <t>LMP 24.3079</t>
  </si>
  <si>
    <t>184550.1</t>
  </si>
  <si>
    <t xml:space="preserve">Detector de chamas </t>
  </si>
  <si>
    <t>40/40D-I-631SCY7</t>
  </si>
  <si>
    <t>Rosemount, Inc.</t>
  </si>
  <si>
    <t>IECEx SIR 20.0042X</t>
  </si>
  <si>
    <t>LMP 24.3080</t>
  </si>
  <si>
    <t>184549.1</t>
  </si>
  <si>
    <t xml:space="preserve">Sensor magnético de proximidade </t>
  </si>
  <si>
    <t>LMP 24.3081</t>
  </si>
  <si>
    <t>184552.1</t>
  </si>
  <si>
    <t xml:space="preserve">Transdutor de fluxo ultrassônico </t>
  </si>
  <si>
    <t>CRS-05-MB (P/N: C-RS-401)</t>
  </si>
  <si>
    <t>LMP 24.3082</t>
  </si>
  <si>
    <t>184553.1</t>
  </si>
  <si>
    <t xml:space="preserve">Transmissor de vazão </t>
  </si>
  <si>
    <t>XMT1000LC-3-AC-0-AL-00-2-1-0-0</t>
  </si>
  <si>
    <t>LMP 24.3083</t>
  </si>
  <si>
    <t>184448.1</t>
  </si>
  <si>
    <t>LMP 24.3084</t>
  </si>
  <si>
    <t>184448.2</t>
  </si>
  <si>
    <t xml:space="preserve">Sensor capacitivo de posição </t>
  </si>
  <si>
    <t>CCB10-30GS55-N1</t>
  </si>
  <si>
    <t>BVS 13 ATEX E 074 X</t>
  </si>
  <si>
    <t>LMP 24.3085</t>
  </si>
  <si>
    <t>184534.1</t>
  </si>
  <si>
    <t>LMP 24.3086</t>
  </si>
  <si>
    <t>184452.2</t>
  </si>
  <si>
    <t>LMP 24.3087</t>
  </si>
  <si>
    <t>LMP 24.3088</t>
  </si>
  <si>
    <t>LMP 24.3089</t>
  </si>
  <si>
    <t>LMP 24.3090</t>
  </si>
  <si>
    <t>LMP 24.3091</t>
  </si>
  <si>
    <t>LMP 24.3092</t>
  </si>
  <si>
    <t>LMP 24.3093</t>
  </si>
  <si>
    <t>LMP 24.3094</t>
  </si>
  <si>
    <t>LMP 24.3095</t>
  </si>
  <si>
    <t>LMP 24.3096</t>
  </si>
  <si>
    <t>LMP 24.3097</t>
  </si>
  <si>
    <t>LMP 24.3098</t>
  </si>
  <si>
    <t>LMP 24.3099</t>
  </si>
  <si>
    <t>LMP 24.3100</t>
  </si>
  <si>
    <t>LMP 24.3101X</t>
  </si>
  <si>
    <t>TD2-8D00-0G0 / TEM-A010-001</t>
  </si>
  <si>
    <t>LMP 24.3102X</t>
  </si>
  <si>
    <t>LMP 24.3103X</t>
  </si>
  <si>
    <t>XE4M-51B3-2A9-5L-0AB</t>
  </si>
  <si>
    <t>LMP 24.3104X</t>
  </si>
  <si>
    <t>T20-1B2D-HB9 e XC60-1V30-HB9</t>
  </si>
  <si>
    <t>LMP 24.3105X</t>
  </si>
  <si>
    <t xml:space="preserve">A10-1H3A-BC9 </t>
  </si>
  <si>
    <t xml:space="preserve">FM21ATEX0060X </t>
  </si>
  <si>
    <t>LMP 24.3106X</t>
  </si>
  <si>
    <t>LMP 24.3107X</t>
  </si>
  <si>
    <t xml:space="preserve">Detector multifásico </t>
  </si>
  <si>
    <t>PMF-53L0-A00-02-440 / ED1-210C-320</t>
  </si>
  <si>
    <t>FM21ATEX0004X</t>
  </si>
  <si>
    <t>LMP 24.3108X</t>
  </si>
  <si>
    <t>PXLX / 700-1202-021</t>
  </si>
  <si>
    <t>LMP 24.3109X</t>
  </si>
  <si>
    <t xml:space="preserve">Joyo M&amp;C Technology Co., ltd </t>
  </si>
  <si>
    <t>LMP 24.3110</t>
  </si>
  <si>
    <t>LMP 24.3111X</t>
  </si>
  <si>
    <t xml:space="preserve"> XJM4-511A-B21 / 2CH-001F-101-00-245</t>
  </si>
  <si>
    <t>LMP 24.3112X</t>
  </si>
  <si>
    <t>LMP 24.3113X</t>
  </si>
  <si>
    <t xml:space="preserve"> E4T-51A3-0A1</t>
  </si>
  <si>
    <t>LMP 24.3114X</t>
  </si>
  <si>
    <t>JM4-511A-B20 / 2CH-001F-101-00-084, JM4-511A-B20 / 2CH-001F-201-00-082 e</t>
  </si>
  <si>
    <t>LMP 24.3115X</t>
  </si>
  <si>
    <t>TD2-8D00-0G2</t>
  </si>
  <si>
    <t>LMP 24.3116X</t>
  </si>
  <si>
    <t>*Cancelado pelo cliente</t>
  </si>
  <si>
    <t>LMP 24.3117</t>
  </si>
  <si>
    <t>LMP 24.3118</t>
  </si>
  <si>
    <t>LMP 24.3119</t>
  </si>
  <si>
    <t>LMP 24.3120</t>
  </si>
  <si>
    <t>LMP 24.3121</t>
  </si>
  <si>
    <t>LMP 24.3122</t>
  </si>
  <si>
    <t>LMP 24.3123</t>
  </si>
  <si>
    <t>LMP 24.3124</t>
  </si>
  <si>
    <t>LMP 24.3125</t>
  </si>
  <si>
    <t>LMP 24.3126</t>
  </si>
  <si>
    <t>LMP 24.3127</t>
  </si>
  <si>
    <t>LMP 24.3128</t>
  </si>
  <si>
    <t>LMP 24.3129</t>
  </si>
  <si>
    <t>LMP 24.3130</t>
  </si>
  <si>
    <t>LMP 24.3131</t>
  </si>
  <si>
    <t>LMP 24.3132</t>
  </si>
  <si>
    <t>LMP 24.3133</t>
  </si>
  <si>
    <t>LMP 24.3134</t>
  </si>
  <si>
    <t>LMP 24.3135</t>
  </si>
  <si>
    <t>LMP 24.3136</t>
  </si>
  <si>
    <t>LMP 24.3137</t>
  </si>
  <si>
    <t>LMP 24.3138</t>
  </si>
  <si>
    <t>LMP 24.3139</t>
  </si>
  <si>
    <t>LMP 24.3140</t>
  </si>
  <si>
    <t>LMP 24.3141</t>
  </si>
  <si>
    <t>LMP 22.0503</t>
  </si>
  <si>
    <t>LMP 22.0735</t>
  </si>
  <si>
    <t>LMP 19.0047</t>
  </si>
  <si>
    <t>LMP 22.0681</t>
  </si>
  <si>
    <t>LMP 22.0619</t>
  </si>
  <si>
    <t>LMP 24.0810</t>
  </si>
  <si>
    <t>LMP 24.0811</t>
  </si>
  <si>
    <t>LMP 24.0776</t>
  </si>
  <si>
    <t>?</t>
  </si>
  <si>
    <t>LMP 22.1769</t>
  </si>
  <si>
    <t>LMP 22.0795</t>
  </si>
  <si>
    <t>LMP 22.0794</t>
  </si>
  <si>
    <t>LMP 23.1786</t>
  </si>
  <si>
    <t>LMP 23.1389</t>
  </si>
  <si>
    <t>LMP 24.0777</t>
  </si>
  <si>
    <t>LMP 23.1784</t>
  </si>
  <si>
    <t>LMP 18.0081</t>
  </si>
  <si>
    <t>LMP 22.0868</t>
  </si>
  <si>
    <t>LMP 21.0037</t>
  </si>
  <si>
    <t>LMP 21.0538</t>
  </si>
  <si>
    <t>LMP 22.0404</t>
  </si>
  <si>
    <t>LMP 21.0038</t>
  </si>
  <si>
    <t>LMP 21.0039</t>
  </si>
  <si>
    <t>LMP 21.0040</t>
  </si>
  <si>
    <t>LMP 21.0539</t>
  </si>
  <si>
    <t>LMP 21.0540</t>
  </si>
  <si>
    <t>LMP 21.0541</t>
  </si>
  <si>
    <t>LMP 21.0542</t>
  </si>
  <si>
    <t>LMP 24.0841</t>
  </si>
  <si>
    <t>LMP 22.0502</t>
  </si>
  <si>
    <t>LMP 21.0547</t>
  </si>
  <si>
    <t>LMP 21.0546</t>
  </si>
  <si>
    <t>LMP 21.0548</t>
  </si>
  <si>
    <t>LMP 21.0035</t>
  </si>
  <si>
    <t>LMP 21.0543</t>
  </si>
  <si>
    <t>LMP 21.0036</t>
  </si>
  <si>
    <t>LMP 21.0580</t>
  </si>
  <si>
    <t>LMP 21.0582</t>
  </si>
  <si>
    <t>LMP 21.0544</t>
  </si>
  <si>
    <t>LMP 23.1785</t>
  </si>
  <si>
    <t>LMP 23.1777</t>
  </si>
  <si>
    <t>LMP 22.0621</t>
  </si>
  <si>
    <t>LMP 22.0660</t>
  </si>
  <si>
    <t>LMP 22.0400</t>
  </si>
  <si>
    <t>LMP 23.1776</t>
  </si>
  <si>
    <t>LMP 22.0905</t>
  </si>
  <si>
    <t>LMP 23.1771</t>
  </si>
  <si>
    <t>LMP 23.1778</t>
  </si>
  <si>
    <t>LMP 23.1779</t>
  </si>
  <si>
    <t>LMP 23.1782</t>
  </si>
  <si>
    <t>LMP 22.1768</t>
  </si>
  <si>
    <t>LMP 23.1780</t>
  </si>
  <si>
    <t>LMP 22.1770</t>
  </si>
  <si>
    <t>LMP 22.0897</t>
  </si>
  <si>
    <t>LMP 23.1775</t>
  </si>
  <si>
    <t>LMP 23.1774</t>
  </si>
  <si>
    <t>LMP 27.0742</t>
  </si>
  <si>
    <t>LMP 24.0865</t>
  </si>
  <si>
    <t>LMP 24.0866</t>
  </si>
  <si>
    <t>LMP 24.0876</t>
  </si>
  <si>
    <t>LMP 24.0875</t>
  </si>
  <si>
    <t>LMP 24.0869</t>
  </si>
  <si>
    <t>LMP 24.0870</t>
  </si>
  <si>
    <t>LMP 24.0867</t>
  </si>
  <si>
    <t>LMP 27.0743</t>
  </si>
  <si>
    <t>LMP 24.0874</t>
  </si>
  <si>
    <t>LMP 24.0871</t>
  </si>
  <si>
    <t>LMP 24.0868</t>
  </si>
  <si>
    <t>LMP 22.0412</t>
  </si>
  <si>
    <t>LMP 23.1772</t>
  </si>
  <si>
    <t>LMP 22.0671</t>
  </si>
  <si>
    <t>LMP 22.0742</t>
  </si>
  <si>
    <t>LMP 22.0896</t>
  </si>
  <si>
    <t>LMP 23.0817</t>
  </si>
  <si>
    <t>LMP 23.0666</t>
  </si>
  <si>
    <t>LMP 22.0805</t>
  </si>
  <si>
    <t>LMP 22.0802</t>
  </si>
  <si>
    <t>LMP 22.0749</t>
  </si>
  <si>
    <t>LMP 23.1773</t>
  </si>
  <si>
    <t>LMP 22.0663</t>
  </si>
  <si>
    <t>LMP 23.1781</t>
  </si>
  <si>
    <t>LMP 23.1783</t>
  </si>
  <si>
    <t>LMP 25.5000</t>
  </si>
  <si>
    <t>LMP 23.1306</t>
  </si>
  <si>
    <t>LMP 24.0781</t>
  </si>
  <si>
    <t>LMP 24.0782</t>
  </si>
  <si>
    <t>LMP 19.0109</t>
  </si>
  <si>
    <t>LMP 21.0508</t>
  </si>
  <si>
    <t>LMP 19.0215</t>
  </si>
  <si>
    <t>LMP 20.0244</t>
  </si>
  <si>
    <t>LMP 19.0354</t>
  </si>
  <si>
    <t>LMP 19.0381</t>
  </si>
  <si>
    <t>LMP 19.0350</t>
  </si>
  <si>
    <t>LMP 19.0353</t>
  </si>
  <si>
    <t>LMP 19.0352</t>
  </si>
  <si>
    <t>LMP 20.0210</t>
  </si>
  <si>
    <t>LMP 20.0217</t>
  </si>
  <si>
    <t>LMP 20.0221</t>
  </si>
  <si>
    <t>LMP 20.0219</t>
  </si>
  <si>
    <t>LMP 20.0218</t>
  </si>
  <si>
    <t>LMP 20.0235</t>
  </si>
  <si>
    <t>LMP 20.0500</t>
  </si>
  <si>
    <t>LMP 20.0501</t>
  </si>
  <si>
    <t>LMP 20.0250</t>
  </si>
  <si>
    <t>LMP 21.0522</t>
  </si>
  <si>
    <t>LMP 21.0511</t>
  </si>
  <si>
    <t>LMP 21.0507</t>
  </si>
  <si>
    <t>LMP 21.0031</t>
  </si>
  <si>
    <t>LMP 20.0509</t>
  </si>
  <si>
    <t>LMP 20.0504</t>
  </si>
  <si>
    <t>LMP 20.0507</t>
  </si>
  <si>
    <t>LMP 21.0512</t>
  </si>
  <si>
    <t>LMP 21.0700</t>
  </si>
  <si>
    <t>LMP 21.0759</t>
  </si>
  <si>
    <t>LMP 21.0760</t>
  </si>
  <si>
    <t>LMP 21.0761</t>
  </si>
  <si>
    <t>LMP 21.0762</t>
  </si>
  <si>
    <t>LMP 21.0763</t>
  </si>
  <si>
    <t>LMP 21.0764</t>
  </si>
  <si>
    <t>LMP 21.0701</t>
  </si>
  <si>
    <t>LMP 21.0702</t>
  </si>
  <si>
    <t>LMP 21.0703</t>
  </si>
  <si>
    <t>LMP 21.0704</t>
  </si>
  <si>
    <t>LMP 21.0738</t>
  </si>
  <si>
    <t>LMP 21.0739</t>
  </si>
  <si>
    <t>LMP 21.0757</t>
  </si>
  <si>
    <t>LMP 21.0758</t>
  </si>
  <si>
    <t>LMP 22.0527</t>
  </si>
  <si>
    <t>LMP 23.1181</t>
  </si>
  <si>
    <t>LMP 23.1182</t>
  </si>
  <si>
    <t>LMP 23.1183</t>
  </si>
  <si>
    <t>LMP 23.1185</t>
  </si>
  <si>
    <t xml:space="preserve">LMP 21.0523 </t>
  </si>
  <si>
    <t>LMP 22.0908</t>
  </si>
  <si>
    <t>LMP 19.0281</t>
  </si>
  <si>
    <t>LMP 21.0506</t>
  </si>
  <si>
    <t>LMP 22.0437</t>
  </si>
  <si>
    <t>LMP 21.0514</t>
  </si>
  <si>
    <t>LMP 21.0517</t>
  </si>
  <si>
    <t>LMP 21.0526</t>
  </si>
  <si>
    <t>LMP 21.0524</t>
  </si>
  <si>
    <t>LMP 21.0516</t>
  </si>
  <si>
    <t>LMP 21.0532</t>
  </si>
  <si>
    <t>LMP 21.0513</t>
  </si>
  <si>
    <t>LMP 21.0525</t>
  </si>
  <si>
    <t>LMP 22.0436</t>
  </si>
  <si>
    <t>LMP 21.0521</t>
  </si>
  <si>
    <t>LMP 21.0553</t>
  </si>
  <si>
    <t xml:space="preserve">LMP 21.0554 </t>
  </si>
  <si>
    <t>LMP 21.0555</t>
  </si>
  <si>
    <t>LMP 21.0556</t>
  </si>
  <si>
    <t>LMP 21.0557</t>
  </si>
  <si>
    <t>LMP 21.0558</t>
  </si>
  <si>
    <t>LMP 21.0559</t>
  </si>
  <si>
    <t>LMP 21.0560</t>
  </si>
  <si>
    <t>LMP 21.0527</t>
  </si>
  <si>
    <t>LMP 22.0439</t>
  </si>
  <si>
    <t>LMP 21.0576</t>
  </si>
  <si>
    <t>LMP 22.0504</t>
  </si>
  <si>
    <t>LMP 22.0508</t>
  </si>
  <si>
    <t>LMP 22.0509</t>
  </si>
  <si>
    <t>LMP 22.0510</t>
  </si>
  <si>
    <t>LMP 21.0536</t>
  </si>
  <si>
    <t>LMP 21.0032</t>
  </si>
  <si>
    <t>LMP 21.0573</t>
  </si>
  <si>
    <t>LMP 21.0574</t>
  </si>
  <si>
    <t>LMP 21.0575</t>
  </si>
  <si>
    <t>LMP 21.0613</t>
  </si>
  <si>
    <t>LMP 22.0806</t>
  </si>
  <si>
    <t>LMP 22.0803</t>
  </si>
  <si>
    <t>LMP 22.0449</t>
  </si>
  <si>
    <t>LMP 22.0628</t>
  </si>
  <si>
    <t>LMP 22.0629</t>
  </si>
  <si>
    <t>LMP 22.0879</t>
  </si>
  <si>
    <t>LMP 21.0577</t>
  </si>
  <si>
    <t>LMP 22.0511</t>
  </si>
  <si>
    <t>LMP 22.0433</t>
  </si>
  <si>
    <t>LMP 22.0952</t>
  </si>
  <si>
    <t>LMP 22.0953</t>
  </si>
  <si>
    <t>LMP 22.0954</t>
  </si>
  <si>
    <t>LMP 22.0955</t>
  </si>
  <si>
    <t>LMP 22.0956</t>
  </si>
  <si>
    <t>LMP 22.0957</t>
  </si>
  <si>
    <t>LMP 22.0958</t>
  </si>
  <si>
    <t>LMP 22.0959</t>
  </si>
  <si>
    <t>LMP 22.0960</t>
  </si>
  <si>
    <t>LMP 22.0434</t>
  </si>
  <si>
    <t>LMP 22.0945</t>
  </si>
  <si>
    <t>LMP 22.0946</t>
  </si>
  <si>
    <t>LMP 22.0947</t>
  </si>
  <si>
    <t>LMP 22.0948</t>
  </si>
  <si>
    <t>LMP 22.0949</t>
  </si>
  <si>
    <t>LMP 22.0950</t>
  </si>
  <si>
    <t>LMP 22.0951</t>
  </si>
  <si>
    <t>LMP 22.0512</t>
  </si>
  <si>
    <t>LMP 22.0528</t>
  </si>
  <si>
    <t>LMP 22.0529</t>
  </si>
  <si>
    <t>LMP 22.0403</t>
  </si>
  <si>
    <t>LMP 22.0513</t>
  </si>
  <si>
    <t>LMP 22.0413</t>
  </si>
  <si>
    <t>LMP 22.0414</t>
  </si>
  <si>
    <t>LMP 22.0402</t>
  </si>
  <si>
    <t>LMP 22.0526</t>
  </si>
  <si>
    <t>LMP 23.1151</t>
  </si>
  <si>
    <t>LMP 23.1152</t>
  </si>
  <si>
    <t>LMP 23.1153</t>
  </si>
  <si>
    <t>LMP 23.1154</t>
  </si>
  <si>
    <t>LMP 23.1155</t>
  </si>
  <si>
    <t>LMP 23.1312</t>
  </si>
  <si>
    <t>LMP 22.0837</t>
  </si>
  <si>
    <t>LMP 22.0826</t>
  </si>
  <si>
    <t>LMP 22.0750</t>
  </si>
  <si>
    <t>LMP 22.0444</t>
  </si>
  <si>
    <t>LMP 22.0416</t>
  </si>
  <si>
    <t>LMP 22.0450</t>
  </si>
  <si>
    <t>LMP 22.0514</t>
  </si>
  <si>
    <t>LMP 22.0521</t>
  </si>
  <si>
    <t>LMP 22.0517</t>
  </si>
  <si>
    <t>LMP 22.0819</t>
  </si>
  <si>
    <t>LMP 22.0848</t>
  </si>
  <si>
    <t>LMP 21.0519</t>
  </si>
  <si>
    <t>LMP 22.0520</t>
  </si>
  <si>
    <t>LMP 22.0845</t>
  </si>
  <si>
    <t>LMP 22.0846</t>
  </si>
  <si>
    <t>LMP 22.0847</t>
  </si>
  <si>
    <t>LMP 22.0901</t>
  </si>
  <si>
    <t>LMP 22.0815</t>
  </si>
  <si>
    <t>LMP 22.0900</t>
  </si>
  <si>
    <t>LMP 22.0682</t>
  </si>
  <si>
    <t>LMP 22.0691</t>
  </si>
  <si>
    <t>LMP 22.0692</t>
  </si>
  <si>
    <t>LMP 22.0693</t>
  </si>
  <si>
    <t>LMP 22.0694</t>
  </si>
  <si>
    <t>LMP 22.0695</t>
  </si>
  <si>
    <t>LMP 22.0696</t>
  </si>
  <si>
    <t>LMP 22.0697</t>
  </si>
  <si>
    <t>LMP 22.0698</t>
  </si>
  <si>
    <t>LMP 22.0699</t>
  </si>
  <si>
    <t>LMP 22.0683</t>
  </si>
  <si>
    <t>LMP 22.0684</t>
  </si>
  <si>
    <t>LMP 22.0685</t>
  </si>
  <si>
    <t>LMP 22.0686</t>
  </si>
  <si>
    <t>LMP 22.0687</t>
  </si>
  <si>
    <t>LMP 22.0688</t>
  </si>
  <si>
    <t>LMP 22.0689</t>
  </si>
  <si>
    <t>LMP 22.0690</t>
  </si>
  <si>
    <t>LMP 22.0816</t>
  </si>
  <si>
    <t>LMP 22.0637</t>
  </si>
  <si>
    <t>LMP 22.0638</t>
  </si>
  <si>
    <t>LMP 22.0639</t>
  </si>
  <si>
    <t>LMP 22.0651</t>
  </si>
  <si>
    <t>LMP 23.1164</t>
  </si>
  <si>
    <t>LMP 22.0653</t>
  </si>
  <si>
    <t>LMP 22.0646</t>
  </si>
  <si>
    <t>LMP 22.0647</t>
  </si>
  <si>
    <t>LMP 22.0648</t>
  </si>
  <si>
    <t>LMP 22.0649</t>
  </si>
  <si>
    <t>LMP 22.0650</t>
  </si>
  <si>
    <t>LMP 22.0887</t>
  </si>
  <si>
    <t>LMP 22.0658</t>
  </si>
  <si>
    <t>LMP 22.0659</t>
  </si>
  <si>
    <t>LMP 22.0661</t>
  </si>
  <si>
    <t>LMP 22.0643</t>
  </si>
  <si>
    <t>LMP 22.0641</t>
  </si>
  <si>
    <t>LMP 22.0642</t>
  </si>
  <si>
    <t>LMP 22.0640</t>
  </si>
  <si>
    <t>LMP 22.0702</t>
  </si>
  <si>
    <t>LMP 22.0712</t>
  </si>
  <si>
    <t>LMP 22.0713</t>
  </si>
  <si>
    <t>LMP 22.0715</t>
  </si>
  <si>
    <t>LMP 22.0703</t>
  </si>
  <si>
    <t>LMP 22.0704</t>
  </si>
  <si>
    <t>LMP 22.0705</t>
  </si>
  <si>
    <t>LMP 22.0706</t>
  </si>
  <si>
    <t>LMP 22.0708</t>
  </si>
  <si>
    <t>LMP 22.0709</t>
  </si>
  <si>
    <t>LMP 22.0710</t>
  </si>
  <si>
    <t>LMP 22.0716</t>
  </si>
  <si>
    <t>LMP 23.1159</t>
  </si>
  <si>
    <t>LMP 22.0717</t>
  </si>
  <si>
    <t>LMP 22.0718</t>
  </si>
  <si>
    <t>LMP 22.0719</t>
  </si>
  <si>
    <t>LMP 22.0720</t>
  </si>
  <si>
    <t>LMP 22.0721</t>
  </si>
  <si>
    <t>LMP 22.0722</t>
  </si>
  <si>
    <t>LMP 22.0793</t>
  </si>
  <si>
    <t>LMP 22.0796</t>
  </si>
  <si>
    <t>LMP 22.0672</t>
  </si>
  <si>
    <t>LMP 22.0773</t>
  </si>
  <si>
    <t>LMP 22.0775</t>
  </si>
  <si>
    <t>LMP 22.0927</t>
  </si>
  <si>
    <t>LMP 22.0677</t>
  </si>
  <si>
    <t>LMP 22.0605</t>
  </si>
  <si>
    <t>LMP 22.0728</t>
  </si>
  <si>
    <t>LMP 22.0729</t>
  </si>
  <si>
    <t>LMP 22.0730</t>
  </si>
  <si>
    <t>LMP 22.0734</t>
  </si>
  <si>
    <t>LMP 22.0645</t>
  </si>
  <si>
    <t>LMP 22.0751</t>
  </si>
  <si>
    <t>LMP 22.0760</t>
  </si>
  <si>
    <t>LMP 22.0761</t>
  </si>
  <si>
    <t>LMP 22.0764</t>
  </si>
  <si>
    <t>LMP 22.0765</t>
  </si>
  <si>
    <t>LMP 22.0766</t>
  </si>
  <si>
    <t>LMP 22.0767</t>
  </si>
  <si>
    <t>LMP 22.0768</t>
  </si>
  <si>
    <t>LMP 22.0769</t>
  </si>
  <si>
    <t>LMP 22.0752</t>
  </si>
  <si>
    <t>LMP 22.0930</t>
  </si>
  <si>
    <t>LMP 22.0753</t>
  </si>
  <si>
    <t>LMP 22.0754</t>
  </si>
  <si>
    <t>LMP 22.0755</t>
  </si>
  <si>
    <t>LMP 22.0757</t>
  </si>
  <si>
    <t>LMP 22.0758</t>
  </si>
  <si>
    <t>LMP 22.0759</t>
  </si>
  <si>
    <t>LMP 22.0830</t>
  </si>
  <si>
    <t>LMP 23.1150</t>
  </si>
  <si>
    <t>LMP 22.0931</t>
  </si>
  <si>
    <t>LMP 22.0933</t>
  </si>
  <si>
    <t>LMP 22.0939</t>
  </si>
  <si>
    <t>LMP 22.0940</t>
  </si>
  <si>
    <t>LMP 22.0935</t>
  </si>
  <si>
    <t>LMP 22.0936</t>
  </si>
  <si>
    <t>LMP 22.0822</t>
  </si>
  <si>
    <t>LMP 22.0839</t>
  </si>
  <si>
    <t>LMP 23.1272</t>
  </si>
  <si>
    <t>LMP 23.1273</t>
  </si>
  <si>
    <t>LMP 22.0812</t>
  </si>
  <si>
    <t>LMP 22.0781</t>
  </si>
  <si>
    <t>LMP 22.0782</t>
  </si>
  <si>
    <t>LMP 22.0783</t>
  </si>
  <si>
    <t>LMP 22.0808</t>
  </si>
  <si>
    <t>LMP 22.0727</t>
  </si>
  <si>
    <t>LMP 22.0813</t>
  </si>
  <si>
    <t>LMP 22.0937</t>
  </si>
  <si>
    <t>LMP 23.1259</t>
  </si>
  <si>
    <t>LMP 23.1180</t>
  </si>
  <si>
    <t>LMP 22.0507</t>
  </si>
  <si>
    <t>LMP 22.0438</t>
  </si>
  <si>
    <t>LMP 22.0836</t>
  </si>
  <si>
    <t>LMP 23.1157</t>
  </si>
  <si>
    <t>LMP 22.0911</t>
  </si>
  <si>
    <t>LMP 22.0855</t>
  </si>
  <si>
    <t>LMP 22.0440</t>
  </si>
  <si>
    <t>LMP 22.0443</t>
  </si>
  <si>
    <t>LMP 22.0850</t>
  </si>
  <si>
    <t>LMP 22.0851</t>
  </si>
  <si>
    <t>LMP 22.0854</t>
  </si>
  <si>
    <t>LMP 22.0877</t>
  </si>
  <si>
    <t>LMP 22.0943</t>
  </si>
  <si>
    <t>LMP 22.0873</t>
  </si>
  <si>
    <t>LMP 22.0886</t>
  </si>
  <si>
    <t>LMP 24.0840</t>
  </si>
  <si>
    <t>LMP 23.1361</t>
  </si>
  <si>
    <t>LMP 23.1131</t>
  </si>
  <si>
    <t>LMP 23.1132</t>
  </si>
  <si>
    <t>LMP 23.1133</t>
  </si>
  <si>
    <t>LMP 23.1134</t>
  </si>
  <si>
    <t>LMP 23.1135</t>
  </si>
  <si>
    <t>LMP 22.0912</t>
  </si>
  <si>
    <t>LMP 22.0913</t>
  </si>
  <si>
    <t>LMP 22.0915</t>
  </si>
  <si>
    <t>LMP 22.0909</t>
  </si>
  <si>
    <t>LMP 22.0910</t>
  </si>
  <si>
    <t>LMP 23.1249</t>
  </si>
  <si>
    <t>LMP 23.1145</t>
  </si>
  <si>
    <t>LMP 22.0518</t>
  </si>
  <si>
    <t>LMP 22.0820</t>
  </si>
  <si>
    <t>LMP 22.0941</t>
  </si>
  <si>
    <t>LMP 22.0942</t>
  </si>
  <si>
    <t>LMP 23.1149</t>
  </si>
  <si>
    <t>LMP 23.1274</t>
  </si>
  <si>
    <t>LMP 23.1350</t>
  </si>
  <si>
    <t>LMP 23.1351</t>
  </si>
  <si>
    <t>LMP 23.1352</t>
  </si>
  <si>
    <t>LMP 22.0821</t>
  </si>
  <si>
    <t>LMP 23.1196</t>
  </si>
  <si>
    <t>LMP 22.0799</t>
  </si>
  <si>
    <t>LMP 22.0776</t>
  </si>
  <si>
    <t>LMP 22.0770</t>
  </si>
  <si>
    <t>LMP 22.0823</t>
  </si>
  <si>
    <t>LMP 22.0929</t>
  </si>
  <si>
    <t>LMP 23.1301</t>
  </si>
  <si>
    <t>LMP 23.1258</t>
  </si>
  <si>
    <t>LMP 22.0832</t>
  </si>
  <si>
    <t>LMP 23.1158</t>
  </si>
  <si>
    <t>LMP 23.1218</t>
  </si>
  <si>
    <t>LMP 23.1142</t>
  </si>
  <si>
    <t>LMP 23.1177</t>
  </si>
  <si>
    <t>LMP 23.1178</t>
  </si>
  <si>
    <t>LMP 23.1300</t>
  </si>
  <si>
    <t>LMP 22.0522</t>
  </si>
  <si>
    <t>LMP 23.1143</t>
  </si>
  <si>
    <t>LMP 23.1271</t>
  </si>
  <si>
    <t>LMP 23.1233</t>
  </si>
  <si>
    <t>LMP 23.1234</t>
  </si>
  <si>
    <t>LMP 23.1235</t>
  </si>
  <si>
    <t>LMP 23.1236</t>
  </si>
  <si>
    <t>LMP 23.1237</t>
  </si>
  <si>
    <t>LMP 23.1238</t>
  </si>
  <si>
    <t>LMP 23.1239</t>
  </si>
  <si>
    <t>LMP 23.1197</t>
  </si>
  <si>
    <t>LMP 23.1206</t>
  </si>
  <si>
    <t>LMP 23.1207</t>
  </si>
  <si>
    <t>LMP 23.1208</t>
  </si>
  <si>
    <t>LMP 23.1209</t>
  </si>
  <si>
    <t>LMP 23.1210</t>
  </si>
  <si>
    <t>LMP 23.1211</t>
  </si>
  <si>
    <t>LMP 23.1212</t>
  </si>
  <si>
    <t>LMP 23.1213</t>
  </si>
  <si>
    <t>LMP 23.1214</t>
  </si>
  <si>
    <t>LMP 23.1348</t>
  </si>
  <si>
    <t>LMP 23.1198</t>
  </si>
  <si>
    <t>LMP 23.1199</t>
  </si>
  <si>
    <t>LMP 23.1200</t>
  </si>
  <si>
    <t>LMP 23.1201</t>
  </si>
  <si>
    <t>LMP 23.1202</t>
  </si>
  <si>
    <t>LMP 23.1203</t>
  </si>
  <si>
    <t>LMP 23.1205</t>
  </si>
  <si>
    <t>LMP 23.1148</t>
  </si>
  <si>
    <t>LMP 23.1139</t>
  </si>
  <si>
    <t>LMP 23.1296</t>
  </si>
  <si>
    <t>LMP 23.1260</t>
  </si>
  <si>
    <t>LMP 23.1166</t>
  </si>
  <si>
    <t>LMP 23.1170</t>
  </si>
  <si>
    <t>LMP 23.1278</t>
  </si>
  <si>
    <t>LMP 23.1287</t>
  </si>
  <si>
    <t>LMP 23.1288</t>
  </si>
  <si>
    <t>LMP 23.1289</t>
  </si>
  <si>
    <t>LMP 23.1290</t>
  </si>
  <si>
    <t>LMP 23.1279</t>
  </si>
  <si>
    <t>LMP 23.1280</t>
  </si>
  <si>
    <t>LMP 23.1281</t>
  </si>
  <si>
    <t>LMP 23.1282</t>
  </si>
  <si>
    <t>LMP 23.1283</t>
  </si>
  <si>
    <t>LMP 23.1284</t>
  </si>
  <si>
    <t>LMP 23.1285</t>
  </si>
  <si>
    <t>LMP 23.1286</t>
  </si>
  <si>
    <t>LMP 23.1179</t>
  </si>
  <si>
    <t>LMP 23.1165</t>
  </si>
  <si>
    <t>LMP 23.1162</t>
  </si>
  <si>
    <t>LMP 23.1175</t>
  </si>
  <si>
    <t>LMP 23.1169</t>
  </si>
  <si>
    <t>LMP 23.1173</t>
  </si>
  <si>
    <t>LMP 23.1171</t>
  </si>
  <si>
    <t>LMP 23.1172</t>
  </si>
  <si>
    <t>LMP 23.1174</t>
  </si>
  <si>
    <t>LMP 23.1227</t>
  </si>
  <si>
    <t>LMP 23.1228</t>
  </si>
  <si>
    <t>LMP 23.1193</t>
  </si>
  <si>
    <t>LMP 23.1194</t>
  </si>
  <si>
    <t>LMP 23.1176</t>
  </si>
  <si>
    <t>LMP 23.1362</t>
  </si>
  <si>
    <t>LMP 23.1363</t>
  </si>
  <si>
    <t>LMP 23.1364</t>
  </si>
  <si>
    <t>LMP 23.1365</t>
  </si>
  <si>
    <t>LMP 23.1195</t>
  </si>
  <si>
    <t>LMP 23.1220</t>
  </si>
  <si>
    <t>LMP 23.1221</t>
  </si>
  <si>
    <t>LMP 23.1254</t>
  </si>
  <si>
    <t>LMP 23.1216</t>
  </si>
  <si>
    <t>LMP 23.1215</t>
  </si>
  <si>
    <t>LMP 23.1219</t>
  </si>
  <si>
    <t>LMP 23.1371</t>
  </si>
  <si>
    <t>LMP 23.1372</t>
  </si>
  <si>
    <t>LMP 23.1302</t>
  </si>
  <si>
    <t>LMP 23.1299</t>
  </si>
  <si>
    <t>LMP 23.1308</t>
  </si>
  <si>
    <t>LMP 23.1255</t>
  </si>
  <si>
    <t>LMP 23.1256</t>
  </si>
  <si>
    <t>LMP 23.1276</t>
  </si>
  <si>
    <t>LMP 23.1277</t>
  </si>
  <si>
    <t>LMP 23.1240</t>
  </si>
  <si>
    <t>LMP 23.1241</t>
  </si>
  <si>
    <t>LMP 23.1242</t>
  </si>
  <si>
    <t>LMP 23.1243</t>
  </si>
  <si>
    <t>LMP 23.1244</t>
  </si>
  <si>
    <t>LMP 23.1245</t>
  </si>
  <si>
    <t>LMP 23.1246</t>
  </si>
  <si>
    <t>LMP 23.1247</t>
  </si>
  <si>
    <t>LMP 23.1248</t>
  </si>
  <si>
    <t>LMP 23.1263</t>
  </si>
  <si>
    <t>LMP 23.1264</t>
  </si>
  <si>
    <t>LMP 23.1265</t>
  </si>
  <si>
    <t>LMP 23.1266</t>
  </si>
  <si>
    <t>LMP 23.1267</t>
  </si>
  <si>
    <t>LMP 23.1268</t>
  </si>
  <si>
    <t>LMP 23.1294</t>
  </si>
  <si>
    <t>LMP 23.1230</t>
  </si>
  <si>
    <t>LMP 23.1229</t>
  </si>
  <si>
    <t>LMP 23.1231</t>
  </si>
  <si>
    <t>LMP 23.1232</t>
  </si>
  <si>
    <t>LMP 23.1257</t>
  </si>
  <si>
    <t>LMP 23.1304</t>
  </si>
  <si>
    <t>LMP 23.1305</t>
  </si>
  <si>
    <t>LMP 24.0839</t>
  </si>
  <si>
    <t>LMP 24.0790</t>
  </si>
  <si>
    <t>LMP 24.0791</t>
  </si>
  <si>
    <t>LMP 24.0792</t>
  </si>
  <si>
    <t>LMP 23.1250</t>
  </si>
  <si>
    <t>LMP 23.1327</t>
  </si>
  <si>
    <t>LMP 23.1336</t>
  </si>
  <si>
    <t>LMP 23.1337</t>
  </si>
  <si>
    <t>LMP 23.1338</t>
  </si>
  <si>
    <t>LMP 23.1339</t>
  </si>
  <si>
    <t>LMP 23.1340</t>
  </si>
  <si>
    <t>LMP 23.1341</t>
  </si>
  <si>
    <t>LMP 23.1342</t>
  </si>
  <si>
    <t>LMP 23.1343</t>
  </si>
  <si>
    <t>LMP 23.1344</t>
  </si>
  <si>
    <t>LMP 23.1345</t>
  </si>
  <si>
    <t>LMP 23.1328</t>
  </si>
  <si>
    <t>LMP 23.1346</t>
  </si>
  <si>
    <t>LMP 23.1347</t>
  </si>
  <si>
    <t>LMP 23.1329</t>
  </si>
  <si>
    <t>LMP 23.1330</t>
  </si>
  <si>
    <t>LMP 23.1331</t>
  </si>
  <si>
    <t>LMP 23.1332</t>
  </si>
  <si>
    <t>LMP 23.1333</t>
  </si>
  <si>
    <t>LMP 23.1334</t>
  </si>
  <si>
    <t>LMP 23.1335</t>
  </si>
  <si>
    <t>LMP 23.1349</t>
  </si>
  <si>
    <t>LMP 23.1297</t>
  </si>
  <si>
    <t>LMP 23.1311</t>
  </si>
  <si>
    <t>LMP 23.1298</t>
  </si>
  <si>
    <t>LMP 23.1370</t>
  </si>
  <si>
    <t>LMP 23.1369</t>
  </si>
  <si>
    <t>LMP 23.1360</t>
  </si>
  <si>
    <t>LMP 23.1307</t>
  </si>
  <si>
    <t>LMP 23.1368</t>
  </si>
  <si>
    <t>LMP 24.0814</t>
  </si>
  <si>
    <t>LMP 23.1390</t>
  </si>
  <si>
    <t>LMP 23.1391</t>
  </si>
  <si>
    <t>LMP 23.1353</t>
  </si>
  <si>
    <t>LMP 23.1374</t>
  </si>
  <si>
    <t>LMP 23.1375</t>
  </si>
  <si>
    <t>LMP 23.1377</t>
  </si>
  <si>
    <t>LMP 23.1355</t>
  </si>
  <si>
    <t>LMP 23.1356</t>
  </si>
  <si>
    <t>LMP 23.1357</t>
  </si>
  <si>
    <t>LMP 23.1358</t>
  </si>
  <si>
    <t>LMP 23.1359</t>
  </si>
  <si>
    <t>LMP 23.1367</t>
  </si>
  <si>
    <t>LMP 23.1379</t>
  </si>
  <si>
    <t>LMP 23.1380</t>
  </si>
  <si>
    <t>LMP 23.1381</t>
  </si>
  <si>
    <t>LMP 23.1382</t>
  </si>
  <si>
    <t>LMP 23.1383</t>
  </si>
  <si>
    <t>LMP 23.1384</t>
  </si>
  <si>
    <t>LMP 23.1385</t>
  </si>
  <si>
    <t>LMP 23.1386</t>
  </si>
  <si>
    <t>LMP 23.1373</t>
  </si>
  <si>
    <t>LMP 24.0844</t>
  </si>
  <si>
    <t>LMP 24.0768</t>
  </si>
  <si>
    <t>LMP 24.0789</t>
  </si>
  <si>
    <t>LMP 23.1388</t>
  </si>
  <si>
    <t>LMP 24.0864</t>
  </si>
  <si>
    <t>LMP 24.0863</t>
  </si>
  <si>
    <t>LMP 24.0817</t>
  </si>
  <si>
    <t>LMP 24.0818</t>
  </si>
  <si>
    <t>LMP 24.0819</t>
  </si>
  <si>
    <t>LMP 24.0820</t>
  </si>
  <si>
    <t>LMP 24.0821</t>
  </si>
  <si>
    <t>LMP 24.0822</t>
  </si>
  <si>
    <t xml:space="preserve"> LMP 24.0751</t>
  </si>
  <si>
    <t>LMP 24.0807</t>
  </si>
  <si>
    <t>LMP 24.0808</t>
  </si>
  <si>
    <t>LMP 24.0809</t>
  </si>
  <si>
    <t>LMP 24.0823</t>
  </si>
  <si>
    <t>LMP 23.1226</t>
  </si>
  <si>
    <t>LMP 24.0828</t>
  </si>
  <si>
    <t>LMP 24.0829</t>
  </si>
  <si>
    <t>LMP 24.0881</t>
  </si>
  <si>
    <t>LMP 24.0793</t>
  </si>
  <si>
    <t>LMP 24.0802</t>
  </si>
  <si>
    <t>LMP 24.0803</t>
  </si>
  <si>
    <t>LMP 24.0804</t>
  </si>
  <si>
    <t>LMP 24.0805</t>
  </si>
  <si>
    <t>LMP 24.0806</t>
  </si>
  <si>
    <t>LMP 24.0794</t>
  </si>
  <si>
    <t>LMP 24.0795</t>
  </si>
  <si>
    <t>LMP 24.0796</t>
  </si>
  <si>
    <t>LMP 24.0797</t>
  </si>
  <si>
    <t>LMP 24.0798</t>
  </si>
  <si>
    <t>LMP 24.0799</t>
  </si>
  <si>
    <t>LMP 24.0800</t>
  </si>
  <si>
    <t>LMP 24.0801</t>
  </si>
  <si>
    <t>LMP 24.0766</t>
  </si>
  <si>
    <t>LMP 24.0767</t>
  </si>
  <si>
    <t>LMP 24.0812</t>
  </si>
  <si>
    <t>LMP 24.0879</t>
  </si>
  <si>
    <t>LMP 24.0779</t>
  </si>
  <si>
    <t>LMP 24.0780</t>
  </si>
  <si>
    <t>LMP 24.0831</t>
  </si>
  <si>
    <t>LMP 24.0877</t>
  </si>
  <si>
    <t>LMP 24.0769</t>
  </si>
  <si>
    <t>LMP 24.0827</t>
  </si>
  <si>
    <t>LMP 24.0882</t>
  </si>
  <si>
    <t>LMP 24.0843</t>
  </si>
  <si>
    <t>LMP 24.0878</t>
  </si>
  <si>
    <t>LMP 24.0826</t>
  </si>
  <si>
    <t>LMP 24.0832</t>
  </si>
  <si>
    <t>LMP 24.0846</t>
  </si>
  <si>
    <t>LMP 24.0847</t>
  </si>
  <si>
    <t>LMP 24.0848</t>
  </si>
  <si>
    <t>LMP 24.0849</t>
  </si>
  <si>
    <t>LMP 24.0861</t>
  </si>
  <si>
    <t>LMP 24.0833</t>
  </si>
  <si>
    <t>LMP 24.0834</t>
  </si>
  <si>
    <t>LMP 24.0835</t>
  </si>
  <si>
    <t>LMP 24.0836</t>
  </si>
  <si>
    <t>LMP 24.0837</t>
  </si>
  <si>
    <t>LMP 24.0838</t>
  </si>
  <si>
    <t>LMP 24.0830</t>
  </si>
  <si>
    <t>LMP 24.0824</t>
  </si>
  <si>
    <t>LMP 24.0813</t>
  </si>
  <si>
    <t>LMP 24.0845</t>
  </si>
  <si>
    <t>LMP 24.0815</t>
  </si>
  <si>
    <t>LMP 24.0816</t>
  </si>
  <si>
    <t>LMP 24.0825</t>
  </si>
  <si>
    <t>LMP 24.0856</t>
  </si>
  <si>
    <t>LMP 24.0857</t>
  </si>
  <si>
    <t>LMP 24.0858</t>
  </si>
  <si>
    <t>LMP 24.0859</t>
  </si>
  <si>
    <t>LMP 24.0842</t>
  </si>
  <si>
    <t>LMP 24.0860</t>
  </si>
  <si>
    <t>LMP 24.0862</t>
  </si>
  <si>
    <t>LMP 24.0850</t>
  </si>
  <si>
    <t>LMP 24.0851</t>
  </si>
  <si>
    <t>LMP 24.0852</t>
  </si>
  <si>
    <t>LMP 24.0853</t>
  </si>
  <si>
    <t>LMP 24.0854</t>
  </si>
  <si>
    <t>LMP 24.0855</t>
  </si>
  <si>
    <t>LMP 25.3006</t>
  </si>
  <si>
    <t>LMP 25.3000</t>
  </si>
  <si>
    <t>LMP 25.3001</t>
  </si>
  <si>
    <t>LMP 25.3002</t>
  </si>
  <si>
    <t>LMP 25.3003</t>
  </si>
  <si>
    <t>LMP 25.3004</t>
  </si>
  <si>
    <t>LMP 25.3005</t>
  </si>
  <si>
    <t>Modelo de certificação</t>
  </si>
  <si>
    <t>Modelo</t>
  </si>
  <si>
    <t xml:space="preserve"> Inspetor</t>
  </si>
  <si>
    <t>Data Inspeção</t>
  </si>
  <si>
    <t>LMP 23.0001X</t>
  </si>
  <si>
    <t>181825.99</t>
  </si>
  <si>
    <t>SPI</t>
  </si>
  <si>
    <t>OK</t>
  </si>
  <si>
    <t>LMP 23.0002</t>
  </si>
  <si>
    <t>Kidde Brasil Ltda</t>
  </si>
  <si>
    <t>182453.1</t>
  </si>
  <si>
    <t>Sensor eletroquímico de H2S</t>
  </si>
  <si>
    <t>C7064E5014</t>
  </si>
  <si>
    <t xml:space="preserve">FM Approved (online) </t>
  </si>
  <si>
    <t>LMP 23.0003</t>
  </si>
  <si>
    <t>182060.35</t>
  </si>
  <si>
    <t>IECEx TUN 04.0003</t>
  </si>
  <si>
    <t>LMP 23.0004</t>
  </si>
  <si>
    <t>LMP 23.0005X</t>
  </si>
  <si>
    <t>182060.37</t>
  </si>
  <si>
    <t xml:space="preserve">Pepperl+Fuchs SE </t>
  </si>
  <si>
    <t>LMP 23.0006</t>
  </si>
  <si>
    <t>182060.28</t>
  </si>
  <si>
    <t>Sistema de pressurização</t>
  </si>
  <si>
    <t>1004-WPS-CI</t>
  </si>
  <si>
    <t>Pepperl + Fuchs, Inc.</t>
  </si>
  <si>
    <t>LMP 23.0007X</t>
  </si>
  <si>
    <t>182060.38</t>
  </si>
  <si>
    <t>Barreira de isolação galvânica</t>
  </si>
  <si>
    <t>KCD2-STC-Ex1.ES</t>
  </si>
  <si>
    <t>IECEx CES 11.0001X</t>
  </si>
  <si>
    <t>LMP 23.0008X</t>
  </si>
  <si>
    <t>182060.36</t>
  </si>
  <si>
    <t>Sistema de purga e pressurização</t>
  </si>
  <si>
    <t>6000-DV-S2-UN-WH-AC</t>
  </si>
  <si>
    <t>IECEx UL 08.0003X</t>
  </si>
  <si>
    <t>LMP 23.0009</t>
  </si>
  <si>
    <t>182060.41</t>
  </si>
  <si>
    <t>Fonte de alimentação para leitor de código de barras</t>
  </si>
  <si>
    <t>SK-IDM-Z1-160-BD-1D-J1-DC-S-N</t>
  </si>
  <si>
    <t>LMP 23.0010</t>
  </si>
  <si>
    <t>182060.39</t>
  </si>
  <si>
    <t>Barreira Isoladora</t>
  </si>
  <si>
    <t>KFD2-VR-Ex1.19</t>
  </si>
  <si>
    <t>BAS01ATEX7262</t>
  </si>
  <si>
    <t>LMP 23.0011</t>
  </si>
  <si>
    <t>182060.40</t>
  </si>
  <si>
    <t>LMP 23.0012</t>
  </si>
  <si>
    <t>182060.45</t>
  </si>
  <si>
    <t>Sensor de nível</t>
  </si>
  <si>
    <t>LFL1-CK-N-PUR5</t>
  </si>
  <si>
    <t>Pepperl+Fuchs Manufacturing s.r.o.</t>
  </si>
  <si>
    <t>TÜV 99 ATEX 1407</t>
  </si>
  <si>
    <t>LMP 23.0013</t>
  </si>
  <si>
    <t>182060.43</t>
  </si>
  <si>
    <t>Conversor (barreira isoladora)</t>
  </si>
  <si>
    <t>KFD0-TR-Ex1</t>
  </si>
  <si>
    <t>ZELM 00 ATEX 0036</t>
  </si>
  <si>
    <t>LMP 23.0014X</t>
  </si>
  <si>
    <t>182060.44</t>
  </si>
  <si>
    <t>LMP 23.0015</t>
  </si>
  <si>
    <t>LMP 23.0016X</t>
  </si>
  <si>
    <t>182468.1</t>
  </si>
  <si>
    <t>DET.FUMACA OPTICO</t>
  </si>
  <si>
    <t>SOC-E-IS(WHT)</t>
  </si>
  <si>
    <t>HOCHIKI EUROPE</t>
  </si>
  <si>
    <t>IECEx BAS 19.0122X</t>
  </si>
  <si>
    <t>LMP 23.0017X</t>
  </si>
  <si>
    <t>181825.100</t>
  </si>
  <si>
    <t>706-512A-B20 / 7C7-5300-A00-30-00</t>
  </si>
  <si>
    <t>Magnetrol International Inc</t>
  </si>
  <si>
    <t>LMP 23.0018X</t>
  </si>
  <si>
    <t>181825.101</t>
  </si>
  <si>
    <t>706-512A-B20 / 7CP-11N0-A1N-20-22</t>
  </si>
  <si>
    <t>LMP 23.0019X</t>
  </si>
  <si>
    <t>Steute do Brasil Equipamentos Eletro-Eletrônicos Ltda</t>
  </si>
  <si>
    <t>182435.1</t>
  </si>
  <si>
    <t xml:space="preserve"> Ex IS M12nb 4ABBAB N 1GD 5m - 1298563</t>
  </si>
  <si>
    <t>IECEx IMQ 14.0001X</t>
  </si>
  <si>
    <t>LMP 23.0020</t>
  </si>
  <si>
    <t>182021.1</t>
  </si>
  <si>
    <t>Tomada</t>
  </si>
  <si>
    <t>8572/14-304 e 8572/14-30</t>
  </si>
  <si>
    <t>LMP 23.0021X</t>
  </si>
  <si>
    <t>181202.50</t>
  </si>
  <si>
    <t>Módulo de Interface do Acelerômetro</t>
  </si>
  <si>
    <t>86517-01-01-01-02</t>
  </si>
  <si>
    <t>Bently Nevada, Inc.</t>
  </si>
  <si>
    <t>LMP 23.0022X</t>
  </si>
  <si>
    <t>181825.102</t>
  </si>
  <si>
    <t>R86-511A-B20 / RB3-5300-A02-30-00</t>
  </si>
  <si>
    <t>Magnetrol International Inc.</t>
  </si>
  <si>
    <t>IECEx FMG 17.0012X</t>
  </si>
  <si>
    <t>LMP 23.0023X</t>
  </si>
  <si>
    <t>181825.103</t>
  </si>
  <si>
    <t>706-512A-B00 / 7AT-4100-A10-00-099</t>
  </si>
  <si>
    <t>FM16CA0111X</t>
  </si>
  <si>
    <t>LMP 23.0024X</t>
  </si>
  <si>
    <t>181825.104</t>
  </si>
  <si>
    <t>706-520A-A10 / 
X7CF-6300-A00-01-370</t>
  </si>
  <si>
    <t>LMP 23.0025X</t>
  </si>
  <si>
    <t>181825.105</t>
  </si>
  <si>
    <t xml:space="preserve"> 706-512A-B10 / 
7AT-4100-A10-00-099</t>
  </si>
  <si>
    <t>LMP 23.0026X</t>
  </si>
  <si>
    <t>181825.106</t>
  </si>
  <si>
    <t>705-51AA-C11</t>
  </si>
  <si>
    <t>FM19ATEX0175X</t>
  </si>
  <si>
    <t>LMP 23.0027</t>
  </si>
  <si>
    <t>181825.107</t>
  </si>
  <si>
    <t>A15-1H33-HA9</t>
  </si>
  <si>
    <t>Magnetrol International n.v</t>
  </si>
  <si>
    <t>ISSEP 09ATEX024X</t>
  </si>
  <si>
    <t>LMP 23.0028</t>
  </si>
  <si>
    <t>181825.108</t>
  </si>
  <si>
    <t>LMP 23.0029</t>
  </si>
  <si>
    <t>181825.109</t>
  </si>
  <si>
    <t>705-51AA-C10</t>
  </si>
  <si>
    <t>LMP 23.0030X</t>
  </si>
  <si>
    <t>181825.110</t>
  </si>
  <si>
    <t>ISSeP09ATEX024X</t>
  </si>
  <si>
    <t>LMP 23.0031</t>
  </si>
  <si>
    <t>181825.111</t>
  </si>
  <si>
    <t>706-512A-B21 / 7AT-11M0-A18-20-037</t>
  </si>
  <si>
    <t>Ametek Magnetrol USA</t>
  </si>
  <si>
    <t>RB</t>
  </si>
  <si>
    <t>LMP 23.0032X</t>
  </si>
  <si>
    <t>181825.112</t>
  </si>
  <si>
    <t>R86-511A-A10 / XRB1-4300-A00-20-000</t>
  </si>
  <si>
    <t>LMP 23.0033X</t>
  </si>
  <si>
    <t>Ceraterm Comércio de Equipamentos e Serviços Ltda (Alutal)</t>
  </si>
  <si>
    <t>181825.113</t>
  </si>
  <si>
    <t>Transmissor de níve</t>
  </si>
  <si>
    <t>706-512A-B10 / 7CF-6500-A00-01-063 e 706-512A-B10</t>
  </si>
  <si>
    <t>LMP 23.0034X</t>
  </si>
  <si>
    <t>181825.114</t>
  </si>
  <si>
    <t>LMP 23.0035X</t>
  </si>
  <si>
    <t>181825.115</t>
  </si>
  <si>
    <t>LMP 23.0036</t>
  </si>
  <si>
    <t>181825.116</t>
  </si>
  <si>
    <t xml:space="preserve"> XE3E-JP3B-S1E</t>
  </si>
  <si>
    <t>ISSeP08ATEX019</t>
  </si>
  <si>
    <t>LMP 23.0037X</t>
  </si>
  <si>
    <t>181825.117</t>
  </si>
  <si>
    <t>LMP 23.0038X</t>
  </si>
  <si>
    <t>181825.118</t>
  </si>
  <si>
    <t>355-510A-C0B</t>
  </si>
  <si>
    <t>LMP 23.0039X</t>
  </si>
  <si>
    <t>181825.119</t>
  </si>
  <si>
    <t>706-512C-B10 / 7CG-6300-A28-01-145</t>
  </si>
  <si>
    <t>LMP 23.0040</t>
  </si>
  <si>
    <t>181825.120</t>
  </si>
  <si>
    <t>Chave de nível capacitiva</t>
  </si>
  <si>
    <t>811-1205-E00 / X8CA-4A2C-026</t>
  </si>
  <si>
    <t>057020 (CSA)</t>
  </si>
  <si>
    <t>LMP 23.0041X</t>
  </si>
  <si>
    <t>181825.121</t>
  </si>
  <si>
    <t>706-512A-B10 / 7CS-2300-A2N-20-163</t>
  </si>
  <si>
    <t>IECEx FMG 14.0018X</t>
  </si>
  <si>
    <t>LMP 23.0042X</t>
  </si>
  <si>
    <t>181825.122</t>
  </si>
  <si>
    <t xml:space="preserve"> 253-MH00-100-1M-175</t>
  </si>
  <si>
    <t>3012594 (FM Approvals)</t>
  </si>
  <si>
    <t>LMP 23.0043</t>
  </si>
  <si>
    <t>181825.123</t>
  </si>
  <si>
    <t>811-1005-E00 / 8CA-4A1A-025</t>
  </si>
  <si>
    <t>LMP 23.0044X</t>
  </si>
  <si>
    <t>181825.124</t>
  </si>
  <si>
    <t>706-512A-A21</t>
  </si>
  <si>
    <t>LMP 23.0045X</t>
  </si>
  <si>
    <t>181825.125</t>
  </si>
  <si>
    <t>LMP 23.0046X</t>
  </si>
  <si>
    <t>181825.126</t>
  </si>
  <si>
    <t>LMP 23.0047X</t>
  </si>
  <si>
    <t>181825.127</t>
  </si>
  <si>
    <t>Chave de fluxo térmica</t>
  </si>
  <si>
    <t>TD2-8H00-0G0 / TMB-A230-017, TD2-8H00-0G0 / TMB-A240-020, 
TD2-8H00-0G0 / TMB-A240-020, TD2-8H00-0G0 / TMB-A230-020</t>
  </si>
  <si>
    <t>LMP 23.0048</t>
  </si>
  <si>
    <t>181825.128</t>
  </si>
  <si>
    <t xml:space="preserve"> 261-LH00-100-GM-226</t>
  </si>
  <si>
    <t xml:space="preserve">Orion Instruments Inc. </t>
  </si>
  <si>
    <t>LMP 23.0049</t>
  </si>
  <si>
    <t>181825.129</t>
  </si>
  <si>
    <t>XE3E-EP7A-S1E</t>
  </si>
  <si>
    <t>LMP 23.0050X</t>
  </si>
  <si>
    <t>181825.130</t>
  </si>
  <si>
    <t xml:space="preserve"> 706-512C-B10 / 7CP-1100-A1N-20-063 e 706-512C-B10 / 7CP-1100-A1N-20-108</t>
  </si>
  <si>
    <t>LMP 23.0051X</t>
  </si>
  <si>
    <t>181825.131</t>
  </si>
  <si>
    <t xml:space="preserve"> 706-512A-B10 / 7CT-4300-A10-20-175</t>
  </si>
  <si>
    <t>LMP 23.0052X</t>
  </si>
  <si>
    <t>181825.132</t>
  </si>
  <si>
    <t>LMP 23.0053</t>
  </si>
  <si>
    <t>181825.133</t>
  </si>
  <si>
    <t>261-LH00-100-GM-226</t>
  </si>
  <si>
    <t>Orion Instruments Inc.</t>
  </si>
  <si>
    <t>LMP 23.0054X</t>
  </si>
  <si>
    <t>181825.134</t>
  </si>
  <si>
    <t>T62-2H3B-FA9</t>
  </si>
  <si>
    <t>LMP 23.0055X</t>
  </si>
  <si>
    <t>Metal Detektor Comércio e Serviços Ltda (Alutal)</t>
  </si>
  <si>
    <t>181825.135</t>
  </si>
  <si>
    <t>706-512A-B10 / 7C1-4100-A00-31-006</t>
  </si>
  <si>
    <t>LMP 23.0056X</t>
  </si>
  <si>
    <t>181825.136</t>
  </si>
  <si>
    <t>355-510A-10B</t>
  </si>
  <si>
    <t>3033617 (FM Approvals)</t>
  </si>
  <si>
    <t>LMP 23.0057X</t>
  </si>
  <si>
    <t>181825.137</t>
  </si>
  <si>
    <t>805-511A-A20 / 8CA-4A8C-457</t>
  </si>
  <si>
    <t>LMP 23.0058X</t>
  </si>
  <si>
    <t>181825.138</t>
  </si>
  <si>
    <t>E3A-JG4B-S1E</t>
  </si>
  <si>
    <t>LMP 23.0059X</t>
  </si>
  <si>
    <t xml:space="preserve">Metal Detektor Comércio e Serviços Ltda (Alutal) </t>
  </si>
  <si>
    <t>181825.139</t>
  </si>
  <si>
    <t>706-512A-BA0 e 706-520A-A10 / 7CL-4K00-A2N-01-213</t>
  </si>
  <si>
    <t>LMP 23.0060X</t>
  </si>
  <si>
    <t>181825.140</t>
  </si>
  <si>
    <t>706-512C-B10 / 7CT-4400-A10-20-212</t>
  </si>
  <si>
    <t>LMP 23.0061X</t>
  </si>
  <si>
    <t>181825.141</t>
  </si>
  <si>
    <t>910-A1A2-006</t>
  </si>
  <si>
    <t>FM20CA0034X</t>
  </si>
  <si>
    <t>LMP 23.0062X</t>
  </si>
  <si>
    <t>181825.142.A1</t>
  </si>
  <si>
    <t>XT20-4K3C-HB9</t>
  </si>
  <si>
    <t>23/03/2023 e 28/03/2023</t>
  </si>
  <si>
    <t>IECEx KEM 05.0020X</t>
  </si>
  <si>
    <t>LMP 23.0063X</t>
  </si>
  <si>
    <t>181825.143</t>
  </si>
  <si>
    <t>B15-4E2A-8D9</t>
  </si>
  <si>
    <t>LMP 23.0064X</t>
  </si>
  <si>
    <t>Metal Detektor Comércio e Serviços Ltd (Alutal)</t>
  </si>
  <si>
    <t>181825.144</t>
  </si>
  <si>
    <t>706-512A-AA0</t>
  </si>
  <si>
    <t>LMP 23.0065</t>
  </si>
  <si>
    <t>181825.145</t>
  </si>
  <si>
    <t>LMP 23.0066</t>
  </si>
  <si>
    <t>181825.146</t>
  </si>
  <si>
    <t xml:space="preserve"> V3R-D1B2-050</t>
  </si>
  <si>
    <t>LMP 23.0067X</t>
  </si>
  <si>
    <t>181825.147</t>
  </si>
  <si>
    <t>R86-511A-B10 / RBF-5300-A00-00-000</t>
  </si>
  <si>
    <t>LMP 23.0068</t>
  </si>
  <si>
    <t>181825.148</t>
  </si>
  <si>
    <t>Chave de nível com haste vibratória</t>
  </si>
  <si>
    <t>SOLITEL / NO V3R-D1B0-045</t>
  </si>
  <si>
    <t>CSA LR 57020</t>
  </si>
  <si>
    <t>LMP 23.0069</t>
  </si>
  <si>
    <t>181825.149</t>
  </si>
  <si>
    <t>Chave de Nível por Ponto RF</t>
  </si>
  <si>
    <t>811-1005-E00 /8CA-4A1A-101</t>
  </si>
  <si>
    <t>LMP 23.0070X</t>
  </si>
  <si>
    <t>181825.150</t>
  </si>
  <si>
    <t>805-511A-A20 / X8CA-4A8C-209</t>
  </si>
  <si>
    <t>LMP 23.0071X</t>
  </si>
  <si>
    <t>181825.151</t>
  </si>
  <si>
    <t>LMP 23.0072X</t>
  </si>
  <si>
    <t>181825.152</t>
  </si>
  <si>
    <t>706-512A-BA0</t>
  </si>
  <si>
    <t>LMP 23.0073X</t>
  </si>
  <si>
    <t>181825.153</t>
  </si>
  <si>
    <t>LMP 23.0074X</t>
  </si>
  <si>
    <t>181825.154</t>
  </si>
  <si>
    <t>R86-511A-B10 / RB3-5300-A00-00-000</t>
  </si>
  <si>
    <t>LMP 23.0075X</t>
  </si>
  <si>
    <t>Conectal Monitoramento Global Ltda.</t>
  </si>
  <si>
    <t>181825.155</t>
  </si>
  <si>
    <t>706-512A-B20 / 7AT-63M2-A18-20-039</t>
  </si>
  <si>
    <t>LMP 23.0076X</t>
  </si>
  <si>
    <t>181825.156</t>
  </si>
  <si>
    <t>LMP 23.0077X</t>
  </si>
  <si>
    <t>181825.157</t>
  </si>
  <si>
    <t>T20-1H3A-BKP</t>
  </si>
  <si>
    <t>LMP 23.0078X</t>
  </si>
  <si>
    <t xml:space="preserve">Transmissor de Vazão Termal </t>
  </si>
  <si>
    <t>TA2-A1B0-130/TER-A04A-211</t>
  </si>
  <si>
    <t>LMP 23.0079X</t>
  </si>
  <si>
    <t>706-512A-A21 / 7CM-44N0-A0N-01-240</t>
  </si>
  <si>
    <t>LMP 23.0080</t>
  </si>
  <si>
    <t>181825.160</t>
  </si>
  <si>
    <t>LMP 23.0081X</t>
  </si>
  <si>
    <t>181825.161</t>
  </si>
  <si>
    <t>F50-4D2A-8KQ</t>
  </si>
  <si>
    <t>LMP 23.0082X</t>
  </si>
  <si>
    <t>181825.162</t>
  </si>
  <si>
    <t>961-2DA0-0C3 / 9M1-A11A-006</t>
  </si>
  <si>
    <t>FM19ATEX0204X</t>
  </si>
  <si>
    <t>LMP 23.0083X</t>
  </si>
  <si>
    <t>181825.163</t>
  </si>
  <si>
    <t xml:space="preserve">FM </t>
  </si>
  <si>
    <t xml:space="preserve">KEMA 98ATEX4467 X </t>
  </si>
  <si>
    <t>LMP 23.0084</t>
  </si>
  <si>
    <t>181825</t>
  </si>
  <si>
    <t>181825.164</t>
  </si>
  <si>
    <t>TK1-001N-BSA</t>
  </si>
  <si>
    <t>Innovative Solutions LLC (Ametek Magnetrol)</t>
  </si>
  <si>
    <t>LMP 23.0085</t>
  </si>
  <si>
    <t>181825.165</t>
  </si>
  <si>
    <t>Transmissor de vibração</t>
  </si>
  <si>
    <t>IT6812-001-003</t>
  </si>
  <si>
    <t>LMP 23.0086</t>
  </si>
  <si>
    <t>181825.166</t>
  </si>
  <si>
    <t xml:space="preserve">SPI </t>
  </si>
  <si>
    <t>XE3A-JG3C-S1E e XE3A-JH3C-S1E</t>
  </si>
  <si>
    <t>LMP 23.0087X</t>
  </si>
  <si>
    <t>181825.167</t>
  </si>
  <si>
    <t>706-512A-A10 / 7CT-4100-A10-20-110</t>
  </si>
  <si>
    <t>LMP 23.0088X</t>
  </si>
  <si>
    <t>181825.168</t>
  </si>
  <si>
    <t>T31-002N-B01</t>
  </si>
  <si>
    <t>Ametek Magnetrol USA,</t>
  </si>
  <si>
    <t>LMP 23.0089</t>
  </si>
  <si>
    <t>181825.169</t>
  </si>
  <si>
    <t>XE3A-JH3B-S1E + 032-3110-001</t>
  </si>
  <si>
    <t>LMP 23.0090X</t>
  </si>
  <si>
    <t>181825.170</t>
  </si>
  <si>
    <t>706-512A-B10 / 7CD-5400-A3N-20-080</t>
  </si>
  <si>
    <t>LMP 23.0091</t>
  </si>
  <si>
    <t>181825.171</t>
  </si>
  <si>
    <t>C29-1B20-BCC</t>
  </si>
  <si>
    <t>0J2A9.AF (FM Approvals)</t>
  </si>
  <si>
    <t>LMP 23.0092X</t>
  </si>
  <si>
    <t>Indicador de nível</t>
  </si>
  <si>
    <t>LMP 23.0093X</t>
  </si>
  <si>
    <t>181825.172</t>
  </si>
  <si>
    <t>Chave de nível ultrassonica</t>
  </si>
  <si>
    <t>910-PMAK-050 / 910-PMAK-020</t>
  </si>
  <si>
    <t>FM20ATEX0005X</t>
  </si>
  <si>
    <t>LMP 23.0094X</t>
  </si>
  <si>
    <t>181825.173</t>
  </si>
  <si>
    <t>706-512C-B10</t>
  </si>
  <si>
    <t>Pendencia com o cliente</t>
  </si>
  <si>
    <t>LMP 23.0095X</t>
  </si>
  <si>
    <t>181825.174</t>
  </si>
  <si>
    <t>LMP 23.0096X</t>
  </si>
  <si>
    <t>181825.175</t>
  </si>
  <si>
    <t>GWR 705-51AA-C21</t>
  </si>
  <si>
    <t>LMP 23.0098X</t>
  </si>
  <si>
    <t>181825.176</t>
  </si>
  <si>
    <t>TA2-A1B0-930+TMR-A04A-019</t>
  </si>
  <si>
    <t>LMP 23.0099X</t>
  </si>
  <si>
    <t>181825.177</t>
  </si>
  <si>
    <t>Chave de nível mecânica</t>
  </si>
  <si>
    <t>ISSeP09ATEX024X/1</t>
  </si>
  <si>
    <t>LMP 23.0100X</t>
  </si>
  <si>
    <t>181825.178</t>
  </si>
  <si>
    <t>Transmissor de nível tipo radar de onda guiada</t>
  </si>
  <si>
    <t>706-512A-B10+X7C3-6400-A1N-31-030</t>
  </si>
  <si>
    <t>LMP 23.0101</t>
  </si>
  <si>
    <t>181825.179</t>
  </si>
  <si>
    <t>811-1005-E01</t>
  </si>
  <si>
    <t>LMP 23.0102X</t>
  </si>
  <si>
    <t>181825.180</t>
  </si>
  <si>
    <t>GWR 706-512A-B10</t>
  </si>
  <si>
    <t>LMP 23.0103X</t>
  </si>
  <si>
    <t>181825.181</t>
  </si>
  <si>
    <t>LMP 23.0104X</t>
  </si>
  <si>
    <t>181825.182</t>
  </si>
  <si>
    <t>Sensor de Nível</t>
  </si>
  <si>
    <t>706-512A-A10+7CD-4100-A2N-20-302</t>
  </si>
  <si>
    <t>LMP 23.0097X</t>
  </si>
  <si>
    <t>181825.183</t>
  </si>
  <si>
    <t xml:space="preserve">TRANSMISSOR DE NÍVEL
MAGNETOSTRITIVO </t>
  </si>
  <si>
    <t>JM4-511A-
A21+X2CH-001N-101-00-105</t>
  </si>
  <si>
    <t>LMP 23.0105</t>
  </si>
  <si>
    <t>181825.184</t>
  </si>
  <si>
    <t>FM 0J2A9.AF</t>
  </si>
  <si>
    <t>LMP 23.0106</t>
  </si>
  <si>
    <t>181825.185</t>
  </si>
  <si>
    <t>811-1205-E00</t>
  </si>
  <si>
    <t>LMP 23.0107X</t>
  </si>
  <si>
    <t>181825.186</t>
  </si>
  <si>
    <t>706-512A-B10 + 7CT-43L0-A10-20-318</t>
  </si>
  <si>
    <t>LMP 23.0108X</t>
  </si>
  <si>
    <t>181825.187</t>
  </si>
  <si>
    <t>TA2-A1B0-131+TER-A43A-070</t>
  </si>
  <si>
    <t>LMP 23.0109X</t>
  </si>
  <si>
    <t>181825.188</t>
  </si>
  <si>
    <t>LMP 23.0110</t>
  </si>
  <si>
    <t>LMP 23.0111</t>
  </si>
  <si>
    <t>LMP 23.0112X</t>
  </si>
  <si>
    <t>LMP 23.0113X</t>
  </si>
  <si>
    <t>LMP 23.0114</t>
  </si>
  <si>
    <t>LMP 23.0115</t>
  </si>
  <si>
    <t>LMP 23.0116</t>
  </si>
  <si>
    <t>LMP 23.0117</t>
  </si>
  <si>
    <t>LMP 23.0118</t>
  </si>
  <si>
    <t>LMP 23.0119</t>
  </si>
  <si>
    <t>LMP 23.0120</t>
  </si>
  <si>
    <t>LMP 23.0121X</t>
  </si>
  <si>
    <t>LMP 23.0122X</t>
  </si>
  <si>
    <t>LMP 23.0123X</t>
  </si>
  <si>
    <t>LMP 23.0124X</t>
  </si>
  <si>
    <t>LMP 23.0125X</t>
  </si>
  <si>
    <t>LMP 23.0126X</t>
  </si>
  <si>
    <t>LMP 23.0127X</t>
  </si>
  <si>
    <t>LMP 23.0128X</t>
  </si>
  <si>
    <t>LMP 23.0129X</t>
  </si>
  <si>
    <t>LMP 23.0130X</t>
  </si>
  <si>
    <t>LMP 23.0131X</t>
  </si>
  <si>
    <t>LMP 23.0132X</t>
  </si>
  <si>
    <t>LMP 23.0133X</t>
  </si>
  <si>
    <t>LMP 23.0134X</t>
  </si>
  <si>
    <t>LMP 23.0135</t>
  </si>
  <si>
    <t>LMP 23.0136</t>
  </si>
  <si>
    <t>LMP 23.0137</t>
  </si>
  <si>
    <t>LMP 23.0138</t>
  </si>
  <si>
    <t>LMP 23.0139</t>
  </si>
  <si>
    <t>LMP 23.0140</t>
  </si>
  <si>
    <t>182977</t>
  </si>
  <si>
    <t>182060.53</t>
  </si>
  <si>
    <t>LMP 23.0141</t>
  </si>
  <si>
    <t>182060.54</t>
  </si>
  <si>
    <t>Controlador de solenoide (barreira de isolação galvânica)</t>
  </si>
  <si>
    <t>KCD0-SD-EX1.1245</t>
  </si>
  <si>
    <t>IECEx BAS 06.0032</t>
  </si>
  <si>
    <t>LMP 23.0142</t>
  </si>
  <si>
    <t>182060.55</t>
  </si>
  <si>
    <t>Amplificador isolador</t>
  </si>
  <si>
    <t>KHA6-SH-Ex1</t>
  </si>
  <si>
    <t>PTB 00 ATEX 2043</t>
  </si>
  <si>
    <t>LMP 23.0143</t>
  </si>
  <si>
    <t>182060.56</t>
  </si>
  <si>
    <t>IECEx ZLM 14.0012</t>
  </si>
  <si>
    <t>LMP 23.0144X</t>
  </si>
  <si>
    <t>182060.57</t>
  </si>
  <si>
    <t>Fonte de alimentação (barreira de isolação galvânica)</t>
  </si>
  <si>
    <t>KCD2-SCS-Ex2</t>
  </si>
  <si>
    <t>IECEx ULD 22.0020X</t>
  </si>
  <si>
    <t>LMP 23.0145X</t>
  </si>
  <si>
    <t>182060.58</t>
  </si>
  <si>
    <t>KFD0-RO-Ex2</t>
  </si>
  <si>
    <t>IECEx BVS 10.0025</t>
  </si>
  <si>
    <t>LMP 23.0146</t>
  </si>
  <si>
    <t>LMP 23.0147</t>
  </si>
  <si>
    <t>182060.59</t>
  </si>
  <si>
    <t>LMP 23.0148X</t>
  </si>
  <si>
    <t>182060.60</t>
  </si>
  <si>
    <t>LTC50-1-G21A2-A2IHB-EX...01750</t>
  </si>
  <si>
    <t>DEKRA 14ATEX0117 X</t>
  </si>
  <si>
    <t>LMP 23.0149</t>
  </si>
  <si>
    <t>182060.61</t>
  </si>
  <si>
    <t>Coletor de dados (scanner)</t>
  </si>
  <si>
    <t>LMP 23.0150</t>
  </si>
  <si>
    <t>182060.62</t>
  </si>
  <si>
    <t>Sonda magnética</t>
  </si>
  <si>
    <t>LMP 23.0151X</t>
  </si>
  <si>
    <t>182977.1</t>
  </si>
  <si>
    <t>RC10-14-N0</t>
  </si>
  <si>
    <t>LMP 23.0152X</t>
  </si>
  <si>
    <t>182977.2</t>
  </si>
  <si>
    <t>RJ15-14-N</t>
  </si>
  <si>
    <t>LMP 23.0153X</t>
  </si>
  <si>
    <t>182977.3</t>
  </si>
  <si>
    <t>Sensor capacitivo</t>
  </si>
  <si>
    <t>CCB10-30GS55-N1-V1</t>
  </si>
  <si>
    <t>LMP 23.0154</t>
  </si>
  <si>
    <t>182977.4</t>
  </si>
  <si>
    <t>LMP 23.0155</t>
  </si>
  <si>
    <t>182977.6</t>
  </si>
  <si>
    <t>LMP 23.0156X</t>
  </si>
  <si>
    <t>182977.7</t>
  </si>
  <si>
    <t>KFD2-SLD-Ex2.1245</t>
  </si>
  <si>
    <t>IECEx FIDI 21.0009X</t>
  </si>
  <si>
    <t>LMP 23.0157</t>
  </si>
  <si>
    <t>182977.8</t>
  </si>
  <si>
    <t>Conversor de célula de carga (barreira isoladora)</t>
  </si>
  <si>
    <t>LMP 23.0158</t>
  </si>
  <si>
    <t>183036</t>
  </si>
  <si>
    <t>183036.1</t>
  </si>
  <si>
    <t>LMP 23.0159</t>
  </si>
  <si>
    <t>183036.2</t>
  </si>
  <si>
    <t>LMP 23.0160X</t>
  </si>
  <si>
    <t>Heatex Engenharia e Sistemas Tecnológicos do Brasil Ltda</t>
  </si>
  <si>
    <t>182476.1</t>
  </si>
  <si>
    <t>CHAVE DE POSIÇÃO</t>
  </si>
  <si>
    <t>07-2911</t>
  </si>
  <si>
    <t>BARTEC GmbH</t>
  </si>
  <si>
    <t>LMP 23.0161X</t>
  </si>
  <si>
    <t>ASELCO IND. COM. IMP. EXP. INSTR. LTDA</t>
  </si>
  <si>
    <t>182490.1</t>
  </si>
  <si>
    <t>Analisador de óleo em água</t>
  </si>
  <si>
    <t>6650SP-XD</t>
  </si>
  <si>
    <t>IECEx ITS 16.0029X</t>
  </si>
  <si>
    <t>LMP 23.0162X</t>
  </si>
  <si>
    <t>TBrTech - Com., Ser., Imp. e Exp. de Equipamentos Ltda</t>
  </si>
  <si>
    <t>182480.1</t>
  </si>
  <si>
    <t xml:space="preserve">Motor elétrico </t>
  </si>
  <si>
    <t>CD 63M2-4</t>
  </si>
  <si>
    <t>ATB Nordenham GmbH</t>
  </si>
  <si>
    <t>IECEx TSA 11.0054X</t>
  </si>
  <si>
    <t>LMP 23.0163X</t>
  </si>
  <si>
    <t>182434.1</t>
  </si>
  <si>
    <t>Isolador repetidor</t>
  </si>
  <si>
    <t xml:space="preserve"> 9167/13-11-00</t>
  </si>
  <si>
    <t>IECEx BVS 11.0089X</t>
  </si>
  <si>
    <t>LMP 23.0164</t>
  </si>
  <si>
    <t>ENGEZER PRODUTOS E SERVIÇOS LTDA</t>
  </si>
  <si>
    <t>181733.1</t>
  </si>
  <si>
    <t>Ar Condicionado À Prova de Explosão</t>
  </si>
  <si>
    <t>BFKT-70</t>
  </si>
  <si>
    <t>Wuxi Kangning Electrical Apparatus for Explosive Atmosphere Co., Ltd.</t>
  </si>
  <si>
    <t>LMP 23.0165</t>
  </si>
  <si>
    <t>182318.1</t>
  </si>
  <si>
    <t xml:space="preserve">Ar condicionado </t>
  </si>
  <si>
    <t>SH24N30A-A</t>
  </si>
  <si>
    <t>Gaim Regiomontana, S.A. de C.V. (Friedrich Air Conditioning)</t>
  </si>
  <si>
    <t>LMP 23.0166X</t>
  </si>
  <si>
    <t>182492.1</t>
  </si>
  <si>
    <t>Chave magnética de nível</t>
  </si>
  <si>
    <t>HLS-SBI HAG-FV2”/150/RF-L680/590/0-VU-V44HI-Ex</t>
  </si>
  <si>
    <t>KSR Magnetic Niveau-Messtechnik AG</t>
  </si>
  <si>
    <t>LMP 23.0167</t>
  </si>
  <si>
    <t>182493.1</t>
  </si>
  <si>
    <t>CABECA COMANDO ELETRICA EX</t>
  </si>
  <si>
    <t>KIDDE-FENWAL INC</t>
  </si>
  <si>
    <t>20161028-E65682 (UL)</t>
  </si>
  <si>
    <t>LMP 23.0168X</t>
  </si>
  <si>
    <t>181202.49</t>
  </si>
  <si>
    <t xml:space="preserve">Coletor portátil de dados </t>
  </si>
  <si>
    <t>SCOUT240-IS</t>
  </si>
  <si>
    <t>Enatel Ltd, (Bently Nevada)</t>
  </si>
  <si>
    <t>IECEx SIR 15.0092X</t>
  </si>
  <si>
    <t>LMP 23.0169U</t>
  </si>
  <si>
    <t>Coperion Ltda</t>
  </si>
  <si>
    <t>182505.1</t>
  </si>
  <si>
    <t>07-1511</t>
  </si>
  <si>
    <t>IECEx EPS 14.0091U</t>
  </si>
  <si>
    <t>LMP 23.0170X</t>
  </si>
  <si>
    <t>182514.1</t>
  </si>
  <si>
    <t>4881i/SG/120</t>
  </si>
  <si>
    <t>LMP 22.0209</t>
  </si>
  <si>
    <t>Blinda Indústria e Comércio Ltda (Eaton’s Crouse-Hinds)</t>
  </si>
  <si>
    <t>181934.1</t>
  </si>
  <si>
    <t>Controlador isolador MTL4546Y(USANDO ETIQUETA 22).</t>
  </si>
  <si>
    <t>MTL4546Y</t>
  </si>
  <si>
    <t>Eaton Electric Limited</t>
  </si>
  <si>
    <t>LMP 23.0172X</t>
  </si>
  <si>
    <t>181202.51</t>
  </si>
  <si>
    <t>Coletor portátil de dados</t>
  </si>
  <si>
    <t>SCOUT100-Ex</t>
  </si>
  <si>
    <t>Enatel Ltd</t>
  </si>
  <si>
    <t>IECEx TUR 13.0008X</t>
  </si>
  <si>
    <t>LMP 23.0173X</t>
  </si>
  <si>
    <t>182511.1</t>
  </si>
  <si>
    <t>BGU-AMD</t>
  </si>
  <si>
    <t>IBExU 19 ATEX 1075X</t>
  </si>
  <si>
    <t>LMP 23.0174X</t>
  </si>
  <si>
    <t>182521.1</t>
  </si>
  <si>
    <t>LMP 23.0175X</t>
  </si>
  <si>
    <t xml:space="preserve">Superquip </t>
  </si>
  <si>
    <t>182518.1</t>
  </si>
  <si>
    <t>TDF/ss-S-2-PR/CO</t>
  </si>
  <si>
    <t>LMP 23.0176X</t>
  </si>
  <si>
    <t>181202.52</t>
  </si>
  <si>
    <t>Processador de comunicação</t>
  </si>
  <si>
    <t>TDISecure 2155/40-01</t>
  </si>
  <si>
    <t>Bently Nevada Inc</t>
  </si>
  <si>
    <t>IECEx UL 15.0126X</t>
  </si>
  <si>
    <t>LMP 23.0177</t>
  </si>
  <si>
    <t>182537.1</t>
  </si>
  <si>
    <t>Válvula solenoide XDA-1</t>
  </si>
  <si>
    <t>BSG-3328-316-XD-ATD024</t>
  </si>
  <si>
    <t>Versa Products Company, Inc</t>
  </si>
  <si>
    <t>IECEx KEM 09.0045</t>
  </si>
  <si>
    <t>LMP 23.0178</t>
  </si>
  <si>
    <t>182426.2</t>
  </si>
  <si>
    <t>Transmissor de nível magnetostrictivo</t>
  </si>
  <si>
    <t>CR-JMT</t>
  </si>
  <si>
    <t>LMP 23.0179X</t>
  </si>
  <si>
    <t>182426.3</t>
  </si>
  <si>
    <t>LMP 23.0180</t>
  </si>
  <si>
    <t>182426.4</t>
  </si>
  <si>
    <t>LMP 23.0181</t>
  </si>
  <si>
    <t>182462.1</t>
  </si>
  <si>
    <t>Luminária tubular LED</t>
  </si>
  <si>
    <t>6036/1212-455-0491-01-C2350</t>
  </si>
  <si>
    <t>LMP 23.0182X</t>
  </si>
  <si>
    <t>182450.1</t>
  </si>
  <si>
    <t xml:space="preserve"> Ex IS M30nb 15ABBAB N 1GD 2m - 1202216</t>
  </si>
  <si>
    <t>LMP 23.0183X</t>
  </si>
  <si>
    <t>182461.1</t>
  </si>
  <si>
    <t>SEV 18 ATEX 0130 X</t>
  </si>
  <si>
    <t>LMP 23.0184X</t>
  </si>
  <si>
    <t>CMS Científica do Brasil</t>
  </si>
  <si>
    <t>182302.1</t>
  </si>
  <si>
    <t>Medidor portátil de corrosão</t>
  </si>
  <si>
    <t>MS4500E</t>
  </si>
  <si>
    <t>IECEx ETL 18.0007X</t>
  </si>
  <si>
    <t>LMP 23.0185X</t>
  </si>
  <si>
    <t>182392.1</t>
  </si>
  <si>
    <t>InPro 4881i/SG/120</t>
  </si>
  <si>
    <t xml:space="preserve">Mettler Toledo GmbH </t>
  </si>
  <si>
    <t>LMP 23.0186X</t>
  </si>
  <si>
    <t>182534.1</t>
  </si>
  <si>
    <t>Sensor magnético / componente elétrico do medidor de vazão</t>
  </si>
  <si>
    <t>TDF/vs-S-PR/CO e TDF/vs-A-PR/CO / TZN25-3 e TZN32-15</t>
  </si>
  <si>
    <t>LMP 23.0187X</t>
  </si>
  <si>
    <t>182535.1</t>
  </si>
  <si>
    <t>TDF/sc-S-HT-2-PR/CO / TZN250-2000</t>
  </si>
  <si>
    <t>LMP 23.0188</t>
  </si>
  <si>
    <t>182539.1</t>
  </si>
  <si>
    <t xml:space="preserve"> CR-JMT</t>
  </si>
  <si>
    <t>5014669 (Intertek)</t>
  </si>
  <si>
    <t>LMP 23.0189</t>
  </si>
  <si>
    <t>182531.1</t>
  </si>
  <si>
    <t>Interface de transdutor de vibração</t>
  </si>
  <si>
    <t>MTL5531</t>
  </si>
  <si>
    <t>IECEx BAS 09.0037</t>
  </si>
  <si>
    <t>LMP 23.0190X</t>
  </si>
  <si>
    <t>TRUBELO EQUIPAMENTOS E PECAS INDUSTRIAIS LTDA</t>
  </si>
  <si>
    <t>182515.1</t>
  </si>
  <si>
    <t>Termômetro portátil</t>
  </si>
  <si>
    <t>TP7-D</t>
  </si>
  <si>
    <t xml:space="preserve">Thermoprobe Inc. </t>
  </si>
  <si>
    <t>IECEx ETL 16.0051X</t>
  </si>
  <si>
    <t>LMP 23.0191</t>
  </si>
  <si>
    <t>Brahme CMEE</t>
  </si>
  <si>
    <t>182555.1</t>
  </si>
  <si>
    <t>Detector de calor</t>
  </si>
  <si>
    <t>HD1</t>
  </si>
  <si>
    <t>Baseefa03ATEX0447</t>
  </si>
  <si>
    <t>LMP 23.0192 X</t>
  </si>
  <si>
    <t>182533.1</t>
  </si>
  <si>
    <t>LMP 23.0193</t>
  </si>
  <si>
    <t>182533.2</t>
  </si>
  <si>
    <t>Unidade de barreira</t>
  </si>
  <si>
    <t xml:space="preserve"> BZ-500</t>
  </si>
  <si>
    <t>IECEx NEM 11.0008</t>
  </si>
  <si>
    <t>LMP 23.0194X</t>
  </si>
  <si>
    <t>182554.1</t>
  </si>
  <si>
    <t xml:space="preserve"> TGS55+831-N</t>
  </si>
  <si>
    <t>IECEx CML 18.0059X</t>
  </si>
  <si>
    <t>LMP 23.0195X</t>
  </si>
  <si>
    <t>182554.2</t>
  </si>
  <si>
    <t xml:space="preserve"> HLS-SBI HAG-FV3”/150/RF-L680/590/0-VU-V44HI-Ex</t>
  </si>
  <si>
    <t>LMP 23.0196</t>
  </si>
  <si>
    <t xml:space="preserve">COENGI </t>
  </si>
  <si>
    <t>182346.1</t>
  </si>
  <si>
    <t>Unidade de controle</t>
  </si>
  <si>
    <t>GHG44423</t>
  </si>
  <si>
    <t>PTB 99 ATEX 1044</t>
  </si>
  <si>
    <t>LMP 23.0197X</t>
  </si>
  <si>
    <t>182564.1</t>
  </si>
  <si>
    <t>07-2911-1322/30</t>
  </si>
  <si>
    <t>Bartec GmbH</t>
  </si>
  <si>
    <t>LMP 23.0198X</t>
  </si>
  <si>
    <t>182566.1</t>
  </si>
  <si>
    <t>Receptor</t>
  </si>
  <si>
    <t>Relcom Inc.</t>
  </si>
  <si>
    <t>LMP 23.0199X</t>
  </si>
  <si>
    <t>182566.2</t>
  </si>
  <si>
    <t>Transmissor analógico</t>
  </si>
  <si>
    <t>FM20ATEX0048X</t>
  </si>
  <si>
    <t>LMP 23.0200X</t>
  </si>
  <si>
    <t>182553.1</t>
  </si>
  <si>
    <t>LMP 23.0201X</t>
  </si>
  <si>
    <t>182060.42</t>
  </si>
  <si>
    <t>LMP 23.0202</t>
  </si>
  <si>
    <t>Sensycal</t>
  </si>
  <si>
    <t>182574.1</t>
  </si>
  <si>
    <t>Interface de comunicação</t>
  </si>
  <si>
    <t>mobiLink</t>
  </si>
  <si>
    <t>Softing Industrial Automation GmbH</t>
  </si>
  <si>
    <t>IECEx IBE 18.0001</t>
  </si>
  <si>
    <t>LMP 23.0203X</t>
  </si>
  <si>
    <t>SCHENCK PROCESS EQUIPAMENTOS INDUSTRIAIS LTDA</t>
  </si>
  <si>
    <t>182287.1</t>
  </si>
  <si>
    <t xml:space="preserve">Balança dosadora de correia </t>
  </si>
  <si>
    <t>E06 e E08</t>
  </si>
  <si>
    <t>Schenck Process Equipamentos Industriais Ltda.</t>
  </si>
  <si>
    <t>PTB 00 ATEX 1063 X</t>
  </si>
  <si>
    <t>LMP 23.0204X</t>
  </si>
  <si>
    <t>182581.1</t>
  </si>
  <si>
    <t>Manômetro digital de precisão</t>
  </si>
  <si>
    <t>CPG1500-ST-A-S-BG616-MLSZ-13-W</t>
  </si>
  <si>
    <t>BVS 16 ATEX E 043X</t>
  </si>
  <si>
    <t>LMP 23.0205X</t>
  </si>
  <si>
    <t>182583.1</t>
  </si>
  <si>
    <t>DXS-L21BNEB</t>
  </si>
  <si>
    <t>TopWorx Inc</t>
  </si>
  <si>
    <t>IECEx SIR 07.0093X</t>
  </si>
  <si>
    <t>LMP 23.0206</t>
  </si>
  <si>
    <t>LMP 23.0207</t>
  </si>
  <si>
    <t>CMS Científica do Brasil (Voluntário)</t>
  </si>
  <si>
    <t>182207.1</t>
  </si>
  <si>
    <t>Amostrador hermético</t>
  </si>
  <si>
    <t>GTX Chem</t>
  </si>
  <si>
    <t>Enraf Tanksystem AS</t>
  </si>
  <si>
    <t>IECEx DEK 18.0008</t>
  </si>
  <si>
    <t>N/A</t>
  </si>
  <si>
    <t>LMP 23.0208</t>
  </si>
  <si>
    <t>182594.1</t>
  </si>
  <si>
    <t>Isolador / Fonte de alimentação</t>
  </si>
  <si>
    <t>MTL5553</t>
  </si>
  <si>
    <t>IECEx BAS 18.0060</t>
  </si>
  <si>
    <t>LMP 23.0209</t>
  </si>
  <si>
    <t>AGAU INDUSTRIA DE EQUIPAMENTOS PARA AGUA LTDA</t>
  </si>
  <si>
    <t>182484.1</t>
  </si>
  <si>
    <t>LMP 23.0210X</t>
  </si>
  <si>
    <t>182605.1</t>
  </si>
  <si>
    <t>TS900RC35S30</t>
  </si>
  <si>
    <t>Tissin Co.,Ltd</t>
  </si>
  <si>
    <t>LMP 23.0211X</t>
  </si>
  <si>
    <t>182613.1</t>
  </si>
  <si>
    <t>DET. TERMICO</t>
  </si>
  <si>
    <t xml:space="preserve"> BD-501/N</t>
  </si>
  <si>
    <t>Nemko 03ATEX217X</t>
  </si>
  <si>
    <t>LMP 23.0212X</t>
  </si>
  <si>
    <t>182613.2</t>
  </si>
  <si>
    <t>Nemko 03ATEX218X</t>
  </si>
  <si>
    <t>LMP 23.0213U</t>
  </si>
  <si>
    <t>182624.1</t>
  </si>
  <si>
    <t>Caixa de Conexão p/ sistema de aquecimento de traço elétrico</t>
  </si>
  <si>
    <t>JBS-100-E (2-4-5000-971)</t>
  </si>
  <si>
    <t>nVent Thermal Belgium N.V</t>
  </si>
  <si>
    <t>PP</t>
  </si>
  <si>
    <t>IECEx PTB 20.0014U</t>
  </si>
  <si>
    <t>LMP 23.0214X</t>
  </si>
  <si>
    <t xml:space="preserve">182578.1 </t>
  </si>
  <si>
    <t>700G06,700G08, 700G10, 700G27 e 700G31</t>
  </si>
  <si>
    <t>LMP 23.0215X</t>
  </si>
  <si>
    <t>182634.1</t>
  </si>
  <si>
    <t>AX71/1212EK.72DPB-F0 e RX70TI/1024EK.72IF-F0</t>
  </si>
  <si>
    <t>LMP 23.0216</t>
  </si>
  <si>
    <t>182633.1</t>
  </si>
  <si>
    <t xml:space="preserve">Cabeça de comando elétrica (solenoide) </t>
  </si>
  <si>
    <t xml:space="preserve">202-749-260563 </t>
  </si>
  <si>
    <t>LMP 23.0217X</t>
  </si>
  <si>
    <t>182638.1</t>
  </si>
  <si>
    <t>E-10</t>
  </si>
  <si>
    <t>KEMA 05ATEX2240 X</t>
  </si>
  <si>
    <t>LMP 23.0218X</t>
  </si>
  <si>
    <t>182646.1</t>
  </si>
  <si>
    <t>TDF/ss-S-HT-PR (componente elétrico do medidor de vazão TZN300-2400)</t>
  </si>
  <si>
    <t>LMP 23.0219</t>
  </si>
  <si>
    <t>182652.1</t>
  </si>
  <si>
    <t>FPS N7 JH 25 XFS</t>
  </si>
  <si>
    <t>LMP 23.0220X</t>
  </si>
  <si>
    <t>Contech</t>
  </si>
  <si>
    <t>182657.1</t>
  </si>
  <si>
    <t>REGULADOR DE NÍVEL FLUTUANTE</t>
  </si>
  <si>
    <t>SOBA EX</t>
  </si>
  <si>
    <t>ATMI</t>
  </si>
  <si>
    <t>LCIE 00 ATEX 6003 X</t>
  </si>
  <si>
    <t>LMP 23.0221</t>
  </si>
  <si>
    <t>181202.53</t>
  </si>
  <si>
    <t xml:space="preserve">Medidor de vazão </t>
  </si>
  <si>
    <t>CTF878</t>
  </si>
  <si>
    <t>ISSeP10 ATEX 016</t>
  </si>
  <si>
    <t>LMP 23.0222X</t>
  </si>
  <si>
    <t>182662.1</t>
  </si>
  <si>
    <t>Transmissor de Nível tipo Radar</t>
  </si>
  <si>
    <t>VF05</t>
  </si>
  <si>
    <t>Hycontrol Ltd</t>
  </si>
  <si>
    <t>BKI23ATEX0001 X</t>
  </si>
  <si>
    <t>LMP 23.0223</t>
  </si>
  <si>
    <t>182636.1</t>
  </si>
  <si>
    <t>LANTERNA UV W8066</t>
  </si>
  <si>
    <t>W8066</t>
  </si>
  <si>
    <t>Detector Electronics Corporation
(Det-Tronics)</t>
  </si>
  <si>
    <t>LMP 23.0224</t>
  </si>
  <si>
    <t>182676.1</t>
  </si>
  <si>
    <t>GC035-CSA / GC060-CSA</t>
  </si>
  <si>
    <t>Trimble Inc.</t>
  </si>
  <si>
    <t>LMP 23.0225X</t>
  </si>
  <si>
    <t>182668.1</t>
  </si>
  <si>
    <t>116-BN-500/EX</t>
  </si>
  <si>
    <t>03ATEX217X</t>
  </si>
  <si>
    <t>LMP 23.0226</t>
  </si>
  <si>
    <t>182667.1</t>
  </si>
  <si>
    <t xml:space="preserve">Monitor com display </t>
  </si>
  <si>
    <t>GS550-CSA</t>
  </si>
  <si>
    <t>LMP 23.0227</t>
  </si>
  <si>
    <t>182681.1</t>
  </si>
  <si>
    <t xml:space="preserve">Magnetic Namur Sensors </t>
  </si>
  <si>
    <t>LMP 23.0228X</t>
  </si>
  <si>
    <t>182705.1</t>
  </si>
  <si>
    <t>Turbina Flowmeter</t>
  </si>
  <si>
    <t>TD series</t>
  </si>
  <si>
    <t>15/06/2023 -Enviado a prévia do certificado / 16- Marcelo está verificando</t>
  </si>
  <si>
    <t>LMP 23.0229</t>
  </si>
  <si>
    <t>182703.1</t>
  </si>
  <si>
    <t>Tablet</t>
  </si>
  <si>
    <t>IS 930.2</t>
  </si>
  <si>
    <t xml:space="preserve">i.Safe MOBILE GmbH </t>
  </si>
  <si>
    <t>LMP 23.0230X</t>
  </si>
  <si>
    <t>182696.1</t>
  </si>
  <si>
    <t>Transmissor de vibração ST5484E 151 0080-00</t>
  </si>
  <si>
    <t>METRIX</t>
  </si>
  <si>
    <t>IECEx LCI 11.0025X</t>
  </si>
  <si>
    <t>LMP 23.0231X</t>
  </si>
  <si>
    <t>182697.1</t>
  </si>
  <si>
    <t>Chave</t>
  </si>
  <si>
    <t>METTLER TOLEDO</t>
  </si>
  <si>
    <t>LMP 23.0232</t>
  </si>
  <si>
    <t>182699.1</t>
  </si>
  <si>
    <t>Manometro digital de precisão</t>
  </si>
  <si>
    <t>CPG1500-ST-A-S-BG510-GDTZ-13-W</t>
  </si>
  <si>
    <t>BVS 16 ATEX E 043 X</t>
  </si>
  <si>
    <t>LMP 23.0233X</t>
  </si>
  <si>
    <t>182698.1</t>
  </si>
  <si>
    <t>SCOUT 100 Series</t>
  </si>
  <si>
    <t>100 Series</t>
  </si>
  <si>
    <t>TUV 13 ATEX 7398X</t>
  </si>
  <si>
    <t>LMP 23.0234</t>
  </si>
  <si>
    <t>182060.52</t>
  </si>
  <si>
    <t>KFD2-VM-Ex1.35.L</t>
  </si>
  <si>
    <t>PTB 00ATEX 2132</t>
  </si>
  <si>
    <t>LMP 23.0235X</t>
  </si>
  <si>
    <t>182872.1</t>
  </si>
  <si>
    <t>Sensor Indutivo</t>
  </si>
  <si>
    <t>RC10-14-N0 / RC10-14-N3 / RC15-14-N3-Y / RJ15-14-N-5M</t>
  </si>
  <si>
    <t>Sem aceite na pasta</t>
  </si>
  <si>
    <t>LMP 23.0236X</t>
  </si>
  <si>
    <t>182962.2</t>
  </si>
  <si>
    <t>Sensor Capacitivo</t>
  </si>
  <si>
    <t>CCB10-30GS55-N1
CCB10-30GS55-N1-V1</t>
  </si>
  <si>
    <t>LMP 23.0237</t>
  </si>
  <si>
    <t>182962.1</t>
  </si>
  <si>
    <t>Sensor Ultrassônico</t>
  </si>
  <si>
    <t>UC500-30GM-IU-V1-HA</t>
  </si>
  <si>
    <t>E199034 (UL)</t>
  </si>
  <si>
    <t>LMP 23.0238</t>
  </si>
  <si>
    <t>Copabo</t>
  </si>
  <si>
    <t>182678.1</t>
  </si>
  <si>
    <t>Válvula solenoide de controle direcional à prova de explosão</t>
  </si>
  <si>
    <t>DTBZ4-37FYC AC220V</t>
  </si>
  <si>
    <t>HOYEA</t>
  </si>
  <si>
    <t>CNEx21.2027</t>
  </si>
  <si>
    <t>LMP 23.0239</t>
  </si>
  <si>
    <t>182656.1</t>
  </si>
  <si>
    <t>Sensor/ Transmissor</t>
  </si>
  <si>
    <t>C7064E</t>
  </si>
  <si>
    <t>LMP 23.0240X</t>
  </si>
  <si>
    <t>182060.47</t>
  </si>
  <si>
    <t xml:space="preserve">Fonte de alimentação do transmissor </t>
  </si>
  <si>
    <t>KCD2-STC-Ex1.2O</t>
  </si>
  <si>
    <t>LMP 23.0241</t>
  </si>
  <si>
    <t>Ladder Automação Industrial Ltda.</t>
  </si>
  <si>
    <t>182837.1</t>
  </si>
  <si>
    <t>LMP 23.0242</t>
  </si>
  <si>
    <t>182060.49</t>
  </si>
  <si>
    <t xml:space="preserve">Módulo Portátil de Diagnóstico de Rede </t>
  </si>
  <si>
    <t>LMP 23.0243X</t>
  </si>
  <si>
    <t>182060.50</t>
  </si>
  <si>
    <t xml:space="preserve">Barreiras Isoladoras Sistema K </t>
  </si>
  <si>
    <t>KFDO-RO-Ex2</t>
  </si>
  <si>
    <t>Pepperl + Fuchs SE</t>
  </si>
  <si>
    <t>FG</t>
  </si>
  <si>
    <t>TUV 00 ATEX 1621X</t>
  </si>
  <si>
    <t>LMP 23.0244</t>
  </si>
  <si>
    <t>182060.51</t>
  </si>
  <si>
    <t>LMP 23.0245X</t>
  </si>
  <si>
    <t>182962.3</t>
  </si>
  <si>
    <t>CJ1-12GK-N-5M</t>
  </si>
  <si>
    <t>IECEx TUN 20.0014X</t>
  </si>
  <si>
    <t>LMP 23.0246X</t>
  </si>
  <si>
    <t>IEC</t>
  </si>
  <si>
    <t>182717.1</t>
  </si>
  <si>
    <t>DSP Ultrasonic Intelligent Sensor</t>
  </si>
  <si>
    <t>TSE
DS2D SA00 E11</t>
  </si>
  <si>
    <t>CLAMPON</t>
  </si>
  <si>
    <t>UL 20 ATEX 2422X</t>
  </si>
  <si>
    <t>LMP 23.0247</t>
  </si>
  <si>
    <t>COPAZA</t>
  </si>
  <si>
    <t>182706.1</t>
  </si>
  <si>
    <t>MAK M56</t>
  </si>
  <si>
    <t>LMP 23.0249X</t>
  </si>
  <si>
    <t>182403.1</t>
  </si>
  <si>
    <t>Transdutor de rotação</t>
  </si>
  <si>
    <t>LMP 23.0250X</t>
  </si>
  <si>
    <t>182746.1</t>
  </si>
  <si>
    <t>LMP 23.0251X</t>
  </si>
  <si>
    <t>LUFTKORPS</t>
  </si>
  <si>
    <t>182741.1</t>
  </si>
  <si>
    <t>LANTERNA MARÍTIMA</t>
  </si>
  <si>
    <t>EVde-5/LED-B 400</t>
  </si>
  <si>
    <t>TECHNOR ITALSMEA</t>
  </si>
  <si>
    <t>ECEx INE 15.0031X</t>
  </si>
  <si>
    <t>LMP 23.0252X</t>
  </si>
  <si>
    <t>Dismeter</t>
  </si>
  <si>
    <t>182748.1</t>
  </si>
  <si>
    <t>Indicador de painel</t>
  </si>
  <si>
    <t>LMP 23.0253X</t>
  </si>
  <si>
    <t>182749.1</t>
  </si>
  <si>
    <t>LMP 23.0254X</t>
  </si>
  <si>
    <t>Lumuz</t>
  </si>
  <si>
    <t>182750.1</t>
  </si>
  <si>
    <t>Luz indicadora para montagem em painel tipo 8013/311</t>
  </si>
  <si>
    <t>LMP 23.0255X</t>
  </si>
  <si>
    <t>Libo</t>
  </si>
  <si>
    <t>182751.1</t>
  </si>
  <si>
    <t>LMP 23.0256X</t>
  </si>
  <si>
    <t>182752.1</t>
  </si>
  <si>
    <t>LMP 23.0257X</t>
  </si>
  <si>
    <t>Bahia Control</t>
  </si>
  <si>
    <t>182361.1</t>
  </si>
  <si>
    <t>Interface Eletrônica AmeVision Display User Interface Unit</t>
  </si>
  <si>
    <t>AmeVision 3050</t>
  </si>
  <si>
    <t>Ametek</t>
  </si>
  <si>
    <t>IECEx ETL 16.0030X</t>
  </si>
  <si>
    <t>LMP 23.0259X</t>
  </si>
  <si>
    <t>182755.1</t>
  </si>
  <si>
    <t>AVK-ADFUVK10/MT/T15-L1.250/M1.100/14</t>
  </si>
  <si>
    <t>KSR Kübler Niveau-Messtechnik AG</t>
  </si>
  <si>
    <t>TUV 13 ATEX 7399 X</t>
  </si>
  <si>
    <t>LMP 23.0260X</t>
  </si>
  <si>
    <t>HONEYWELL</t>
  </si>
  <si>
    <t>VersaFlow TWM 9000</t>
  </si>
  <si>
    <t>LMP 23.0261X</t>
  </si>
  <si>
    <t xml:space="preserve">VersaFlow Mag 4000 </t>
  </si>
  <si>
    <t>LMP 23.0262X</t>
  </si>
  <si>
    <t>182767.1</t>
  </si>
  <si>
    <t>LMP 23.0264X</t>
  </si>
  <si>
    <t>LMP 23.0265X</t>
  </si>
  <si>
    <t>182763.1</t>
  </si>
  <si>
    <t>EJX, EJA***E, and EJA***J Series</t>
  </si>
  <si>
    <t>DEKRA 11ATEX0228 X</t>
  </si>
  <si>
    <t>LMP 23.0266X</t>
  </si>
  <si>
    <t>182764.1</t>
  </si>
  <si>
    <t>DX19-DMK 457</t>
  </si>
  <si>
    <t>BD SENSORS</t>
  </si>
  <si>
    <t>IECEx IBE 12.0027X</t>
  </si>
  <si>
    <t>LMP 23.0267</t>
  </si>
  <si>
    <t>182778.1</t>
  </si>
  <si>
    <t>Lanterna Led</t>
  </si>
  <si>
    <t>LMP 23.0269 X</t>
  </si>
  <si>
    <t>Hydac</t>
  </si>
  <si>
    <t>182651.2</t>
  </si>
  <si>
    <t>Chave de Nivel</t>
  </si>
  <si>
    <t>AL-ADF</t>
  </si>
  <si>
    <t>TÜV 13 ATEX 7399</t>
  </si>
  <si>
    <t>LMP 23.0270 X</t>
  </si>
  <si>
    <t>182651.3</t>
  </si>
  <si>
    <t>Transmissor de Pressao</t>
  </si>
  <si>
    <t>KEMA 05ATEX2240X</t>
  </si>
  <si>
    <t>LMP 23.0271 X</t>
  </si>
  <si>
    <t>182651.4</t>
  </si>
  <si>
    <t>Sistema Magnético</t>
  </si>
  <si>
    <t>K0592410</t>
  </si>
  <si>
    <t>GSR</t>
  </si>
  <si>
    <t>PTB 03 ATEX 2095 X</t>
  </si>
  <si>
    <t>LMP 23.0272X</t>
  </si>
  <si>
    <t>182772.1</t>
  </si>
  <si>
    <t xml:space="preserve">Medidor de vazão tipo turbina </t>
  </si>
  <si>
    <t>TDF/b - S - 2</t>
  </si>
  <si>
    <t>Laura*</t>
  </si>
  <si>
    <t>LMP 23.0273X</t>
  </si>
  <si>
    <t>182786.1</t>
  </si>
  <si>
    <t>Sensor pH</t>
  </si>
  <si>
    <t>InPro3250i/SG/120</t>
  </si>
  <si>
    <t>LMP 23.0274</t>
  </si>
  <si>
    <t>182787.1</t>
  </si>
  <si>
    <t>Interruptor de Vibração</t>
  </si>
  <si>
    <t>IECEx BAS 10.0020</t>
  </si>
  <si>
    <t>LMP 23.0275X</t>
  </si>
  <si>
    <t>182788.1</t>
  </si>
  <si>
    <t>Encoder</t>
  </si>
  <si>
    <t>H38</t>
  </si>
  <si>
    <t>BEI Sensors</t>
  </si>
  <si>
    <t>IECEx UL 14.0006X</t>
  </si>
  <si>
    <t>LMP 23.0276X</t>
  </si>
  <si>
    <t>182791.1</t>
  </si>
  <si>
    <t>LMP 23.0277X</t>
  </si>
  <si>
    <t>182791.2</t>
  </si>
  <si>
    <t>BGU-V-Exd-10SIL</t>
  </si>
  <si>
    <t>LMP 23.0278X</t>
  </si>
  <si>
    <t>182791.3</t>
  </si>
  <si>
    <t xml:space="preserve">Transmissor de Nivel </t>
  </si>
  <si>
    <t>AVK - ADF</t>
  </si>
  <si>
    <t>LMP 23.0279X</t>
  </si>
  <si>
    <t>182756.1</t>
  </si>
  <si>
    <t xml:space="preserve">116-BF-501/EX + 
116-BN-500/EX </t>
  </si>
  <si>
    <t>LMP 23.0280X</t>
  </si>
  <si>
    <t>182765.1</t>
  </si>
  <si>
    <t>7MF4033-1DA10-2DC6-Z A02+C11+C12+D12+D61
7MF4433-1EA22-2NC7-Z B21+C11+H03+Y01
7MF4233-1GA00-2PC6-Z A02+C11+D61+E28</t>
  </si>
  <si>
    <t>GYJ 13.1122X</t>
  </si>
  <si>
    <t>LMP 23.0281X</t>
  </si>
  <si>
    <t>182802.1</t>
  </si>
  <si>
    <t>E2</t>
  </si>
  <si>
    <t>IECEx FMG 20.0016X</t>
  </si>
  <si>
    <t>LMP 23.0282</t>
  </si>
  <si>
    <t>Light Swicth GHG</t>
  </si>
  <si>
    <t>GHG</t>
  </si>
  <si>
    <t>Couse Hinds</t>
  </si>
  <si>
    <t>LMP 23.0283X</t>
  </si>
  <si>
    <t>182361.2</t>
  </si>
  <si>
    <t>H2-1L38H3G4111
H2-1L38Q3G4111</t>
  </si>
  <si>
    <t>Crane</t>
  </si>
  <si>
    <t>IECEx TRC 10.0004X</t>
  </si>
  <si>
    <t>LMP 23.0284X</t>
  </si>
  <si>
    <t>182810.1</t>
  </si>
  <si>
    <t>700G08, 700G10, 700G31</t>
  </si>
  <si>
    <t>LMP 23.0285X</t>
  </si>
  <si>
    <t>182794.1</t>
  </si>
  <si>
    <t>BF-501/EX</t>
  </si>
  <si>
    <t>LMP 23.0286X</t>
  </si>
  <si>
    <t>Sensycal Instrumentos e Sistemas Ltda.</t>
  </si>
  <si>
    <t>182809.1</t>
  </si>
  <si>
    <t>Calibrador</t>
  </si>
  <si>
    <t>DPI620G-IS</t>
  </si>
  <si>
    <t>IECEx BAS 16.0010X</t>
  </si>
  <si>
    <t>LMP 23.0287X</t>
  </si>
  <si>
    <t>Strack Consultoria e Engenharia Ltda.</t>
  </si>
  <si>
    <t>182832.1</t>
  </si>
  <si>
    <t>Medidor Ultrassônico</t>
  </si>
  <si>
    <t>HTM</t>
  </si>
  <si>
    <t>LMP 23.0288X</t>
  </si>
  <si>
    <t>182828.1</t>
  </si>
  <si>
    <t>IPT-20-IDB-DIZCZ-H1-BG640-GVZSYZS4-ZZZ-ZZ</t>
  </si>
  <si>
    <t>IECEx TUN 17.0018X</t>
  </si>
  <si>
    <t>LMP 23.0289</t>
  </si>
  <si>
    <t>182821.1</t>
  </si>
  <si>
    <t>AOX-M-050-AOX-X-300</t>
  </si>
  <si>
    <t>3C210812.ZAATS37</t>
  </si>
  <si>
    <t>LMP 23.0290X</t>
  </si>
  <si>
    <t>182844.1</t>
  </si>
  <si>
    <t>LMP 23.0291X</t>
  </si>
  <si>
    <t>182848.1</t>
  </si>
  <si>
    <t>Posicionador Digital</t>
  </si>
  <si>
    <t>TZIDC-200
V18348-20121310110</t>
  </si>
  <si>
    <t>FM20US0122X</t>
  </si>
  <si>
    <t>LMP 23.0292X</t>
  </si>
  <si>
    <t>182824.1</t>
  </si>
  <si>
    <t>Analisador de Processo</t>
  </si>
  <si>
    <t>OMA-300</t>
  </si>
  <si>
    <t>Nova Engineering, Ltd. (Applied Analytics)</t>
  </si>
  <si>
    <t>IECEx CML 21.0032X</t>
  </si>
  <si>
    <t>LMP 23.0293</t>
  </si>
  <si>
    <t>182849.1</t>
  </si>
  <si>
    <t>B767T XFPJLYW</t>
  </si>
  <si>
    <t>LMP 23.0294X</t>
  </si>
  <si>
    <t>182850.1</t>
  </si>
  <si>
    <t>Gateway Wireless</t>
  </si>
  <si>
    <t>154M7484-01-01 (70M320)</t>
  </si>
  <si>
    <t>Bently Nevada, LLC.</t>
  </si>
  <si>
    <t>IECEx ICS 21.0015X</t>
  </si>
  <si>
    <t>LMP 23.0295X</t>
  </si>
  <si>
    <t>Alfa Laval</t>
  </si>
  <si>
    <t>182877.1</t>
  </si>
  <si>
    <t>Proline 300/500</t>
  </si>
  <si>
    <t>Endress+Hauser Flowtec AG</t>
  </si>
  <si>
    <t>IECEx CSA 16.0034X</t>
  </si>
  <si>
    <t>LMP 23.0296</t>
  </si>
  <si>
    <t>182596.1</t>
  </si>
  <si>
    <t>Comutador de Pressão</t>
  </si>
  <si>
    <t>UL E14877</t>
  </si>
  <si>
    <t>LMP 23.0297X</t>
  </si>
  <si>
    <t>182781.1</t>
  </si>
  <si>
    <t>116-BF-503/EX</t>
  </si>
  <si>
    <t>LMP 23.0298</t>
  </si>
  <si>
    <t>182884.1</t>
  </si>
  <si>
    <t>Válvula Solenóide</t>
  </si>
  <si>
    <t>WK-890181-0000</t>
  </si>
  <si>
    <t>LMP 23.0299</t>
  </si>
  <si>
    <t>LMP 23.0300X</t>
  </si>
  <si>
    <t>Transmissor de Nível Radar GWR</t>
  </si>
  <si>
    <t>706-512A-B10+7CF-4100-A00-01-200</t>
  </si>
  <si>
    <t>LMP 23.0301X</t>
  </si>
  <si>
    <t>XE3E-JP5B-S1E</t>
  </si>
  <si>
    <t>LMP 23.0302X</t>
  </si>
  <si>
    <t>TER-A11A-407 / TA2-A1B0-540</t>
  </si>
  <si>
    <t>LMP 23.0303X</t>
  </si>
  <si>
    <t>706-512A-B21 / 
7CL-5KM0-A2N-01-120</t>
  </si>
  <si>
    <t>LMP 23.0304X</t>
  </si>
  <si>
    <t>706-512A-B20 /
7C7-5300-A00-30-006</t>
  </si>
  <si>
    <t>LMP 23.0305</t>
  </si>
  <si>
    <t>X251-MJ00-A00-EM-158</t>
  </si>
  <si>
    <t>LMP 23.0306X</t>
  </si>
  <si>
    <t>706-520A-B10</t>
  </si>
  <si>
    <t>LMP 23.0307X</t>
  </si>
  <si>
    <t>B15-1H3C-COB</t>
  </si>
  <si>
    <t>LMP 23.0308X</t>
  </si>
  <si>
    <t>706-520A-B10 /
7CT-6300-A10-20-504</t>
  </si>
  <si>
    <t>LMP 23.0309X</t>
  </si>
  <si>
    <t>TA2-A1B0-130+TMR-A11A-036+RPA-E401-036 / TA2-A1B0-B30+TFT-143A-000</t>
  </si>
  <si>
    <t>LMP 23.0310X</t>
  </si>
  <si>
    <t>Transmissor de Nível Ultrassônico 355</t>
  </si>
  <si>
    <t>355-510A-COR</t>
  </si>
  <si>
    <t>LMP 23.0311X</t>
  </si>
  <si>
    <t xml:space="preserve">Chave de Fluxo </t>
  </si>
  <si>
    <t>XF10-4E54-BF9</t>
  </si>
  <si>
    <t>LMP 23.0312</t>
  </si>
  <si>
    <t>811-1005-E01 / 8CA-4A1A-250</t>
  </si>
  <si>
    <t>LMP 23.0313</t>
  </si>
  <si>
    <t>LMP 23.0314</t>
  </si>
  <si>
    <t>811-1205-E00+8CA-4A7A-050 / 8CA-4A7A-020</t>
  </si>
  <si>
    <t>LMP 23.0315</t>
  </si>
  <si>
    <t>A15-1E2T-BNQ</t>
  </si>
  <si>
    <t>LMP 23.0316</t>
  </si>
  <si>
    <t>JM4-511A-B10 / 
2C1-11AF-N01-AA-075</t>
  </si>
  <si>
    <t>LMP 23.0317</t>
  </si>
  <si>
    <t>811-1205-E00 / 8CA-4A2A-019</t>
  </si>
  <si>
    <t>LMP 23.0318</t>
  </si>
  <si>
    <t>LMP 23.0319</t>
  </si>
  <si>
    <t>FM12ATEX0058X</t>
  </si>
  <si>
    <t>LMP 23.0320</t>
  </si>
  <si>
    <t>355-510A-COB</t>
  </si>
  <si>
    <t>LMP 23.0321</t>
  </si>
  <si>
    <t>B15-4G3B-BD9</t>
  </si>
  <si>
    <t>LMP 23.0322</t>
  </si>
  <si>
    <t>LMP 23.0323</t>
  </si>
  <si>
    <t>706-512A-A10 /
7CT-5400-A10-00-116</t>
  </si>
  <si>
    <t>LMP 23.0324</t>
  </si>
  <si>
    <t>706-512A-B10 /
7CT-1100-A10-20-360</t>
  </si>
  <si>
    <t>LMP 23.0325X</t>
  </si>
  <si>
    <t>T67-1G3B-FDC</t>
  </si>
  <si>
    <t>LMP 23.0326X</t>
  </si>
  <si>
    <t>ISSeP09ATEX013X</t>
  </si>
  <si>
    <t>LMP 23.0327X</t>
  </si>
  <si>
    <t>LMP 23.0328X</t>
  </si>
  <si>
    <t>706-512A-B10 / 7CD-4300-A2N-00-150</t>
  </si>
  <si>
    <t>LMP 23.0329X</t>
  </si>
  <si>
    <t>706-520A-A10 / 7CT-6300-A10-20-250</t>
  </si>
  <si>
    <t>LMP 23.0330X</t>
  </si>
  <si>
    <t>TA2-A4B0-930 / TER-A03A-110</t>
  </si>
  <si>
    <t>LMP 23.0331X</t>
  </si>
  <si>
    <t>R86 511A B12 / RB3 6300 A00-30-000</t>
  </si>
  <si>
    <t>LMP 23.0332X</t>
  </si>
  <si>
    <t>LMP 23.0333X</t>
  </si>
  <si>
    <t>706-512A-B10</t>
  </si>
  <si>
    <t>LMP 23.0334X</t>
  </si>
  <si>
    <t>LMP 23.0335X</t>
  </si>
  <si>
    <t>06-512A-BA0</t>
  </si>
  <si>
    <t>LMP 23.0336X</t>
  </si>
  <si>
    <t>E3F-JQ4A-S1A</t>
  </si>
  <si>
    <t>LMP 23.0337X</t>
  </si>
  <si>
    <t>706-512C-B10 / 7CF-6300-F00-00-220</t>
  </si>
  <si>
    <t>LMP 23.0338X</t>
  </si>
  <si>
    <t>LMP 23.0339X</t>
  </si>
  <si>
    <t>706-512A-A10</t>
  </si>
  <si>
    <t>LMP 23.0340X</t>
  </si>
  <si>
    <t>LMP 23.0341</t>
  </si>
  <si>
    <t>V1R-D1B0-012</t>
  </si>
  <si>
    <t>2357666 (CSA)</t>
  </si>
  <si>
    <t>LMP 23.0342</t>
  </si>
  <si>
    <t>Medidor de densidade</t>
  </si>
  <si>
    <t>DM-50</t>
  </si>
  <si>
    <t>LMP 23.0343X</t>
  </si>
  <si>
    <t>LMP 23.0344X</t>
  </si>
  <si>
    <t>LMP 23.0345X</t>
  </si>
  <si>
    <t>706-520A-AA0</t>
  </si>
  <si>
    <t>LMP 23.0346X</t>
  </si>
  <si>
    <t>TA2-A1B0-130 / TER-A04A-060</t>
  </si>
  <si>
    <t>LMP 23.0347X</t>
  </si>
  <si>
    <t>LMP 23.0348X</t>
  </si>
  <si>
    <t>LMP 23.0349X</t>
  </si>
  <si>
    <t>T20-4H3A-FKS</t>
  </si>
  <si>
    <t>LMP 23.0350X</t>
  </si>
  <si>
    <t>LMP 23.0351X</t>
  </si>
  <si>
    <t>LMP 23.0352X</t>
  </si>
  <si>
    <t>LMP 23.0353X</t>
  </si>
  <si>
    <t>706-512A-B10 / 7CT-1100-A10-20-091</t>
  </si>
  <si>
    <t>LMP 23.0354X</t>
  </si>
  <si>
    <t>XE3E-KQ3A-S1E</t>
  </si>
  <si>
    <t>LMP 23.0355X</t>
  </si>
  <si>
    <t>B40-2F30-RKW</t>
  </si>
  <si>
    <t>LMP 23.0356X</t>
  </si>
  <si>
    <t>LMP 23.0357X</t>
  </si>
  <si>
    <t>R82-5B0A-021</t>
  </si>
  <si>
    <t>LMP 23.0358X</t>
  </si>
  <si>
    <t>706-520A-A20 / 7CT-4400-A10-20-070</t>
  </si>
  <si>
    <t>LMP 23.0359</t>
  </si>
  <si>
    <t>LMP 23.0360X</t>
  </si>
  <si>
    <t>706-512A-B10 / 7CT-1100-A10-20-039</t>
  </si>
  <si>
    <t>LMP 23.0361X</t>
  </si>
  <si>
    <t>LMP 23.0362X</t>
  </si>
  <si>
    <t>706-512A-B20 / 7CP-45N0-A1N-00-550</t>
  </si>
  <si>
    <t>LMP 23.0363X</t>
  </si>
  <si>
    <t>706-512A-B10 / 7CT-5300-A10-20-109</t>
  </si>
  <si>
    <t>LMP 23.0364</t>
  </si>
  <si>
    <t>Sistema de aterramento e transbordamento</t>
  </si>
  <si>
    <t>LMP 23.0400X</t>
  </si>
  <si>
    <t>182857.1</t>
  </si>
  <si>
    <t>Módulo Programável da Interface do Transdutor
ProTIM-C</t>
  </si>
  <si>
    <t>Bently</t>
  </si>
  <si>
    <t>IECEx CSA 17.0007X</t>
  </si>
  <si>
    <t>LMP 23.0401X</t>
  </si>
  <si>
    <t>FT Automação</t>
  </si>
  <si>
    <t>182858.1</t>
  </si>
  <si>
    <t>LMP 23.0402X</t>
  </si>
  <si>
    <t>Steic</t>
  </si>
  <si>
    <t>182859.1</t>
  </si>
  <si>
    <t>LMP 23.0403X</t>
  </si>
  <si>
    <t>182860.1</t>
  </si>
  <si>
    <t>VF05BW71206Ex</t>
  </si>
  <si>
    <t>Larchwood House</t>
  </si>
  <si>
    <t>BKI23ATEX0001X</t>
  </si>
  <si>
    <t>LMP 23.0404X</t>
  </si>
  <si>
    <t>182853.1</t>
  </si>
  <si>
    <t>Lanterna</t>
  </si>
  <si>
    <t>H-251 MK2</t>
  </si>
  <si>
    <t>The Wolf Safety Lamp LTD</t>
  </si>
  <si>
    <t>LR22121541TA</t>
  </si>
  <si>
    <t>LMP 23.0405X</t>
  </si>
  <si>
    <t>182866.1</t>
  </si>
  <si>
    <t>M400 / 2XH</t>
  </si>
  <si>
    <t>Mettler Toledo GmbH</t>
  </si>
  <si>
    <t>IECEx NEP 18.0007X</t>
  </si>
  <si>
    <t>LMP 23.0406X</t>
  </si>
  <si>
    <t>182867.1</t>
  </si>
  <si>
    <t>MAS2600</t>
  </si>
  <si>
    <t>Emerson Process Management Damcos A/S</t>
  </si>
  <si>
    <t>IECEx ULD 10.0013X</t>
  </si>
  <si>
    <t>LMP 23.0407X</t>
  </si>
  <si>
    <t>182868.1</t>
  </si>
  <si>
    <t>Limit switch</t>
  </si>
  <si>
    <t>07-2511 (072511133063)</t>
  </si>
  <si>
    <t>LMP 23.0408X</t>
  </si>
  <si>
    <t>182869.1</t>
  </si>
  <si>
    <t>InPro 4260/SG/120</t>
  </si>
  <si>
    <t>LMP 23.0409</t>
  </si>
  <si>
    <t>Digitrol</t>
  </si>
  <si>
    <t>182870.1</t>
  </si>
  <si>
    <t>2242EA00K20CEFFACAZZ</t>
  </si>
  <si>
    <t>LMP 23.0410</t>
  </si>
  <si>
    <t>182864.1</t>
  </si>
  <si>
    <t>LMP 23.0411</t>
  </si>
  <si>
    <t>182874.1</t>
  </si>
  <si>
    <t>Vibration switch</t>
  </si>
  <si>
    <t>VS2EX</t>
  </si>
  <si>
    <t>FW Murphy Production Controls, LLC</t>
  </si>
  <si>
    <t>80028437 (CSA)</t>
  </si>
  <si>
    <t>LMP 23.0412X</t>
  </si>
  <si>
    <t>182871.1</t>
  </si>
  <si>
    <t>Dispositivo de Controle</t>
  </si>
  <si>
    <t>8003/131</t>
  </si>
  <si>
    <t>PTB 02 ATEX 1057 X</t>
  </si>
  <si>
    <t>LMP 23.0413</t>
  </si>
  <si>
    <t>Eaton</t>
  </si>
  <si>
    <t>182876.1</t>
  </si>
  <si>
    <t>Unidade de Interfaceamento Isolante</t>
  </si>
  <si>
    <t>MTL4549Y</t>
  </si>
  <si>
    <t>IECEx BAS 06.0036</t>
  </si>
  <si>
    <t>LMP 23.0414X</t>
  </si>
  <si>
    <t>182878.1</t>
  </si>
  <si>
    <t>Sensor de Velocidade</t>
  </si>
  <si>
    <t>70085-1010-330</t>
  </si>
  <si>
    <t>AI-TEK Instruments</t>
  </si>
  <si>
    <t>LMP 23.0415X</t>
  </si>
  <si>
    <t>SLC Ferreira Importação (Engezer)</t>
  </si>
  <si>
    <t>182865.1</t>
  </si>
  <si>
    <t>Transmissor Multiparâmetros</t>
  </si>
  <si>
    <t>M400/2XH</t>
  </si>
  <si>
    <t>Mettler-Toledo Instruments (Shanghai) Co., Ltd.</t>
  </si>
  <si>
    <t>LMP 23.0416X</t>
  </si>
  <si>
    <t xml:space="preserve">182911.1 </t>
  </si>
  <si>
    <t>LMP 23.0417X</t>
  </si>
  <si>
    <t xml:space="preserve">182932.1 </t>
  </si>
  <si>
    <t>LMP 23.0418X</t>
  </si>
  <si>
    <t>182886.1</t>
  </si>
  <si>
    <t>Transmissor de Corrosão</t>
  </si>
  <si>
    <t>MWT-3905-MDL</t>
  </si>
  <si>
    <t>LMP 23.0419</t>
  </si>
  <si>
    <t>182889.1</t>
  </si>
  <si>
    <t>EX IS M30B 10ABBAB N 1GD 2M</t>
  </si>
  <si>
    <t>LMP 23.0420X</t>
  </si>
  <si>
    <t>182890.1</t>
  </si>
  <si>
    <t>Chave de Emergência</t>
  </si>
  <si>
    <t>EX ZS 90 S 2Ö/2S VD - 3m
EX ZS 90 SR 1ÖS/1ÖS - 3m</t>
  </si>
  <si>
    <t>IECEx PTB 06.0098X</t>
  </si>
  <si>
    <t>LMP 23.0421X</t>
  </si>
  <si>
    <t>182892.1</t>
  </si>
  <si>
    <t>Vector</t>
  </si>
  <si>
    <t>ESP Safety Inc.</t>
  </si>
  <si>
    <t>LMP 23.0422X</t>
  </si>
  <si>
    <t>182893.1</t>
  </si>
  <si>
    <t>Rotamentro</t>
  </si>
  <si>
    <t>LMP 23.0423X</t>
  </si>
  <si>
    <t>182894.1</t>
  </si>
  <si>
    <t>Controlado de Fluxo</t>
  </si>
  <si>
    <t>SLAMF60S1GBA0K2A2</t>
  </si>
  <si>
    <t>KEMA 04ATEX1290X</t>
  </si>
  <si>
    <t>LMP 23.0424X</t>
  </si>
  <si>
    <t>182927.1</t>
  </si>
  <si>
    <t>LMP 23.0431</t>
  </si>
  <si>
    <t>182861.1</t>
  </si>
  <si>
    <t>Transmissor de fluxo</t>
  </si>
  <si>
    <t>RT-30EX</t>
  </si>
  <si>
    <t>AW-Lake Company</t>
  </si>
  <si>
    <t>1812440 (220043)</t>
  </si>
  <si>
    <t>LMP 23.0432X</t>
  </si>
  <si>
    <t>182895.1</t>
  </si>
  <si>
    <t>Sensor de Vibração</t>
  </si>
  <si>
    <t>LMP 23.0433X</t>
  </si>
  <si>
    <t>Telbra-Ex Indústria e Comércio Ltda.</t>
  </si>
  <si>
    <t>182896.1</t>
  </si>
  <si>
    <t>6AV2 124-0GC01-0AX0</t>
  </si>
  <si>
    <t>DEKRA 19ATEX0111 X</t>
  </si>
  <si>
    <t>LMP 23.0434</t>
  </si>
  <si>
    <t>182875.1</t>
  </si>
  <si>
    <t>Repetidor de Corrente</t>
  </si>
  <si>
    <t>MTL4544</t>
  </si>
  <si>
    <t>IECEx BAS 06.0034</t>
  </si>
  <si>
    <t>LMP 23.0435X</t>
  </si>
  <si>
    <t>182903.1</t>
  </si>
  <si>
    <t>Bomba Dosadora</t>
  </si>
  <si>
    <t>R151-FT-YB1</t>
  </si>
  <si>
    <t>Air Dimensions</t>
  </si>
  <si>
    <t>IECEx EUT 14.0001X</t>
  </si>
  <si>
    <t>LMP 23.0436X</t>
  </si>
  <si>
    <t>182904.1</t>
  </si>
  <si>
    <t>Detector de Vibração</t>
  </si>
  <si>
    <t>Schneider Electric</t>
  </si>
  <si>
    <t>E164999 (UL)</t>
  </si>
  <si>
    <t>LMP 23.0437</t>
  </si>
  <si>
    <t>182910.1</t>
  </si>
  <si>
    <t>Luz de Sinalização para Heliponto</t>
  </si>
  <si>
    <t>L425EX-700</t>
  </si>
  <si>
    <t>Orga B.V.</t>
  </si>
  <si>
    <t>IECEx KEM 10.0052</t>
  </si>
  <si>
    <t>LMP 23.0438X</t>
  </si>
  <si>
    <t>182909.1</t>
  </si>
  <si>
    <t>LMP 23.0439X</t>
  </si>
  <si>
    <t>182961.1</t>
  </si>
  <si>
    <t>718EX-30 / 718EX-300</t>
  </si>
  <si>
    <t>LMP 23.0440</t>
  </si>
  <si>
    <t>182965.1</t>
  </si>
  <si>
    <t>6148/1111-101</t>
  </si>
  <si>
    <t>IECEx IBE 11.0009</t>
  </si>
  <si>
    <t>LMP 23.0441X</t>
  </si>
  <si>
    <t>182968.1</t>
  </si>
  <si>
    <t>933S H2S COSMeSH
933S H2S</t>
  </si>
  <si>
    <t>Ametek Canada LP</t>
  </si>
  <si>
    <t>1031027 (CSA)</t>
  </si>
  <si>
    <t>LMP 23.0442X</t>
  </si>
  <si>
    <t>182968.2</t>
  </si>
  <si>
    <t>LMP 23.0443</t>
  </si>
  <si>
    <t>Tricomex</t>
  </si>
  <si>
    <t>182897.1</t>
  </si>
  <si>
    <t>Medidor de Vazão Eletromagnético</t>
  </si>
  <si>
    <t>QTLD</t>
  </si>
  <si>
    <t>Q&amp;T Instrument Co., Ltd.</t>
  </si>
  <si>
    <t>IEP 18 ATEX 0608</t>
  </si>
  <si>
    <t>LMP 23.0444X</t>
  </si>
  <si>
    <t>182973.2</t>
  </si>
  <si>
    <t>TTF300</t>
  </si>
  <si>
    <t>LMP 23.0445X</t>
  </si>
  <si>
    <t>182973.1</t>
  </si>
  <si>
    <t>FEP631</t>
  </si>
  <si>
    <t>ABB Engineering (Shanghai) Limited</t>
  </si>
  <si>
    <t>IECEx FME 17.0001X</t>
  </si>
  <si>
    <t>LMP 23.0446</t>
  </si>
  <si>
    <t>182973.3</t>
  </si>
  <si>
    <t>Burket</t>
  </si>
  <si>
    <t>LMP 23.0447X</t>
  </si>
  <si>
    <t>MS Instrumentos Industriais Ltda.</t>
  </si>
  <si>
    <t>182978.1</t>
  </si>
  <si>
    <t>Sensor de Poeira</t>
  </si>
  <si>
    <t>ProSens Ex 50-0004</t>
  </si>
  <si>
    <t>ENVEA Process GmbH</t>
  </si>
  <si>
    <t>BVS 13 ATEX E 096 X</t>
  </si>
  <si>
    <t>LMP 23.0448X</t>
  </si>
  <si>
    <t>Voith</t>
  </si>
  <si>
    <t>192976.1</t>
  </si>
  <si>
    <t>Balluff GmbH</t>
  </si>
  <si>
    <t>IECEx EPS 13.0004X</t>
  </si>
  <si>
    <t>LMP 23.0449</t>
  </si>
  <si>
    <t>182980.1</t>
  </si>
  <si>
    <t>FPM-8151H-R3BE</t>
  </si>
  <si>
    <t>Advantech Co. Ltd.</t>
  </si>
  <si>
    <t>E322252 (UL)</t>
  </si>
  <si>
    <t>LMP 23.0450X</t>
  </si>
  <si>
    <t>Bray Controls Indústria de Válvulas Ltda.</t>
  </si>
  <si>
    <t>182981.1</t>
  </si>
  <si>
    <t>Posicionador Eletropneumático</t>
  </si>
  <si>
    <t>6DR5210-0EN00-5KA0</t>
  </si>
  <si>
    <t>Bray Controls USA</t>
  </si>
  <si>
    <t>TÜV 11 ATEX 556079 X</t>
  </si>
  <si>
    <t>LMP 23.0451X</t>
  </si>
  <si>
    <t>Automatic Equipamentos Industriais Ltda.</t>
  </si>
  <si>
    <t>182982.1</t>
  </si>
  <si>
    <t>LMP 23.0453</t>
  </si>
  <si>
    <t>LMP 23.0454</t>
  </si>
  <si>
    <t>Nivetec</t>
  </si>
  <si>
    <t>182899.1</t>
  </si>
  <si>
    <t>KAX 1-8486-2
KAX 1-8431-2</t>
  </si>
  <si>
    <t>LMP 23.0455</t>
  </si>
  <si>
    <t>PLC Open Automação e Manutenção Industrial Ltda.</t>
  </si>
  <si>
    <t>182900.1</t>
  </si>
  <si>
    <t>KAX 1-8486-2</t>
  </si>
  <si>
    <t>LMP 23.0457X</t>
  </si>
  <si>
    <t>182984.1</t>
  </si>
  <si>
    <t>B732V  XTAXCN</t>
  </si>
  <si>
    <t>LMP 23.0458</t>
  </si>
  <si>
    <t>182985.1</t>
  </si>
  <si>
    <t>PPS N7 HB 25</t>
  </si>
  <si>
    <t>LMP 23.0459</t>
  </si>
  <si>
    <t>182986.1</t>
  </si>
  <si>
    <t>PPA N7 JS 06 XFSMD</t>
  </si>
  <si>
    <t>LMP 23.0460X</t>
  </si>
  <si>
    <t>183009.1</t>
  </si>
  <si>
    <t>Chave de Fim de Curso</t>
  </si>
  <si>
    <t>07-2511</t>
  </si>
  <si>
    <t>LMP 23.0461</t>
  </si>
  <si>
    <t>183010.1</t>
  </si>
  <si>
    <t>Chave de Vibração</t>
  </si>
  <si>
    <t>365A-A8</t>
  </si>
  <si>
    <t>LMP 23.0462</t>
  </si>
  <si>
    <t>183016.1</t>
  </si>
  <si>
    <t>Medidor de Nível Tipo Radar</t>
  </si>
  <si>
    <t>3058226 (FM)</t>
  </si>
  <si>
    <t>LMP 23.0463X</t>
  </si>
  <si>
    <t>183012.1</t>
  </si>
  <si>
    <t>Módulo CPU</t>
  </si>
  <si>
    <t>9442/32-10-00</t>
  </si>
  <si>
    <t>IECEx PTB 22.0001X</t>
  </si>
  <si>
    <t>LMP 23.0464X</t>
  </si>
  <si>
    <t>183017.1</t>
  </si>
  <si>
    <t>Módulo de Potência</t>
  </si>
  <si>
    <t>9445/32-12</t>
  </si>
  <si>
    <t>IECEx PTB 17.0042X</t>
  </si>
  <si>
    <t>LMP 23.0466</t>
  </si>
  <si>
    <t>182911.1</t>
  </si>
  <si>
    <t>Monitor de Combate à Incêndios</t>
  </si>
  <si>
    <t>LMP 23.0467X</t>
  </si>
  <si>
    <t>183011.1</t>
  </si>
  <si>
    <t>LMP 23.0468</t>
  </si>
  <si>
    <t>182608.1</t>
  </si>
  <si>
    <t>LMP 23.0469</t>
  </si>
  <si>
    <t>182609.1</t>
  </si>
  <si>
    <t>LMP 23.0470X</t>
  </si>
  <si>
    <t>183031.1</t>
  </si>
  <si>
    <t>Indicador de Fluxo</t>
  </si>
  <si>
    <t>E112-P-AH-CX-HAA-IB-OT-PB-PX-XD-ZB-1FH</t>
  </si>
  <si>
    <t>Fluidwell B.V.</t>
  </si>
  <si>
    <t>IECEx DEK 14.0001X</t>
  </si>
  <si>
    <t>LMP 23.0471X</t>
  </si>
  <si>
    <t>183033.1</t>
  </si>
  <si>
    <t>LMP 23.0472X</t>
  </si>
  <si>
    <t>183034.1</t>
  </si>
  <si>
    <t>3809G</t>
  </si>
  <si>
    <t>LMP 23.0474X</t>
  </si>
  <si>
    <t>183035.1</t>
  </si>
  <si>
    <t>7MF4433-1HA02-2PC6-Z A02+A40+C11+D61+E28
7MF4433-1BA03-2DC6-Z A02+D12+E26+U04+C11
7MF4233-1GA00-2PC6-Z A02+C11+C12+D61+E28</t>
  </si>
  <si>
    <t>LMP 23.0475X</t>
  </si>
  <si>
    <t>183042.1</t>
  </si>
  <si>
    <t>SGOES-M11</t>
  </si>
  <si>
    <t>IECEx FMG 15.0010X</t>
  </si>
  <si>
    <t>LMP 23.0477</t>
  </si>
  <si>
    <t>TSL</t>
  </si>
  <si>
    <t>183043.1</t>
  </si>
  <si>
    <t>Câmera corporal</t>
  </si>
  <si>
    <t>DSJ-DASNAA1</t>
  </si>
  <si>
    <t>Shenyang Dean Intelligent Technology Co., Ltd.</t>
  </si>
  <si>
    <t>SYEx 20.12433</t>
  </si>
  <si>
    <t>LMP 23.0478</t>
  </si>
  <si>
    <t>183048.1</t>
  </si>
  <si>
    <t>3051CD2A03A1KH2K2M5</t>
  </si>
  <si>
    <t>Rosemount Measurement &amp; Analytical</t>
  </si>
  <si>
    <t>FM16US0121</t>
  </si>
  <si>
    <t>LMP 23.0479</t>
  </si>
  <si>
    <t>183052.1</t>
  </si>
  <si>
    <t>Unidade de Barreira</t>
  </si>
  <si>
    <t>LMP 23.0480</t>
  </si>
  <si>
    <t>183041.1</t>
  </si>
  <si>
    <t>LMP 23.0481</t>
  </si>
  <si>
    <t>Smart Supply</t>
  </si>
  <si>
    <t>183057.1</t>
  </si>
  <si>
    <t>Luz de Emergência LED</t>
  </si>
  <si>
    <t>6009/4148-2103-162-2220-22-850011</t>
  </si>
  <si>
    <t>IECEx IBE 16.0038</t>
  </si>
  <si>
    <t>LMP 23.0482X</t>
  </si>
  <si>
    <t>183058.1</t>
  </si>
  <si>
    <t>LMP 23.0483</t>
  </si>
  <si>
    <t>183059.1</t>
  </si>
  <si>
    <t>FPS N7 JH 25 XSF</t>
  </si>
  <si>
    <t>LMP 23.0484X</t>
  </si>
  <si>
    <t>183062.1</t>
  </si>
  <si>
    <t>Monitor de Água em Óleo</t>
  </si>
  <si>
    <t>IECEx QPS 21.0015X</t>
  </si>
  <si>
    <t>LMP 23.0485X</t>
  </si>
  <si>
    <t>183063.1</t>
  </si>
  <si>
    <t>CPG1500-ST-A-S-BG510-GDTZ-13-C</t>
  </si>
  <si>
    <t>LMP 23.0486X</t>
  </si>
  <si>
    <t>183064.1</t>
  </si>
  <si>
    <t>AVK-ADF</t>
  </si>
  <si>
    <t>LMP 23.0487X</t>
  </si>
  <si>
    <t>183065.1</t>
  </si>
  <si>
    <t>FLR-SBI (NMG125-AVGFV3”/150/RF-VK5/TLEH-L850/12-V44R-Ex)</t>
  </si>
  <si>
    <t>KSR Kübler Niveau-Messtechnik GmbH</t>
  </si>
  <si>
    <t>Kema 01ATEX1052X</t>
  </si>
  <si>
    <t>LMP 23.0489</t>
  </si>
  <si>
    <t>183066.1</t>
  </si>
  <si>
    <t>Transmissor de Nível Tipo Pá Rotativa</t>
  </si>
  <si>
    <t>RXE-HM-CC22BB0A</t>
  </si>
  <si>
    <t>LMP 23.0490X</t>
  </si>
  <si>
    <t>183068.1</t>
  </si>
  <si>
    <t>Sistema analisador de gás de combustão</t>
  </si>
  <si>
    <t>2700 (02720D1)</t>
  </si>
  <si>
    <t>2578918 (CSA)</t>
  </si>
  <si>
    <t>LMP 23.0491</t>
  </si>
  <si>
    <t>183068.2</t>
  </si>
  <si>
    <t>Controlador de Purga</t>
  </si>
  <si>
    <t>MiniPurge</t>
  </si>
  <si>
    <t>Expo Technologies</t>
  </si>
  <si>
    <t>LMP 23.0492X</t>
  </si>
  <si>
    <t>183053.1</t>
  </si>
  <si>
    <t>LMP 23.0493X</t>
  </si>
  <si>
    <t>183054.1</t>
  </si>
  <si>
    <t>LMP 23.0494X</t>
  </si>
  <si>
    <t>183075.1</t>
  </si>
  <si>
    <t>LMP 23.0495</t>
  </si>
  <si>
    <t>Aquasensor Tecnologia Ltda.</t>
  </si>
  <si>
    <t>183067.1</t>
  </si>
  <si>
    <t>KAX 1-8411-2
KAX 1-8431-2</t>
  </si>
  <si>
    <t>LMP 23.0496X</t>
  </si>
  <si>
    <t>183050.1</t>
  </si>
  <si>
    <t>LMP 23.0497</t>
  </si>
  <si>
    <t>183078.1</t>
  </si>
  <si>
    <t>Chave de Nível tipo pêra</t>
  </si>
  <si>
    <t>MS1 Ex</t>
  </si>
  <si>
    <t>Nolta GmbH</t>
  </si>
  <si>
    <t>FR / FM</t>
  </si>
  <si>
    <t>IECEx SEV 13.0001</t>
  </si>
  <si>
    <t>LMP 23.0498X</t>
  </si>
  <si>
    <t>183080.1</t>
  </si>
  <si>
    <t>LMP 23.0499X</t>
  </si>
  <si>
    <t>183081.1</t>
  </si>
  <si>
    <t>TUV 13ATEX7399X</t>
  </si>
  <si>
    <t>LMP 23.0500</t>
  </si>
  <si>
    <t>183083.1</t>
  </si>
  <si>
    <t>LMP 23.0501X</t>
  </si>
  <si>
    <t>183084.1</t>
  </si>
  <si>
    <t>HLS-SBI</t>
  </si>
  <si>
    <t>LMP 23.0502X</t>
  </si>
  <si>
    <t>183089.1</t>
  </si>
  <si>
    <t>7MF4433-1HA03-2DC6-Z A40+C12+D12+D61+E26</t>
  </si>
  <si>
    <t>LMP 23.0503X</t>
  </si>
  <si>
    <t>Multitec Instrumentos de Medição Ltda.</t>
  </si>
  <si>
    <t>183071.1</t>
  </si>
  <si>
    <t>700G31</t>
  </si>
  <si>
    <t>LMP 23.0504X</t>
  </si>
  <si>
    <t>183072.1</t>
  </si>
  <si>
    <t>700G08, 700G29</t>
  </si>
  <si>
    <t>LMP 23.0506X</t>
  </si>
  <si>
    <t>183092.1</t>
  </si>
  <si>
    <t>LMP 23.0507X</t>
  </si>
  <si>
    <t>183073.1</t>
  </si>
  <si>
    <t>Painel de Acesso</t>
  </si>
  <si>
    <t>AP5</t>
  </si>
  <si>
    <t>Gai-Tronics</t>
  </si>
  <si>
    <t>LMP 23.0508</t>
  </si>
  <si>
    <t>183074.1</t>
  </si>
  <si>
    <t>Telefone</t>
  </si>
  <si>
    <t xml:space="preserve">AUTELDAC 5 </t>
  </si>
  <si>
    <t>IECEx BAS 14.0165</t>
  </si>
  <si>
    <t>LMP 23.0510X</t>
  </si>
  <si>
    <t>183099.1</t>
  </si>
  <si>
    <t>LMP 23.0511X</t>
  </si>
  <si>
    <t>183100.1</t>
  </si>
  <si>
    <t>LMP 23.0512X</t>
  </si>
  <si>
    <t>183101.1</t>
  </si>
  <si>
    <t>Analisador de Cloro</t>
  </si>
  <si>
    <t>FCA380</t>
  </si>
  <si>
    <t>LMP 23.0513X</t>
  </si>
  <si>
    <t>183102.1</t>
  </si>
  <si>
    <t>Purge Controller</t>
  </si>
  <si>
    <t>Purge Solutions</t>
  </si>
  <si>
    <t>LMP 23.0514</t>
  </si>
  <si>
    <t>LMP 23.0515</t>
  </si>
  <si>
    <t>Libus</t>
  </si>
  <si>
    <t>183104.1</t>
  </si>
  <si>
    <t>CV-102</t>
  </si>
  <si>
    <t>BRANDBULL INTERNATIONAL</t>
  </si>
  <si>
    <t>IEP 21 ATEX 01003</t>
  </si>
  <si>
    <t>LMP 23.0516</t>
  </si>
  <si>
    <t>183104.2</t>
  </si>
  <si>
    <t>LSI-102</t>
  </si>
  <si>
    <t>IEP 14 ATEX 0192</t>
  </si>
  <si>
    <t>LMP 23.0517X</t>
  </si>
  <si>
    <t>RP MALTA COMERCIAL ELETRICA E HIDRAULICA</t>
  </si>
  <si>
    <t>183106.1</t>
  </si>
  <si>
    <t>Detector de Fumaça</t>
  </si>
  <si>
    <t>BHH-500/EX</t>
  </si>
  <si>
    <t>Autronica Fire &amp; Security AS</t>
  </si>
  <si>
    <t>LMP 23.0518X</t>
  </si>
  <si>
    <t>183108.1</t>
  </si>
  <si>
    <t>Micro Dist</t>
  </si>
  <si>
    <t>INERIS07ATEX0049X</t>
  </si>
  <si>
    <t>LMP 23.0519X</t>
  </si>
  <si>
    <t>Viena</t>
  </si>
  <si>
    <t>183115.1</t>
  </si>
  <si>
    <t>Transmissor de Oxigênio</t>
  </si>
  <si>
    <t>OXY.IQ-5-1-2-S
OXY.IQ-3-1-2-S</t>
  </si>
  <si>
    <t>GE Infrastructure Sensing</t>
  </si>
  <si>
    <t>LMP 23.0523X</t>
  </si>
  <si>
    <t>183130.1</t>
  </si>
  <si>
    <t>LMP 23.0570X</t>
  </si>
  <si>
    <t>183109.1</t>
  </si>
  <si>
    <t>TFD/bs-S-PR (TZN 100-300)</t>
  </si>
  <si>
    <t>LMP 23.0571X</t>
  </si>
  <si>
    <t>183110.1</t>
  </si>
  <si>
    <t>Indicador de Fluxo (componente elétrico do medidor de vazão)</t>
  </si>
  <si>
    <t>E112-P-AH-CX-HSA-IB-OT-PB-PX-XD-ZB-1FH (TZN 40-45)</t>
  </si>
  <si>
    <t>LMP 23.0572X</t>
  </si>
  <si>
    <t>183111.1</t>
  </si>
  <si>
    <t>TDF/bs-S-HT-2-PR/CO (TZN 300-2400)</t>
  </si>
  <si>
    <t>LMP 23.0573X</t>
  </si>
  <si>
    <t>183117.1</t>
  </si>
  <si>
    <t>Flash Point Analyser</t>
  </si>
  <si>
    <t>Icon Scientific Limited</t>
  </si>
  <si>
    <t>IECEx ITS 10.0058X</t>
  </si>
  <si>
    <t>LMP 23.0574X</t>
  </si>
  <si>
    <t>183119.1</t>
  </si>
  <si>
    <t>Acoplador de Ethernet</t>
  </si>
  <si>
    <t>BXF3S0101XN018</t>
  </si>
  <si>
    <t>Solexy Srl</t>
  </si>
  <si>
    <t>IECEx MSC 18.0014X</t>
  </si>
  <si>
    <t>LMP 23.0575X</t>
  </si>
  <si>
    <t>183120.1</t>
  </si>
  <si>
    <t>LMP 23.0576X</t>
  </si>
  <si>
    <t>183121.1</t>
  </si>
  <si>
    <t>LMP 23.0577</t>
  </si>
  <si>
    <t>183094.1</t>
  </si>
  <si>
    <t>Módulo de Rede</t>
  </si>
  <si>
    <t>1783-ETAP1F</t>
  </si>
  <si>
    <t>Rockwell Automation</t>
  </si>
  <si>
    <t>IECEx UL 14.0092X</t>
  </si>
  <si>
    <t>LMP 23.0578X</t>
  </si>
  <si>
    <t>183122.1</t>
  </si>
  <si>
    <t>BGU-V</t>
  </si>
  <si>
    <t>LMP 23.0579</t>
  </si>
  <si>
    <t>183113.1</t>
  </si>
  <si>
    <t>LMP 23.0580X</t>
  </si>
  <si>
    <t>183051.1</t>
  </si>
  <si>
    <t>HYGROPROII-4-4-0-3-0-0-0-3-0</t>
  </si>
  <si>
    <t>LMP 23.0581</t>
  </si>
  <si>
    <t>183134.1</t>
  </si>
  <si>
    <t>Caixa de Terminais</t>
  </si>
  <si>
    <t>KVES</t>
  </si>
  <si>
    <t>Nemko 11 ATEX 1329</t>
  </si>
  <si>
    <t>LMP 23.0582X</t>
  </si>
  <si>
    <t>183135.1</t>
  </si>
  <si>
    <t>LMP 23.0583X</t>
  </si>
  <si>
    <t>183133.1</t>
  </si>
  <si>
    <t>Módulo de pressão</t>
  </si>
  <si>
    <t>750P01Ex</t>
  </si>
  <si>
    <t>IECEx SIR 16.0118X</t>
  </si>
  <si>
    <t>LMP 23.0584</t>
  </si>
  <si>
    <t>183136.1</t>
  </si>
  <si>
    <t>LMP 23.0585</t>
  </si>
  <si>
    <t>Vibropac</t>
  </si>
  <si>
    <t>183137.1</t>
  </si>
  <si>
    <t>E-752</t>
  </si>
  <si>
    <t>Milton Roy Company (LMI)</t>
  </si>
  <si>
    <t>LMP 23.0586</t>
  </si>
  <si>
    <t>183138.1</t>
  </si>
  <si>
    <t>LMP 23.0587</t>
  </si>
  <si>
    <t>183145.1</t>
  </si>
  <si>
    <t>E-702-297 e E-712-277</t>
  </si>
  <si>
    <t>LMP 23.0588X</t>
  </si>
  <si>
    <t>183146.1</t>
  </si>
  <si>
    <t>IECEx DEK 20.0044X</t>
  </si>
  <si>
    <t>LMP 23.0589X</t>
  </si>
  <si>
    <t>183112.1</t>
  </si>
  <si>
    <t>BD-502/EX</t>
  </si>
  <si>
    <t>LMP 23.0590X</t>
  </si>
  <si>
    <t>Magnotech</t>
  </si>
  <si>
    <t>183266.1</t>
  </si>
  <si>
    <t>Dispositivo de aterramento</t>
  </si>
  <si>
    <t>Terrabox TCB030/S2</t>
  </si>
  <si>
    <t>PTB 00 ATEX 2174X</t>
  </si>
  <si>
    <t>LMP 23.0591X</t>
  </si>
  <si>
    <t>183267.1</t>
  </si>
  <si>
    <t>Spectra Sensor Inc.</t>
  </si>
  <si>
    <t>IECEx CML 21.0155X</t>
  </si>
  <si>
    <t>LMP 23.0592X</t>
  </si>
  <si>
    <t>RICITEC</t>
  </si>
  <si>
    <t>183272.1</t>
  </si>
  <si>
    <t>Farol HeadsUp Lite™ 2690</t>
  </si>
  <si>
    <t>Pelican</t>
  </si>
  <si>
    <t>LMP 23.0593X</t>
  </si>
  <si>
    <t>183273.1</t>
  </si>
  <si>
    <t>LMP 23.0594X</t>
  </si>
  <si>
    <t>HSRNET</t>
  </si>
  <si>
    <t>183274.1</t>
  </si>
  <si>
    <t>LMP 23.0595X</t>
  </si>
  <si>
    <t>183275.1</t>
  </si>
  <si>
    <t>MRG-205-7, MRG-209-7, MRG-206-7, MRG-213-7</t>
  </si>
  <si>
    <t>LMP 23.0596X</t>
  </si>
  <si>
    <t>183277.1</t>
  </si>
  <si>
    <t>Transdutor de Proximidade</t>
  </si>
  <si>
    <t>IECEx CSA 17.0001X</t>
  </si>
  <si>
    <t>LMP 23.0597X</t>
  </si>
  <si>
    <t>183278.1</t>
  </si>
  <si>
    <t>Estação de pressão</t>
  </si>
  <si>
    <t>PV 622-IS</t>
  </si>
  <si>
    <t>IECEx BAS 10.0003X</t>
  </si>
  <si>
    <t>LMP 23.0598X</t>
  </si>
  <si>
    <t>183279.1</t>
  </si>
  <si>
    <t>PM 620-IS</t>
  </si>
  <si>
    <t>IECEx BAS 10.0004X</t>
  </si>
  <si>
    <t>LMP 23.0599X</t>
  </si>
  <si>
    <t>183282.1</t>
  </si>
  <si>
    <t>Field Device Acces</t>
  </si>
  <si>
    <t>FDAP2</t>
  </si>
  <si>
    <t>Honeywell</t>
  </si>
  <si>
    <t>IECEx SIR 15.0048X</t>
  </si>
  <si>
    <t>LMP 23.0600X</t>
  </si>
  <si>
    <t>183283.1</t>
  </si>
  <si>
    <t>LMP 23.0601X</t>
  </si>
  <si>
    <t>183284.1</t>
  </si>
  <si>
    <t>70AG/BX e 601KR/AW20030BX</t>
  </si>
  <si>
    <t>LMP 23.0602</t>
  </si>
  <si>
    <t>183287.1</t>
  </si>
  <si>
    <t>PMC21-IA1U1EJWWJA+F3JA</t>
  </si>
  <si>
    <t>Endress+Hauser SE+CO. KG</t>
  </si>
  <si>
    <t>IECEx SEV 14.0008</t>
  </si>
  <si>
    <t>LMP 23.0603X</t>
  </si>
  <si>
    <t>HSRNET INFORMATICA LTDA</t>
  </si>
  <si>
    <t>183289.1</t>
  </si>
  <si>
    <t>Lanterna de cabeça</t>
  </si>
  <si>
    <t>IECEx TRC 11.0010X</t>
  </si>
  <si>
    <t>2012/2023</t>
  </si>
  <si>
    <t>LMP 23.0604X</t>
  </si>
  <si>
    <t>HSRNET Comercial Ltda</t>
  </si>
  <si>
    <t>183290.1</t>
  </si>
  <si>
    <t>LMP 23.0605</t>
  </si>
  <si>
    <t>183294.1</t>
  </si>
  <si>
    <t>E-702-297</t>
  </si>
  <si>
    <t>LMP 23.0606X</t>
  </si>
  <si>
    <t>183295.1</t>
  </si>
  <si>
    <t>LMP 23.0607X</t>
  </si>
  <si>
    <t>183292.1</t>
  </si>
  <si>
    <t>Lanterna de mão</t>
  </si>
  <si>
    <t>MityLite 1965i LED</t>
  </si>
  <si>
    <t>IECEx TRC 10.0005X</t>
  </si>
  <si>
    <t>LMP 23.0608X</t>
  </si>
  <si>
    <t>183301.2</t>
  </si>
  <si>
    <t>Indicador de processo</t>
  </si>
  <si>
    <t>RIA15</t>
  </si>
  <si>
    <t>Endress+Hauser Wetzer GmbH+Co. KG</t>
  </si>
  <si>
    <t>PTB 12 ATEX 2017 X</t>
  </si>
  <si>
    <t>LMP 23.0609X</t>
  </si>
  <si>
    <t>183301.3</t>
  </si>
  <si>
    <t>Sensor de oxigênio</t>
  </si>
  <si>
    <t>VisiTrace mA 120</t>
  </si>
  <si>
    <t>Hamilton Bonaduz AG</t>
  </si>
  <si>
    <t>IECEx TUR 19.0050X</t>
  </si>
  <si>
    <t>LMP 23.0611X</t>
  </si>
  <si>
    <t>183299.1</t>
  </si>
  <si>
    <t>Searchpoint Optima Plus 2108B</t>
  </si>
  <si>
    <t>Honeywell Analytics Limited</t>
  </si>
  <si>
    <t>IECEx BAS 13.0069X</t>
  </si>
  <si>
    <t>LMP 23.0612X</t>
  </si>
  <si>
    <t>183304.1</t>
  </si>
  <si>
    <t>Invólucro (Lâmpada)</t>
  </si>
  <si>
    <t>17L132-xxx</t>
  </si>
  <si>
    <t>IECEx BVS 12.0024X</t>
  </si>
  <si>
    <t>LMP 23.0613X</t>
  </si>
  <si>
    <t>183305.1</t>
  </si>
  <si>
    <t>LMP 23.0614X</t>
  </si>
  <si>
    <t>183306.1</t>
  </si>
  <si>
    <t>LMP 23.0615</t>
  </si>
  <si>
    <t>183143.1</t>
  </si>
  <si>
    <t>Amplificador de Isolamento</t>
  </si>
  <si>
    <t>P27000H1</t>
  </si>
  <si>
    <t>Knick Elektronische Messgerate GmbH &amp; Co. KG</t>
  </si>
  <si>
    <t>E340288 (UL)</t>
  </si>
  <si>
    <t>LMP 23.0616X</t>
  </si>
  <si>
    <t>183144.1</t>
  </si>
  <si>
    <t>Analisador de Água em Óleo</t>
  </si>
  <si>
    <t>WIO300-P2</t>
  </si>
  <si>
    <t>Advanced Sensors Ltd.</t>
  </si>
  <si>
    <t>IECEx QPS 20.0010X</t>
  </si>
  <si>
    <t>LMP 23.0617X</t>
  </si>
  <si>
    <t>183309.1</t>
  </si>
  <si>
    <t>6AV2 124-2DC01-0AX0 (KTP400 Comfort)</t>
  </si>
  <si>
    <t>LMP 23.0618X</t>
  </si>
  <si>
    <t>183300.1</t>
  </si>
  <si>
    <t>MRG-407-7</t>
  </si>
  <si>
    <t>LMP 23.0619X</t>
  </si>
  <si>
    <t>183319.1</t>
  </si>
  <si>
    <t>Insta Trans-XD</t>
  </si>
  <si>
    <t>LMP 23.0620X</t>
  </si>
  <si>
    <t>183296.1</t>
  </si>
  <si>
    <t>Sinalizador audiovisual</t>
  </si>
  <si>
    <t>TCC-0008</t>
  </si>
  <si>
    <t>Moflash Signalling Limited (Klaxon Signals)</t>
  </si>
  <si>
    <t>IECEx EMT 20.0008X</t>
  </si>
  <si>
    <t>LMP 23.0622</t>
  </si>
  <si>
    <t>183320.1</t>
  </si>
  <si>
    <t>LMP 23.0623X</t>
  </si>
  <si>
    <t>183322.1</t>
  </si>
  <si>
    <t>LMP 23.0624X</t>
  </si>
  <si>
    <t>183323.1</t>
  </si>
  <si>
    <t>FLS-SBI 60-ARV2”-VU-L250/12-V44A-Ex</t>
  </si>
  <si>
    <t>KEMA 01ATEX1053 X</t>
  </si>
  <si>
    <t>LMP 23.0625X</t>
  </si>
  <si>
    <t>183324.1</t>
  </si>
  <si>
    <t>LMP 23.0626X</t>
  </si>
  <si>
    <t>183326.1</t>
  </si>
  <si>
    <t>Atuador</t>
  </si>
  <si>
    <t>ACC-10T</t>
  </si>
  <si>
    <t>Milton Roy, LLC</t>
  </si>
  <si>
    <t>IECEx INE 19.0016X</t>
  </si>
  <si>
    <t>LMP 23.0627X</t>
  </si>
  <si>
    <t>Instrucamp</t>
  </si>
  <si>
    <t>183330.1</t>
  </si>
  <si>
    <t xml:space="preserve">Conjunto indicador / monitor de posição Mark 4  </t>
  </si>
  <si>
    <t>Dwyer Instruments, Inc</t>
  </si>
  <si>
    <t>IECEx DEK 11.0061X</t>
  </si>
  <si>
    <t>LMP 23.0628X</t>
  </si>
  <si>
    <t>183331.1</t>
  </si>
  <si>
    <t>Detector Portátil</t>
  </si>
  <si>
    <t>Otex</t>
  </si>
  <si>
    <t>Enraf B.V.</t>
  </si>
  <si>
    <t>IECEx KEM 06.0047X</t>
  </si>
  <si>
    <t>LMP 23.0629X</t>
  </si>
  <si>
    <t>183332.1</t>
  </si>
  <si>
    <t>PLANEJAMENTO DE PROCESSOS - SPI - LMP REG 018-01 Rev.01</t>
  </si>
  <si>
    <t>Status</t>
  </si>
  <si>
    <t>Com.</t>
  </si>
  <si>
    <t>Eng.</t>
  </si>
  <si>
    <t>Dir.</t>
  </si>
  <si>
    <t>Revisão</t>
  </si>
  <si>
    <t>Escopo</t>
  </si>
  <si>
    <t>Responsável Analise Critica da Solicitaçao</t>
  </si>
  <si>
    <t>Data Analise Critica da Solicitaçao</t>
  </si>
  <si>
    <t>Data Proposta</t>
  </si>
  <si>
    <t>Certificado</t>
  </si>
  <si>
    <t>Documentação / Status</t>
  </si>
  <si>
    <t>LMP 22.1053</t>
  </si>
  <si>
    <t>ABC Drives</t>
  </si>
  <si>
    <t>182119.1</t>
  </si>
  <si>
    <t>EX</t>
  </si>
  <si>
    <t xml:space="preserve">Comunicador HART </t>
  </si>
  <si>
    <t>5150X</t>
  </si>
  <si>
    <t>Meriam Process Technologies</t>
  </si>
  <si>
    <t>IECEx UL 13.0004</t>
  </si>
  <si>
    <t xml:space="preserve">MP </t>
  </si>
  <si>
    <t>LMP 22SE0098</t>
  </si>
  <si>
    <t>Agau Industria de Equipamentos para Água Ltda.</t>
  </si>
  <si>
    <t>181602.2</t>
  </si>
  <si>
    <t>CSE</t>
  </si>
  <si>
    <t>Sensor de Alta Frequência HF</t>
  </si>
  <si>
    <t>ifm electronic GmbH</t>
  </si>
  <si>
    <t>L.A</t>
  </si>
  <si>
    <t xml:space="preserve">IECEx PTB 08.0058 </t>
  </si>
  <si>
    <t>LMP 22SE0105X</t>
  </si>
  <si>
    <t>181825.1</t>
  </si>
  <si>
    <t xml:space="preserve">A15-1E2E-BB9, A15-1K3T-BA9 e A15-1E2Q-BB9
</t>
  </si>
  <si>
    <t>BC</t>
  </si>
  <si>
    <t>LMP 22SE0111</t>
  </si>
  <si>
    <t>181825.3</t>
  </si>
  <si>
    <t>A15-1G3B-BA9</t>
  </si>
  <si>
    <t>RR204160</t>
  </si>
  <si>
    <t>LMP 22SE0112</t>
  </si>
  <si>
    <t>181825.4</t>
  </si>
  <si>
    <t>XE3B-KG3C-S1H</t>
  </si>
  <si>
    <t>ISSEP 08 ATEX 019</t>
  </si>
  <si>
    <t>LMP 22SE0117</t>
  </si>
  <si>
    <t>181825.6</t>
  </si>
  <si>
    <t>Chave de nível para líquidos</t>
  </si>
  <si>
    <t>B10-4H4B-BLK</t>
  </si>
  <si>
    <t>LP</t>
  </si>
  <si>
    <t>LMP 22SE0129X</t>
  </si>
  <si>
    <t>181825.9</t>
  </si>
  <si>
    <t xml:space="preserve">Sonda de Nível Eclipse </t>
  </si>
  <si>
    <t xml:space="preserve">05-511A-C11 </t>
  </si>
  <si>
    <t>LMP 22SE0130</t>
  </si>
  <si>
    <t>181825.10</t>
  </si>
  <si>
    <t>Transmissor Ultrassônico Echotel</t>
  </si>
  <si>
    <t xml:space="preserve">ISSeP09ATEX009X </t>
  </si>
  <si>
    <t>LMP 22SE0137X</t>
  </si>
  <si>
    <t>181825.11</t>
  </si>
  <si>
    <t xml:space="preserve">Transmissor de Nível 
</t>
  </si>
  <si>
    <t>R86-511A-B10 / RB3-6300-A00-30-000</t>
  </si>
  <si>
    <t>FM19ATEX0027X</t>
  </si>
  <si>
    <t>LMP 22SE0141X</t>
  </si>
  <si>
    <t>181825.12</t>
  </si>
  <si>
    <t xml:space="preserve">Transmissor de Nível Inteligente 
</t>
  </si>
  <si>
    <t>805-511A-A10/X8CA-4ADC-326</t>
  </si>
  <si>
    <t>LMP 22SE0142X</t>
  </si>
  <si>
    <t>181825.13</t>
  </si>
  <si>
    <t xml:space="preserve">Chave de nível por deslocamento </t>
  </si>
  <si>
    <t>C15-1H3B-0MB</t>
  </si>
  <si>
    <t>LMP 22SE0146X</t>
  </si>
  <si>
    <t>181825.14</t>
  </si>
  <si>
    <t xml:space="preserve">ISSeP09ATEX024 </t>
  </si>
  <si>
    <t>LMP 22.0205</t>
  </si>
  <si>
    <t>181825.34</t>
  </si>
  <si>
    <t>XB3F-4V34-BNK</t>
  </si>
  <si>
    <t xml:space="preserve">Magnetrol International Inc. </t>
  </si>
  <si>
    <t xml:space="preserve">F.M </t>
  </si>
  <si>
    <t>LMP 22.0216</t>
  </si>
  <si>
    <t>181825.35</t>
  </si>
  <si>
    <t>C29-1T30-BKA</t>
  </si>
  <si>
    <t>LMP 22.0217</t>
  </si>
  <si>
    <t>181825.37</t>
  </si>
  <si>
    <t>XE3B-JH4B-S1E</t>
  </si>
  <si>
    <t>LMP 22.0224</t>
  </si>
  <si>
    <t>181825.40</t>
  </si>
  <si>
    <t>A15-1E2E-BNS e A15-1E2TBNS</t>
  </si>
  <si>
    <t>RR20416</t>
  </si>
  <si>
    <t>LMP 22.1055X</t>
  </si>
  <si>
    <t>181825.41</t>
  </si>
  <si>
    <t>JM4 511A B20 / 2CF 011F 101-00-065</t>
  </si>
  <si>
    <t>LMP 22.1062X</t>
  </si>
  <si>
    <t>181825.59</t>
  </si>
  <si>
    <t>Transmissor de nível JM4 511A B20</t>
  </si>
  <si>
    <t>2CF 011F 101 00 090</t>
  </si>
  <si>
    <t xml:space="preserve">IECEx FMG 14.0028X </t>
  </si>
  <si>
    <t>NOK</t>
  </si>
  <si>
    <t>LMP 22SE0106</t>
  </si>
  <si>
    <t>181825.2</t>
  </si>
  <si>
    <t xml:space="preserve">Chave de Nível Tipo Deslocador </t>
  </si>
  <si>
    <t>XH32-1T74-HM8</t>
  </si>
  <si>
    <t xml:space="preserve">Magnetrol International Inc. 
</t>
  </si>
  <si>
    <t>LMP 22SE0114</t>
  </si>
  <si>
    <t>181825.5</t>
  </si>
  <si>
    <t>A15-1E2T-BNQ, A15-1E2E-BNQ</t>
  </si>
  <si>
    <t>LMP 22SE0118</t>
  </si>
  <si>
    <t>181825.7</t>
  </si>
  <si>
    <t xml:space="preserve">Chave de Nível por Ponto RF </t>
  </si>
  <si>
    <t xml:space="preserve"> 811-1005-E00 / 8CA-4A5A-040</t>
  </si>
  <si>
    <t>L.N</t>
  </si>
  <si>
    <t xml:space="preserve">L.N </t>
  </si>
  <si>
    <t>LR 57020-81</t>
  </si>
  <si>
    <t>LMP 22SE0122X</t>
  </si>
  <si>
    <t>181825.8</t>
  </si>
  <si>
    <t xml:space="preserve">Transmissor de Nível Inteligente </t>
  </si>
  <si>
    <t>805-511A-A20/8CA-4ADC-207 e 805-511A-A20/8CA-4ADC-224</t>
  </si>
  <si>
    <t>LMP 22SE0156X</t>
  </si>
  <si>
    <t>181825.15</t>
  </si>
  <si>
    <t xml:space="preserve">Transmissor de nível de radar </t>
  </si>
  <si>
    <t>R86-511AB10 / RB3-6300-A00-30-000</t>
  </si>
  <si>
    <t>LMP 22SE0158X</t>
  </si>
  <si>
    <t>181825.16</t>
  </si>
  <si>
    <t xml:space="preserve"> 811-1205-E00 / X8AA-4A1C-037</t>
  </si>
  <si>
    <t>LMP 22SE0161</t>
  </si>
  <si>
    <t>181825.17</t>
  </si>
  <si>
    <t xml:space="preserve"> XE3E-KQ4C-S1E</t>
  </si>
  <si>
    <t>LMP 22SE0162</t>
  </si>
  <si>
    <t>181825.18</t>
  </si>
  <si>
    <t xml:space="preserve">Transmissor de Vibração </t>
  </si>
  <si>
    <t>SW6000-6331-350</t>
  </si>
  <si>
    <t>LMP 22SE0163</t>
  </si>
  <si>
    <t>181825.19</t>
  </si>
  <si>
    <t>LMP 22SE0164X</t>
  </si>
  <si>
    <t>181825.20</t>
  </si>
  <si>
    <t xml:space="preserve">Transmissor de nível de radar  </t>
  </si>
  <si>
    <t>R86-511A-B10 / RB1-31LO-A00-00-000</t>
  </si>
  <si>
    <t>LMP 22SE0165</t>
  </si>
  <si>
    <t>181825.21</t>
  </si>
  <si>
    <t>Chave de Nível Tipo Boia</t>
  </si>
  <si>
    <t>LMP 22SE0166X</t>
  </si>
  <si>
    <t>181825.22</t>
  </si>
  <si>
    <t xml:space="preserve"> XE3E-JP3C-S1E, XE3E-KP3C-S1E, XE3E-KP3D-S1E</t>
  </si>
  <si>
    <t xml:space="preserve">Magnetrol International N.V </t>
  </si>
  <si>
    <t>LMP 22SE0168</t>
  </si>
  <si>
    <t>181825.23</t>
  </si>
  <si>
    <t>XE3E-JQ4B-S1E</t>
  </si>
  <si>
    <t>LMP 22SE0184X</t>
  </si>
  <si>
    <t>181825.24</t>
  </si>
  <si>
    <t xml:space="preserve">Transmissor Ultrassônico Echotel </t>
  </si>
  <si>
    <t>LMP 22SE0187X</t>
  </si>
  <si>
    <t>181825.25</t>
  </si>
  <si>
    <t xml:space="preserve">RR204160 </t>
  </si>
  <si>
    <t>LMP 22.0188</t>
  </si>
  <si>
    <t>181825.26</t>
  </si>
  <si>
    <t xml:space="preserve">Transmissor de Nível Magnetostritivo JUPITER </t>
  </si>
  <si>
    <t>JM4-511A-B10 / 2CH-00AF-501-00-164</t>
  </si>
  <si>
    <t>LMP 22.0189X</t>
  </si>
  <si>
    <t>181825.27</t>
  </si>
  <si>
    <t>Sonda de Nível Eclipse</t>
  </si>
  <si>
    <t>705-51AA-D70</t>
  </si>
  <si>
    <t>LMP 22.0190</t>
  </si>
  <si>
    <t>181825.28</t>
  </si>
  <si>
    <t xml:space="preserve"> E3E-KQ4C-S1E</t>
  </si>
  <si>
    <t>LMP 22.0192X</t>
  </si>
  <si>
    <t>181825.29</t>
  </si>
  <si>
    <t>T20-4B2A-HA9</t>
  </si>
  <si>
    <t>ISSeP09ATEX024</t>
  </si>
  <si>
    <t>LMP 22.0193</t>
  </si>
  <si>
    <t>181825.30</t>
  </si>
  <si>
    <t>XE3B-AH4B-S1E</t>
  </si>
  <si>
    <t xml:space="preserve">ISSEP 08 ATEX 019 </t>
  </si>
  <si>
    <t>LMP 22.0196X</t>
  </si>
  <si>
    <t>181825.31</t>
  </si>
  <si>
    <t>A15-1E2E-BA9</t>
  </si>
  <si>
    <t>LMP 22.0206X</t>
  </si>
  <si>
    <t>181825.36</t>
  </si>
  <si>
    <t>805-511A-A10/8CA-4A1A-122</t>
  </si>
  <si>
    <t>LMP 22.0219</t>
  </si>
  <si>
    <t>181825.38</t>
  </si>
  <si>
    <t>XC60-2T30-8KK</t>
  </si>
  <si>
    <t xml:space="preserve">0J2A9.AF </t>
  </si>
  <si>
    <t>LMP 22.0223</t>
  </si>
  <si>
    <t>181825.39</t>
  </si>
  <si>
    <t>Magnetrol Management System</t>
  </si>
  <si>
    <t xml:space="preserve">LR 57020-8L </t>
  </si>
  <si>
    <t xml:space="preserve">LMP 22.0218 </t>
  </si>
  <si>
    <t>A15-1E2E-BNS e A15-1E2T-BNS</t>
  </si>
  <si>
    <t>LMP 22.1065X</t>
  </si>
  <si>
    <t>181825.42</t>
  </si>
  <si>
    <t>B15-1G3A-FD9</t>
  </si>
  <si>
    <t>LMP 22.1066X</t>
  </si>
  <si>
    <t>181825.43</t>
  </si>
  <si>
    <t>T62-1G3V-BAC</t>
  </si>
  <si>
    <t>LMP 22.1067</t>
  </si>
  <si>
    <t>181825.44</t>
  </si>
  <si>
    <t>XC74-1P50-HM4</t>
  </si>
  <si>
    <t>0J2A9.AF (FM)</t>
  </si>
  <si>
    <t>LMP 22.1068X</t>
  </si>
  <si>
    <t>181825.45</t>
  </si>
  <si>
    <t>B15-4H3E-BD9</t>
  </si>
  <si>
    <t>LMP 22.1069</t>
  </si>
  <si>
    <t>181825.46</t>
  </si>
  <si>
    <t>E3E-KH4B-S1E</t>
  </si>
  <si>
    <t>LMP 22.1073X</t>
  </si>
  <si>
    <t>181825.47</t>
  </si>
  <si>
    <t>JM4-511A-B10 / 2CF-00AF-E01-00-045</t>
  </si>
  <si>
    <t>LMP 22.1085X</t>
  </si>
  <si>
    <t>181825.49</t>
  </si>
  <si>
    <t>R96 511A B10 / RAA A310 100</t>
  </si>
  <si>
    <t>IECEx FMG 15.0034X</t>
  </si>
  <si>
    <t>LMP 22.1086X</t>
  </si>
  <si>
    <t>181825.50</t>
  </si>
  <si>
    <t>JM4 511A B20 / 2CF 011F 101-00-255</t>
  </si>
  <si>
    <t>LMP 22.1088X</t>
  </si>
  <si>
    <t>181825.51</t>
  </si>
  <si>
    <t>Transmissor de nível JM4 510A A10</t>
  </si>
  <si>
    <t>2CE 001N 101-00-060</t>
  </si>
  <si>
    <t>LMP 22SE0090X</t>
  </si>
  <si>
    <t>181788.1</t>
  </si>
  <si>
    <t xml:space="preserve">Medidor de espessura </t>
  </si>
  <si>
    <t>Echo Point</t>
  </si>
  <si>
    <t>LMP 22SE0092X</t>
  </si>
  <si>
    <t>181797.1</t>
  </si>
  <si>
    <t>MWT-3905</t>
  </si>
  <si>
    <t>LA</t>
  </si>
  <si>
    <t>LMP 22SE0115X</t>
  </si>
  <si>
    <t>181717.2</t>
  </si>
  <si>
    <t xml:space="preserve"> 07-2511 </t>
  </si>
  <si>
    <t>Banner Engineering Corporation</t>
  </si>
  <si>
    <t xml:space="preserve">IECEx EPS 14.0092X </t>
  </si>
  <si>
    <t>LMP 22SE0120X</t>
  </si>
  <si>
    <t>181798.1</t>
  </si>
  <si>
    <t xml:space="preserve">Corrosômetro Portátil </t>
  </si>
  <si>
    <t xml:space="preserve">CheckMate DL </t>
  </si>
  <si>
    <t>ROHRBACK COSASCO SYSTEMS, INC.</t>
  </si>
  <si>
    <t>IECEx UL 18.0129X</t>
  </si>
  <si>
    <t>LMP 22SE0121X</t>
  </si>
  <si>
    <t>181859.1</t>
  </si>
  <si>
    <t>IECEx SIR 16.0009X</t>
  </si>
  <si>
    <t>LMP 22SE0135X</t>
  </si>
  <si>
    <t>181871.1</t>
  </si>
  <si>
    <t>Transmissor Microcor Wireless</t>
  </si>
  <si>
    <t>KL</t>
  </si>
  <si>
    <t>IECEX SIR 19.0018X</t>
  </si>
  <si>
    <t>LMP 22.1081X</t>
  </si>
  <si>
    <t>182213.1</t>
  </si>
  <si>
    <t>Microcor</t>
  </si>
  <si>
    <t xml:space="preserve"> Data-Logger</t>
  </si>
  <si>
    <t>Rohrback Cosasco Systems, Inc</t>
  </si>
  <si>
    <t>LMP 22SE0008</t>
  </si>
  <si>
    <t>ASVOTEC TERMOINDUSTRIAL LTDA</t>
  </si>
  <si>
    <t>181641.1</t>
  </si>
  <si>
    <t xml:space="preserve">Unidade de controle e display </t>
  </si>
  <si>
    <t xml:space="preserve">DFD2-TP2 (07-6152-9032) </t>
  </si>
  <si>
    <t xml:space="preserve">BARTEC GmbH </t>
  </si>
  <si>
    <t>IECEx EPS 14.0042X</t>
  </si>
  <si>
    <t>LMP 22SE0153X</t>
  </si>
  <si>
    <t>181780.1</t>
  </si>
  <si>
    <t>Destilador de amostra</t>
  </si>
  <si>
    <t xml:space="preserve">Universal Analyzers, Inc. </t>
  </si>
  <si>
    <t>LMP 22SE0009</t>
  </si>
  <si>
    <t>181202.23</t>
  </si>
  <si>
    <t>Coletor de dados portátil</t>
  </si>
  <si>
    <t>SCOUT100EX SCOUT140EX</t>
  </si>
  <si>
    <t xml:space="preserve">Bently Nevada, Inc </t>
  </si>
  <si>
    <t>LA/MP</t>
  </si>
  <si>
    <t>LMP 22SE0016</t>
  </si>
  <si>
    <t>181202.24</t>
  </si>
  <si>
    <t>Calibrador de pressão portátil</t>
  </si>
  <si>
    <t xml:space="preserve">DPI61X - DPI610PC/IS </t>
  </si>
  <si>
    <t>DRUCK LIMITED</t>
  </si>
  <si>
    <t>BAS02ATEX1174X</t>
  </si>
  <si>
    <t>LMP 22SE0124X</t>
  </si>
  <si>
    <t>181202.26</t>
  </si>
  <si>
    <t xml:space="preserve">Coletor de dados portátil </t>
  </si>
  <si>
    <t xml:space="preserve">SCOUT100EX-05-NONE </t>
  </si>
  <si>
    <t xml:space="preserve">IECEx TUR 13.0008X </t>
  </si>
  <si>
    <t>LMP 22SE0125X</t>
  </si>
  <si>
    <t>181202.27</t>
  </si>
  <si>
    <t xml:space="preserve">Transmissor de Oxigênio </t>
  </si>
  <si>
    <t>XMO2</t>
  </si>
  <si>
    <t>LMP 22SE0126</t>
  </si>
  <si>
    <t>181202.28</t>
  </si>
  <si>
    <t>Monitor Industrial</t>
  </si>
  <si>
    <t>FPM-8151H</t>
  </si>
  <si>
    <t xml:space="preserve">Advantech Co., Ltd. </t>
  </si>
  <si>
    <t>E322252</t>
  </si>
  <si>
    <t>LMP 22SE0140X</t>
  </si>
  <si>
    <t>181202.30</t>
  </si>
  <si>
    <t>UNIK 5900</t>
  </si>
  <si>
    <t>LMP 22SE0149X</t>
  </si>
  <si>
    <t>181202.31</t>
  </si>
  <si>
    <t>XMO2-2H-31-0</t>
  </si>
  <si>
    <t>LMP 22SE0157X</t>
  </si>
  <si>
    <t>181802.32</t>
  </si>
  <si>
    <t>Módulo de interface do acelerômetro</t>
  </si>
  <si>
    <t>BENTLY NEVADA LLC</t>
  </si>
  <si>
    <t>LMP 22SE0177X</t>
  </si>
  <si>
    <t>181202.33</t>
  </si>
  <si>
    <t>LMP 22.0179</t>
  </si>
  <si>
    <t>181202.34</t>
  </si>
  <si>
    <t>Coletores de Dados Portáteis</t>
  </si>
  <si>
    <t>SCOUT220IS</t>
  </si>
  <si>
    <t>LMP 22.0180X</t>
  </si>
  <si>
    <t>181202.35</t>
  </si>
  <si>
    <t>LMP 22.0181X</t>
  </si>
  <si>
    <t>181202.36</t>
  </si>
  <si>
    <t>330450-40</t>
  </si>
  <si>
    <t>BENTLY NEVADA INC</t>
  </si>
  <si>
    <t>IECEx LCI 11.0067X</t>
  </si>
  <si>
    <t>LMP 22.0195X</t>
  </si>
  <si>
    <t>181202.44</t>
  </si>
  <si>
    <t xml:space="preserve">moisture.IQ-7-6-1-3-0-0-0 </t>
  </si>
  <si>
    <t>Baker Hughes EMEA</t>
  </si>
  <si>
    <t>IECEx FMG 14.0040X</t>
  </si>
  <si>
    <t>LMP 22SE0145X</t>
  </si>
  <si>
    <t>181202.29</t>
  </si>
  <si>
    <t>LMP 22.0207X</t>
  </si>
  <si>
    <t>181202.37</t>
  </si>
  <si>
    <t>SCOUT220-IS</t>
  </si>
  <si>
    <t xml:space="preserve">Enatel Ltd, (Bently Nevada) </t>
  </si>
  <si>
    <t>LMP 22.0208</t>
  </si>
  <si>
    <t>LMP 22.1057</t>
  </si>
  <si>
    <t>LMP 22.1059X</t>
  </si>
  <si>
    <t>Bently do Brasil Ltda (declaração de n/a)</t>
  </si>
  <si>
    <t>181202.40</t>
  </si>
  <si>
    <t>HygroPro 1 0 W 1 0-1-0-0</t>
  </si>
  <si>
    <t>IECEx BAS 06.0008X</t>
  </si>
  <si>
    <t xml:space="preserve">LMP 22.0177X </t>
  </si>
  <si>
    <t>181202.41</t>
  </si>
  <si>
    <t>Monitor industrial</t>
  </si>
  <si>
    <t xml:space="preserve"> 60X/CMP01 </t>
  </si>
  <si>
    <t>IECEx UL 21.0046X</t>
  </si>
  <si>
    <t>LMP 22.1087X</t>
  </si>
  <si>
    <t>181202.45</t>
  </si>
  <si>
    <t>Transmissor de oxigênio oxy.IQ-152-000 com invólucro GUB2W</t>
  </si>
  <si>
    <t>oxy.IQ-152-000 / GUB2W</t>
  </si>
  <si>
    <t xml:space="preserve">Panametrics LLC / Officine Meccaniche MAM </t>
  </si>
  <si>
    <t>LMP 22SE0021</t>
  </si>
  <si>
    <t>181764.1</t>
  </si>
  <si>
    <t xml:space="preserve">Multiplexador </t>
  </si>
  <si>
    <t>HART MTL4850</t>
  </si>
  <si>
    <t>IECEx FME 08.0001X</t>
  </si>
  <si>
    <t>ok</t>
  </si>
  <si>
    <t>LMP 22SE0022</t>
  </si>
  <si>
    <t>181764.2</t>
  </si>
  <si>
    <t>repetidor MTL5541</t>
  </si>
  <si>
    <t>IECEx BAS 07.0069</t>
  </si>
  <si>
    <t>LMP 22SE0101</t>
  </si>
  <si>
    <t>181804.1</t>
  </si>
  <si>
    <t>Ex</t>
  </si>
  <si>
    <t>Módulo de interface  (parte do multiplexador HART MTL4854)</t>
  </si>
  <si>
    <t>HART HMP-HM64</t>
  </si>
  <si>
    <t>MTL Instruments PvT Limited</t>
  </si>
  <si>
    <t xml:space="preserve">IECEx BAS 14.0125X </t>
  </si>
  <si>
    <t>LMP 22SE0102X</t>
  </si>
  <si>
    <t>181806.1</t>
  </si>
  <si>
    <t>Repetidor de corrente MTL4541B</t>
  </si>
  <si>
    <t>HMP–HM64</t>
  </si>
  <si>
    <t>IECEx BAS 14.0126X</t>
  </si>
  <si>
    <t>LMP 22SE0103X</t>
  </si>
  <si>
    <t>181806.2</t>
  </si>
  <si>
    <t>HCU16</t>
  </si>
  <si>
    <t>LMP 22SE0138U</t>
  </si>
  <si>
    <t>181867.1</t>
  </si>
  <si>
    <t>Banco de baterias</t>
  </si>
  <si>
    <t>31147 000 111</t>
  </si>
  <si>
    <t>IECEx BVS 11.0073U</t>
  </si>
  <si>
    <t>Controlador isolador</t>
  </si>
  <si>
    <t>IECEx BAS 06.003</t>
  </si>
  <si>
    <t>LMP 22.0215</t>
  </si>
  <si>
    <t>182089.1</t>
  </si>
  <si>
    <t>Isolador</t>
  </si>
  <si>
    <t>Fonte de alimentação MTL5553</t>
  </si>
  <si>
    <t xml:space="preserve">IECEx BAS 18.0060 </t>
  </si>
  <si>
    <t>LMP 22SE0143X</t>
  </si>
  <si>
    <t>181880.1</t>
  </si>
  <si>
    <t>Detector de Incendio</t>
  </si>
  <si>
    <t>Orbis IS - ORB-OP-52028-APO</t>
  </si>
  <si>
    <t>Apollo Fire Detectors Ltd</t>
  </si>
  <si>
    <t>IECEx BAS 06.0002X</t>
  </si>
  <si>
    <t>LMP 22SE0159</t>
  </si>
  <si>
    <t>181895.1</t>
  </si>
  <si>
    <t>Monitor de chamas compacto</t>
  </si>
  <si>
    <t>D-LX 110 UL-C1/M4/84Ex/MCG</t>
  </si>
  <si>
    <t>Durag Gmbh</t>
  </si>
  <si>
    <t xml:space="preserve">IECEx IBE 11.0012X </t>
  </si>
  <si>
    <t>LMP 22SE0160</t>
  </si>
  <si>
    <t>181895.2</t>
  </si>
  <si>
    <t>D-LX 110 UL-C1/M5/87Ex/PCG</t>
  </si>
  <si>
    <t>IECEx IBE 18.0024</t>
  </si>
  <si>
    <t>LMP 22.1076X</t>
  </si>
  <si>
    <t>182203.1</t>
  </si>
  <si>
    <t>Detector de Fumaça Óptico I.S. com led piscante</t>
  </si>
  <si>
    <t>55000-640</t>
  </si>
  <si>
    <t>Apollo Fire Detectors Limited, UK</t>
  </si>
  <si>
    <t>IECEx BAS 12.0091X</t>
  </si>
  <si>
    <t>LMP 22SE0015</t>
  </si>
  <si>
    <t>Bray Controls Industria de Válvulas Ltda.</t>
  </si>
  <si>
    <t>181746.1</t>
  </si>
  <si>
    <t xml:space="preserve"> 6DR5210-E0N00-5KA0 e 6DR5010-E0N00-5KA0</t>
  </si>
  <si>
    <t>TUV 11 ATEX 556079 X</t>
  </si>
  <si>
    <t>não achei a pasta</t>
  </si>
  <si>
    <t>LMP 22.1051</t>
  </si>
  <si>
    <t>CF SISTEMAS</t>
  </si>
  <si>
    <t>182142.1</t>
  </si>
  <si>
    <t xml:space="preserve">Unidade terminal </t>
  </si>
  <si>
    <t>MS1000-P</t>
  </si>
  <si>
    <t>Shenyang P.T. Security Technology Co., Ltd</t>
  </si>
  <si>
    <t>IECEx FMG 20.0009</t>
  </si>
  <si>
    <t>LMP 22SE0132</t>
  </si>
  <si>
    <t>181776.1</t>
  </si>
  <si>
    <t>Chave de Nível Tipo Boia / JMLS2</t>
  </si>
  <si>
    <t>CR-JMLS2</t>
  </si>
  <si>
    <t>LMP 22SE0133</t>
  </si>
  <si>
    <t>181776.2</t>
  </si>
  <si>
    <t xml:space="preserve">CHAVE DE NÍVEL TIPO BOIA DESLOCADOR </t>
  </si>
  <si>
    <t>CR-JDC1D</t>
  </si>
  <si>
    <t>LMP 22SE1134</t>
  </si>
  <si>
    <t>181776.3</t>
  </si>
  <si>
    <t>ILUMINADOR PARA VISOR DE NÍVEL BICOLOR SIMPLIPORT</t>
  </si>
  <si>
    <t>CR-SWAI-6S-HR</t>
  </si>
  <si>
    <t>LMP 22.1056X</t>
  </si>
  <si>
    <t>182071.1</t>
  </si>
  <si>
    <t>Transmissor magnetostrictivo JMT</t>
  </si>
  <si>
    <t>LMP 22.1060</t>
  </si>
  <si>
    <t>182071.2</t>
  </si>
  <si>
    <t>Chave de nível magnética – Hermética selada</t>
  </si>
  <si>
    <t>RS-2</t>
  </si>
  <si>
    <t xml:space="preserve">Clark-Reliance Corporation </t>
  </si>
  <si>
    <t>UL E134983</t>
  </si>
  <si>
    <t>LMP 22.1061X</t>
  </si>
  <si>
    <t>182071.3</t>
  </si>
  <si>
    <t>Chave de nível tipo boia deslocador</t>
  </si>
  <si>
    <t>CR-JDC1D (código de fabricação 
JDC1D-SA7F-1-D4-DB1)</t>
  </si>
  <si>
    <t>LMP 22.1052</t>
  </si>
  <si>
    <t>COMEFOGO</t>
  </si>
  <si>
    <t>182154.1</t>
  </si>
  <si>
    <t>LMP 22SE0128X</t>
  </si>
  <si>
    <t>Consorcio Gas Sul</t>
  </si>
  <si>
    <t>181860.1</t>
  </si>
  <si>
    <t>Sira 13ATEX2399X</t>
  </si>
  <si>
    <t>LMP 22SE0178</t>
  </si>
  <si>
    <t>Copaza</t>
  </si>
  <si>
    <t>181906.1</t>
  </si>
  <si>
    <t>Unidade de ventilador</t>
  </si>
  <si>
    <t>Serie Mak</t>
  </si>
  <si>
    <t xml:space="preserve">Euromotori S.r.l </t>
  </si>
  <si>
    <t>LMP 22SE0182X</t>
  </si>
  <si>
    <t>181936.1</t>
  </si>
  <si>
    <t>Sensor de Temperatura</t>
  </si>
  <si>
    <t>ABB Automation Products GmbH</t>
  </si>
  <si>
    <t>LMP 22.0191X</t>
  </si>
  <si>
    <t>181953.1</t>
  </si>
  <si>
    <t>Smart Positioner</t>
  </si>
  <si>
    <t xml:space="preserve"> 52-IP8001-034-3-T6</t>
  </si>
  <si>
    <t>SMC</t>
  </si>
  <si>
    <t>LMP 22.1058</t>
  </si>
  <si>
    <t>182130.1</t>
  </si>
  <si>
    <t xml:space="preserve">Ar condicionado; Painel de controle </t>
  </si>
  <si>
    <t>BFKT-35 e BFKT-50; BKX-220/20</t>
  </si>
  <si>
    <t>Wuxi Kangning Electrical Apparatus for Explosive Atmosphere Co., Ltd</t>
  </si>
  <si>
    <t>LMP 22.1070</t>
  </si>
  <si>
    <t>182014.1</t>
  </si>
  <si>
    <t>Sensor de oxigênio dissolvido</t>
  </si>
  <si>
    <t>499ATrDO-54</t>
  </si>
  <si>
    <t>Rosemount Inc</t>
  </si>
  <si>
    <t>1000782 (LR 34186-35)</t>
  </si>
  <si>
    <t>LMP 22SE0176X</t>
  </si>
  <si>
    <t>181923.1</t>
  </si>
  <si>
    <t>Luz de boia salva-vidas</t>
  </si>
  <si>
    <t>L163</t>
  </si>
  <si>
    <t>ITS09ATEX26366X R.1</t>
  </si>
  <si>
    <t>LMP 22SE0001</t>
  </si>
  <si>
    <t>Fluke do Brasil Ltda</t>
  </si>
  <si>
    <t>181729.1</t>
  </si>
  <si>
    <t>Fluke-700G</t>
  </si>
  <si>
    <t>LMP 22SE0002</t>
  </si>
  <si>
    <t>181729.2</t>
  </si>
  <si>
    <t xml:space="preserve">calibrador de processos </t>
  </si>
  <si>
    <t>Fluke-725EX</t>
  </si>
  <si>
    <t>Martel Electronics Corp</t>
  </si>
  <si>
    <t>LMP 22SE0003</t>
  </si>
  <si>
    <t>181729.3</t>
  </si>
  <si>
    <t>calibrador de pressão</t>
  </si>
  <si>
    <t>Fluke-718EX</t>
  </si>
  <si>
    <t xml:space="preserve">Fluke Electronics Corporation </t>
  </si>
  <si>
    <t>LMP 22SE0004</t>
  </si>
  <si>
    <t>181739.1</t>
  </si>
  <si>
    <t>LMP 22SE0089X</t>
  </si>
  <si>
    <t>181783.1</t>
  </si>
  <si>
    <t>LMP 22SE0170X</t>
  </si>
  <si>
    <t>181916.1</t>
  </si>
  <si>
    <t xml:space="preserve"> 718Ex 30G / 718Ex 100G / 718Ex 300G</t>
  </si>
  <si>
    <t>Fluke Electronics Corporation</t>
  </si>
  <si>
    <t>LMP 22SE0171</t>
  </si>
  <si>
    <t>181916.2</t>
  </si>
  <si>
    <t>Calibrador de Processo de Várias Funções</t>
  </si>
  <si>
    <t>Fluke-725Ex</t>
  </si>
  <si>
    <t>LMP 22SE0172X</t>
  </si>
  <si>
    <t>181916.3</t>
  </si>
  <si>
    <t>Fluke-700G e RG</t>
  </si>
  <si>
    <t xml:space="preserve">IECEx SIR 17.0034X </t>
  </si>
  <si>
    <t>LMP 22SE0173X</t>
  </si>
  <si>
    <t>181916.4</t>
  </si>
  <si>
    <t>Módulos de pressão da série Fluke</t>
  </si>
  <si>
    <t>750P09EX</t>
  </si>
  <si>
    <t xml:space="preserve">IECEx SIR 16.0118X </t>
  </si>
  <si>
    <t>LMP 22.0210X</t>
  </si>
  <si>
    <t>182088.1</t>
  </si>
  <si>
    <t xml:space="preserve"> 700G08 e 700G31 </t>
  </si>
  <si>
    <t>LMP 22.1064</t>
  </si>
  <si>
    <t>182015.1</t>
  </si>
  <si>
    <t xml:space="preserve"> 725Ex</t>
  </si>
  <si>
    <t>LMP 22.0211</t>
  </si>
  <si>
    <t>182088.2</t>
  </si>
  <si>
    <t>LMP 22.0212</t>
  </si>
  <si>
    <t>182088.3</t>
  </si>
  <si>
    <t>Fluke- 750P24Ex</t>
  </si>
  <si>
    <t xml:space="preserve">CSA 044340 </t>
  </si>
  <si>
    <t>LMP 22.0213X</t>
  </si>
  <si>
    <t>182088.4</t>
  </si>
  <si>
    <t>LMP 22SE0108X</t>
  </si>
  <si>
    <t xml:space="preserve">Fluxo </t>
  </si>
  <si>
    <t>181820.1</t>
  </si>
  <si>
    <t>Medidor Gtex</t>
  </si>
  <si>
    <t>HERMetic UTImeter Gtex 2000</t>
  </si>
  <si>
    <t>Honeywell / Enraf</t>
  </si>
  <si>
    <t>LMP 22SE0020X</t>
  </si>
  <si>
    <t>GAIATEC</t>
  </si>
  <si>
    <t>181612.1</t>
  </si>
  <si>
    <t>Dispositivo de conversão de volume de gás</t>
  </si>
  <si>
    <t>MacBAT 5, Data Logger MacREJ 5</t>
  </si>
  <si>
    <t>PLUM Sp. z o.o.</t>
  </si>
  <si>
    <t>IECEx FTZU 17.0026X</t>
  </si>
  <si>
    <t>LMP 22SE0005X</t>
  </si>
  <si>
    <t>181741.1</t>
  </si>
  <si>
    <t>Smatphone EX</t>
  </si>
  <si>
    <t>IS655.2</t>
  </si>
  <si>
    <t>I.safe Mobile Gmbh</t>
  </si>
  <si>
    <t>IECEx EPS 19.0064X</t>
  </si>
  <si>
    <t>LMP 22SE0144U</t>
  </si>
  <si>
    <t>181884.1</t>
  </si>
  <si>
    <t>Caixa de Contato</t>
  </si>
  <si>
    <t>ZBWE101 e ZBWE102</t>
  </si>
  <si>
    <t>IECEx INE 13.0063U</t>
  </si>
  <si>
    <t>LMP 22SE0095X</t>
  </si>
  <si>
    <t>181692.1</t>
  </si>
  <si>
    <t>DSP PIG Detector</t>
  </si>
  <si>
    <t>ClampOn AS</t>
  </si>
  <si>
    <t>IECEx ULD 13.0010X</t>
  </si>
  <si>
    <t>LMP 22SE0096</t>
  </si>
  <si>
    <t>181692.2</t>
  </si>
  <si>
    <t>Caixa de Controle</t>
  </si>
  <si>
    <t xml:space="preserve">8150/5-0176-0236-150-3311
</t>
  </si>
  <si>
    <t>R.STAHL SCHALTGERATE GMBH</t>
  </si>
  <si>
    <t>IECEc PTB 09.0049</t>
  </si>
  <si>
    <t>LMP 22SE0131</t>
  </si>
  <si>
    <t>181866.1</t>
  </si>
  <si>
    <t>Lâmpada de teste ultravioleta</t>
  </si>
  <si>
    <t xml:space="preserve">W8066G1001 </t>
  </si>
  <si>
    <t xml:space="preserve">CSA 052532 </t>
  </si>
  <si>
    <t>LMP 22.1071</t>
  </si>
  <si>
    <t>182128.1</t>
  </si>
  <si>
    <t>Cabeça de comando elétrica a prova de explosão</t>
  </si>
  <si>
    <t>82-486500-010</t>
  </si>
  <si>
    <t>E65682</t>
  </si>
  <si>
    <t>LMP 22.1072</t>
  </si>
  <si>
    <t>182128.2</t>
  </si>
  <si>
    <t>CABEÇA DE COMANDO ELÉTRICA/OPERADA POR CABO PARA ÁREA CLASSIFICADA</t>
  </si>
  <si>
    <t>85-897494-000</t>
  </si>
  <si>
    <t>LMP 22.1074X</t>
  </si>
  <si>
    <t xml:space="preserve">182193.1 </t>
  </si>
  <si>
    <t>Detector de Fumaça Fotoelétrico Convencional</t>
  </si>
  <si>
    <t>SLR-E-IS</t>
  </si>
  <si>
    <t>Hochiki Europe - UK</t>
  </si>
  <si>
    <t>IECEx BAS 12.0130X</t>
  </si>
  <si>
    <t>LMP 22.1082</t>
  </si>
  <si>
    <t>182099.1</t>
  </si>
  <si>
    <t xml:space="preserve">Lâmpada de teste ultravioleta </t>
  </si>
  <si>
    <t>Detector Electronics Corporation
6901 West 110th Street - Minneapolis, Minnesota 55438 USA</t>
  </si>
  <si>
    <t>LMP 22SE0091</t>
  </si>
  <si>
    <t>LUFTSUPPLY</t>
  </si>
  <si>
    <t>181784.1</t>
  </si>
  <si>
    <t>Conversor corrente para pressão</t>
  </si>
  <si>
    <t>SRI983</t>
  </si>
  <si>
    <t>Eckardt S.A.S.</t>
  </si>
  <si>
    <t>FM14ATEX0022X</t>
  </si>
  <si>
    <t>LMP 22.0204</t>
  </si>
  <si>
    <t>182054.1</t>
  </si>
  <si>
    <t>Holofote de heliponto</t>
  </si>
  <si>
    <t>R. Stahl Tranberg AS</t>
  </si>
  <si>
    <t>NEMKO 00ATEX245</t>
  </si>
  <si>
    <t>LMP 22SE0006</t>
  </si>
  <si>
    <t>METROMINAS</t>
  </si>
  <si>
    <t>181742.1</t>
  </si>
  <si>
    <t>GPR-2500 N</t>
  </si>
  <si>
    <t>Analytical Industries Inc. DCA Advanced Insruments Inc.</t>
  </si>
  <si>
    <t>INERIS 08ATEX0036</t>
  </si>
  <si>
    <t>LMP 22SE0147X</t>
  </si>
  <si>
    <t>181800.1</t>
  </si>
  <si>
    <t>Controladores de válvula</t>
  </si>
  <si>
    <t>MB700-SOV524VCC-ALSD400</t>
  </si>
  <si>
    <t>Wuxi Aphe Flow Smart Controls Maker Co.,Ltd.</t>
  </si>
  <si>
    <t>LMP 22.1063X</t>
  </si>
  <si>
    <t>182173.1</t>
  </si>
  <si>
    <t>ALS-400M2 (MB701)</t>
  </si>
  <si>
    <t>GYB18.1234X</t>
  </si>
  <si>
    <t>LMP 22SE0154X</t>
  </si>
  <si>
    <t>MS Instrumentos</t>
  </si>
  <si>
    <t>181828.1</t>
  </si>
  <si>
    <t>Sensor de elementos sólidos</t>
  </si>
  <si>
    <t>ProSens EX50-0004</t>
  </si>
  <si>
    <t>BVS 13 ATEX E 096X</t>
  </si>
  <si>
    <t>LMP 22SE0110</t>
  </si>
  <si>
    <t>181840.1</t>
  </si>
  <si>
    <t xml:space="preserve">Friedrich Air Conditioning CO 
</t>
  </si>
  <si>
    <t xml:space="preserve">20120814 - E58686 </t>
  </si>
  <si>
    <t>LMP 22SE0017</t>
  </si>
  <si>
    <t>Pensalab</t>
  </si>
  <si>
    <t>181759.1</t>
  </si>
  <si>
    <t xml:space="preserve">Analisador </t>
  </si>
  <si>
    <t>A201B-MSOXY e A201B-MSPH</t>
  </si>
  <si>
    <t>LMP 22SE0018</t>
  </si>
  <si>
    <t>181759.2</t>
  </si>
  <si>
    <t xml:space="preserve">Sensor Memosens </t>
  </si>
  <si>
    <t xml:space="preserve"> SE 707 X/1 e SE557X/1</t>
  </si>
  <si>
    <t>LMP 22SE0044</t>
  </si>
  <si>
    <t>181510.37</t>
  </si>
  <si>
    <t>Dispositivo de Retransmissão</t>
  </si>
  <si>
    <t>KFD0-RO-Ex-2</t>
  </si>
  <si>
    <t>TUV 00 ATEX 1621 X</t>
  </si>
  <si>
    <t>LMP 22SE0045</t>
  </si>
  <si>
    <t>181510.36</t>
  </si>
  <si>
    <t xml:space="preserve">Transformador de Repetidor de resistência isolado </t>
  </si>
  <si>
    <t>HIC 2077</t>
  </si>
  <si>
    <t xml:space="preserve">Pepperl+Fuchs GmbH 
</t>
  </si>
  <si>
    <t>Baseefa10ATEX0263X</t>
  </si>
  <si>
    <t>LMP 22SE0046</t>
  </si>
  <si>
    <t>181510.38</t>
  </si>
  <si>
    <t>Encoder Rotativo</t>
  </si>
  <si>
    <t>RVI58X-011K1R61N-01024</t>
  </si>
  <si>
    <t xml:space="preserve">PF18CERT4775 X </t>
  </si>
  <si>
    <t>LMP 22SE0040X</t>
  </si>
  <si>
    <t>182060.17</t>
  </si>
  <si>
    <t>LMP 22SE0041X</t>
  </si>
  <si>
    <t>182060.12</t>
  </si>
  <si>
    <t xml:space="preserve">Barreira USB </t>
  </si>
  <si>
    <t>IECEx EXA 18.0008X</t>
  </si>
  <si>
    <t>LMP 22.0042X</t>
  </si>
  <si>
    <t>182060.13</t>
  </si>
  <si>
    <t>Barreira de segurança</t>
  </si>
  <si>
    <t>TÜV 16 ATEX 181955 X</t>
  </si>
  <si>
    <t>LMP 22.0043X</t>
  </si>
  <si>
    <t>182060.22</t>
  </si>
  <si>
    <t>LMP 22SE0047</t>
  </si>
  <si>
    <t>181510.34</t>
  </si>
  <si>
    <t xml:space="preserve">Barreira de proteção contra raios </t>
  </si>
  <si>
    <t>Pepperl+Fuchs GmbH</t>
  </si>
  <si>
    <t>LMP 22SE0048</t>
  </si>
  <si>
    <t>181510.43</t>
  </si>
  <si>
    <t xml:space="preserve">PTB 00 ATEX 2043 </t>
  </si>
  <si>
    <t>LMP 22SE0049</t>
  </si>
  <si>
    <t>LMP 22SE0030X</t>
  </si>
  <si>
    <t>181510.41</t>
  </si>
  <si>
    <t>Válvula de alívio para controlador de purga</t>
  </si>
  <si>
    <t>EPV-6000-SS-01 / EPV-6000-SS-03</t>
  </si>
  <si>
    <t xml:space="preserve">DEMKO 15 ATEX 1622X </t>
  </si>
  <si>
    <t>LMP 22SE0031X</t>
  </si>
  <si>
    <t>181510.40</t>
  </si>
  <si>
    <t>Sistema de controle de purga</t>
  </si>
  <si>
    <t>6500-01-PM01-PNO-LNO / 6500-01-UIC-PM0</t>
  </si>
  <si>
    <t>LMP 22SE0032X</t>
  </si>
  <si>
    <t>182060.5</t>
  </si>
  <si>
    <t>Pepperl + Fuchs Asia Pte. Ltd</t>
  </si>
  <si>
    <t>ZELM 00 ATEX 0036 /
TÜV 01 ATEX 1777 X</t>
  </si>
  <si>
    <t>LMP 22SE0039</t>
  </si>
  <si>
    <t>182060.1</t>
  </si>
  <si>
    <t>LHCR-51</t>
  </si>
  <si>
    <t>PEPPERL + FUCHS AG</t>
  </si>
  <si>
    <t xml:space="preserve">DEKRA 13ATEX0142 </t>
  </si>
  <si>
    <t>LMP 22SE0033</t>
  </si>
  <si>
    <t>182060.11</t>
  </si>
  <si>
    <t>Barreira Fieldbus</t>
  </si>
  <si>
    <t>RD0-FB-Ex4.COM</t>
  </si>
  <si>
    <t>PTB 02 ATEX 2086</t>
  </si>
  <si>
    <t>LMP 22.0034</t>
  </si>
  <si>
    <t>182060.15</t>
  </si>
  <si>
    <t xml:space="preserve">KFD2-PT2-Ex1 </t>
  </si>
  <si>
    <t>IECEx BAS 10.0060</t>
  </si>
  <si>
    <t>LMP 22.0035</t>
  </si>
  <si>
    <t>182060.16</t>
  </si>
  <si>
    <t xml:space="preserve"> Ident-Ex 01 </t>
  </si>
  <si>
    <t>LMP 22.0036</t>
  </si>
  <si>
    <t>182060.20</t>
  </si>
  <si>
    <t xml:space="preserve">PTB 02 ATEX 2064 </t>
  </si>
  <si>
    <t>LMP 22SE0037</t>
  </si>
  <si>
    <t>182060.14</t>
  </si>
  <si>
    <t>LFL1-BK-N-PUR3</t>
  </si>
  <si>
    <t>LMP 22.0038X</t>
  </si>
  <si>
    <t>182060.25</t>
  </si>
  <si>
    <t>LMP 22SE0025X</t>
  </si>
  <si>
    <t>182060.8</t>
  </si>
  <si>
    <t>Sensor indutivo de deslocamento</t>
  </si>
  <si>
    <t>NJ5-18GM50-E2-3G-3D e NCB2-12GM40-E2-3G-3D</t>
  </si>
  <si>
    <t>TÜV 20 ATEX 8524 X</t>
  </si>
  <si>
    <t>LMP 22SE0026X</t>
  </si>
  <si>
    <t>182060.9</t>
  </si>
  <si>
    <t>NJ5-18GM50-E2-3G-3D</t>
  </si>
  <si>
    <t>TÜV 20 ATEX 8523 X</t>
  </si>
  <si>
    <t>LMP 22SE0027</t>
  </si>
  <si>
    <t>181510.31</t>
  </si>
  <si>
    <t>Transformador de isolamento SMART</t>
  </si>
  <si>
    <t>KFD0-SCS-Ex1</t>
  </si>
  <si>
    <t>PEPPERL + FUCHS GmbH</t>
  </si>
  <si>
    <t>LMP 22SE0028X</t>
  </si>
  <si>
    <t>182060.4</t>
  </si>
  <si>
    <t>CJ1-12GK-N</t>
  </si>
  <si>
    <t>TUV 03ATEX 2003 X</t>
  </si>
  <si>
    <t>LMP 22SE0029X</t>
  </si>
  <si>
    <t>182060.2</t>
  </si>
  <si>
    <t xml:space="preserve">PEPPERL + FUCHS AG </t>
  </si>
  <si>
    <t xml:space="preserve">PTB 99 ATEX 2128 X </t>
  </si>
  <si>
    <t>LMP 22SE0051X</t>
  </si>
  <si>
    <t>182060.6</t>
  </si>
  <si>
    <t>LMP 22SE0052X</t>
  </si>
  <si>
    <t>182060.10</t>
  </si>
  <si>
    <t>KCD2-STC-Ex1.20</t>
  </si>
  <si>
    <t>LMP 22SE0053X</t>
  </si>
  <si>
    <t>182060.7</t>
  </si>
  <si>
    <t>Fone de ouvido (Headset)</t>
  </si>
  <si>
    <t>SM1PEWEXPF01</t>
  </si>
  <si>
    <t>Sensear PTy Limited</t>
  </si>
  <si>
    <t>IECEx BAS 18.0035X</t>
  </si>
  <si>
    <t>LMP 22SE0055X</t>
  </si>
  <si>
    <t>181510.35</t>
  </si>
  <si>
    <t>LVL-M1-N31AA-A1N1NA-E2</t>
  </si>
  <si>
    <t>IECEx DEK 16.0077X</t>
  </si>
  <si>
    <t>LMP 22SE0058X</t>
  </si>
  <si>
    <t>181510.32</t>
  </si>
  <si>
    <t>Medidor de temperatura</t>
  </si>
  <si>
    <t xml:space="preserve">Ecom instruments GmbH (Pepperl + Fuchs) </t>
  </si>
  <si>
    <t>LMP 22SE0050X</t>
  </si>
  <si>
    <t>182060.3</t>
  </si>
  <si>
    <t>6.3</t>
  </si>
  <si>
    <t>Codificador Óptico</t>
  </si>
  <si>
    <t>IVM78E-011KRR05I-0413</t>
  </si>
  <si>
    <t>05/08/2022 e 08/08/2022</t>
  </si>
  <si>
    <t>ITS15ATEX18372X</t>
  </si>
  <si>
    <t>LMP 22SE0151X</t>
  </si>
  <si>
    <t>Petrobras</t>
  </si>
  <si>
    <t>181541.1</t>
  </si>
  <si>
    <t>Analisador de BTU</t>
  </si>
  <si>
    <t xml:space="preserve">PGC5000 </t>
  </si>
  <si>
    <t>ABB</t>
  </si>
  <si>
    <t>LMP 22SE0152X</t>
  </si>
  <si>
    <t>181541.2</t>
  </si>
  <si>
    <t>LMP 22SE0150X</t>
  </si>
  <si>
    <t>181892.1</t>
  </si>
  <si>
    <t>Baseefa10ATEX0204X</t>
  </si>
  <si>
    <t>LMP 22SE0136X</t>
  </si>
  <si>
    <t>Solution</t>
  </si>
  <si>
    <t>181863.1</t>
  </si>
  <si>
    <t>Posicionador de Válvula Inteligente</t>
  </si>
  <si>
    <t xml:space="preserve"> TS900LC31S10</t>
  </si>
  <si>
    <t>LMP 22SE0007</t>
  </si>
  <si>
    <t xml:space="preserve">SPECIALTY PRODUCT TECHNOLOGIES COM. E IND. DE EQUIP. LTDA (SPTECH) </t>
  </si>
  <si>
    <t>181659.1</t>
  </si>
  <si>
    <t xml:space="preserve">Radar de Onda Guiada </t>
  </si>
  <si>
    <t>TDR-2000</t>
  </si>
  <si>
    <t>BKI16ATEX0026X</t>
  </si>
  <si>
    <t>LMP 22SE0010</t>
  </si>
  <si>
    <t>181726.1</t>
  </si>
  <si>
    <t>Cancelado</t>
  </si>
  <si>
    <t>-</t>
  </si>
  <si>
    <t>LMP 22SE0011</t>
  </si>
  <si>
    <t>181749.1</t>
  </si>
  <si>
    <t>AIR RADAR</t>
  </si>
  <si>
    <t xml:space="preserve"> F78MP040-2G2A</t>
  </si>
  <si>
    <t>058226</t>
  </si>
  <si>
    <t>LMP 22SE0085</t>
  </si>
  <si>
    <t>181773.1</t>
  </si>
  <si>
    <t>Chave rotativa de nível</t>
  </si>
  <si>
    <t>RXD-H</t>
  </si>
  <si>
    <t>E27764</t>
  </si>
  <si>
    <t>LMP 22SE0109</t>
  </si>
  <si>
    <t>181832.1</t>
  </si>
  <si>
    <t xml:space="preserve">Venture Measurement 
</t>
  </si>
  <si>
    <t>LMP 22SE0185</t>
  </si>
  <si>
    <t>181939.1</t>
  </si>
  <si>
    <t xml:space="preserve"> F78MP</t>
  </si>
  <si>
    <t>LMP 22.0220</t>
  </si>
  <si>
    <t>LMP 22SE0014</t>
  </si>
  <si>
    <t>181752.1</t>
  </si>
  <si>
    <t xml:space="preserve">Sensor de Proximidade </t>
  </si>
  <si>
    <t>NAMUR Ex IS M18nb 8ABBAB N 1GD 2m / EX IS M8NB 2ABBAB N 1GD 5m</t>
  </si>
  <si>
    <t>STEUTE TECHNOLOGIES GMBH &amp; CO. KG</t>
  </si>
  <si>
    <t>LMP 22SE0099X</t>
  </si>
  <si>
    <t>181676.1</t>
  </si>
  <si>
    <t>Módulo Digital I/O (DIOM)</t>
  </si>
  <si>
    <t>9471/35-16-11</t>
  </si>
  <si>
    <t xml:space="preserve">R.STAHL SCHALTGERATE GMBH 
</t>
  </si>
  <si>
    <t>IECEx DEK 16.0010X</t>
  </si>
  <si>
    <t>LMP 22SE0100</t>
  </si>
  <si>
    <t>181676.2</t>
  </si>
  <si>
    <t xml:space="preserve">Relé do Módulo de Saída Digital (DOMR) </t>
  </si>
  <si>
    <t xml:space="preserve">R.STAHL SCHALTGERATE GMBH </t>
  </si>
  <si>
    <t>IECEx PTB 06.0001X</t>
  </si>
  <si>
    <t>LMP 22SE0123X</t>
  </si>
  <si>
    <t>181811.1</t>
  </si>
  <si>
    <t xml:space="preserve">Display Terminal </t>
  </si>
  <si>
    <t>MT-577-2TX-230A210002V-000000000000</t>
  </si>
  <si>
    <t>R. STAHL HMI Systems GmbH</t>
  </si>
  <si>
    <t xml:space="preserve">IECEx BVS 14.0034X </t>
  </si>
  <si>
    <t>LMP 22SE0139X</t>
  </si>
  <si>
    <t>181872.1</t>
  </si>
  <si>
    <t xml:space="preserve">IHM </t>
  </si>
  <si>
    <t>MT-4X8-2TX</t>
  </si>
  <si>
    <t>IECEx BVS 14.0116X</t>
  </si>
  <si>
    <t>LMP 22SE0167X</t>
  </si>
  <si>
    <t>181897.1</t>
  </si>
  <si>
    <t>Sensor de Proximidade</t>
  </si>
  <si>
    <t xml:space="preserve"> EX IS M12NB 4 1GD 5M – 1298563</t>
  </si>
  <si>
    <t>LMP 22.0214X</t>
  </si>
  <si>
    <t>181933.1</t>
  </si>
  <si>
    <t>Indicador digital</t>
  </si>
  <si>
    <t>BA307E</t>
  </si>
  <si>
    <t>BEKA Associates Limited</t>
  </si>
  <si>
    <t>IECEx ITS 11.0015X</t>
  </si>
  <si>
    <t>LMP 22.1075X</t>
  </si>
  <si>
    <t>SUPERQUIP SERVICOS E EQUIPAMENTOS TECNICOS LTDA</t>
  </si>
  <si>
    <t>182178.1</t>
  </si>
  <si>
    <t>Medidor de vazão</t>
  </si>
  <si>
    <t>Turbine Flow Meter 12" #150 RF</t>
  </si>
  <si>
    <t>Faure Herman  - França</t>
  </si>
  <si>
    <t xml:space="preserve">LCIE 03 ATEX Q 8033 </t>
  </si>
  <si>
    <t>LMP 22SE0012X</t>
  </si>
  <si>
    <t>UNITECH COMERCIAL DE INSTRUMENTOS EIRELI</t>
  </si>
  <si>
    <t>181754.1</t>
  </si>
  <si>
    <t>Transmissor de Vibração</t>
  </si>
  <si>
    <t>ST5484E-151-1032-00</t>
  </si>
  <si>
    <t xml:space="preserve">METRIX INSTRUMENT Co. </t>
  </si>
  <si>
    <t>LCIE 02 ATEX 6244 X</t>
  </si>
  <si>
    <t>LMP 22SE0013X</t>
  </si>
  <si>
    <t>181755.1</t>
  </si>
  <si>
    <t>Sensor de posição</t>
  </si>
  <si>
    <t>GHM0480MH101A0EX</t>
  </si>
  <si>
    <t>MTS Sensor Technologie GmbH &amp; Co. KG</t>
  </si>
  <si>
    <t>CML 20ATEXT128</t>
  </si>
  <si>
    <t>LMP 22SE0023</t>
  </si>
  <si>
    <t>181766.1</t>
  </si>
  <si>
    <t>SX01200</t>
  </si>
  <si>
    <t>Rotork Instruments Italy Srl (Soldo</t>
  </si>
  <si>
    <t>20170120-E303346</t>
  </si>
  <si>
    <t>LMP 22SE0097</t>
  </si>
  <si>
    <t>181801.1</t>
  </si>
  <si>
    <t xml:space="preserve">Transmissores de Temperatura da Série TTE
</t>
  </si>
  <si>
    <t>Série TTE</t>
  </si>
  <si>
    <t>Dwyer Insturments Inc.</t>
  </si>
  <si>
    <t>FM16US0174</t>
  </si>
  <si>
    <t>LMP 22SE0113X</t>
  </si>
  <si>
    <t>181851.1</t>
  </si>
  <si>
    <t xml:space="preserve">Caixa de distribuição </t>
  </si>
  <si>
    <t>DXS-L21GN4B1620</t>
  </si>
  <si>
    <t>TopWorx Inc.</t>
  </si>
  <si>
    <t>LMP 22SE0148</t>
  </si>
  <si>
    <t>181893.1</t>
  </si>
  <si>
    <t xml:space="preserve"> IAS-10-A14-A-STEX</t>
  </si>
  <si>
    <t>RECHNER Industrie-Elektronik GmbH</t>
  </si>
  <si>
    <t>IECEx SIR 07.0015</t>
  </si>
  <si>
    <t>LMP 22SE0155</t>
  </si>
  <si>
    <t>181894.1</t>
  </si>
  <si>
    <t>Cabos primários blindados</t>
  </si>
  <si>
    <t>Waukesha 593027-30</t>
  </si>
  <si>
    <t>Altronic, LLC</t>
  </si>
  <si>
    <t>034525_0_000</t>
  </si>
  <si>
    <t>LMP 22SE0183X</t>
  </si>
  <si>
    <t>181930.1</t>
  </si>
  <si>
    <t>Caixa de Junção para Solenóide</t>
  </si>
  <si>
    <t>Modelo SX20000035</t>
  </si>
  <si>
    <t xml:space="preserve">Rotex Automation Limited </t>
  </si>
  <si>
    <t>IECEx DNV 13.0006X</t>
  </si>
  <si>
    <t>LMP 22.0197X</t>
  </si>
  <si>
    <t>182045.1</t>
  </si>
  <si>
    <t>Medidor de condutividade digital</t>
  </si>
  <si>
    <t xml:space="preserve">Emcee Electronics Inc. </t>
  </si>
  <si>
    <t>IECEx UL 19.0003X</t>
  </si>
  <si>
    <t>LMP 22.0198X</t>
  </si>
  <si>
    <t>182047.1</t>
  </si>
  <si>
    <t xml:space="preserve"> ST5484E151002100</t>
  </si>
  <si>
    <t>METRIX INSTRUMENT Co</t>
  </si>
  <si>
    <t>CSA 1270898</t>
  </si>
  <si>
    <t>LMP 22.0199</t>
  </si>
  <si>
    <t>182048.1</t>
  </si>
  <si>
    <t xml:space="preserve">Chave de controle </t>
  </si>
  <si>
    <t>AFUXO33355</t>
  </si>
  <si>
    <t xml:space="preserve">Appleton Group </t>
  </si>
  <si>
    <t>CSA 060532</t>
  </si>
  <si>
    <t>LMP 22.0200</t>
  </si>
  <si>
    <t>182062.1</t>
  </si>
  <si>
    <t>Chave comutadora</t>
  </si>
  <si>
    <t>EDSC2130 (M-96)</t>
  </si>
  <si>
    <t>Eaton Cooper Crouse-Hinds, LLC</t>
  </si>
  <si>
    <t>E10593</t>
  </si>
  <si>
    <t>LMP 22.0221</t>
  </si>
  <si>
    <t>182107.1</t>
  </si>
  <si>
    <t>LMP 22.1083X</t>
  </si>
  <si>
    <t>182019.1</t>
  </si>
  <si>
    <t>AITEK</t>
  </si>
  <si>
    <t>700851010328</t>
  </si>
  <si>
    <t>AI-TEK INSTRUMENTS, LLC, 152 KNOTTER DRIVE, CHESHIRE, CT 
06410</t>
  </si>
  <si>
    <t>LMP 22.1084</t>
  </si>
  <si>
    <t>182020.1</t>
  </si>
  <si>
    <t>DYNALCO</t>
  </si>
  <si>
    <t>SPD100</t>
  </si>
  <si>
    <t>Dynalco Controls, 3690 N.W. 53rd Street, Fort Lauderdale, FL 33309 U.S.A</t>
  </si>
  <si>
    <t>LMP 22.1054</t>
  </si>
  <si>
    <t>182160.1</t>
  </si>
  <si>
    <t xml:space="preserve"> 70085-1010-081</t>
  </si>
  <si>
    <t xml:space="preserve">AI-TEK Instruments LLC </t>
  </si>
  <si>
    <t>UL E40545</t>
  </si>
  <si>
    <t>LMP 22SE0024</t>
  </si>
  <si>
    <t>Vicel</t>
  </si>
  <si>
    <t>181029.5</t>
  </si>
  <si>
    <t>Sistema de injeção de hipoclorito</t>
  </si>
  <si>
    <t>P77</t>
  </si>
  <si>
    <t>DE NORA Water Technologies</t>
  </si>
  <si>
    <t>LN</t>
  </si>
  <si>
    <t>08/12/2021 a
22/12/2021</t>
  </si>
  <si>
    <t xml:space="preserve">SKID </t>
  </si>
  <si>
    <t>LMP 22SE0086X</t>
  </si>
  <si>
    <t>181779.1</t>
  </si>
  <si>
    <t>TC95-X</t>
  </si>
  <si>
    <t>IECEx TUN 18.0012X</t>
  </si>
  <si>
    <t>LMP 22SE0087X</t>
  </si>
  <si>
    <t>181779.2</t>
  </si>
  <si>
    <t>IPT-20</t>
  </si>
  <si>
    <t>TUV 17 ATEX 203304 X</t>
  </si>
  <si>
    <t>LMP 22SE0088X</t>
  </si>
  <si>
    <t>181779.3</t>
  </si>
  <si>
    <t>Switch Magnético</t>
  </si>
  <si>
    <t>BGU-A-E</t>
  </si>
  <si>
    <t>LCIE 01 ATEX 6047 X</t>
  </si>
  <si>
    <t>LMP 22SE0093X</t>
  </si>
  <si>
    <t>181799.1</t>
  </si>
  <si>
    <t>FLS-SBI (60-ARV2 e 60-AFVEN5)</t>
  </si>
  <si>
    <t>KEMA 01ATEX1053X</t>
  </si>
  <si>
    <t>LMP 22SE0094X</t>
  </si>
  <si>
    <t>181799.2</t>
  </si>
  <si>
    <t xml:space="preserve">TÜV 13 ATEX 7399 X </t>
  </si>
  <si>
    <t>LMP 22SE0107X</t>
  </si>
  <si>
    <t>181821.1</t>
  </si>
  <si>
    <t>BLR-SBI MG-AUVK10/HT/OTMT84-L950/M800/14-Ex, BLR-SBI MG AUVK10/HT/OTMT84-L1.050/M900/14-Ex, BLR-SBI MG-AUVK10/HT/OTMT84-L900/M750/14-Ex, BLR SBI MG-AUVK10/HT/OTMT84-L1.000/M850/14-Ex, BLR-SBI MG-AUVK10/HT/OTMT84-
L1.750/M1.600/14-Ex e BLR-SBI MG-AUVK10/HT/OTMT84-L1.440/M1.290/14-Ex</t>
  </si>
  <si>
    <t>KSR KUBLER NIVEAU-MESSTECHNIK AG</t>
  </si>
  <si>
    <t xml:space="preserve">KEMA 01ATEX1052 X </t>
  </si>
  <si>
    <t>Não achei o certificado assinado</t>
  </si>
  <si>
    <t>LMP 22SE0116</t>
  </si>
  <si>
    <t>181856.1</t>
  </si>
  <si>
    <t xml:space="preserve">Sensor de Nível </t>
  </si>
  <si>
    <t>BLR-SBIMG-AUVK10/HT/OTMT84-L2.250/M2.100/14-Ex</t>
  </si>
  <si>
    <t>KSR Kuebler Niveau-Messtechnik AGR</t>
  </si>
  <si>
    <t xml:space="preserve">KEMA 01ATEX1052 X issue 4 </t>
  </si>
  <si>
    <t>LMP 22SE0127X</t>
  </si>
  <si>
    <t>181861.1</t>
  </si>
  <si>
    <t xml:space="preserve"> BLR-SBI MG-AUVK18/OTMT84-L1.674/M1.524/14-Ex </t>
  </si>
  <si>
    <t>KEMA 01ATEX1052 X issue 4</t>
  </si>
  <si>
    <t>LMP 22SE0174X</t>
  </si>
  <si>
    <t>181915.1</t>
  </si>
  <si>
    <t xml:space="preserve"> Série E-10</t>
  </si>
  <si>
    <t>LMP 22SE0175X</t>
  </si>
  <si>
    <t>181915.2</t>
  </si>
  <si>
    <t>Contato Magnético tipo Bypass</t>
  </si>
  <si>
    <t xml:space="preserve">IECEx DEK 15.0048X </t>
  </si>
  <si>
    <t>LMP 22.0222X</t>
  </si>
  <si>
    <t>182132.1</t>
  </si>
  <si>
    <t>Sonda de nível submersível</t>
  </si>
  <si>
    <t>IL 10 A BBG GD-ZGPJ-ZZZ</t>
  </si>
  <si>
    <t>BVS 10 ATEX E 126 X</t>
  </si>
  <si>
    <t>LMP 22.0201X</t>
  </si>
  <si>
    <t>182051.1</t>
  </si>
  <si>
    <t>AVK-ADFUVK5/T15-L750/M600/14</t>
  </si>
  <si>
    <t>LMP 22.0202X</t>
  </si>
  <si>
    <t>182051.2</t>
  </si>
  <si>
    <t>Chave magnética</t>
  </si>
  <si>
    <t>BGU-V-Ex d-1 PUR</t>
  </si>
  <si>
    <t>LMP 22.0203</t>
  </si>
  <si>
    <t>182051.3</t>
  </si>
  <si>
    <t>Medidor flutuante de nível</t>
  </si>
  <si>
    <t>FFG-BP.20H2ON-USK48-2570</t>
  </si>
  <si>
    <t>LMP 22.1077X</t>
  </si>
  <si>
    <t>182204.1</t>
  </si>
  <si>
    <t>60-ANPTV1,5"-VUU-L1.945</t>
  </si>
  <si>
    <t>12-V44A-Ex</t>
  </si>
  <si>
    <t>Wika / KSB</t>
  </si>
  <si>
    <t>LMP 22.1078X</t>
  </si>
  <si>
    <t>182204.2</t>
  </si>
  <si>
    <t>LMP 22.1079X</t>
  </si>
  <si>
    <t>182204.3</t>
  </si>
  <si>
    <t xml:space="preserve"> CPG1500</t>
  </si>
  <si>
    <t>LMP 22SE0119X</t>
  </si>
  <si>
    <t>181857.1</t>
  </si>
  <si>
    <t xml:space="preserve">Unidade de Entrada / 116-BN-500/N, Ponto de chamada manual / 116-BF-500V2/N e Detector de 
fumaça / BHH-500/N </t>
  </si>
  <si>
    <t xml:space="preserve">116-BN-500/N, 116-BF-500V2/N, BHH-500/N </t>
  </si>
  <si>
    <t xml:space="preserve">Nemko 03ATEX217X </t>
  </si>
  <si>
    <t>LMP 22SE0169</t>
  </si>
  <si>
    <t>181909.1</t>
  </si>
  <si>
    <t>Módulo de Powerloop</t>
  </si>
  <si>
    <t>BN-342/Ex</t>
  </si>
  <si>
    <t>LMP 22.1080</t>
  </si>
  <si>
    <t>181825.52</t>
  </si>
  <si>
    <t>XE3E-KP4C-S1G</t>
  </si>
  <si>
    <t>LMP 22.1089</t>
  </si>
  <si>
    <t>181825.53</t>
  </si>
  <si>
    <t xml:space="preserve"> 811-1206-E00</t>
  </si>
  <si>
    <t>LMP 22.1090X</t>
  </si>
  <si>
    <t>181825.54</t>
  </si>
  <si>
    <t>R86-511A-B10 / RB2-4300-A00-00-000</t>
  </si>
  <si>
    <t>LMP 22.1091</t>
  </si>
  <si>
    <t>182022.1</t>
  </si>
  <si>
    <t>Cabeça de comando elétrica operada por 
cabo (solenoide)</t>
  </si>
  <si>
    <t xml:space="preserve"> 202-749-260563
(codificação Kidde: WK-897494-000)</t>
  </si>
  <si>
    <t>Kidde-Fenwal, Inc</t>
  </si>
  <si>
    <t>LMP 22.1092X</t>
  </si>
  <si>
    <t>181825.55</t>
  </si>
  <si>
    <t>A15-1K3E-BB9</t>
  </si>
  <si>
    <t>LMP 22.1093X</t>
  </si>
  <si>
    <t>182232.1</t>
  </si>
  <si>
    <t>BARTEC</t>
  </si>
  <si>
    <t>BARTEC GmbH - Alemanha</t>
  </si>
  <si>
    <t>LMP 22.1094X</t>
  </si>
  <si>
    <t>181825.56</t>
  </si>
  <si>
    <t>LMP 22.1095X</t>
  </si>
  <si>
    <t>181825.57</t>
  </si>
  <si>
    <t>LMP 22.1096X</t>
  </si>
  <si>
    <t>181825.58</t>
  </si>
  <si>
    <t>Transmissor de nível JM4-511A-B20</t>
  </si>
  <si>
    <t>2C1-43AF-N01-AA-130</t>
  </si>
  <si>
    <t xml:space="preserve">Orion Instruments </t>
  </si>
  <si>
    <t>LMP 22.1097X</t>
  </si>
  <si>
    <t>CMS</t>
  </si>
  <si>
    <t>182080.1</t>
  </si>
  <si>
    <t>Sensor- Ph</t>
  </si>
  <si>
    <t>InPro 4550/VP/PT1000/SG</t>
  </si>
  <si>
    <t>Metteler – Toledo GmbH</t>
  </si>
  <si>
    <t>LMP 22.1098</t>
  </si>
  <si>
    <t>182236.1</t>
  </si>
  <si>
    <t>LMP 22.1099</t>
  </si>
  <si>
    <t>182236.2</t>
  </si>
  <si>
    <t>Chave de nível magnética</t>
  </si>
  <si>
    <t>Hermética selada RS-2</t>
  </si>
  <si>
    <t>E134983</t>
  </si>
  <si>
    <t>LMP 22.1100</t>
  </si>
  <si>
    <t>182236.3</t>
  </si>
  <si>
    <t>Iluminador</t>
  </si>
  <si>
    <t>CR-EPL-316-7-2-2</t>
  </si>
  <si>
    <t>LMP 22.1101X</t>
  </si>
  <si>
    <t>181825.61</t>
  </si>
  <si>
    <t>LMP 22.1103X</t>
  </si>
  <si>
    <t>182275.1</t>
  </si>
  <si>
    <t xml:space="preserve"> TDF/ss-S-HT-PC45-PR/CO (componente elétrico do medidor de fluxo TZN200-800)</t>
  </si>
  <si>
    <t>LMP 22.1104X</t>
  </si>
  <si>
    <t>182276.1</t>
  </si>
  <si>
    <t>LMP 22.1105</t>
  </si>
  <si>
    <t>182274.1</t>
  </si>
  <si>
    <t>Repetidor</t>
  </si>
  <si>
    <t xml:space="preserve"> Fonte de alimentação MTL5541</t>
  </si>
  <si>
    <t>LMP 22.1106</t>
  </si>
  <si>
    <t>182274.2</t>
  </si>
  <si>
    <t>MTL5546Y</t>
  </si>
  <si>
    <t>IECEx BAS 07.0070</t>
  </si>
  <si>
    <t>LMP 22.1107</t>
  </si>
  <si>
    <t>182274.3</t>
  </si>
  <si>
    <t>Controlador de solenoide</t>
  </si>
  <si>
    <t>alarme MTL5521</t>
  </si>
  <si>
    <t>IECEx BAS 07.0068</t>
  </si>
  <si>
    <t>LMP 22.1108</t>
  </si>
  <si>
    <t>LMP 22.1109X</t>
  </si>
  <si>
    <t>182271.1</t>
  </si>
  <si>
    <t xml:space="preserve"> L161</t>
  </si>
  <si>
    <t>Daniamant Limited</t>
  </si>
  <si>
    <t>LMP 22.1110X</t>
  </si>
  <si>
    <t>181825.62</t>
  </si>
  <si>
    <t>Indicadores Magnéticos de Nível de Líquido</t>
  </si>
  <si>
    <t>JM4</t>
  </si>
  <si>
    <t>LMP 22.1111</t>
  </si>
  <si>
    <t>182278.1</t>
  </si>
  <si>
    <t>Sensor de vazamento</t>
  </si>
  <si>
    <t>D9203-IS</t>
  </si>
  <si>
    <t>MISTRAS Group, Inc.</t>
  </si>
  <si>
    <t>LMP 22.1112X</t>
  </si>
  <si>
    <t>182279.1</t>
  </si>
  <si>
    <t>Sensor digital de oxirredução</t>
  </si>
  <si>
    <t>ORP 8150</t>
  </si>
  <si>
    <t>KROHNE Messtechnik GmbH</t>
  </si>
  <si>
    <t>PTB 13 ATEX 2018 X</t>
  </si>
  <si>
    <t>LMP 22.1113X</t>
  </si>
  <si>
    <t>181825.63</t>
  </si>
  <si>
    <t>Transmissor de nível / JM4-511A-B10</t>
  </si>
  <si>
    <t>2C1-11AF-N01-AB-300</t>
  </si>
  <si>
    <t>LMP 22.1114</t>
  </si>
  <si>
    <t xml:space="preserve">Agau </t>
  </si>
  <si>
    <t>181602.1</t>
  </si>
  <si>
    <t>NF 504A</t>
  </si>
  <si>
    <t>LMP 22.1115</t>
  </si>
  <si>
    <t>UNITECH COMERCIAL DE INSTRUMENTOS EIRELI (declaração de n/a)</t>
  </si>
  <si>
    <t>182288.1</t>
  </si>
  <si>
    <t xml:space="preserve"> GTX</t>
  </si>
  <si>
    <t>LMP 22.1116</t>
  </si>
  <si>
    <t>182282.1</t>
  </si>
  <si>
    <t>MTL5582</t>
  </si>
  <si>
    <t>IECEx BAS 10.0109</t>
  </si>
  <si>
    <t>LMP 22.1117</t>
  </si>
  <si>
    <t>182018.1</t>
  </si>
  <si>
    <t>Ametek Process and Analytical Instruments Division</t>
  </si>
  <si>
    <t>182018.A1</t>
  </si>
  <si>
    <t>LMP 22.1118X</t>
  </si>
  <si>
    <t>181202.42</t>
  </si>
  <si>
    <t>HygroPr -1-2-W-1-0-1-0-0-</t>
  </si>
  <si>
    <t>LMP 22.1119X</t>
  </si>
  <si>
    <t>182295.1</t>
  </si>
  <si>
    <t>FLR-SBI NMG125-AFV2,5”/150/RF-VK10/T32-L1.400/12-V44R-Ex e BLR-SBI MG-AUVK5/T32-L350/M200/14-Ex</t>
  </si>
  <si>
    <t>LMP 22.1120X</t>
  </si>
  <si>
    <t>181202.43</t>
  </si>
  <si>
    <t xml:space="preserve">Módulo de interface do acelerômetro </t>
  </si>
  <si>
    <t>LMP 22.1121X</t>
  </si>
  <si>
    <t>182294.1</t>
  </si>
  <si>
    <t>Controlador de loop</t>
  </si>
  <si>
    <t>BSD-310/N</t>
  </si>
  <si>
    <t>Autronica Fire and Security AS - Norway</t>
  </si>
  <si>
    <t>IECEx NEM 11.0017X</t>
  </si>
  <si>
    <t>LMP 22.1122</t>
  </si>
  <si>
    <t>182155.1</t>
  </si>
  <si>
    <t>COMUTADOR A PRESSAO EX</t>
  </si>
  <si>
    <t>981332 (código Kidde: 81-981332-000)</t>
  </si>
  <si>
    <t>LMP 22.1123X</t>
  </si>
  <si>
    <t>181825.65</t>
  </si>
  <si>
    <t>Chave de vazão</t>
  </si>
  <si>
    <t xml:space="preserve"> F10 e F50</t>
  </si>
  <si>
    <t>LMP 22.1124X</t>
  </si>
  <si>
    <t>181825.66</t>
  </si>
  <si>
    <t>706-512A-A20 / 7CF-4300-A00-01-140</t>
  </si>
  <si>
    <t>LMP 22.1125</t>
  </si>
  <si>
    <t>181825.67</t>
  </si>
  <si>
    <t>TRANSMISSOR DE NÍVEL</t>
  </si>
  <si>
    <t xml:space="preserve">IECEx BKI 08.0015 </t>
  </si>
  <si>
    <t>LMP 22.1126X</t>
  </si>
  <si>
    <t>181825.68</t>
  </si>
  <si>
    <t>706-512A-B10 / 
7C1-4100-A00-31-006, 706-512A-B10 / 
7C1-4100-A00-31-015 e 706-512A-B10 / 
7C1-4100-A00-31-016</t>
  </si>
  <si>
    <t>LMP 22.1127X</t>
  </si>
  <si>
    <t>181825.69</t>
  </si>
  <si>
    <t>R86-511A-B20 / RB2-4300-A00-20-000</t>
  </si>
  <si>
    <t>LMP 22.1128</t>
  </si>
  <si>
    <t>181825.70</t>
  </si>
  <si>
    <t>241-LG00-A00-EM144</t>
  </si>
  <si>
    <t>IECEx BKI 07.0030</t>
  </si>
  <si>
    <t>LMP 22.1129X</t>
  </si>
  <si>
    <t>181825.71</t>
  </si>
  <si>
    <t>Controle de Nível</t>
  </si>
  <si>
    <t>LMP 22.1130X</t>
  </si>
  <si>
    <t>181825.72</t>
  </si>
  <si>
    <t xml:space="preserve">Chaves de Nível </t>
  </si>
  <si>
    <t>XC29-1N30-BCC</t>
  </si>
  <si>
    <t>LMP 22.1131</t>
  </si>
  <si>
    <t>SH24N30A</t>
  </si>
  <si>
    <t>Friedrich Air Conditioning Co</t>
  </si>
  <si>
    <t>LMP 22.1132</t>
  </si>
  <si>
    <t>182312.1</t>
  </si>
  <si>
    <t>Transmissor de nível Air 
Radar</t>
  </si>
  <si>
    <t>F78MP040-2G2A</t>
  </si>
  <si>
    <t>LMP 22.1133</t>
  </si>
  <si>
    <t>182060.24</t>
  </si>
  <si>
    <t>SENSORES ULTRASSÔNICOS</t>
  </si>
  <si>
    <t>UC500-30GM-IU-V1-HÁ</t>
  </si>
  <si>
    <t>E199034</t>
  </si>
  <si>
    <t>LMP 22.1134</t>
  </si>
  <si>
    <t>182060.19</t>
  </si>
  <si>
    <t>LMP 22.1135</t>
  </si>
  <si>
    <t>182060.18</t>
  </si>
  <si>
    <t>LMP 22.1136</t>
  </si>
  <si>
    <t>182060.21</t>
  </si>
  <si>
    <t>LMP 22.1137X</t>
  </si>
  <si>
    <t>182060.34</t>
  </si>
  <si>
    <t>LMP 22.1138</t>
  </si>
  <si>
    <t>182060.27</t>
  </si>
  <si>
    <t>F2D0-FB-EX4.CG</t>
  </si>
  <si>
    <t>LMP 22.1139X</t>
  </si>
  <si>
    <t>182060.23</t>
  </si>
  <si>
    <t xml:space="preserve"> RC10-14-N0, RC15-14-N3-Y, 
RJ15-14-N</t>
  </si>
  <si>
    <t>LMP 22.1140X</t>
  </si>
  <si>
    <t>182060.26</t>
  </si>
  <si>
    <t>LMP 22.1141</t>
  </si>
  <si>
    <t>182060.33</t>
  </si>
  <si>
    <t>3003-WPS-CI-YZ-VML</t>
  </si>
  <si>
    <t>Pepperl + Fuchs, Inc</t>
  </si>
  <si>
    <t>LMP 22.1142</t>
  </si>
  <si>
    <t>LMP 22.1143X</t>
  </si>
  <si>
    <t>182320.1</t>
  </si>
  <si>
    <t>TGS55+831-N</t>
  </si>
  <si>
    <t>LMP 22.1144X</t>
  </si>
  <si>
    <t>181825.73</t>
  </si>
  <si>
    <t>Transmissor de Nível por
Radar</t>
  </si>
  <si>
    <t>705-51AA-A21</t>
  </si>
  <si>
    <t>IECEx FMG 19.0022X</t>
  </si>
  <si>
    <t>LMP 22.1145X</t>
  </si>
  <si>
    <t>181825.74</t>
  </si>
  <si>
    <t>LMP 22.1146X</t>
  </si>
  <si>
    <t>182330.1</t>
  </si>
  <si>
    <t>Pressostato com diafragma</t>
  </si>
  <si>
    <t>MW-XXUS</t>
  </si>
  <si>
    <t>IECEx PRE 19.0084X</t>
  </si>
  <si>
    <t>LMP 22.1147X</t>
  </si>
  <si>
    <t>182326.1</t>
  </si>
  <si>
    <t>Detector óptico de fumaça</t>
  </si>
  <si>
    <t>MR601TEx</t>
  </si>
  <si>
    <t>Thorn Security Limited, T/A Tyco Safety Products</t>
  </si>
  <si>
    <t>BAS01ATEX1134X</t>
  </si>
  <si>
    <t>LMP 22.1148X</t>
  </si>
  <si>
    <t>181202.46</t>
  </si>
  <si>
    <t>Transmissor de condutividade térmica (analisador de gás)</t>
  </si>
  <si>
    <t>XMTC-6C-11-0</t>
  </si>
  <si>
    <t>LMP 22.1149X</t>
  </si>
  <si>
    <t>182339.1</t>
  </si>
  <si>
    <t>l BLR-SBI MG-AUVK10/MT/T32-L1.398/M1.248/14-Ex e 
BLR-SBI MG-AUVK5/MT/T32-L900/M750/14-Ex</t>
  </si>
  <si>
    <t>KSR KUEBLER Nieveau-Messtechnik GmbH</t>
  </si>
  <si>
    <t>LMP 22.1150X</t>
  </si>
  <si>
    <t>181825.75</t>
  </si>
  <si>
    <t>961-2DA0-0C0 / 9M1-A11A-028</t>
  </si>
  <si>
    <t>IECEx FMG 20.0020X</t>
  </si>
  <si>
    <t>LMP 22.1151X</t>
  </si>
  <si>
    <t>181825.76</t>
  </si>
  <si>
    <t>Magnetrol International, Inc.</t>
  </si>
  <si>
    <t>LMP 22.1152X</t>
  </si>
  <si>
    <t>181825.77</t>
  </si>
  <si>
    <t>706-512A-A10 / 7CF-4100-P00-00-610</t>
  </si>
  <si>
    <t>LMP 22.1153</t>
  </si>
  <si>
    <t>Coengi</t>
  </si>
  <si>
    <t>Estação de controle</t>
  </si>
  <si>
    <t>07/11/202</t>
  </si>
  <si>
    <t>LMP 22.1154X</t>
  </si>
  <si>
    <t>181825.78</t>
  </si>
  <si>
    <t>XG3F-1V30-BCC, A15-1H3B-BA9, T62-1H3B-BAC, T62-1H3F-BAC, T62-1G3B-BAC</t>
  </si>
  <si>
    <t>LMP 22.1155X</t>
  </si>
  <si>
    <t>181202.47</t>
  </si>
  <si>
    <t xml:space="preserve">HygroPro-1-3-W-2-0-1-0-0-0 </t>
  </si>
  <si>
    <t>LMP 22.1156X</t>
  </si>
  <si>
    <t>181825.79</t>
  </si>
  <si>
    <t>706-512B-B11 / 7CT-53N0-A10-20-100</t>
  </si>
  <si>
    <t>LMP 22.1157</t>
  </si>
  <si>
    <t>LMP 22.1158</t>
  </si>
  <si>
    <t>182365.1</t>
  </si>
  <si>
    <t>Detector Térmico para áreas classificadas</t>
  </si>
  <si>
    <t>27121-0 / 12-X27121-000-0X-0T</t>
  </si>
  <si>
    <t>Kidde-Fenwal, Inc.</t>
  </si>
  <si>
    <t>LMP 22.1159X</t>
  </si>
  <si>
    <t>182377.1</t>
  </si>
  <si>
    <t>700G</t>
  </si>
  <si>
    <t>LMP 22.1160X</t>
  </si>
  <si>
    <t>182377.2</t>
  </si>
  <si>
    <t>718EX</t>
  </si>
  <si>
    <t>KEMA 04ATEX1061 X</t>
  </si>
  <si>
    <t>LMP 22.1161</t>
  </si>
  <si>
    <t>182377.3</t>
  </si>
  <si>
    <t>725EX</t>
  </si>
  <si>
    <t>LMP 22.1162</t>
  </si>
  <si>
    <t>182377.4</t>
  </si>
  <si>
    <t>750PEx</t>
  </si>
  <si>
    <t>LMP 22.1163X</t>
  </si>
  <si>
    <t>181825.81</t>
  </si>
  <si>
    <t>XG3F-1V40-BCC</t>
  </si>
  <si>
    <t>LMP 22.1164</t>
  </si>
  <si>
    <t>182379.1</t>
  </si>
  <si>
    <t>LMP 22.1165X</t>
  </si>
  <si>
    <t>181825.82</t>
  </si>
  <si>
    <t xml:space="preserve"> 355-510A-C0B</t>
  </si>
  <si>
    <t>LMP 22.1166X</t>
  </si>
  <si>
    <t>182382.1</t>
  </si>
  <si>
    <t>Indicador de posição de válvula multirrotação</t>
  </si>
  <si>
    <t>VPI-A-L3CL</t>
  </si>
  <si>
    <t>Sofis BV</t>
  </si>
  <si>
    <t>GV</t>
  </si>
  <si>
    <t>IECEx KIWA 15.0013X</t>
  </si>
  <si>
    <t>LMP 22.1167</t>
  </si>
  <si>
    <t>182385.1</t>
  </si>
  <si>
    <t>3050RM</t>
  </si>
  <si>
    <t>LMP 22.1168</t>
  </si>
  <si>
    <t>182385.2</t>
  </si>
  <si>
    <t>Reguladora de pressão aquecida</t>
  </si>
  <si>
    <t>Crane Instrumentation Sampling, Inc.</t>
  </si>
  <si>
    <t>LMP 22.1169X</t>
  </si>
  <si>
    <t>181825.83</t>
  </si>
  <si>
    <t>R86-511A-B12 / RB3-6300-A00-30-000</t>
  </si>
  <si>
    <t>LMP 22.1170X</t>
  </si>
  <si>
    <t>181825.84</t>
  </si>
  <si>
    <t>LMP 22.1171X</t>
  </si>
  <si>
    <t>182391.1</t>
  </si>
  <si>
    <t>Calibrador intrinsecamente 
seguro e Série Comunicador</t>
  </si>
  <si>
    <t xml:space="preserve"> DPI620G-IS</t>
  </si>
  <si>
    <t>LMP 22.1172X</t>
  </si>
  <si>
    <t>LMP 22.1173X</t>
  </si>
  <si>
    <t>182314.1</t>
  </si>
  <si>
    <t>LMP 22.1174</t>
  </si>
  <si>
    <t>182380.1</t>
  </si>
  <si>
    <t>SGSNA/18/SUW/00185</t>
  </si>
  <si>
    <t>LMP 22.1175X</t>
  </si>
  <si>
    <t>AF-ADF / AVK-ADF</t>
  </si>
  <si>
    <t>LMP 22.1176X</t>
  </si>
  <si>
    <t>E-10 / E-11</t>
  </si>
  <si>
    <t>LMP 22.1177X</t>
  </si>
  <si>
    <t xml:space="preserve">Valvula Coaxial </t>
  </si>
  <si>
    <t>K05932 / K05927 / K05935</t>
  </si>
  <si>
    <t>LMP 22.1178X</t>
  </si>
  <si>
    <t xml:space="preserve"> WORKSHIP DO BRASIL LTDA</t>
  </si>
  <si>
    <t>182368.1</t>
  </si>
  <si>
    <t>Acionador manual de alarme</t>
  </si>
  <si>
    <t>BF-502/EX e 
BF-503/EX/0500</t>
  </si>
  <si>
    <t>LMP 22.1179X</t>
  </si>
  <si>
    <t>LMP 22.1180X</t>
  </si>
  <si>
    <t>181202.48</t>
  </si>
  <si>
    <t>SCOUT100EX</t>
  </si>
  <si>
    <t>LMP 22.1181X</t>
  </si>
  <si>
    <t>182370.1</t>
  </si>
  <si>
    <t>XCKWJ2161H29</t>
  </si>
  <si>
    <t>IECEx INE 12.0029X</t>
  </si>
  <si>
    <t>LMP 22.1182U</t>
  </si>
  <si>
    <t>182370.2</t>
  </si>
  <si>
    <t>Botão de emergência</t>
  </si>
  <si>
    <t>ZBWE101 + XBW5AS8445 e ZBWE102 + XBW4BS8442</t>
  </si>
  <si>
    <t>LMP 22.1183X</t>
  </si>
  <si>
    <t>182409.1</t>
  </si>
  <si>
    <t>MONITOR DE ÁGUA EM ÓLEO/ ANALISADOR DE CORTE DE ÁGUA</t>
  </si>
  <si>
    <t>LMP 22.1184X</t>
  </si>
  <si>
    <t>182412.1</t>
  </si>
  <si>
    <t>700G06 e 700G08</t>
  </si>
  <si>
    <t>Fluke Corporation</t>
  </si>
  <si>
    <t>LMP 22.1185</t>
  </si>
  <si>
    <t>182412.2</t>
  </si>
  <si>
    <t xml:space="preserve"> 750P24Ex</t>
  </si>
  <si>
    <t>LMP 22.1186X</t>
  </si>
  <si>
    <t>182407.1</t>
  </si>
  <si>
    <t>TDF/ss-S-2-PR/CO (TZN100-300)</t>
  </si>
  <si>
    <t>LMP 22.1187X</t>
  </si>
  <si>
    <t>CANCELADO</t>
  </si>
  <si>
    <t>LMP 22.1188X</t>
  </si>
  <si>
    <t>181825.85</t>
  </si>
  <si>
    <t>706-512A-B20 / 7A1-6300-A00-31-038</t>
  </si>
  <si>
    <t>LMP 22.1189X</t>
  </si>
  <si>
    <t>182421.1</t>
  </si>
  <si>
    <t>Analisadores de oxigênio</t>
  </si>
  <si>
    <t>Instatrans-XD</t>
  </si>
  <si>
    <t>LMP 22.1190X</t>
  </si>
  <si>
    <t>181825.86</t>
  </si>
  <si>
    <t>R86-511A-B10 / RB1-44L0-A0N-00-00</t>
  </si>
  <si>
    <t>LMP 22.1191X</t>
  </si>
  <si>
    <t>181825.87</t>
  </si>
  <si>
    <t>LMP 22.1192</t>
  </si>
  <si>
    <t>182060.31</t>
  </si>
  <si>
    <t>LMP 22.1193</t>
  </si>
  <si>
    <t>182060.30</t>
  </si>
  <si>
    <t>LMP 22.1194</t>
  </si>
  <si>
    <t>182060.32</t>
  </si>
  <si>
    <t>LMP 22.1195X</t>
  </si>
  <si>
    <t>182418.1</t>
  </si>
  <si>
    <t>Sonda de nível</t>
  </si>
  <si>
    <t>LF-1</t>
  </si>
  <si>
    <t>IECEx BVS 16.0081X</t>
  </si>
  <si>
    <t>LMP 22.1196X</t>
  </si>
  <si>
    <t>182438.1</t>
  </si>
  <si>
    <t>LMP 22.1197X</t>
  </si>
  <si>
    <t>181825.88</t>
  </si>
  <si>
    <t>XE3F-KQ3B-S1E</t>
  </si>
  <si>
    <t>IECEx FMG 19.0040X</t>
  </si>
  <si>
    <t>LMP 22.1198X</t>
  </si>
  <si>
    <t>181825.89</t>
  </si>
  <si>
    <t>805-511A-A10 / 8CA-4A5C-178
e 805-511A-A10</t>
  </si>
  <si>
    <t>LMP 22.1199</t>
  </si>
  <si>
    <t>182411.1</t>
  </si>
  <si>
    <t>Canhão monitor</t>
  </si>
  <si>
    <t>Conquest 3678 + 5098</t>
  </si>
  <si>
    <t>Akron Brass Co.</t>
  </si>
  <si>
    <t>FM Approved (online)</t>
  </si>
  <si>
    <t>LMP 22.1200X</t>
  </si>
  <si>
    <t>182426.1</t>
  </si>
  <si>
    <t>LMP 22.1201X</t>
  </si>
  <si>
    <t>182442.1</t>
  </si>
  <si>
    <t>LMP 22.1202X</t>
  </si>
  <si>
    <t>182442.2</t>
  </si>
  <si>
    <t>FLS-SBI 60-AFV
e FLS-SBI 60-ARV</t>
  </si>
  <si>
    <t>LMP 22.1203X</t>
  </si>
  <si>
    <t>181825.90</t>
  </si>
  <si>
    <t>706-512A-B10 / 
7CP-45N0-A1N-20-170 e 706-512A-B10
/ 7CP-45N0-A1N-20-144</t>
  </si>
  <si>
    <t>LMP 22.1204X</t>
  </si>
  <si>
    <t>181825.91</t>
  </si>
  <si>
    <t>706-512A-B10 / 
7CP-45N0-A1N-20-208</t>
  </si>
  <si>
    <t>LMP 22.1205X</t>
  </si>
  <si>
    <t>181825.92</t>
  </si>
  <si>
    <t>706-512A-B20 / 7CT-43M0-A18-20-080</t>
  </si>
  <si>
    <t>LMP 22.1206</t>
  </si>
  <si>
    <t>182410.1</t>
  </si>
  <si>
    <t>W867C3004</t>
  </si>
  <si>
    <t>LMP 22.1207X</t>
  </si>
  <si>
    <t>181825.93</t>
  </si>
  <si>
    <t xml:space="preserve"> 706-512A-B20 / 
X7CT-4300-A10-20-047 e 706-540A_x0002_320 / 7A1-4100-A00-31-095</t>
  </si>
  <si>
    <t>LMP 22.1208X</t>
  </si>
  <si>
    <t>181825.94</t>
  </si>
  <si>
    <t>706-512A-B21 / 7CF-4300-A00-01-185</t>
  </si>
  <si>
    <t>LMP 22.1209X</t>
  </si>
  <si>
    <t>181825.95</t>
  </si>
  <si>
    <t>X706-512A-B20 / 7CT-1100-A10-20-108</t>
  </si>
  <si>
    <t>LMP 22.1211X</t>
  </si>
  <si>
    <t>181825.96</t>
  </si>
  <si>
    <t>LMP 22.1212X</t>
  </si>
  <si>
    <t>182454.1</t>
  </si>
  <si>
    <t>Termômetros</t>
  </si>
  <si>
    <t>1551A Ex e 1552A Ex "Stik"</t>
  </si>
  <si>
    <t>LMP 22.1213X</t>
  </si>
  <si>
    <t>181825.97</t>
  </si>
  <si>
    <t>706-512A-B20 / 7CF-5400-A00-01-076</t>
  </si>
  <si>
    <t>LMP 22.1214</t>
  </si>
  <si>
    <t>181825.98</t>
  </si>
  <si>
    <t>LMP 23.1215X</t>
  </si>
  <si>
    <t>182460.1</t>
  </si>
  <si>
    <t>FFG-BP.20H3OD-DTK48-706</t>
  </si>
  <si>
    <t>LMP 23.1216X</t>
  </si>
  <si>
    <t>182460.2</t>
  </si>
  <si>
    <t>LS-SBI HAG_x0002_FV2”/150/RF-L680/590/0-VU-V44HI-Ex e HLS SBI 
HAG-FV3”/150/RF-L680/590/0-VU-V44HI-Ex</t>
  </si>
  <si>
    <t>181717.1</t>
  </si>
  <si>
    <t>LMP 22.0604X</t>
  </si>
  <si>
    <t>Aselco Industria, Comercio, Importação e Exportação de Instrumentação Ltda.</t>
  </si>
  <si>
    <t>Rua Doutor Rubens Meireles, 305 – São Paulo, SP – Brasil - CEP: 01141-000
CNPJ: 09.038.088/0001-05</t>
  </si>
  <si>
    <t>São Paulo</t>
  </si>
  <si>
    <t>SP</t>
  </si>
  <si>
    <t>Indicador de LED</t>
  </si>
  <si>
    <t>K30L</t>
  </si>
  <si>
    <t>PLANEJAMENTO DE PROCESSOS - CSE - LMP REG 018-01 Rev.01</t>
  </si>
  <si>
    <t>Cor.</t>
  </si>
  <si>
    <t>Auditor / Inspetor</t>
  </si>
  <si>
    <t>Data da Auditoria / Inspeção</t>
  </si>
  <si>
    <t>Quantidade</t>
  </si>
  <si>
    <t>Normas</t>
  </si>
  <si>
    <t>Form.1 M</t>
  </si>
  <si>
    <t>Form 2. M</t>
  </si>
  <si>
    <t>Comissão Ex</t>
  </si>
  <si>
    <t>LMP 21SE0001X</t>
  </si>
  <si>
    <t>181095.1</t>
  </si>
  <si>
    <t xml:space="preserve">Velocity Transducer </t>
  </si>
  <si>
    <t>74712-06-05-04-01</t>
  </si>
  <si>
    <t>HS</t>
  </si>
  <si>
    <t>IECEx BAS 05.0035X</t>
  </si>
  <si>
    <t>JCP</t>
  </si>
  <si>
    <t>LMP 21SE0002X</t>
  </si>
  <si>
    <t>181094.1</t>
  </si>
  <si>
    <t>FL/HS</t>
  </si>
  <si>
    <t>FL</t>
  </si>
  <si>
    <t>IECEx LCI 11.0069X</t>
  </si>
  <si>
    <t>LMP 21SE0003</t>
  </si>
  <si>
    <t>2Way</t>
  </si>
  <si>
    <t>181219.1</t>
  </si>
  <si>
    <t xml:space="preserve">CSE </t>
  </si>
  <si>
    <t xml:space="preserve">Series LS </t>
  </si>
  <si>
    <t>COELBO S.r.l.</t>
  </si>
  <si>
    <t>IECEx EPS 13.0034</t>
  </si>
  <si>
    <t>LMP 21SE0004X</t>
  </si>
  <si>
    <t>CONAUT</t>
  </si>
  <si>
    <t>181133.1</t>
  </si>
  <si>
    <t>Cabeça do Sensor</t>
  </si>
  <si>
    <t>UFS-V-Ex</t>
  </si>
  <si>
    <t>Krohne Altometer</t>
  </si>
  <si>
    <t>FL/JCP</t>
  </si>
  <si>
    <t>PTB 01 ATEX 2012 X</t>
  </si>
  <si>
    <t>LMP 21SE0005X</t>
  </si>
  <si>
    <t>SPECIALTY (SPTECH)</t>
  </si>
  <si>
    <t>181228.1</t>
  </si>
  <si>
    <t xml:space="preserve">Encoder à prova de explosão </t>
  </si>
  <si>
    <t>RX70TI360EK72KFF0</t>
  </si>
  <si>
    <t>LMP 21SE0006X</t>
  </si>
  <si>
    <t>Pepper-Fuchs</t>
  </si>
  <si>
    <t>181215.1</t>
  </si>
  <si>
    <t xml:space="preserve">Fone de Ouvido </t>
  </si>
  <si>
    <t xml:space="preserve"> SM1PHWEXPF01 </t>
  </si>
  <si>
    <t>LMP 21SE0007</t>
  </si>
  <si>
    <t>181215.2</t>
  </si>
  <si>
    <t>Barreiras isoladas</t>
  </si>
  <si>
    <t>LMP 21SE0008</t>
  </si>
  <si>
    <t>181215.3</t>
  </si>
  <si>
    <t>LMP 21SE0009X</t>
  </si>
  <si>
    <t>181049.1</t>
  </si>
  <si>
    <t>Módulo de entrada e saída digital (DIOM</t>
  </si>
  <si>
    <t>947*/35-16-1*</t>
  </si>
  <si>
    <t xml:space="preserve">R. STAHL Schaltgeräte GmbH </t>
  </si>
  <si>
    <t>HS/JCP</t>
  </si>
  <si>
    <t>LMP 21SE0010X</t>
  </si>
  <si>
    <t>181181.1</t>
  </si>
  <si>
    <t xml:space="preserve">Lâmpada sinalizadora para montagens de painel </t>
  </si>
  <si>
    <t>8013/3.1 e 8013/3.3</t>
  </si>
  <si>
    <t>LMP 21SE0011X</t>
  </si>
  <si>
    <t>181062.1</t>
  </si>
  <si>
    <t xml:space="preserve">Unidade de Ventilação  </t>
  </si>
  <si>
    <t>MAK 56; MAKe 63</t>
  </si>
  <si>
    <t>EUROMOTORI SRL</t>
  </si>
  <si>
    <t>CESI 06 ATEX 056X</t>
  </si>
  <si>
    <t>LMP 21SE0012X</t>
  </si>
  <si>
    <t>Bently (Cancelado)</t>
  </si>
  <si>
    <t>181163.1</t>
  </si>
  <si>
    <t>Transmissor de Oxigênio / Analisador de Gás</t>
  </si>
  <si>
    <t>XMO2 / XMTC</t>
  </si>
  <si>
    <t xml:space="preserve">GE Infrastructure Sensing, Inc </t>
  </si>
  <si>
    <t>LMP 21SE0013X</t>
  </si>
  <si>
    <t>181243.1</t>
  </si>
  <si>
    <t xml:space="preserve">Sensor Capacitivo Modelo </t>
  </si>
  <si>
    <t>LMP 21SE0014X</t>
  </si>
  <si>
    <t>181137.1</t>
  </si>
  <si>
    <t>Amperímetro</t>
  </si>
  <si>
    <t>8402C6-420</t>
  </si>
  <si>
    <t>IECEx SIQ 18.0003X</t>
  </si>
  <si>
    <t>LMP 21SE0015</t>
  </si>
  <si>
    <t>Fluke</t>
  </si>
  <si>
    <t>181249.1</t>
  </si>
  <si>
    <t>Calibrador do Processo de Várias Funções Fluke</t>
  </si>
  <si>
    <t>CSA 1573266</t>
  </si>
  <si>
    <t>LMP 21SE0016</t>
  </si>
  <si>
    <t>Blinda</t>
  </si>
  <si>
    <t>181248.1</t>
  </si>
  <si>
    <t>Transdutor de vibração de canal único Interface</t>
  </si>
  <si>
    <t>LMP 21SE0017X</t>
  </si>
  <si>
    <t>Alutal</t>
  </si>
  <si>
    <t>181251.1</t>
  </si>
  <si>
    <t xml:space="preserve">Chave Elétrica </t>
  </si>
  <si>
    <t>LMP 21SE0018X</t>
  </si>
  <si>
    <t>181251.2</t>
  </si>
  <si>
    <t>Transmissor de Vazão</t>
  </si>
  <si>
    <t>TA2– A1B0-430 / TRM-A11A-027</t>
  </si>
  <si>
    <t>IECEx FMG 20.0023X</t>
  </si>
  <si>
    <t>LMP 21SE0019X</t>
  </si>
  <si>
    <t>WIKA</t>
  </si>
  <si>
    <t>181259.1</t>
  </si>
  <si>
    <t xml:space="preserve">E-10 </t>
  </si>
  <si>
    <t>LMP 21SE0020X</t>
  </si>
  <si>
    <t>181202.1</t>
  </si>
  <si>
    <t>Transdutor de fluxo ultrassônico</t>
  </si>
  <si>
    <t>CRS20-MB</t>
  </si>
  <si>
    <t>GE Infrastructure Sensing Inc</t>
  </si>
  <si>
    <t>LMP 21SE0021X</t>
  </si>
  <si>
    <t>181202.2</t>
  </si>
  <si>
    <t>LMP 21SE0022</t>
  </si>
  <si>
    <t>181261.1</t>
  </si>
  <si>
    <t xml:space="preserve">Conversor de Sinal </t>
  </si>
  <si>
    <t>LMP 21SE0023X</t>
  </si>
  <si>
    <t>Meka</t>
  </si>
  <si>
    <t>181250.1</t>
  </si>
  <si>
    <t>IHM Multimídia Avançada</t>
  </si>
  <si>
    <t>AGP3750-T1-AF</t>
  </si>
  <si>
    <t>Proface Systems Co., Ltd.</t>
  </si>
  <si>
    <t>INERES 07ATEX3003X</t>
  </si>
  <si>
    <t>LMP 21SE0024X</t>
  </si>
  <si>
    <t>Rotork</t>
  </si>
  <si>
    <t>181265.1</t>
  </si>
  <si>
    <t xml:space="preserve">Posicionador a Prova de Explosão </t>
  </si>
  <si>
    <t xml:space="preserve"> YT-1000</t>
  </si>
  <si>
    <t>Rotork YTC Limited</t>
  </si>
  <si>
    <t>GYJ20.1517X</t>
  </si>
  <si>
    <t>LMP 21SE0025X</t>
  </si>
  <si>
    <t>Eurosul</t>
  </si>
  <si>
    <t>181244.1</t>
  </si>
  <si>
    <t xml:space="preserve">Luz para Boia de salvação (FACHO HOMES) </t>
  </si>
  <si>
    <t xml:space="preserve">L161 </t>
  </si>
  <si>
    <t xml:space="preserve">DANIAMANT Ltd </t>
  </si>
  <si>
    <t>LMP 21SE0026</t>
  </si>
  <si>
    <t>Unitech</t>
  </si>
  <si>
    <t>181282.1</t>
  </si>
  <si>
    <t xml:space="preserve">Tacômetro digital </t>
  </si>
  <si>
    <t>SPD 100-1</t>
  </si>
  <si>
    <t>DYNALCO CONTROLS</t>
  </si>
  <si>
    <t>LR 45322-12</t>
  </si>
  <si>
    <t>LMP 21SE0027</t>
  </si>
  <si>
    <t>181283.1</t>
  </si>
  <si>
    <t xml:space="preserve">Chaves de controle de choque e vibração </t>
  </si>
  <si>
    <t>1697235 (046306_0_000)</t>
  </si>
  <si>
    <t>LMP 21SE0028X</t>
  </si>
  <si>
    <t>181284.1</t>
  </si>
  <si>
    <t xml:space="preserve">Sensores de Velocidade </t>
  </si>
  <si>
    <t>VR</t>
  </si>
  <si>
    <t>A.i-tek Instruments, LLC</t>
  </si>
  <si>
    <t>LMP 21SE0029X</t>
  </si>
  <si>
    <t>181281.1</t>
  </si>
  <si>
    <t>Calibrador do Processo</t>
  </si>
  <si>
    <t>718Ex</t>
  </si>
  <si>
    <t>LMP 21SE0030</t>
  </si>
  <si>
    <t>Clark</t>
  </si>
  <si>
    <t>181206.1</t>
  </si>
  <si>
    <t>Transmissor de Nível Magnetostrictivo</t>
  </si>
  <si>
    <t>MTII4300</t>
  </si>
  <si>
    <t>FM18US0102 / FM16US0242X</t>
  </si>
  <si>
    <t>LMP 21SE0031</t>
  </si>
  <si>
    <t>181275.1</t>
  </si>
  <si>
    <t xml:space="preserve">Modelo portátil de diagnóstico do Fieldbus </t>
  </si>
  <si>
    <t>PEPPERL + FUCHS SE</t>
  </si>
  <si>
    <t>LMP 21SE0032</t>
  </si>
  <si>
    <t>181275.2</t>
  </si>
  <si>
    <t xml:space="preserve">Amplificador de Isolamento de Segurança </t>
  </si>
  <si>
    <t>KHA6-SH-EX1</t>
  </si>
  <si>
    <t>LMP 21SE0033</t>
  </si>
  <si>
    <t>181299.1</t>
  </si>
  <si>
    <t>Roto-Bin-Dicator (Chave de Nível)</t>
  </si>
  <si>
    <t>RXEHMAX12AA0A</t>
  </si>
  <si>
    <t>20140724-E27764</t>
  </si>
  <si>
    <t>LMP 21SE0034</t>
  </si>
  <si>
    <t>181299.2</t>
  </si>
  <si>
    <t>Auto Bin-Dicator (Medidor de Nível)</t>
  </si>
  <si>
    <t>LAD101716</t>
  </si>
  <si>
    <t>UL E27764</t>
  </si>
  <si>
    <t>LMP 21SE0035X</t>
  </si>
  <si>
    <t>CMS - CANCELADO</t>
  </si>
  <si>
    <t>181294.1</t>
  </si>
  <si>
    <t xml:space="preserve">Termômetros digitais </t>
  </si>
  <si>
    <t>TP7D</t>
  </si>
  <si>
    <t xml:space="preserve">ThermoProbe, Inc </t>
  </si>
  <si>
    <t>LMP 21SE0036X</t>
  </si>
  <si>
    <t>181304.1</t>
  </si>
  <si>
    <t>LMP 21SE0037</t>
  </si>
  <si>
    <t>GEA</t>
  </si>
  <si>
    <t>181009.1</t>
  </si>
  <si>
    <t>CSE - SKID</t>
  </si>
  <si>
    <t>Centrifuga Importada</t>
  </si>
  <si>
    <t>DSE 60-01-577</t>
  </si>
  <si>
    <t>GEA Tuchenhagen GmbH</t>
  </si>
  <si>
    <t>Edson</t>
  </si>
  <si>
    <t>Vide Tabela 1 do Ract (SKID)</t>
  </si>
  <si>
    <t>LMP 21SE0038</t>
  </si>
  <si>
    <t>181316.1</t>
  </si>
  <si>
    <t xml:space="preserve">Solenóide / Drivers de alarme </t>
  </si>
  <si>
    <t>MTL5521</t>
  </si>
  <si>
    <t>LMP 21SE0039X</t>
  </si>
  <si>
    <t>Microkits</t>
  </si>
  <si>
    <t>181305.1</t>
  </si>
  <si>
    <t>Monitor de válvula</t>
  </si>
  <si>
    <t>MB700- ALS- 400M2</t>
  </si>
  <si>
    <t>Wuxi Aphe Floew Smart Controls Maker Co, Ltd</t>
  </si>
  <si>
    <t>LMP 21SE0040X</t>
  </si>
  <si>
    <t>ALSD400</t>
  </si>
  <si>
    <t>GYB16.1794X</t>
  </si>
  <si>
    <t>LMP 21SE0041X</t>
  </si>
  <si>
    <t>ECIL</t>
  </si>
  <si>
    <t>181255.1</t>
  </si>
  <si>
    <t>Transmissores de Temperatura</t>
  </si>
  <si>
    <t>IPAQ C520X e C520XS</t>
  </si>
  <si>
    <t xml:space="preserve">Inor Process AB </t>
  </si>
  <si>
    <t>IECEx KIWA 14.0001X</t>
  </si>
  <si>
    <t>LMP 21SE0042X</t>
  </si>
  <si>
    <t>181313.1</t>
  </si>
  <si>
    <t xml:space="preserve">Barreira de segurança instrínseca </t>
  </si>
  <si>
    <t>LMP 21SE0043</t>
  </si>
  <si>
    <t>181313.2</t>
  </si>
  <si>
    <t xml:space="preserve">Conversor de temperatura </t>
  </si>
  <si>
    <t>KFU8-GUT-EX1.D</t>
  </si>
  <si>
    <t>IECEx TUN 09.0019</t>
  </si>
  <si>
    <t>LMP 21SE0044X</t>
  </si>
  <si>
    <t>181202.03</t>
  </si>
  <si>
    <t>XMO2-2h-31-0</t>
  </si>
  <si>
    <t>23/12/2020 / 23/12/2023</t>
  </si>
  <si>
    <t>LMP 21SE0045X</t>
  </si>
  <si>
    <t>181202.04</t>
  </si>
  <si>
    <t>LMP 21SE0046X</t>
  </si>
  <si>
    <t>181324.1</t>
  </si>
  <si>
    <t>LMP 21SE0047</t>
  </si>
  <si>
    <t>181326.1</t>
  </si>
  <si>
    <t>365A-A2</t>
  </si>
  <si>
    <t>Schneider Electric Systems USA, Inc</t>
  </si>
  <si>
    <t>UL E164999</t>
  </si>
  <si>
    <t>LMP 21SE0048</t>
  </si>
  <si>
    <t>Sensor de Nível Série F78MP</t>
  </si>
  <si>
    <t>F78MP0402G2A.</t>
  </si>
  <si>
    <t>LMP 21SE0049X</t>
  </si>
  <si>
    <t>181341.1</t>
  </si>
  <si>
    <t>LMP 21SE0050X</t>
  </si>
  <si>
    <t>ALAMO</t>
  </si>
  <si>
    <t>181348.1</t>
  </si>
  <si>
    <t>Detectores óticos de fumaça e Ponto de chamada manual</t>
  </si>
  <si>
    <t>116-BHH-500/EX e BF-500V2/EX</t>
  </si>
  <si>
    <t>LMP 21SE0051X</t>
  </si>
  <si>
    <t>ALFA</t>
  </si>
  <si>
    <t>181347.1</t>
  </si>
  <si>
    <t xml:space="preserve">Detectores óticos de fumaça </t>
  </si>
  <si>
    <t>116-BHH-500/EX</t>
  </si>
  <si>
    <t>LMP 21SE0052</t>
  </si>
  <si>
    <t>181357.1</t>
  </si>
  <si>
    <t xml:space="preserve">Transformador isolado, alimentado por loop, separador de corrente </t>
  </si>
  <si>
    <t>KFD0-CS-EX1.52</t>
  </si>
  <si>
    <t>LMP 21SE0053X</t>
  </si>
  <si>
    <t>181357.2</t>
  </si>
  <si>
    <t>SM1PHWEXPF01</t>
  </si>
  <si>
    <t xml:space="preserve">Sensear Pty Ltd </t>
  </si>
  <si>
    <t>FALTA NF</t>
  </si>
  <si>
    <t>LMP 21SE0054</t>
  </si>
  <si>
    <t>181357.3</t>
  </si>
  <si>
    <t xml:space="preserve">Transformador Repetidor de Corrente Isolada </t>
  </si>
  <si>
    <t>KFD2-STC3-EX1</t>
  </si>
  <si>
    <t>IECEx BAS 09.0102X</t>
  </si>
  <si>
    <t>LMP 21SE0055</t>
  </si>
  <si>
    <t>181357.4</t>
  </si>
  <si>
    <t>LMP 21SE0056</t>
  </si>
  <si>
    <t>181029.1</t>
  </si>
  <si>
    <t>CSE-SKID</t>
  </si>
  <si>
    <t>Plataforma P74</t>
  </si>
  <si>
    <t>SC2995</t>
  </si>
  <si>
    <t xml:space="preserve">VICEL </t>
  </si>
  <si>
    <t>MP/HC/JPC</t>
  </si>
  <si>
    <t>EN</t>
  </si>
  <si>
    <t>22/11/2020 a 05/12/2020</t>
  </si>
  <si>
    <t>Vide Tabela 01</t>
  </si>
  <si>
    <t>LMP 21SE0057</t>
  </si>
  <si>
    <t>181029.2</t>
  </si>
  <si>
    <t>Plataforma P75</t>
  </si>
  <si>
    <t>P75</t>
  </si>
  <si>
    <t>22/11/2020 a 05/12/2020 e 06/2021</t>
  </si>
  <si>
    <t>LMP 21SE0058X</t>
  </si>
  <si>
    <t>ASELCO</t>
  </si>
  <si>
    <t>181363.1</t>
  </si>
  <si>
    <t>Bomba de vácuo com analisado de oxigênio</t>
  </si>
  <si>
    <t>Air Dimensions / Teledyne Analytical Instruments</t>
  </si>
  <si>
    <t>LMP 21SE0060</t>
  </si>
  <si>
    <t>181378.1</t>
  </si>
  <si>
    <t xml:space="preserve">Leitor de código de barras e RFID intrinsecamente seguro </t>
  </si>
  <si>
    <t xml:space="preserve">ECOM Instruments GmbH </t>
  </si>
  <si>
    <t>IECEx EPS 16.0008</t>
  </si>
  <si>
    <t>LMP 21SE0061</t>
  </si>
  <si>
    <t>181378.2</t>
  </si>
  <si>
    <t xml:space="preserve">Amplificador de isolamento </t>
  </si>
  <si>
    <t>LMP 21SE0062X</t>
  </si>
  <si>
    <t>181378.3</t>
  </si>
  <si>
    <t xml:space="preserve">Medidor de temperatura sem contato intrinsecamente seguro </t>
  </si>
  <si>
    <t>MP4a</t>
  </si>
  <si>
    <t xml:space="preserve">Ecom Instruments GmbH </t>
  </si>
  <si>
    <t>LMP 21SE0063</t>
  </si>
  <si>
    <t>181378.4</t>
  </si>
  <si>
    <t>LMP 21SE0064X</t>
  </si>
  <si>
    <t>181391.1</t>
  </si>
  <si>
    <t xml:space="preserve"> Série RP 1000</t>
  </si>
  <si>
    <t>Shanghai Rocksensor Automation Co., Ltd</t>
  </si>
  <si>
    <t>GYB12.1376X</t>
  </si>
  <si>
    <t>LMP 21SE0065X</t>
  </si>
  <si>
    <t>181395.1</t>
  </si>
  <si>
    <t xml:space="preserve">Sensor indutivo aneliforme </t>
  </si>
  <si>
    <t>RJ15-14-N (PN: 106555)</t>
  </si>
  <si>
    <t>LMP 21SE0066X</t>
  </si>
  <si>
    <t>181403.1</t>
  </si>
  <si>
    <t>Chave de nível Magnética</t>
  </si>
  <si>
    <t>HLS-SHAG_x0002_FV2"/150/RF-L240/100/0-VU-ZVSS43/100HI-Ex (S/N: 110F43MW)</t>
  </si>
  <si>
    <t>iBExU 03 ATEX 1038 X</t>
  </si>
  <si>
    <t>LMP 21SE0067X</t>
  </si>
  <si>
    <t>181403.2</t>
  </si>
  <si>
    <t>AF-ADF-FV2"/150/RF_x0002_VK18/T15-L2.450/14-V44R (S/N: 110F7DGV, 
110F7DGU)</t>
  </si>
  <si>
    <t xml:space="preserve"> TÜV 13 ATEX 7399 X</t>
  </si>
  <si>
    <t>LMP 21SE0068</t>
  </si>
  <si>
    <t>181383.1</t>
  </si>
  <si>
    <t>Digital Flow Monitor</t>
  </si>
  <si>
    <t xml:space="preserve">RT-Ex15-Ex </t>
  </si>
  <si>
    <t>AW-Lake Company
2440 W Corporate Preserve Dr. Suite #600 - Oak Creek, Wisconsin 53154
UNITED STATES</t>
  </si>
  <si>
    <t xml:space="preserve">CSA Certificate: 1812440 </t>
  </si>
  <si>
    <t>LMP 21SE0069X</t>
  </si>
  <si>
    <t>MACAETEC (FLUKE)</t>
  </si>
  <si>
    <t>181402.1</t>
  </si>
  <si>
    <t xml:space="preserve">Manômetro digital de precisão </t>
  </si>
  <si>
    <t>Fluke 700G (1un do 
700G06 – S/N 5030132 / 5un do 700G05 – S/N 
5324279, 5324296, 5324292, 5324281, 5324282 / 5un 
do 700G08 - S/N 5310722, 5310723, 5310715, 
5310719, 5310720)</t>
  </si>
  <si>
    <t>Anhui Shifu Instruments Co Ltd 
No 66 Estrada Longteng - Wujiang Wuhu, Anhui - China</t>
  </si>
  <si>
    <t>LMP 21SE0070X</t>
  </si>
  <si>
    <t>181405.1</t>
  </si>
  <si>
    <t>- 6un do 700G31 – S/N 5345263, 5345364, 5345361, 5191297, 5345359, 5345362
- 6un do 700G30 - S/N 5345353, 5324535, 5324632, 5324350, 5345354, 5324360</t>
  </si>
  <si>
    <t>LMP 21SE0071X</t>
  </si>
  <si>
    <t>181407.1</t>
  </si>
  <si>
    <t>RX70TI1240EK72IFF0 (2 peças) e RX70TI360EK72IFF0 (2 peças)</t>
  </si>
  <si>
    <t>LMP 21SE0072X</t>
  </si>
  <si>
    <t xml:space="preserve">SPECIALTY (SPTECH)  </t>
  </si>
  <si>
    <t>181408.1</t>
  </si>
  <si>
    <t>Stable Industrial Transmitters with Turndown 
Capabilities</t>
  </si>
  <si>
    <t>Série 6700, PN 84330M</t>
  </si>
  <si>
    <t>Gems Sensors
Lennox Road Basingstoke, Hampshire, RG22 4AW - England</t>
  </si>
  <si>
    <t>BASEEFA 02ATEX00040X</t>
  </si>
  <si>
    <t>LMP 21SE0073X</t>
  </si>
  <si>
    <t>181409.1</t>
  </si>
  <si>
    <t>AF-ADF-FV2"/150/RF_x0002_VK18/T15-L2.450/14-V44R (S/N: 110FCVLW)</t>
  </si>
  <si>
    <t>LMP 21SE0074X</t>
  </si>
  <si>
    <t>181409.2</t>
  </si>
  <si>
    <t xml:space="preserve">Sensor do tipo reed switch </t>
  </si>
  <si>
    <t>BLR/ NMG-AV4VK10/T32- L550/M400/14-Ex (S/N: 110FAB5F/2021)</t>
  </si>
  <si>
    <t>LMP 21SE0075</t>
  </si>
  <si>
    <t>Polar</t>
  </si>
  <si>
    <t>181406.1</t>
  </si>
  <si>
    <t>Unidade de Distribuição Portátil</t>
  </si>
  <si>
    <t>GHG 931000</t>
  </si>
  <si>
    <t>CEAG Sicherheitstechnik GmbH 
Neur Weg Nord 49, 69412 Eberbach - Alemanha</t>
  </si>
  <si>
    <t>LN/AS</t>
  </si>
  <si>
    <t xml:space="preserve"> PTB02ATEX1035</t>
  </si>
  <si>
    <t>LMP 21SE0076X</t>
  </si>
  <si>
    <t>IEC-INSTALAÇÕES E ENGENHARIA DE CORROSÃO LTDA</t>
  </si>
  <si>
    <t>180952.1</t>
  </si>
  <si>
    <t>DSP</t>
  </si>
  <si>
    <t>ClampOn
ASVågsgaten 10 5160 Laksevåg - Norway</t>
  </si>
  <si>
    <t xml:space="preserve"> IECEx ULD 13.0010X issue 3</t>
  </si>
  <si>
    <t>Marcação Adv</t>
  </si>
  <si>
    <t>LMP 21SE0077</t>
  </si>
  <si>
    <t>180952.2</t>
  </si>
  <si>
    <t>Control and Distribution Box</t>
  </si>
  <si>
    <t>type 8150/5-0176-0236-150-3311</t>
  </si>
  <si>
    <t>R. STAHL Schaltgeräte GmbH
Am Bahnhof 30 74638 Waldenburg - Germany</t>
  </si>
  <si>
    <t xml:space="preserve"> IECEx PTB 09.0049 issue 4</t>
  </si>
  <si>
    <t>LMP 21SE0078X</t>
  </si>
  <si>
    <t>181413.1</t>
  </si>
  <si>
    <t>Vibration sensors -</t>
  </si>
  <si>
    <t>Type: EX(XX)622yzzz/aaa, 
EX(XX)623yzzz/aaa, EX(XX)625yzzz/aaa, 
EX(XX)628yzzz/aaa - PCB-EX622B01 S/N 65167</t>
  </si>
  <si>
    <t>PCB Piezotronics
3425 Walden Avenue Depew, New York 14043 United States of America</t>
  </si>
  <si>
    <t xml:space="preserve"> IECEx LCIE 15.0016X issue 3</t>
  </si>
  <si>
    <t>LMP 21SE0079</t>
  </si>
  <si>
    <t>181415.1</t>
  </si>
  <si>
    <t>Barksdale, Inc. 
3211 Fruitland Avenue, Los Angeles, CA 90058</t>
  </si>
  <si>
    <t>LMP 21SE0080</t>
  </si>
  <si>
    <t>Engezer</t>
  </si>
  <si>
    <t>181416.1</t>
  </si>
  <si>
    <t>Ar condicionado à prova de explosão</t>
  </si>
  <si>
    <t>Wuxi Kangning Electrical Apparatus for Explosive Atmospheres Co., LTD.
No.102, Jinhui Road, Huishan Economic Development Zone, Wuxi City, Jiangsu Province, P.R. China China</t>
  </si>
  <si>
    <t>EPT15ATEX2173</t>
  </si>
  <si>
    <t>LMP 21SE0081X</t>
  </si>
  <si>
    <t>181421.1</t>
  </si>
  <si>
    <t>‘FP’ Solenoid - considerado como fins de reposição/substituição de um equipamento já em instalação.</t>
  </si>
  <si>
    <t>Bifold Fluidpower Limited
Broadgate Oldham Broadway Business Park Chadderton United Kingdom</t>
  </si>
  <si>
    <t>IECEx BAS 09.0012X</t>
  </si>
  <si>
    <t>Número de série e inspeção</t>
  </si>
  <si>
    <t>LMP 21SE0082X</t>
  </si>
  <si>
    <t>181418.1</t>
  </si>
  <si>
    <t xml:space="preserve"> IPAQ C530</t>
  </si>
  <si>
    <t>INOR Process AB</t>
  </si>
  <si>
    <t xml:space="preserve">IECEx KIWA 17.0027X </t>
  </si>
  <si>
    <t>LMP 21SE0083</t>
  </si>
  <si>
    <t>181417.1</t>
  </si>
  <si>
    <t>03/05//2021</t>
  </si>
  <si>
    <t>LMP 21SE0084</t>
  </si>
  <si>
    <t>181424.1</t>
  </si>
  <si>
    <t>Sanitary RTDs and Temperature Transmitters</t>
  </si>
  <si>
    <t xml:space="preserve">CT35069C0011A0 </t>
  </si>
  <si>
    <t>NEGELE Messtechnik GmbH
Raiffeisenweg 7, 87743 Egg an der Günz, Deutschland</t>
  </si>
  <si>
    <t>CSA: CSA0F9754.5C</t>
  </si>
  <si>
    <t>LMP 21SE0085</t>
  </si>
  <si>
    <t>181263.2</t>
  </si>
  <si>
    <t>Não tem</t>
  </si>
  <si>
    <t>TUV ATEX 7399X</t>
  </si>
  <si>
    <t>LMP 21SE0086</t>
  </si>
  <si>
    <t>181263.3</t>
  </si>
  <si>
    <t xml:space="preserve">Vállvula coaxial </t>
  </si>
  <si>
    <t>GSR VENTILTECHNIK GmbH &amp; Co. KG</t>
  </si>
  <si>
    <t>LMP 21SE0087</t>
  </si>
  <si>
    <t>181263.4</t>
  </si>
  <si>
    <t xml:space="preserve">Transdutor de pressao </t>
  </si>
  <si>
    <t>3 numeros de serie</t>
  </si>
  <si>
    <t>LMP 21SE0088X</t>
  </si>
  <si>
    <t>181430.1</t>
  </si>
  <si>
    <t xml:space="preserve">Sensor retroflexivo </t>
  </si>
  <si>
    <t>MLV11-54-Ex/40b/112 (PN: 421556)</t>
  </si>
  <si>
    <t>PEPPERL + FUCHS GmbH
Lilienthalstraße 200 - 68307 - Mannheim - Germany</t>
  </si>
  <si>
    <t>PTB99ATEX2036X</t>
  </si>
  <si>
    <t>LMP 21SE0089X</t>
  </si>
  <si>
    <t>181432.1</t>
  </si>
  <si>
    <t>Transmissor sem Fio</t>
  </si>
  <si>
    <t>Rohrback Cosasco Systems
11841 East Smith Ave - Santa Fe Springs, CA 90670 - USA</t>
  </si>
  <si>
    <t>FM09ATEX0018X</t>
  </si>
  <si>
    <t>LMP 21SE0090X</t>
  </si>
  <si>
    <t>181434.1</t>
  </si>
  <si>
    <t>Módulos de pressão Fluke</t>
  </si>
  <si>
    <t xml:space="preserve"> 750P05EX (1un – S/N 5107605)</t>
  </si>
  <si>
    <t>LMP 21SE0091</t>
  </si>
  <si>
    <t>181436.1</t>
  </si>
  <si>
    <t>Equipamento de detector de chama 
Ultravioleta/Infravermelho</t>
  </si>
  <si>
    <t xml:space="preserve"> W867C300a</t>
  </si>
  <si>
    <t xml:space="preserve"> FM 1R1A4.AE</t>
  </si>
  <si>
    <t>LMP 21SE0092</t>
  </si>
  <si>
    <t>181433.1</t>
  </si>
  <si>
    <t xml:space="preserve">Conversor </t>
  </si>
  <si>
    <t>KFD0-CC-EX1</t>
  </si>
  <si>
    <t>PEPPERL + FUCHS GmbH
Konigsberger Allee, 87- D-68307 - Mannheim - Germany</t>
  </si>
  <si>
    <t xml:space="preserve"> ZELM 00 ATEX 0034</t>
  </si>
  <si>
    <t>LMP 21SE0093</t>
  </si>
  <si>
    <t>181433.2</t>
  </si>
  <si>
    <t>Amplificador de Isolamento de Segurança</t>
  </si>
  <si>
    <t xml:space="preserve"> KHA6-SH-EX1</t>
  </si>
  <si>
    <t xml:space="preserve"> PTB00ATEX2043</t>
  </si>
  <si>
    <t>LMP 21SE0094X</t>
  </si>
  <si>
    <t>181433.3</t>
  </si>
  <si>
    <t>Detector de nível vibratório</t>
  </si>
  <si>
    <t xml:space="preserve"> KEMA01ATEX1147X</t>
  </si>
  <si>
    <t>LMP 21SE0095</t>
  </si>
  <si>
    <t>181433.4</t>
  </si>
  <si>
    <t>Amplificador de isolamento</t>
  </si>
  <si>
    <t xml:space="preserve"> KFD2-SRA-EX4</t>
  </si>
  <si>
    <t xml:space="preserve"> ZELM99ATEX0009</t>
  </si>
  <si>
    <t>LMP 21SE0096</t>
  </si>
  <si>
    <t>181433.5</t>
  </si>
  <si>
    <t>KFD2-WAC2-EX1.D</t>
  </si>
  <si>
    <t>TÜV04ATEX2531</t>
  </si>
  <si>
    <t>LMP 21SE0097X</t>
  </si>
  <si>
    <t>181433.6</t>
  </si>
  <si>
    <t>Sensear Pty Limited
197-199 Great Eastern Highway, Belmont, WA, 6104, Australia</t>
  </si>
  <si>
    <t>Baseefa18ATEX0049X</t>
  </si>
  <si>
    <t>LMP 21SE0098X</t>
  </si>
  <si>
    <t>181437.1</t>
  </si>
  <si>
    <t xml:space="preserve">Pré-amplificador </t>
  </si>
  <si>
    <t>FH71 (N/S: 5267; 5226; 5245; 5238)</t>
  </si>
  <si>
    <t>FAURE HERMAN
Route de Bonnétable, 72400 La Ferté Bernard - FRANCE</t>
  </si>
  <si>
    <t>03/05/2021 / 12/05/2021</t>
  </si>
  <si>
    <t>LCIE 03 ATEX 6238 X</t>
  </si>
  <si>
    <t>LMP 21SE0099X</t>
  </si>
  <si>
    <t>181439.1</t>
  </si>
  <si>
    <t>Pressure transmitter</t>
  </si>
  <si>
    <t xml:space="preserve"> modelo E-10</t>
  </si>
  <si>
    <t xml:space="preserve">WIKA Alexander Wiegand SE &amp; Co. KG 
Alexander-Wiegand-Strasse 30, 63911 Klingenberg - Alemanha </t>
  </si>
  <si>
    <t>FM: 3009489 – Relatório 140930</t>
  </si>
  <si>
    <t>LMP 21SE0100X</t>
  </si>
  <si>
    <t>181440.1</t>
  </si>
  <si>
    <t>AS/LA</t>
  </si>
  <si>
    <t>LMP 21SE0101X</t>
  </si>
  <si>
    <t>181446.1</t>
  </si>
  <si>
    <t xml:space="preserve">Calibrador de loop intrinsecamente seguro </t>
  </si>
  <si>
    <t>Druck UPS-III-IS</t>
  </si>
  <si>
    <t>Druck Ltd
Fir Tree Lane, Groby, Leicester, LE6 0FH, United Kingdom</t>
  </si>
  <si>
    <t>IECEx BAS 06.0053X issue 6</t>
  </si>
  <si>
    <t>LMP 21SE0102</t>
  </si>
  <si>
    <t>Lâmpada de teste ultravioleta/infravermelha</t>
  </si>
  <si>
    <t>Detector Electronics Corporation
10901 Lousiana Avenue – Minneapolis , MN 55438 – Estados Unidos da América</t>
  </si>
  <si>
    <t>1R1A4.AE</t>
  </si>
  <si>
    <t>LMP 21SE0103X</t>
  </si>
  <si>
    <t>Vanasa</t>
  </si>
  <si>
    <t>181460.1</t>
  </si>
  <si>
    <t>Transmissor de Pulso</t>
  </si>
  <si>
    <t>1871; 7671</t>
  </si>
  <si>
    <t>Veeder Root Company</t>
  </si>
  <si>
    <t>20040721-E33356</t>
  </si>
  <si>
    <t>LMP 21SE0104X</t>
  </si>
  <si>
    <t>181468.1</t>
  </si>
  <si>
    <t xml:space="preserve">Sensor Capacitivo </t>
  </si>
  <si>
    <t>CJ4-12GK-N 12xG1xxD (PN: 
106262)</t>
  </si>
  <si>
    <t>TÜV03ATEX2003X</t>
  </si>
  <si>
    <t>LMP 21SE0107X</t>
  </si>
  <si>
    <t>181202.5</t>
  </si>
  <si>
    <t>86517 Accelerormeter Interface Module</t>
  </si>
  <si>
    <t>Bently Nevada Inc1631 Bently Parkway South Minden Nevada 89423 United States of America</t>
  </si>
  <si>
    <t xml:space="preserve">LA </t>
  </si>
  <si>
    <t>LMP 21SE0108X</t>
  </si>
  <si>
    <t>181475.1</t>
  </si>
  <si>
    <t>LMP 21SE0109</t>
  </si>
  <si>
    <t xml:space="preserve"> 181473.1</t>
  </si>
  <si>
    <t xml:space="preserve"> Repeater Power 
Supply, 4/20mA for 2 or 3-Wire Transmitters</t>
  </si>
  <si>
    <t>MTL5541 / MTL5541-T / MTL5544</t>
  </si>
  <si>
    <t>Eaton EIecbic Umited
Great Marlings Butterfield, Luton, Bedfordshire, LU28DL - United Kingdom</t>
  </si>
  <si>
    <t xml:space="preserve"> IECEx BAS 07.0069 issue 8</t>
  </si>
  <si>
    <t>LMP 21SE0110</t>
  </si>
  <si>
    <t xml:space="preserve"> 181474.1</t>
  </si>
  <si>
    <t>FPS Series - Fieldbus Power Systems</t>
  </si>
  <si>
    <t>FPS-IPM</t>
  </si>
  <si>
    <t>MTL Instruments Pvt. Ltd.MTL Instruments Pvt. Ltd.
No. 3 Old Mahabalipuram Rd., Sholinganallur, Chennai, 600119 – Índia</t>
  </si>
  <si>
    <t>FM 3021700</t>
  </si>
  <si>
    <t>LMP 21SE0111X</t>
  </si>
  <si>
    <t>181480.1</t>
  </si>
  <si>
    <t>CPG1500 (S/N: 1A01ISCCQ30)</t>
  </si>
  <si>
    <t>LMP 21SE0112X</t>
  </si>
  <si>
    <t>181480.2</t>
  </si>
  <si>
    <t>AUVK18/TE-L2.590/M2.440/14-Ex (S/N:110FNBZ5/2021)</t>
  </si>
  <si>
    <t xml:space="preserve"> 08/06/2021</t>
  </si>
  <si>
    <t>LMP 21SE0113</t>
  </si>
  <si>
    <t>181470.1</t>
  </si>
  <si>
    <t>LMP 21SE0114</t>
  </si>
  <si>
    <t>181202.6</t>
  </si>
  <si>
    <t>Portable Hygrometer</t>
  </si>
  <si>
    <t>GE Panametrics</t>
  </si>
  <si>
    <t>Baseefa 02ATEX0191</t>
  </si>
  <si>
    <t>LMP 21SE0115X</t>
  </si>
  <si>
    <t>Petrobras_Ecil</t>
  </si>
  <si>
    <t>181489.1</t>
  </si>
  <si>
    <t>LMP 21SE0116</t>
  </si>
  <si>
    <t>181497.1</t>
  </si>
  <si>
    <t xml:space="preserve">Sensor Indutivo </t>
  </si>
  <si>
    <t>Type: 10-15-x0, 10-15-x0-1 ou/or 10-15-x0-2</t>
  </si>
  <si>
    <t>LCIE 03 ATEX 6237 X</t>
  </si>
  <si>
    <t>LMP 21SE0117</t>
  </si>
  <si>
    <t>181202.7</t>
  </si>
  <si>
    <t>Hygrometer</t>
  </si>
  <si>
    <t xml:space="preserve">HygroPro </t>
  </si>
  <si>
    <t>GE Infrastructure Sensing Incorporated1100 Technology Park Drive Billerica Massachusetts 01821 United States of America</t>
  </si>
  <si>
    <t>LMP 21SE0118</t>
  </si>
  <si>
    <t>181202.8</t>
  </si>
  <si>
    <t>oxy.IQ</t>
  </si>
  <si>
    <t>GE Sensing EMEA</t>
  </si>
  <si>
    <t>LMP 21SE0119X</t>
  </si>
  <si>
    <t>181503.1</t>
  </si>
  <si>
    <t>2un do 700G27 – S/N 5359252; 5317423 / 1un do 700G29 - S/N 5359274 / 2un do 700G06 – S/N 5348325; 5366528</t>
  </si>
  <si>
    <t>LMP 21SE0120</t>
  </si>
  <si>
    <t>181202.9</t>
  </si>
  <si>
    <t>Multi-Functional Analyzer</t>
  </si>
  <si>
    <t>moisture.iQ Mulit-Channel,</t>
  </si>
  <si>
    <t>GE Infrastructure Sensing1100 Technology Park Drive Billerica, MA 01821 United States of America</t>
  </si>
  <si>
    <t>IECEx FMG 13.0022</t>
  </si>
  <si>
    <t>LMP 21SE0121X</t>
  </si>
  <si>
    <t>181512.1</t>
  </si>
  <si>
    <t>Probe</t>
  </si>
  <si>
    <t>MIS Probe 2 (SN: 0321-277180-N)</t>
  </si>
  <si>
    <t>GE Sensing EMEA
Unit A/B, Shannon Free Zone East Shannon County Clare V14 V992 - Ireland</t>
  </si>
  <si>
    <t xml:space="preserve"> IECEx BAS 13.0130X</t>
  </si>
  <si>
    <t>LMP 21SE0122</t>
  </si>
  <si>
    <t>181509.1</t>
  </si>
  <si>
    <t>VSX100.90B.G00</t>
  </si>
  <si>
    <t>Valpes Flow Control Systems</t>
  </si>
  <si>
    <t>LCIE 06 ATEX 6006 X</t>
  </si>
  <si>
    <t>LMP 21SE0123X</t>
  </si>
  <si>
    <t>181202.10</t>
  </si>
  <si>
    <t>Enclosures</t>
  </si>
  <si>
    <t>GUB....</t>
  </si>
  <si>
    <t>OFFICINE MECCANICHE MAMVia Vico Veneto, 32 I - 20090 Fizzonasco di Peve Emanuele (MI) Italy</t>
  </si>
  <si>
    <t>IECEx INE 11.0018X</t>
  </si>
  <si>
    <t>LMP 21SE0130</t>
  </si>
  <si>
    <t>181510.1</t>
  </si>
  <si>
    <t>KFA6-SOT2-EX</t>
  </si>
  <si>
    <t>PTB 98 ATEX 2164</t>
  </si>
  <si>
    <t>LMP 21SE0159</t>
  </si>
  <si>
    <t xml:space="preserve">181510.2 </t>
  </si>
  <si>
    <t xml:space="preserve">Transformador de isolamento SMART </t>
  </si>
  <si>
    <t>Pepperl+Fuchs GMBH
LILIENTHALSTRASSE 200
68307 MANNHEIM GERMANY</t>
  </si>
  <si>
    <t>LMP 21SE0133</t>
  </si>
  <si>
    <t>181510.3</t>
  </si>
  <si>
    <t xml:space="preserve">Transmissor de pressão e sensor de pressão </t>
  </si>
  <si>
    <t>LHCS-51</t>
  </si>
  <si>
    <t>DEKRA 13ATEX0142</t>
  </si>
  <si>
    <t>LMP 21SE0129</t>
  </si>
  <si>
    <t xml:space="preserve">181510.4 </t>
  </si>
  <si>
    <t>Scanner portátil</t>
  </si>
  <si>
    <t>Z1-160-D-1D-J1-SU-N-N0</t>
  </si>
  <si>
    <t>LMP 21SE0131</t>
  </si>
  <si>
    <t xml:space="preserve">181510.5 </t>
  </si>
  <si>
    <t>Sensor ultrassônico</t>
  </si>
  <si>
    <t>Sensor ultrassônico/ M30x1/2’ NPT-HB</t>
  </si>
  <si>
    <t>WYMV.E199034</t>
  </si>
  <si>
    <t>LMP 21SE0162</t>
  </si>
  <si>
    <t>181510.6</t>
  </si>
  <si>
    <t>Caneta Magnética protegida</t>
  </si>
  <si>
    <t>ECOM ROLF NIED GmbH</t>
  </si>
  <si>
    <t>LMP 21SE0153</t>
  </si>
  <si>
    <t>181510.7</t>
  </si>
  <si>
    <t>Chave de nível de vibração</t>
  </si>
  <si>
    <t>M1–G21AAA1N1NA-
E2</t>
  </si>
  <si>
    <t>LMP 21SE0126</t>
  </si>
  <si>
    <t>181510.8</t>
  </si>
  <si>
    <t xml:space="preserve">Sensor de posição de válvula </t>
  </si>
  <si>
    <t xml:space="preserve"> NCN3-F31K2M-N4-B13-S</t>
  </si>
  <si>
    <t>IECEx TUR 17.0055X</t>
  </si>
  <si>
    <t>LMP 21SE0124</t>
  </si>
  <si>
    <t>181510.13</t>
  </si>
  <si>
    <t xml:space="preserve">Leitor portátil </t>
  </si>
  <si>
    <t xml:space="preserve"> IDM-Z1-160-D-1D-J1-SU-N-N0</t>
  </si>
  <si>
    <t>RP/LA</t>
  </si>
  <si>
    <t>LMP 21SE0125X</t>
  </si>
  <si>
    <t>181510.12</t>
  </si>
  <si>
    <t>Barreira de Isolação Galvânica</t>
  </si>
  <si>
    <t>KCD2-STC-Ex1ES</t>
  </si>
  <si>
    <t>LMP 21SE0127X</t>
  </si>
  <si>
    <t>181510.23</t>
  </si>
  <si>
    <t>UC4000-30GM-IU-V1-HÁ</t>
  </si>
  <si>
    <t>BC/LA</t>
  </si>
  <si>
    <t>20170306-E87056</t>
  </si>
  <si>
    <t>LMP 21SE0128</t>
  </si>
  <si>
    <t>181510.16</t>
  </si>
  <si>
    <t>Barreira isoladoras</t>
  </si>
  <si>
    <t>LMP 21SE0132X</t>
  </si>
  <si>
    <t>181510.24</t>
  </si>
  <si>
    <t>PTB99ATEX2128X</t>
  </si>
  <si>
    <t>LMP 21SE0134</t>
  </si>
  <si>
    <t>181510.21</t>
  </si>
  <si>
    <t>LMP 21SE0135</t>
  </si>
  <si>
    <t>181510.22</t>
  </si>
  <si>
    <t>KFD2-GUT-Ex1.D</t>
  </si>
  <si>
    <t>LMP 21SE0136</t>
  </si>
  <si>
    <t>181510.20</t>
  </si>
  <si>
    <t>Amplificador do isolamento de segurança</t>
  </si>
  <si>
    <t>Pepperl + Fuchs GmbH</t>
  </si>
  <si>
    <t>LMP 21SE0137</t>
  </si>
  <si>
    <t>181510.28</t>
  </si>
  <si>
    <t>Barreira de proteção contra raios</t>
  </si>
  <si>
    <t>LMP 21SE0138X</t>
  </si>
  <si>
    <t>181510.27</t>
  </si>
  <si>
    <t>Sensor Optoeletrônico</t>
  </si>
  <si>
    <t>MLV11-54-Ex/40b/112</t>
  </si>
  <si>
    <t>LMP 21SE0139</t>
  </si>
  <si>
    <t>181510.17</t>
  </si>
  <si>
    <t>KFD2-CD-Ex1.32</t>
  </si>
  <si>
    <t>BAS02ATEX7203X</t>
  </si>
  <si>
    <t>LMP 21SE0140X</t>
  </si>
  <si>
    <t>181510.26</t>
  </si>
  <si>
    <t>Sensor Indutivo aneliforme</t>
  </si>
  <si>
    <t>LMP 21SE0141</t>
  </si>
  <si>
    <t>181510.25</t>
  </si>
  <si>
    <t>Sensor de Campo Magnético</t>
  </si>
  <si>
    <t>MB35-F12-1N</t>
  </si>
  <si>
    <t>IECEx_IBE_18.0008_001</t>
  </si>
  <si>
    <t>LMP 21SE0142</t>
  </si>
  <si>
    <t xml:space="preserve">181510.19  </t>
  </si>
  <si>
    <t>KFD2-SRA-Ex2/Ex4</t>
  </si>
  <si>
    <t>ZELM99ATEX0009</t>
  </si>
  <si>
    <t>LMP 21SE0143</t>
  </si>
  <si>
    <t>181510.15</t>
  </si>
  <si>
    <t>Sensor optoeletrônico</t>
  </si>
  <si>
    <t>RL36-55-Ex/40b/116</t>
  </si>
  <si>
    <t>IECEx PTB 12.0062X</t>
  </si>
  <si>
    <t>LMP 21SE0144</t>
  </si>
  <si>
    <t>181510.29</t>
  </si>
  <si>
    <t>Sistema de purga e pressurização e alívio de pressão</t>
  </si>
  <si>
    <t>6000-DV-S2-UN-WH-DC e EPV-6000-AA-01</t>
  </si>
  <si>
    <t>Pepperl &amp; Fuchs Inc. and Pepperl &amp; Fuchs Manufacturing, Inc.</t>
  </si>
  <si>
    <t>LMP 21SE0145</t>
  </si>
  <si>
    <t>181510.30</t>
  </si>
  <si>
    <t xml:space="preserve">Leitor de código de barras e RFID portátil </t>
  </si>
  <si>
    <t>ldent-Ex 01</t>
  </si>
  <si>
    <t>LMP 21SE0149</t>
  </si>
  <si>
    <t>181510.11</t>
  </si>
  <si>
    <t>LMP 21SE0150</t>
  </si>
  <si>
    <t>181510.10</t>
  </si>
  <si>
    <t>KFD0-CS-EX2.52</t>
  </si>
  <si>
    <t>PEPPERL FUCHS SE</t>
  </si>
  <si>
    <t>LMP 21SE0151</t>
  </si>
  <si>
    <t xml:space="preserve">181510.28 </t>
  </si>
  <si>
    <t>LMP 21SE0152X</t>
  </si>
  <si>
    <t>181510.14</t>
  </si>
  <si>
    <t>VisuNet</t>
  </si>
  <si>
    <t>PC915T-V3-PI2DC-SP7NKOLO-SO-N</t>
  </si>
  <si>
    <t>IECEx CML 18.0084X</t>
  </si>
  <si>
    <t>LMP 21SE0160</t>
  </si>
  <si>
    <t>181510.9</t>
  </si>
  <si>
    <t>Sensor indutivo aneliforme</t>
  </si>
  <si>
    <t>LMP 21SE0161</t>
  </si>
  <si>
    <t>181510.18</t>
  </si>
  <si>
    <t>Scanner</t>
  </si>
  <si>
    <t>IDM-Z1-160-D-1D-J1-SU-N-N0</t>
  </si>
  <si>
    <t>LMP 21SE0164</t>
  </si>
  <si>
    <t>Oxiteno_Ecil</t>
  </si>
  <si>
    <t>181516.1</t>
  </si>
  <si>
    <t>LMP 21SE0165</t>
  </si>
  <si>
    <t>181520.1</t>
  </si>
  <si>
    <t xml:space="preserve">Transmissor de pressão do Processo </t>
  </si>
  <si>
    <t>IPT-20, 0...600 bar g, Thread ½NPT PN1000, ASME B1.20.1 / 316L Vedação</t>
  </si>
  <si>
    <t>WIKA Alexander Wiegand SE &amp; Co.KG</t>
  </si>
  <si>
    <t>TUV 17 ATEX 203304</t>
  </si>
  <si>
    <t>LMP 21SE0166</t>
  </si>
  <si>
    <t>181520.2</t>
  </si>
  <si>
    <t>Transmissor do nível da boia</t>
  </si>
  <si>
    <t>FFG-BP.20H2ON-USK48-1.930</t>
  </si>
  <si>
    <t>LMP 21SE0167X</t>
  </si>
  <si>
    <t>181529.1</t>
  </si>
  <si>
    <t>Chave de Nível Ultrassônica Echotel</t>
  </si>
  <si>
    <t>910-PMA0-025</t>
  </si>
  <si>
    <t>LMP 21SE0168X</t>
  </si>
  <si>
    <t>181202.11</t>
  </si>
  <si>
    <t>LMP 21SE0169</t>
  </si>
  <si>
    <t>181533.1</t>
  </si>
  <si>
    <t>Monitor com Display de Indicação de Carga Segura Sem Fios</t>
  </si>
  <si>
    <t>modelo SÉRIE GS550-CSA</t>
  </si>
  <si>
    <t>Trimble Civil Construction
10368 Westmoor Drive, Westminster, Colorado 80021, US</t>
  </si>
  <si>
    <t>CSA – 1332949 (215780)</t>
  </si>
  <si>
    <t>LMP 21SE0170</t>
  </si>
  <si>
    <t>KIDDE</t>
  </si>
  <si>
    <t>181527.1</t>
  </si>
  <si>
    <t xml:space="preserve">Monitor de combate à incendios </t>
  </si>
  <si>
    <t>modelos Tornado 
RC, Hurricane RC, Monsoon RC, and Typhoon RC 
Monitor and Actuator Nozzles</t>
  </si>
  <si>
    <t>Task Force Tips LLC 3701 Innovation Way - Valparaiso, IN 46383 - EUA</t>
  </si>
  <si>
    <t xml:space="preserve"> TUVNA 21 EX 093 </t>
  </si>
  <si>
    <t>LMP 21SE0171X</t>
  </si>
  <si>
    <t>181534.1</t>
  </si>
  <si>
    <t>AF-ADF-IMERV1"-VK10/T32-L1.094/12-V52R (S/N: 110FEX40, 110FWX3E) e AVK-ADFUVK18/T15-L1.950/M1.800/14 (S/N:110FV50M; 110FV50N)</t>
  </si>
  <si>
    <t>LMP 21SE0172X</t>
  </si>
  <si>
    <t>181202.12</t>
  </si>
  <si>
    <t>IECEx BAS 05.0035X / CSA 70207041</t>
  </si>
  <si>
    <t>LMP 21SE0173X</t>
  </si>
  <si>
    <t>Abix</t>
  </si>
  <si>
    <t>181540.1</t>
  </si>
  <si>
    <t>Industrial tablet</t>
  </si>
  <si>
    <t xml:space="preserve">IS930.2 Intrinsically safe </t>
  </si>
  <si>
    <t>i.safe MOBILE GmbH
i_Park Tauberfranken 10 - 97922 Lauda-Koenigshofen - Germany</t>
  </si>
  <si>
    <t>IECEx EPS 19.0035X</t>
  </si>
  <si>
    <t>LMP 21SE0174</t>
  </si>
  <si>
    <t>181544.1</t>
  </si>
  <si>
    <t>Transmissor de pressão do Processo</t>
  </si>
  <si>
    <t>IPT-20, 0...250 bar g (S/N: 52289581, 52289580, 52289579) e IPT-20, 0...600 bar g (5228978)</t>
  </si>
  <si>
    <t>Wika Alexander Wiegand SE &amp; Co.KG
Wika Alexander-Wiegand-StraBe 30, 63911 - Klingenberg - Alemanha</t>
  </si>
  <si>
    <t>LMP 21SE0175X</t>
  </si>
  <si>
    <t>181544.2</t>
  </si>
  <si>
    <t xml:space="preserve">Transmissor do nível da boia </t>
  </si>
  <si>
    <t>FFG-BP.20H3ON-DNK48-1.600 (S/N: 205165, 205166, 205167, 205169, 205170, 205171)</t>
  </si>
  <si>
    <t>LMP 21SE0176X</t>
  </si>
  <si>
    <t>181521.1</t>
  </si>
  <si>
    <t>Equipamento de detector de chama Ultravioleta/Infravermelho</t>
  </si>
  <si>
    <t>FM 052532_C_000</t>
  </si>
  <si>
    <t>LMP 21SE0177</t>
  </si>
  <si>
    <t>181202.13</t>
  </si>
  <si>
    <t>LMP 21SE0178</t>
  </si>
  <si>
    <t>MMG SOLUCOES</t>
  </si>
  <si>
    <t>181551.1</t>
  </si>
  <si>
    <t>Analizers (Oxygen Transmitter</t>
  </si>
  <si>
    <t>GPR-2500 
(SN: 105392493 / 105392494)</t>
  </si>
  <si>
    <t>Analytical Industries Inc.
2855 Metropolitan Place, Pomona, CA 91767 USA</t>
  </si>
  <si>
    <t>19/07/2021 e 28/07/2021</t>
  </si>
  <si>
    <t>LMP 21SE0179X</t>
  </si>
  <si>
    <t>Michell Instruments</t>
  </si>
  <si>
    <t>181561.1</t>
  </si>
  <si>
    <t xml:space="preserve"> Dew Point Transmitter</t>
  </si>
  <si>
    <t>Easidew PRO XP</t>
  </si>
  <si>
    <t>Michell Instruments 
Ltd48 Lancaster Way Business Park Ely, Cambridgeshire CB6 3NW United 
Kingdom</t>
  </si>
  <si>
    <t>IECEx CML 19.0149X</t>
  </si>
  <si>
    <t>LMP 21SE0180X</t>
  </si>
  <si>
    <t>181519.1</t>
  </si>
  <si>
    <t>LMP 21SE0181</t>
  </si>
  <si>
    <t>181564.1</t>
  </si>
  <si>
    <t xml:space="preserve">Pressure Transducer </t>
  </si>
  <si>
    <t>Type 2967/B (SN: 250-2967)</t>
  </si>
  <si>
    <t>Druck Limited
Fir Tree Lane, Groby Leicester LE6 OFH England United Kingdom</t>
  </si>
  <si>
    <t>IECEx NEM 09.0013</t>
  </si>
  <si>
    <t>LMP 21SE0182X</t>
  </si>
  <si>
    <t>181565.1</t>
  </si>
  <si>
    <t>AI-TEK 700851010081</t>
  </si>
  <si>
    <t>AI-TEK INSTRUMENTS, LLC
152 KNOTTER DRIVE
CHESHIRE, CT 06410</t>
  </si>
  <si>
    <t>LMP 21SE0183X</t>
  </si>
  <si>
    <t>Aselco</t>
  </si>
  <si>
    <t>181571.1</t>
  </si>
  <si>
    <t xml:space="preserve">Analisador Portátil de Traços de Oxigênio </t>
  </si>
  <si>
    <t>Modelo 3110</t>
  </si>
  <si>
    <t>Teledyne Analytical Instruments 
P.O. Box 1580, City of Industry CA, 91749- 1580 – EUA</t>
  </si>
  <si>
    <t>ISSeP08ATEX036X</t>
  </si>
  <si>
    <t>LMP 21SE0184X</t>
  </si>
  <si>
    <t>181202.14</t>
  </si>
  <si>
    <t>HygroPro-1-1-W-1-0-1-0-0-0</t>
  </si>
  <si>
    <t>LMP 21SE0185X</t>
  </si>
  <si>
    <t>181202.15</t>
  </si>
  <si>
    <t xml:space="preserve">Calibrador e Comunicador </t>
  </si>
  <si>
    <t>DPI620GENII-IS</t>
  </si>
  <si>
    <t>Druck Limited
Fir Tree Lane Groby Leicestershire LE6 0FH United Kingdom</t>
  </si>
  <si>
    <t>LMP 21SE0186X</t>
  </si>
  <si>
    <t xml:space="preserve">MULTCAP </t>
  </si>
  <si>
    <t>181572.1</t>
  </si>
  <si>
    <t xml:space="preserve">Transmissor de Pressão </t>
  </si>
  <si>
    <t>Série RP 1000</t>
  </si>
  <si>
    <t>Shanghai Rocksensor Automation Co., Ltd
Room 422 Bldg. 4 – No 118 – Lane 315 Yuanqu Bei – Road, Minhang, 
Shanguai</t>
  </si>
  <si>
    <t>IBExU 16ATEX1012X</t>
  </si>
  <si>
    <t>LMP 21SE0187X</t>
  </si>
  <si>
    <t>MULTITEC (FLUKE)</t>
  </si>
  <si>
    <t>181575.1</t>
  </si>
  <si>
    <t xml:space="preserve">Fluke 700G </t>
  </si>
  <si>
    <t>LMP 21SE0188X</t>
  </si>
  <si>
    <t>181576.1</t>
  </si>
  <si>
    <t xml:space="preserve">Modules, Controllers, Backplanes, Chassis, and Peripheral Equipment </t>
  </si>
  <si>
    <t>model cDAQ-9181 (S/N: 1FC6921)</t>
  </si>
  <si>
    <t>National Instruments Corporation11500 N. Mopac Expressway Austin, TX 78759 United States of America</t>
  </si>
  <si>
    <t>IECEx UL 14.0089X</t>
  </si>
  <si>
    <t>LMP 21SE0189X</t>
  </si>
  <si>
    <t>181507.1</t>
  </si>
  <si>
    <t>Sensor Indutivo de Proximidade NAMUR</t>
  </si>
  <si>
    <t xml:space="preserve"> EX 
IS M12NB 4ABBAB N 1GD 5M</t>
  </si>
  <si>
    <t>Steute Schaltgerate GmgbH &amp; Co 
Brueckenstrasse 91, D-32584 – Lohne - Alemanha</t>
  </si>
  <si>
    <t>LMP 21SE0190</t>
  </si>
  <si>
    <t>181584.1</t>
  </si>
  <si>
    <t xml:space="preserve">IPT-20, 0...600 bar g, Thread ½NPT PN1000, ASME B1.20.1 / 316L Vedação (S/N: 52842122, 52842123, 52842124) </t>
  </si>
  <si>
    <t>LMP 21SE0191</t>
  </si>
  <si>
    <t xml:space="preserve">Zeta </t>
  </si>
  <si>
    <t>181579.1</t>
  </si>
  <si>
    <t>LMP 21SE0192</t>
  </si>
  <si>
    <t xml:space="preserve">Sensycal </t>
  </si>
  <si>
    <t>181590.1</t>
  </si>
  <si>
    <t>LMP 21SE0193</t>
  </si>
  <si>
    <t>Alga</t>
  </si>
  <si>
    <t>181591.1</t>
  </si>
  <si>
    <t>LMP 21SE0194X</t>
  </si>
  <si>
    <t>181597.1</t>
  </si>
  <si>
    <t>Chave de nível tipo bóia</t>
  </si>
  <si>
    <t xml:space="preserve">60-ARV1,5"-VOSSS-L345/12-B30A-Ex (S/N: 110G6M7J, 110G6M7I) </t>
  </si>
  <si>
    <t>LMP 21SE0195X</t>
  </si>
  <si>
    <t>181604.1</t>
  </si>
  <si>
    <t xml:space="preserve"> SERIES ISD37</t>
  </si>
  <si>
    <t>Dynapar Coporation 
1675 Delany Road , Gurnee, IL 60031-1282 - Estados Unidos</t>
  </si>
  <si>
    <t>IECEx SIR 15.0107X</t>
  </si>
  <si>
    <t>LMP 21SE0196X</t>
  </si>
  <si>
    <t>181202.16</t>
  </si>
  <si>
    <t>Ultrasonic Flow Transducer, Types CRx series</t>
  </si>
  <si>
    <t>XMTXP-R10-01/B</t>
  </si>
  <si>
    <t>Sira 18ATEX5237X</t>
  </si>
  <si>
    <t>LMP 21SE0197X</t>
  </si>
  <si>
    <t>181587.1</t>
  </si>
  <si>
    <t>Transmissor de fluxo digital</t>
  </si>
  <si>
    <t xml:space="preserve"> SITRANS FST030 (SITRANS FST030 Wallbox Digital Flow Transmitter models 7ME372, 7ME382, 7ME383)</t>
  </si>
  <si>
    <t xml:space="preserve">Siemens SAS 
1 Chemin de la Sandlach 67506 Haguenau – França </t>
  </si>
  <si>
    <t>IECEx FMG 17.0023X</t>
  </si>
  <si>
    <t>LMP 21SE0198X</t>
  </si>
  <si>
    <t>181587.2</t>
  </si>
  <si>
    <t>Ultrasonic Sensors</t>
  </si>
  <si>
    <t xml:space="preserve">FSS200 </t>
  </si>
  <si>
    <t xml:space="preserve">IECEx FMG 17.0004X </t>
  </si>
  <si>
    <t>LMP 21SE0199</t>
  </si>
  <si>
    <t>181619.1</t>
  </si>
  <si>
    <t xml:space="preserve"> F78MP0402G2A .</t>
  </si>
  <si>
    <t>LMP 21SE0200</t>
  </si>
  <si>
    <t>181619.2</t>
  </si>
  <si>
    <t>Medidor de nível capacitivo Cap-Level II</t>
  </si>
  <si>
    <t>CL5X2H37830</t>
  </si>
  <si>
    <t>LMP 21SE0201X</t>
  </si>
  <si>
    <t>181202.17</t>
  </si>
  <si>
    <t>ACCL0547</t>
  </si>
  <si>
    <t>Wilcoxon Sensing Technologies</t>
  </si>
  <si>
    <t>KEMA 08ATEX0134X</t>
  </si>
  <si>
    <t>LMP 21SE0202X</t>
  </si>
  <si>
    <t>181622.1</t>
  </si>
  <si>
    <t xml:space="preserve">Magnetic Switches </t>
  </si>
  <si>
    <t>BGU-V-Ex d-1 Sil (S/N: 110G643A,110G643B, 110G643C, 110G6437, 110G6438, 110G6439)</t>
  </si>
  <si>
    <t>LMP 21SE0203X</t>
  </si>
  <si>
    <t>181620.1</t>
  </si>
  <si>
    <t>Sistema de monitoramento de corrosão</t>
  </si>
  <si>
    <t>MS3600E</t>
  </si>
  <si>
    <t>Metal Samples Company (a Division of Alabama Specialty Products, inc.)
152 Metal Samples Rd, Munford, AL 36268, USA</t>
  </si>
  <si>
    <t>LMP 21SE0204</t>
  </si>
  <si>
    <t>181612.2</t>
  </si>
  <si>
    <t>Portable Gas Detector</t>
  </si>
  <si>
    <t>SKY6000</t>
  </si>
  <si>
    <t>SHENZHEN YUANTE TECHNOLOGY</t>
  </si>
  <si>
    <t>PROCESSO NÃO FINALIZADO</t>
  </si>
  <si>
    <t>LMP 21SE0205</t>
  </si>
  <si>
    <t>181612.3</t>
  </si>
  <si>
    <t>SKY2000</t>
  </si>
  <si>
    <t>LMP 21SE0206</t>
  </si>
  <si>
    <t>181612.4</t>
  </si>
  <si>
    <t>SKY3000 Series</t>
  </si>
  <si>
    <t>IECEx CQM 21.0009</t>
  </si>
  <si>
    <t>LMP 21SE0207X</t>
  </si>
  <si>
    <t>181623.1</t>
  </si>
  <si>
    <t xml:space="preserve">Transmissor Microcor Wireless </t>
  </si>
  <si>
    <t xml:space="preserve">OK </t>
  </si>
  <si>
    <t>LMP 21SE0208</t>
  </si>
  <si>
    <t xml:space="preserve">SPTECH </t>
  </si>
  <si>
    <t>181627.1</t>
  </si>
  <si>
    <t xml:space="preserve">AIR RADAR </t>
  </si>
  <si>
    <t>FM APP 3058226</t>
  </si>
  <si>
    <t>LMP 21SE0209</t>
  </si>
  <si>
    <t>TECHNOPETRO</t>
  </si>
  <si>
    <t>181630.1</t>
  </si>
  <si>
    <t>Transmissor de nível radar</t>
  </si>
  <si>
    <t>Rosemount Tank Radar AB</t>
  </si>
  <si>
    <t>RP</t>
  </si>
  <si>
    <t>Nemko 04ATEX1073X</t>
  </si>
  <si>
    <t>LMP 21SE0210</t>
  </si>
  <si>
    <t>181636.1</t>
  </si>
  <si>
    <t>CL5X2H-378-30</t>
  </si>
  <si>
    <t>017108</t>
  </si>
  <si>
    <t>LMP 21SE0211</t>
  </si>
  <si>
    <t>181637.1</t>
  </si>
  <si>
    <t>RX70TI / 200EK.72KF-K0</t>
  </si>
  <si>
    <t>LMP 21SE0212X</t>
  </si>
  <si>
    <t>PETROBRAS</t>
  </si>
  <si>
    <t>LMP 21SE0213</t>
  </si>
  <si>
    <t>LMP 21SE0214X</t>
  </si>
  <si>
    <t>181586.1</t>
  </si>
  <si>
    <t xml:space="preserve">Transmissor Digital de Fluxo Wallbox </t>
  </si>
  <si>
    <t xml:space="preserve"> SITRANS FST030</t>
  </si>
  <si>
    <t>Siemens SAS</t>
  </si>
  <si>
    <t>LMP 21SE0215X</t>
  </si>
  <si>
    <t>181586.2</t>
  </si>
  <si>
    <t>Sensor ultrasônico</t>
  </si>
  <si>
    <t xml:space="preserve"> FSS200</t>
  </si>
  <si>
    <t>IECEx FMG 17.0004X</t>
  </si>
  <si>
    <t>LMP 21SE0216X</t>
  </si>
  <si>
    <t xml:space="preserve">Bently </t>
  </si>
  <si>
    <t>181202.18</t>
  </si>
  <si>
    <t>NÃO ENCONTRADO</t>
  </si>
  <si>
    <t>LMP 21SE0217X</t>
  </si>
  <si>
    <t>Wika</t>
  </si>
  <si>
    <t>181662.1</t>
  </si>
  <si>
    <t>Transmissor/Sensor de nivel</t>
  </si>
  <si>
    <t>BRL-SBI</t>
  </si>
  <si>
    <t>LF/MP</t>
  </si>
  <si>
    <t>LMP 21SE0218</t>
  </si>
  <si>
    <t xml:space="preserve">TREXCON </t>
  </si>
  <si>
    <t>181656.1</t>
  </si>
  <si>
    <t>CHAVES DE VIBRAÇÃO</t>
  </si>
  <si>
    <t>EURO366</t>
  </si>
  <si>
    <t>TDYNAMIN S.r.I.</t>
  </si>
  <si>
    <t>CESI 03 ATEX 186</t>
  </si>
  <si>
    <t>LMP 21SE0219</t>
  </si>
  <si>
    <t>181658.1</t>
  </si>
  <si>
    <t>LMP 21SE0220</t>
  </si>
  <si>
    <t xml:space="preserve">BENTLY </t>
  </si>
  <si>
    <t>181202.19</t>
  </si>
  <si>
    <t>DPI610IS</t>
  </si>
  <si>
    <t>BENTLY BRASIL LTDA</t>
  </si>
  <si>
    <t xml:space="preserve">LP </t>
  </si>
  <si>
    <t>LMP 21SE0222</t>
  </si>
  <si>
    <t xml:space="preserve">2WAY </t>
  </si>
  <si>
    <t>181665.1</t>
  </si>
  <si>
    <t xml:space="preserve">Válvula de Posição </t>
  </si>
  <si>
    <t>3449-FELS-05</t>
  </si>
  <si>
    <t>IECEx SIR 08.0129Y</t>
  </si>
  <si>
    <t>LMP 21SE0223</t>
  </si>
  <si>
    <t>Pepperl-Fuchs</t>
  </si>
  <si>
    <t xml:space="preserve">IECEx IBE 18.0008 </t>
  </si>
  <si>
    <t>LMP 21SE0224</t>
  </si>
  <si>
    <t>LMP 21SE0225X</t>
  </si>
  <si>
    <t>181669.1</t>
  </si>
  <si>
    <t>Série E-10</t>
  </si>
  <si>
    <t>LMP 21SE0226X</t>
  </si>
  <si>
    <t>181669.2</t>
  </si>
  <si>
    <t>Série T16H</t>
  </si>
  <si>
    <t>LMP 21SE0227</t>
  </si>
  <si>
    <t>181670.1</t>
  </si>
  <si>
    <t xml:space="preserve">Unidades de interfaceamento isolante </t>
  </si>
  <si>
    <t>MTL4541B</t>
  </si>
  <si>
    <t>INM 4500/4600</t>
  </si>
  <si>
    <t>LMP 21SE0228</t>
  </si>
  <si>
    <t>181677.1</t>
  </si>
  <si>
    <t>Dynalco Controls A Unit of Mark Controls Corp</t>
  </si>
  <si>
    <t>LMP 21SE0229</t>
  </si>
  <si>
    <t>181631.1</t>
  </si>
  <si>
    <t>JMT</t>
  </si>
  <si>
    <t>BC/MP</t>
  </si>
  <si>
    <t>IECEx ETL 21.0003X</t>
  </si>
  <si>
    <t>LMP 21SE0230</t>
  </si>
  <si>
    <t>181631.2</t>
  </si>
  <si>
    <t xml:space="preserve">Chave de Nível Magnética </t>
  </si>
  <si>
    <t xml:space="preserve"> SAS-16</t>
  </si>
  <si>
    <t>IECEx UL 20.0120X</t>
  </si>
  <si>
    <t>LMP 21SE0231</t>
  </si>
  <si>
    <t>181631.3</t>
  </si>
  <si>
    <t>Chave de nível Vertical Tipo Boia</t>
  </si>
  <si>
    <t>JXC1F</t>
  </si>
  <si>
    <t>LMP 21SE0232</t>
  </si>
  <si>
    <t>181631.4</t>
  </si>
  <si>
    <t xml:space="preserve">Visor de Nível Bicolor </t>
  </si>
  <si>
    <t xml:space="preserve"> Simpliport P4006F</t>
  </si>
  <si>
    <t>LMP 21SE0233X</t>
  </si>
  <si>
    <t>181682.1</t>
  </si>
  <si>
    <t>Corrosômetro Portátil</t>
  </si>
  <si>
    <t>CheckMate DL</t>
  </si>
  <si>
    <t>LMP 21SE0236X</t>
  </si>
  <si>
    <t>181202.21</t>
  </si>
  <si>
    <t>330750 - 40</t>
  </si>
  <si>
    <t>LMP 21SE0237</t>
  </si>
  <si>
    <t>181202.20</t>
  </si>
  <si>
    <t xml:space="preserve">Higrômetro Portátil </t>
  </si>
  <si>
    <t>Baseefa02ATEX0191/3</t>
  </si>
  <si>
    <t>LMP 21SE0238X</t>
  </si>
  <si>
    <t>181701.1</t>
  </si>
  <si>
    <t xml:space="preserve">  CP VARITHERM BPA 200 TE 40 F - SPECTRA SENSORs EX5300000008</t>
  </si>
  <si>
    <t>INTERTEC-Hess GmbH</t>
  </si>
  <si>
    <t>PTB 02 ATEX 1041 X</t>
  </si>
  <si>
    <t>LMP 21SE0239X</t>
  </si>
  <si>
    <t>181702.1</t>
  </si>
  <si>
    <t>Transmissor de pulso universal</t>
  </si>
  <si>
    <t xml:space="preserve"> UPTXU1000STD01</t>
  </si>
  <si>
    <t>FMC Technologies Measurement Solutions Inc</t>
  </si>
  <si>
    <t>IECEx UL 04.0009X</t>
  </si>
  <si>
    <t>LMP 21SE0240</t>
  </si>
  <si>
    <t>181602.4</t>
  </si>
  <si>
    <t>LMP 21SE0241X</t>
  </si>
  <si>
    <t>181704.1</t>
  </si>
  <si>
    <t xml:space="preserve">Transmissor nível </t>
  </si>
  <si>
    <t>FFG-BP.20H30 N</t>
  </si>
  <si>
    <t>LMP 21SE0242X</t>
  </si>
  <si>
    <t>181697.1</t>
  </si>
  <si>
    <t>Typ 07-2511</t>
  </si>
  <si>
    <t>LMP 21SE0243</t>
  </si>
  <si>
    <t>181707.1</t>
  </si>
  <si>
    <t>Chave de nível tipo Pêra</t>
  </si>
  <si>
    <t>SLS MS1</t>
  </si>
  <si>
    <t>SEV 13 ATEX 0102</t>
  </si>
  <si>
    <t>LMP 21SE0244</t>
  </si>
  <si>
    <t>181708.1</t>
  </si>
  <si>
    <t>LMP 21SE0245</t>
  </si>
  <si>
    <t>Metrominas</t>
  </si>
  <si>
    <t>181654.1</t>
  </si>
  <si>
    <t>LMP 21SE0246X</t>
  </si>
  <si>
    <t>181696.1</t>
  </si>
  <si>
    <t>Calibrador Digital</t>
  </si>
  <si>
    <t>UPS-III-IS</t>
  </si>
  <si>
    <t xml:space="preserve">IECEx BAS 06.0053X </t>
  </si>
  <si>
    <t>LMP 21SE0247X</t>
  </si>
  <si>
    <t>181714.1</t>
  </si>
  <si>
    <t xml:space="preserve"> ST5484E-123-0032-00</t>
  </si>
  <si>
    <t>METRIX INSTRUMENT Co.</t>
  </si>
  <si>
    <t>LMP 21SE0248X</t>
  </si>
  <si>
    <t>Ecil</t>
  </si>
  <si>
    <t>181713.1</t>
  </si>
  <si>
    <t xml:space="preserve"> IPAQ C520XS</t>
  </si>
  <si>
    <t>LMP 21SE0249</t>
  </si>
  <si>
    <t>181715.1</t>
  </si>
  <si>
    <t xml:space="preserve">Amostrador Hermético </t>
  </si>
  <si>
    <t xml:space="preserve"> P/N 10033 MODELO GT4</t>
  </si>
  <si>
    <t>Enraf Tanksystem S.A.</t>
  </si>
  <si>
    <t>LMP 21SE0250X</t>
  </si>
  <si>
    <t>181709.1</t>
  </si>
  <si>
    <t xml:space="preserve">Monitor de corrosão </t>
  </si>
  <si>
    <t>MS3610E</t>
  </si>
  <si>
    <t>Metal Samples Company (a Division of Alabama Specialty Products, inc</t>
  </si>
  <si>
    <t>LMP 21SE0251X</t>
  </si>
  <si>
    <t>181709.2</t>
  </si>
  <si>
    <t xml:space="preserve">Registrador de dados ER de alta resolução </t>
  </si>
  <si>
    <t>MS4500E-HC</t>
  </si>
  <si>
    <t>Alabama Specialty Products</t>
  </si>
  <si>
    <t>LMP 21SE0252</t>
  </si>
  <si>
    <t>PENSALAB</t>
  </si>
  <si>
    <t>181494.1</t>
  </si>
  <si>
    <t>LMP 21SE0253</t>
  </si>
  <si>
    <t>181494.2</t>
  </si>
  <si>
    <t>SE 707 X/1 e SE557X/1</t>
  </si>
  <si>
    <t>LMP 21SE0254</t>
  </si>
  <si>
    <t>ENGEZER</t>
  </si>
  <si>
    <t>181723.1</t>
  </si>
  <si>
    <t>Medidor de vazão de área variável</t>
  </si>
  <si>
    <t>FAM541E2A9F1</t>
  </si>
  <si>
    <t>IECEx KEM 07.0037X</t>
  </si>
  <si>
    <t>LMP 21SE0255</t>
  </si>
  <si>
    <t>MASTER CABOS</t>
  </si>
  <si>
    <t>181716.1</t>
  </si>
  <si>
    <t xml:space="preserve">Acelerômetro </t>
  </si>
  <si>
    <t>HS-420I/M</t>
  </si>
  <si>
    <t>Hansford Sensors Limited</t>
  </si>
  <si>
    <t>IECEx BAS 08.0034X</t>
  </si>
  <si>
    <t>LMP 21SE0256X</t>
  </si>
  <si>
    <t>181724.1</t>
  </si>
  <si>
    <t>Manômetro digital de pressão</t>
  </si>
  <si>
    <t>CPG1500-ST-L-S-BG570-NTBZ-13-W</t>
  </si>
  <si>
    <t>LMP 21SE0257</t>
  </si>
  <si>
    <t>181720.1</t>
  </si>
  <si>
    <t>RP 1000</t>
  </si>
  <si>
    <t xml:space="preserve">Shanghai Rocksensor Automation Co Ltda </t>
  </si>
  <si>
    <t>LMP 21SE0259</t>
  </si>
  <si>
    <t>181730.1</t>
  </si>
  <si>
    <t>LMP 21SE0260</t>
  </si>
  <si>
    <t>181730.2</t>
  </si>
  <si>
    <t xml:space="preserve">Driver de isolamento </t>
  </si>
  <si>
    <t xml:space="preserve"> MTL5546Y</t>
  </si>
  <si>
    <t>LMP 21SE0261X</t>
  </si>
  <si>
    <t>181681.1</t>
  </si>
  <si>
    <t>LMP 21SE0265X</t>
  </si>
  <si>
    <t>181202.22</t>
  </si>
  <si>
    <t xml:space="preserve">PLANILHA DE PROCESSOS - CSE </t>
  </si>
  <si>
    <t>LMP 20SE0001</t>
  </si>
  <si>
    <t>180674.1</t>
  </si>
  <si>
    <t>Sensor Óptico de Cinco Fios</t>
  </si>
  <si>
    <t>1400RHSM-70CM-BR5K</t>
  </si>
  <si>
    <t xml:space="preserve">Knappco Civacon </t>
  </si>
  <si>
    <t>IECEx UL 09.0028X</t>
  </si>
  <si>
    <t>LMP 20SE0002</t>
  </si>
  <si>
    <t>180701.2</t>
  </si>
  <si>
    <t>SCHNEIDER ELECTRIC SYSTEMS USA INC</t>
  </si>
  <si>
    <t>RQ</t>
  </si>
  <si>
    <t>WA</t>
  </si>
  <si>
    <t>LMP 20SE0003</t>
  </si>
  <si>
    <t>180697.1</t>
  </si>
  <si>
    <t>Motor Elétrico Anti-Chamas</t>
  </si>
  <si>
    <t>4KTC 180-M / 4KTC 80-B4</t>
  </si>
  <si>
    <t>Bartec Varnost d.o.o</t>
  </si>
  <si>
    <t>AC</t>
  </si>
  <si>
    <t>BVS 13 ATEX 125X</t>
  </si>
  <si>
    <t>FALTA MANUAL PORT</t>
  </si>
  <si>
    <t>LMP 20SE0004</t>
  </si>
  <si>
    <t>Metroval</t>
  </si>
  <si>
    <t>180705.1</t>
  </si>
  <si>
    <t>Transdutor Ultrassônico</t>
  </si>
  <si>
    <t>TRF-FSK-NA1TS-000 e TRF-FSM-NA1TS-000 (CDK1N81, CDM2N81)</t>
  </si>
  <si>
    <t>FLEXIM</t>
  </si>
  <si>
    <t>IECEx IBE 08.0007X</t>
  </si>
  <si>
    <t>LMP 20SE0005</t>
  </si>
  <si>
    <t>180705.2</t>
  </si>
  <si>
    <t>Medidor de Vazão Ultrassônico</t>
  </si>
  <si>
    <t>Fluxus F809**-A1</t>
  </si>
  <si>
    <t xml:space="preserve">IECEx IBE 11.0006X </t>
  </si>
  <si>
    <t>LMP 20SE0006</t>
  </si>
  <si>
    <t>180697.2</t>
  </si>
  <si>
    <t xml:space="preserve">4KTS 160 M-4  </t>
  </si>
  <si>
    <t>SIQ 14 ATEX 039X</t>
  </si>
  <si>
    <t>LMP 20SE0007</t>
  </si>
  <si>
    <t>Conaut</t>
  </si>
  <si>
    <t>180677.1</t>
  </si>
  <si>
    <t xml:space="preserve">Medidor de Vazão </t>
  </si>
  <si>
    <t>Optisonic 7000</t>
  </si>
  <si>
    <t>KIWA 18ATEX0005 X</t>
  </si>
  <si>
    <t>LMP 20SE0008</t>
  </si>
  <si>
    <t>180711.1</t>
  </si>
  <si>
    <t xml:space="preserve"> Insta Trans - XD</t>
  </si>
  <si>
    <t>Baseefa 12ATEX0114X</t>
  </si>
  <si>
    <t>FALTA  EVID SELO INMETRO E ADVERTENCIAS TRADUZIDAS</t>
  </si>
  <si>
    <t>LMP 20SE0009</t>
  </si>
  <si>
    <t>180715.1</t>
  </si>
  <si>
    <t xml:space="preserve">Transmissor de Processo </t>
  </si>
  <si>
    <t>TÜV 17 ATEX 203304 X</t>
  </si>
  <si>
    <t>FALTA  EVID SELO INMETRO</t>
  </si>
  <si>
    <t>LMP 20SE0010</t>
  </si>
  <si>
    <t>180715.2</t>
  </si>
  <si>
    <t>KEMA 05 ATEX 2240 X</t>
  </si>
  <si>
    <t>LMP 20SE0011</t>
  </si>
  <si>
    <t>Pepperl+Fuchs</t>
  </si>
  <si>
    <t>180712.1</t>
  </si>
  <si>
    <t>Fonte de Alimentação Transmissora (Barreiras de Isolação)</t>
  </si>
  <si>
    <t>Baseefa 13ATEX0075X</t>
  </si>
  <si>
    <t>LMP 20SE0012</t>
  </si>
  <si>
    <t>180712.3</t>
  </si>
  <si>
    <t>Transformador Isolador (Barreira Smart)</t>
  </si>
  <si>
    <t>KFD0-SCS-EX1.55</t>
  </si>
  <si>
    <t>LMP 20SE0013</t>
  </si>
  <si>
    <t>180712.2</t>
  </si>
  <si>
    <t>Transformador (Barreira de Isolação)</t>
  </si>
  <si>
    <t>KFD2-CD-EX1.32</t>
  </si>
  <si>
    <t>BAS 02ATEX7203X</t>
  </si>
  <si>
    <t>LMP 20SE0014</t>
  </si>
  <si>
    <t>180713.1</t>
  </si>
  <si>
    <t>CEAG Sicherheitstechnik GmbH</t>
  </si>
  <si>
    <t>PTB 02 ATEX 1035</t>
  </si>
  <si>
    <t>LMP 20SE0015</t>
  </si>
  <si>
    <t>VEGA</t>
  </si>
  <si>
    <t>180680.1</t>
  </si>
  <si>
    <t>CP63.CIFAAZVNX</t>
  </si>
  <si>
    <t>Vega Grieshaber KG</t>
  </si>
  <si>
    <t>IECEx TUN 04.0022X</t>
  </si>
  <si>
    <t>LMP 20SE0016</t>
  </si>
  <si>
    <t>180702.1</t>
  </si>
  <si>
    <t>SWING63.CINBVXPN</t>
  </si>
  <si>
    <t>IECEx PTB 07.0062X</t>
  </si>
  <si>
    <t>LMP 20SE0017</t>
  </si>
  <si>
    <t>180677.2.A1</t>
  </si>
  <si>
    <t>Conversor de Fluxo</t>
  </si>
  <si>
    <t>GFC 300 F</t>
  </si>
  <si>
    <t>IECEx KIWA 17.0001X</t>
  </si>
  <si>
    <t>180677.2</t>
  </si>
  <si>
    <t>KIWA 17ATEX0002 X</t>
  </si>
  <si>
    <t>180677.2.A2</t>
  </si>
  <si>
    <t>GFC 300 F/i-Ex</t>
  </si>
  <si>
    <t>LMP 20SE0018</t>
  </si>
  <si>
    <t>White Martins</t>
  </si>
  <si>
    <t>180721.1</t>
  </si>
  <si>
    <t xml:space="preserve">Transdutor de Fluxo Ultrassônico </t>
  </si>
  <si>
    <t>CRV-05-MB</t>
  </si>
  <si>
    <t>GE Infraestructure Inc</t>
  </si>
  <si>
    <t>KEMA 02ATEX2337 X</t>
  </si>
  <si>
    <t>LMP 20SE0019</t>
  </si>
  <si>
    <t>180751.1</t>
  </si>
  <si>
    <t>Indicador Digital Remoto</t>
  </si>
  <si>
    <t>DIS82.IEHANNAEX</t>
  </si>
  <si>
    <t>IECEX DEK 14.0075X</t>
  </si>
  <si>
    <t>LMP 20SE0020</t>
  </si>
  <si>
    <t>180751.2</t>
  </si>
  <si>
    <t>LMP 20SE0021</t>
  </si>
  <si>
    <t>180770.1</t>
  </si>
  <si>
    <t>B87.IDBCAXGCHXWINXM</t>
  </si>
  <si>
    <t>LMP 20SE0022</t>
  </si>
  <si>
    <t>180782.1</t>
  </si>
  <si>
    <t>Chave Limitadora Vibratória</t>
  </si>
  <si>
    <t>SWING63.CIACVXUN</t>
  </si>
  <si>
    <t>LMP 20SE0023</t>
  </si>
  <si>
    <t>180781.1</t>
  </si>
  <si>
    <t>SWING 61.CANBVXAZL</t>
  </si>
  <si>
    <t>LMP 20SE0024</t>
  </si>
  <si>
    <t>180655.4</t>
  </si>
  <si>
    <t>Conjunto de Plgues e Tomadas</t>
  </si>
  <si>
    <t>10A, 21 Polos GHG 511.9../GHG 591</t>
  </si>
  <si>
    <t>CEAG Sicherheitstechnik Gmbh</t>
  </si>
  <si>
    <t>PTB 00 ATEX 1109</t>
  </si>
  <si>
    <t>LMP 20SE0025</t>
  </si>
  <si>
    <t>180629.1</t>
  </si>
  <si>
    <t>Manifold de Válvulas</t>
  </si>
  <si>
    <t>MN-2214/ MN-2215</t>
  </si>
  <si>
    <t>PTB 00 ATEX 2032 X / INERIS 02ATEX0009X / ATEX 2014/34/EU</t>
  </si>
  <si>
    <t>LMP 20SE0026</t>
  </si>
  <si>
    <t>180668.1</t>
  </si>
  <si>
    <t xml:space="preserve">Transmissor de Temperatura </t>
  </si>
  <si>
    <t>IPAQ C530X</t>
  </si>
  <si>
    <t>LMP 20SE0027</t>
  </si>
  <si>
    <t>180653.1</t>
  </si>
  <si>
    <t xml:space="preserve">IHM  </t>
  </si>
  <si>
    <t>MT-438-2TX</t>
  </si>
  <si>
    <t xml:space="preserve"> R. Stahl HMI Systems GmbH </t>
  </si>
  <si>
    <t xml:space="preserve">IECEx BVS 14.0116X </t>
  </si>
  <si>
    <t>LMP 20SE0028</t>
  </si>
  <si>
    <t>Trexcon</t>
  </si>
  <si>
    <t>180725.1</t>
  </si>
  <si>
    <t xml:space="preserve"> 6EP1333-2BA20</t>
  </si>
  <si>
    <t>Siemens AG Österreich</t>
  </si>
  <si>
    <t>Não ta assinado</t>
  </si>
  <si>
    <t>EPS 12 ATEX 1465 X</t>
  </si>
  <si>
    <t>FALTA ANALISE CRITICA  E ACEITE</t>
  </si>
  <si>
    <t>LMP 20SE0029</t>
  </si>
  <si>
    <t>180720.2</t>
  </si>
  <si>
    <t xml:space="preserve">Driver de Isolamento </t>
  </si>
  <si>
    <t xml:space="preserve"> MTL 5546</t>
  </si>
  <si>
    <t>MTL Instruments Pvt Limited</t>
  </si>
  <si>
    <t xml:space="preserve">IECEx BAS 07.0070 </t>
  </si>
  <si>
    <t>LMP 20SE0030</t>
  </si>
  <si>
    <t>180720.1</t>
  </si>
  <si>
    <t>Plugue</t>
  </si>
  <si>
    <t>GHG 591</t>
  </si>
  <si>
    <t xml:space="preserve"> PTB 00 ATEX 1109</t>
  </si>
  <si>
    <t xml:space="preserve">Falta etiqueta Imetro </t>
  </si>
  <si>
    <t>LMP 20SE0031</t>
  </si>
  <si>
    <t>MACAETEC</t>
  </si>
  <si>
    <t>180729.1</t>
  </si>
  <si>
    <t>Medidor de Pressão</t>
  </si>
  <si>
    <t>700G05/ 700G06 / 700G07 / 700G30</t>
  </si>
  <si>
    <t>Fluke Corporation (Anhui Shifu Instruments Co Ltd)</t>
  </si>
  <si>
    <t>CANCELADO EM 06.03.2020</t>
  </si>
  <si>
    <t>LMP 20SE0032</t>
  </si>
  <si>
    <t>180731.1</t>
  </si>
  <si>
    <t>Chave de Pressão Diferencial</t>
  </si>
  <si>
    <t>1950G-1-B-24-ST (612-PSL-1510)</t>
  </si>
  <si>
    <t>Dwyer Instrument Inc.</t>
  </si>
  <si>
    <t xml:space="preserve">IECEx UL 19.0045 X </t>
  </si>
  <si>
    <t xml:space="preserve">FALTA ANALISE CRITICA </t>
  </si>
  <si>
    <t>LMP 20SE0033</t>
  </si>
  <si>
    <t>180655.1</t>
  </si>
  <si>
    <t>Isolador de Pulso</t>
  </si>
  <si>
    <t>MTL5532</t>
  </si>
  <si>
    <t>IECEx BAS 09.0073</t>
  </si>
  <si>
    <t>FALTA DECISÃO REV.1</t>
  </si>
  <si>
    <t>LMP 20SE0034</t>
  </si>
  <si>
    <t>180655.5</t>
  </si>
  <si>
    <t xml:space="preserve">Transmissor Analógico </t>
  </si>
  <si>
    <t>IECEx ETL 18.0030X</t>
  </si>
  <si>
    <t>LMP 20SE0035</t>
  </si>
  <si>
    <t>180655.6.A1</t>
  </si>
  <si>
    <t>Transformador Tipo Seco</t>
  </si>
  <si>
    <t>XDT3C15X</t>
  </si>
  <si>
    <t>Hammond Power Solutions Inc.</t>
  </si>
  <si>
    <t>UL E258346</t>
  </si>
  <si>
    <t>180655.6</t>
  </si>
  <si>
    <t>LMP 20SE0036</t>
  </si>
  <si>
    <t>180633.1</t>
  </si>
  <si>
    <t>Medidor de Nível Magnetostrictivo</t>
  </si>
  <si>
    <t>DRCM-99</t>
  </si>
  <si>
    <t>Shandong Dongrun Instrument Technology Co.,Ltd.</t>
  </si>
  <si>
    <t>CE18.2097</t>
  </si>
  <si>
    <t>LMP 20SE0037</t>
  </si>
  <si>
    <t>180738.1</t>
  </si>
  <si>
    <t>Termômetro Digital</t>
  </si>
  <si>
    <t xml:space="preserve"> 1551A Ex/1552A Ex</t>
  </si>
  <si>
    <t>IECEx ETL 19.0023X</t>
  </si>
  <si>
    <t>CONFIRMAR DATAS RIAT E INSPEÇÃO. FALTA MANUAL PORT</t>
  </si>
  <si>
    <t>LMP 20SE0038</t>
  </si>
  <si>
    <t>180739.1</t>
  </si>
  <si>
    <t>Barreira Isoladora / Conversor de Temperatura</t>
  </si>
  <si>
    <t xml:space="preserve"> KFD2-GUT-Ex1D</t>
  </si>
  <si>
    <t>PEPPERL+FUCHS GMBH</t>
  </si>
  <si>
    <t>TÜV 03 ATEX 2140</t>
  </si>
  <si>
    <t>LMP 20SE0039</t>
  </si>
  <si>
    <t xml:space="preserve">180740.1 </t>
  </si>
  <si>
    <t>Interruptor de nível de líquido</t>
  </si>
  <si>
    <t>Tuffy II</t>
  </si>
  <si>
    <t>CSA 1099187</t>
  </si>
  <si>
    <t>LMP 20SE0040</t>
  </si>
  <si>
    <t>180730.1</t>
  </si>
  <si>
    <t xml:space="preserve"> UC*-30GM-IU-V1-HA</t>
  </si>
  <si>
    <t>UL WYMV.E199034</t>
  </si>
  <si>
    <t>FALTA EVIDÊNCIA MARCAÇÃO</t>
  </si>
  <si>
    <t>LMP 20SE0041</t>
  </si>
  <si>
    <t>Superquip</t>
  </si>
  <si>
    <t>180735.2</t>
  </si>
  <si>
    <t>Medidor de vazão tipo turbina</t>
  </si>
  <si>
    <t>TZN 80 / 3 " com E112</t>
  </si>
  <si>
    <t>CA</t>
  </si>
  <si>
    <t>IECEx LCI 12.0013X</t>
  </si>
  <si>
    <t>LMP 20SE0042</t>
  </si>
  <si>
    <t>Wago</t>
  </si>
  <si>
    <t>180737.1</t>
  </si>
  <si>
    <t>I/O System</t>
  </si>
  <si>
    <t>750-363</t>
  </si>
  <si>
    <t>Wago Kontakttechnik GmbH &amp; Co. KG</t>
  </si>
  <si>
    <t>Não Tem</t>
  </si>
  <si>
    <t>IECEx TUN 14.0035X</t>
  </si>
  <si>
    <t>LMP 20SE0043</t>
  </si>
  <si>
    <t>180743.1</t>
  </si>
  <si>
    <t xml:space="preserve">Calibrador de Pressão Portátil </t>
  </si>
  <si>
    <t>DPI 615 IS</t>
  </si>
  <si>
    <t>BAS 02 ATEX 1174X</t>
  </si>
  <si>
    <t>LMP 20SE0044</t>
  </si>
  <si>
    <t>180735.1</t>
  </si>
  <si>
    <t xml:space="preserve">TZN 80-70 / 3” 150# </t>
  </si>
  <si>
    <t>LMP 20SE0045</t>
  </si>
  <si>
    <t>Bartec</t>
  </si>
  <si>
    <t>180588.1</t>
  </si>
  <si>
    <t xml:space="preserve">Computador de toque </t>
  </si>
  <si>
    <t>TC75Xex-NI / B7-A264-1G323321110X</t>
  </si>
  <si>
    <t>IECEx EPS 17.0012X</t>
  </si>
  <si>
    <t>LMP 20SE0046</t>
  </si>
  <si>
    <t>180747.1</t>
  </si>
  <si>
    <t>KFD2-CDEX1.32-**</t>
  </si>
  <si>
    <t>LMP 20SE0047</t>
  </si>
  <si>
    <t>180747.2</t>
  </si>
  <si>
    <t>KFD0-CS-EX*.52</t>
  </si>
  <si>
    <t>Baseefa 03Atex0141</t>
  </si>
  <si>
    <t>LMP 20SE0048</t>
  </si>
  <si>
    <t>180755.1</t>
  </si>
  <si>
    <t>Transdutor Ultrassonico</t>
  </si>
  <si>
    <t>TRF-FSM-NS1TS-000/TP (CDM2N81)</t>
  </si>
  <si>
    <t>Flexim Flexible Industriemesstechnik GmbH</t>
  </si>
  <si>
    <t>LMP 20SE0049</t>
  </si>
  <si>
    <t>180741.1</t>
  </si>
  <si>
    <t>IECEx ITS 12.0058 X</t>
  </si>
  <si>
    <t>LMP 20SE0050</t>
  </si>
  <si>
    <t>180754.1</t>
  </si>
  <si>
    <t>Interruptor de nível</t>
  </si>
  <si>
    <t>ELS-1150 XP</t>
  </si>
  <si>
    <t>Gems sensor Inc</t>
  </si>
  <si>
    <t>FM 3034655</t>
  </si>
  <si>
    <t>LMP 20SE0051</t>
  </si>
  <si>
    <t>180760.1</t>
  </si>
  <si>
    <t>Agile X</t>
  </si>
  <si>
    <t>EPS 16 ATEX 1 823 X</t>
  </si>
  <si>
    <t>LMP 20SE0052</t>
  </si>
  <si>
    <t>180758.1</t>
  </si>
  <si>
    <t xml:space="preserve">  PXA4GJ</t>
  </si>
  <si>
    <t>Ettore Cella S.p.a</t>
  </si>
  <si>
    <t>IECEx INE 13.0095X</t>
  </si>
  <si>
    <t>LMP 20SE0053</t>
  </si>
  <si>
    <t>180758.2</t>
  </si>
  <si>
    <t xml:space="preserve"> E-10</t>
  </si>
  <si>
    <t>LMP 20SE0054</t>
  </si>
  <si>
    <t>180758.3</t>
  </si>
  <si>
    <t xml:space="preserve">Manômetro Digital </t>
  </si>
  <si>
    <t>CPG150</t>
  </si>
  <si>
    <t>LMP 20SE0055</t>
  </si>
  <si>
    <t>180758.4</t>
  </si>
  <si>
    <t>Contato Magnético</t>
  </si>
  <si>
    <t>BGU-V-EExd</t>
  </si>
  <si>
    <t>KSR Kuebler Niveau- Messetechnick AG</t>
  </si>
  <si>
    <t>LMP 20SE0056</t>
  </si>
  <si>
    <t>180763.1</t>
  </si>
  <si>
    <t xml:space="preserve"> AF-ADF</t>
  </si>
  <si>
    <t>KUBLER NIVEAU-MESSTECHNIK AG</t>
  </si>
  <si>
    <t>LMP 20SE0057</t>
  </si>
  <si>
    <t>180763.2</t>
  </si>
  <si>
    <t>CPG1500</t>
  </si>
  <si>
    <t>LMP 20SE0058</t>
  </si>
  <si>
    <t>180765.1</t>
  </si>
  <si>
    <t xml:space="preserve">Adaptador Bullet Wireless </t>
  </si>
  <si>
    <t>HART WHA-BLT-F9D0-N-A0-Z0-Ex1</t>
  </si>
  <si>
    <t>PEPPERL+FUCHS</t>
  </si>
  <si>
    <t>IECEx FMG 17.0020X</t>
  </si>
  <si>
    <t>LMP 20SE0059</t>
  </si>
  <si>
    <t xml:space="preserve">180765.2 </t>
  </si>
  <si>
    <t xml:space="preserve"> LFL1-BKNPUR3</t>
  </si>
  <si>
    <t>LMP 20SE0060</t>
  </si>
  <si>
    <t>180765.3</t>
  </si>
  <si>
    <r>
      <t xml:space="preserve"> Barreira Isoladora / Conversor de Temperatura</t>
    </r>
    <r>
      <rPr>
        <b/>
        <sz val="12"/>
        <rFont val="Arial"/>
        <family val="2"/>
      </rPr>
      <t xml:space="preserve"> </t>
    </r>
  </si>
  <si>
    <t>KFD2-GUT-Ex1D</t>
  </si>
  <si>
    <t>TUV 03 ATEX 2140</t>
  </si>
  <si>
    <t>LMP 20SE0061</t>
  </si>
  <si>
    <t>180766.1</t>
  </si>
  <si>
    <t>ER-420</t>
  </si>
  <si>
    <t>Cosasco</t>
  </si>
  <si>
    <t>LMP 20SE0062</t>
  </si>
  <si>
    <t xml:space="preserve">Alutal </t>
  </si>
  <si>
    <t>180767.1</t>
  </si>
  <si>
    <t>Chave de Nível para Líquidos</t>
  </si>
  <si>
    <t>LMP 20SE0063</t>
  </si>
  <si>
    <t>180734.1</t>
  </si>
  <si>
    <t>Protetor contra surtos</t>
  </si>
  <si>
    <t>SD16 e SD 32</t>
  </si>
  <si>
    <t>FM 1515778</t>
  </si>
  <si>
    <t>LMP 20SE0064</t>
  </si>
  <si>
    <t>180768.1</t>
  </si>
  <si>
    <t xml:space="preserve">Módulo Temporizador Eletrônico </t>
  </si>
  <si>
    <t>ETM-IS31-001</t>
  </si>
  <si>
    <t>IECEx FME 10.0001X</t>
  </si>
  <si>
    <t>10/032020</t>
  </si>
  <si>
    <t>LMP 20SE0065</t>
  </si>
  <si>
    <t>180767.2</t>
  </si>
  <si>
    <t>T63</t>
  </si>
  <si>
    <t>FM RR204160</t>
  </si>
  <si>
    <t>LMP 20SE0066</t>
  </si>
  <si>
    <t>180772.1</t>
  </si>
  <si>
    <t>VR 70085-1010-330</t>
  </si>
  <si>
    <t>LMP 20SE0067</t>
  </si>
  <si>
    <t>180774.1</t>
  </si>
  <si>
    <t>MEDIDOR DE VAZÃO TIPO ÁREA VARIÁVEL</t>
  </si>
  <si>
    <t>DK 32 ESK3x</t>
  </si>
  <si>
    <t>KIWA 1 8ATEX0008 X</t>
  </si>
  <si>
    <t>LMP 20SE0068</t>
  </si>
  <si>
    <t>180776.1</t>
  </si>
  <si>
    <t xml:space="preserve">Transdutor Ultrassônico </t>
  </si>
  <si>
    <t>abcde81 (CDM2N81)</t>
  </si>
  <si>
    <t>Flexim Flexible Industriemesstechnik GmgH</t>
  </si>
  <si>
    <t>LMP 20SE0069</t>
  </si>
  <si>
    <t>180776.2</t>
  </si>
  <si>
    <t xml:space="preserve">Medidor de vazão Ultrassônico </t>
  </si>
  <si>
    <t>FLUXUS F808**-A1</t>
  </si>
  <si>
    <t>FleximFlexible Industriemesstechnik GmbH</t>
  </si>
  <si>
    <t>IECEx IBE 11.0006X</t>
  </si>
  <si>
    <t>LMP 20SE0070</t>
  </si>
  <si>
    <t>180773.1</t>
  </si>
  <si>
    <t xml:space="preserve">Sensor Fotoelétrico </t>
  </si>
  <si>
    <t xml:space="preserve"> RL36-55-Ex/40b/116</t>
  </si>
  <si>
    <t>RL</t>
  </si>
  <si>
    <t>LMP 20SE0071</t>
  </si>
  <si>
    <t>180779.1</t>
  </si>
  <si>
    <t xml:space="preserve">Medidor de Temperatura </t>
  </si>
  <si>
    <t xml:space="preserve"> Ex-MP4a</t>
  </si>
  <si>
    <t>Ecom Instruments GmbH</t>
  </si>
  <si>
    <t>LMP 20SE0072</t>
  </si>
  <si>
    <t>180779.2</t>
  </si>
  <si>
    <t xml:space="preserve"> 6000-DV-S2-UM-WH-DC</t>
  </si>
  <si>
    <t>Pepperl &amp; Fuchs AG</t>
  </si>
  <si>
    <t>LMP 20SE0073</t>
  </si>
  <si>
    <t>180779.3</t>
  </si>
  <si>
    <t xml:space="preserve">Caneta de teste magnético </t>
  </si>
  <si>
    <t xml:space="preserve"> Magnet-Ex 12</t>
  </si>
  <si>
    <t>LMP 20SE0074</t>
  </si>
  <si>
    <t>180791.1</t>
  </si>
  <si>
    <t>Chave de Nível Vibratória</t>
  </si>
  <si>
    <t>OPTISWITCH 6600</t>
  </si>
  <si>
    <t>Krohne S.A.S</t>
  </si>
  <si>
    <t>TUV 16 ATEX 182791X</t>
  </si>
  <si>
    <t>LMP 20SE0075</t>
  </si>
  <si>
    <t>180792.1</t>
  </si>
  <si>
    <t xml:space="preserve">Isolador Ethernet </t>
  </si>
  <si>
    <t>EI-0D2-10Y-10B</t>
  </si>
  <si>
    <t xml:space="preserve">PEPPERL + FUCHS GmbH </t>
  </si>
  <si>
    <t>IECEx PTB 09.0053X</t>
  </si>
  <si>
    <t>LMP 20SE0076</t>
  </si>
  <si>
    <t xml:space="preserve">Unitech </t>
  </si>
  <si>
    <t>180795.1</t>
  </si>
  <si>
    <t>Sensor de PH</t>
  </si>
  <si>
    <t>ORP 3900-02-10</t>
  </si>
  <si>
    <t>IECEx BAS 10.0083X</t>
  </si>
  <si>
    <t>LMP 20SE0077</t>
  </si>
  <si>
    <t>180797.1</t>
  </si>
  <si>
    <t>SWING61.DIGBVXMRX</t>
  </si>
  <si>
    <t>LMP 20SE0078</t>
  </si>
  <si>
    <t xml:space="preserve">Clark </t>
  </si>
  <si>
    <t>180793.1</t>
  </si>
  <si>
    <t>Iluminador para  Visores de Nível de Vidro Transparente</t>
  </si>
  <si>
    <t xml:space="preserve"> EPL-100-9-1-3-1</t>
  </si>
  <si>
    <t>Clark-Reliance Coporation</t>
  </si>
  <si>
    <t>FM 3017396</t>
  </si>
  <si>
    <t>LMP 20SE0079</t>
  </si>
  <si>
    <t>180794.1</t>
  </si>
  <si>
    <t>X25</t>
  </si>
  <si>
    <t>Dynapar Coporation</t>
  </si>
  <si>
    <t>UL 20150106-E116133</t>
  </si>
  <si>
    <t>LMP 20SE0080</t>
  </si>
  <si>
    <t xml:space="preserve"> 180799.1</t>
  </si>
  <si>
    <t>VEGAPULS64</t>
  </si>
  <si>
    <t>Veja Grieshaber KG</t>
  </si>
  <si>
    <t>LMP 20SE0081</t>
  </si>
  <si>
    <t>180806.1</t>
  </si>
  <si>
    <t xml:space="preserve">Tablet PC Agile X e módulo HART </t>
  </si>
  <si>
    <t xml:space="preserve"> B7-A2Z0-0033</t>
  </si>
  <si>
    <t>IECEx EPS 15.0010X</t>
  </si>
  <si>
    <t>LMP 20SE0082</t>
  </si>
  <si>
    <t>180805.1</t>
  </si>
  <si>
    <t>LMP 20SE0083</t>
  </si>
  <si>
    <t>180808.1</t>
  </si>
  <si>
    <t xml:space="preserve">Fonte de alimentação comutada </t>
  </si>
  <si>
    <t>787-722</t>
  </si>
  <si>
    <t>WAGO Kontakttechnik GmbH &amp; Co. KG</t>
  </si>
  <si>
    <t>IECEx UL 10.0006X</t>
  </si>
  <si>
    <t>LMP 20SE0084</t>
  </si>
  <si>
    <t>180771.1</t>
  </si>
  <si>
    <t xml:space="preserve">Medidor de Pressão </t>
  </si>
  <si>
    <t>FLUKE-700G04; FLUKE-700G06; FLUKE-700G</t>
  </si>
  <si>
    <t>LMP 20SE0085</t>
  </si>
  <si>
    <t>180814.1</t>
  </si>
  <si>
    <t xml:space="preserve"> GTX-TS98113</t>
  </si>
  <si>
    <t>LMP 20SE0086</t>
  </si>
  <si>
    <t>180835.1</t>
  </si>
  <si>
    <t xml:space="preserve">Chave limitadora vibratória </t>
  </si>
  <si>
    <t>SWING61.CINBYXVNX</t>
  </si>
  <si>
    <t>IECEx PTB 15.0023X</t>
  </si>
  <si>
    <t>LMP 20SE0087</t>
  </si>
  <si>
    <t>180819.1</t>
  </si>
  <si>
    <t xml:space="preserve"> CL63.KXFHAHANXX</t>
  </si>
  <si>
    <t>CSA 2582402</t>
  </si>
  <si>
    <t>LMP 20SE0088</t>
  </si>
  <si>
    <t>180819.2</t>
  </si>
  <si>
    <t xml:space="preserve"> DIS81. CAIANNAEX</t>
  </si>
  <si>
    <t>CSA 2662675</t>
  </si>
  <si>
    <t>LMP 20SE0089</t>
  </si>
  <si>
    <t>180811.1</t>
  </si>
  <si>
    <t>WE63.CXANDNKNX</t>
  </si>
  <si>
    <t>PTB 17 ATEX 2015 X</t>
  </si>
  <si>
    <t>LMP 20SE0090</t>
  </si>
  <si>
    <t>180820.1</t>
  </si>
  <si>
    <t>Transmissor de nível tipo radar</t>
  </si>
  <si>
    <t>PS64.IEGGQIHXANAXX/ PS64.IEGGUIHXANAXX/ PS64.IEGGVIHXANAXX</t>
  </si>
  <si>
    <t>rev. OK</t>
  </si>
  <si>
    <t>LMP 20SE0091</t>
  </si>
  <si>
    <t xml:space="preserve">180803.1 </t>
  </si>
  <si>
    <t xml:space="preserve"> B83.IDLFSGOSHXWINAM</t>
  </si>
  <si>
    <t>LMP 20SE0092</t>
  </si>
  <si>
    <t>180818.1</t>
  </si>
  <si>
    <t>LN/RQ</t>
  </si>
  <si>
    <t>LMP 20SE0093</t>
  </si>
  <si>
    <t>180818.2</t>
  </si>
  <si>
    <t>LMP 20SE0094</t>
  </si>
  <si>
    <t>180822.1</t>
  </si>
  <si>
    <t xml:space="preserve"> RC15-14-N0  </t>
  </si>
  <si>
    <t>LMP 20SE0095</t>
  </si>
  <si>
    <t>180788.1</t>
  </si>
  <si>
    <t>FSS200 - 7ME3950-5LQ00</t>
  </si>
  <si>
    <t>LMP 20SE0096</t>
  </si>
  <si>
    <t>Barreira Isoladora de alimentação</t>
  </si>
  <si>
    <t xml:space="preserve"> MTL5553</t>
  </si>
  <si>
    <t>LMP 20SE0097</t>
  </si>
  <si>
    <t>180810.1</t>
  </si>
  <si>
    <t xml:space="preserve">Conversor de corrente em pressão </t>
  </si>
  <si>
    <t>CPC-II</t>
  </si>
  <si>
    <t>Woodward, Inc.</t>
  </si>
  <si>
    <t>IECEx CSA 11.0017X</t>
  </si>
  <si>
    <t>LMP 20SE0098</t>
  </si>
  <si>
    <t>180810.2</t>
  </si>
  <si>
    <t>PICKUP MAGNÉTICO-PASSIVO (SENSOR)</t>
  </si>
  <si>
    <t xml:space="preserve"> 70085-1010-415</t>
  </si>
  <si>
    <t xml:space="preserve">AI-Tek Instruments, LLC </t>
  </si>
  <si>
    <t>FM16CA0099U</t>
  </si>
  <si>
    <t>LMP 20SE0099</t>
  </si>
  <si>
    <t>180827.1</t>
  </si>
  <si>
    <t xml:space="preserve">Chave de nível vibratória </t>
  </si>
  <si>
    <t>SWING61.DAGBVXMRX</t>
  </si>
  <si>
    <t>OS/WA</t>
  </si>
  <si>
    <t>Kema 01ATEX2026 X</t>
  </si>
  <si>
    <t>LMP 20SE0100</t>
  </si>
  <si>
    <t>Brain (Fluxo)</t>
  </si>
  <si>
    <t>180790.1</t>
  </si>
  <si>
    <t>FSS200 Sensor ultrassônico</t>
  </si>
  <si>
    <t>7ME3950-5LQ00</t>
  </si>
  <si>
    <t>LMP 20SE0101</t>
  </si>
  <si>
    <t>180790.2</t>
  </si>
  <si>
    <t>SITRANS FST030 Wallbox Digital Flow Transmitter</t>
  </si>
  <si>
    <t xml:space="preserve">7ME3723-0AA02-1UE3-Z A01+B39+E14+F22+S30; 7ME3723-0AA021UE3-Z A61+B11+E06+F00+S30 </t>
  </si>
  <si>
    <t>LMP 20SE0102</t>
  </si>
  <si>
    <t>180802.1</t>
  </si>
  <si>
    <t>PULS64 PS64.IEGGPIHXANXXM</t>
  </si>
  <si>
    <t>LMP 20SE0103</t>
  </si>
  <si>
    <t xml:space="preserve">VEGA </t>
  </si>
  <si>
    <t>180928.1</t>
  </si>
  <si>
    <t>Chave de nível vibratória</t>
  </si>
  <si>
    <t>SWING63.CAGBVXMN</t>
  </si>
  <si>
    <t>PTB 00 ATEX 2217 X</t>
  </si>
  <si>
    <t>03 2020</t>
  </si>
  <si>
    <t>LMP 20SE0104</t>
  </si>
  <si>
    <t>180839.1</t>
  </si>
  <si>
    <t>SWING63.DAGBVXMR</t>
  </si>
  <si>
    <t>KEMA 01ATEX2026 X</t>
  </si>
  <si>
    <t>LMP 20SE0105</t>
  </si>
  <si>
    <t>180938.1</t>
  </si>
  <si>
    <t xml:space="preserve"> VEGAWAVE WE63.LXANDRANX</t>
  </si>
  <si>
    <t>PTB 16 ATEX 1014 X</t>
  </si>
  <si>
    <t>LMP 20SE0106</t>
  </si>
  <si>
    <t>180934.1</t>
  </si>
  <si>
    <t>Transmissor de Nível Radar</t>
  </si>
  <si>
    <t>VEGAPULS
PS64.IEUTDAHXANXXX</t>
  </si>
  <si>
    <t>LO / RL</t>
  </si>
  <si>
    <t>IECEX PTB 15.0023X/01</t>
  </si>
  <si>
    <t>LMP 20SE0107</t>
  </si>
  <si>
    <t>180825.1</t>
  </si>
  <si>
    <t xml:space="preserve">Machine-operated switches, "Auto Bin-Dicator" </t>
  </si>
  <si>
    <t xml:space="preserve"> ABX - S (LAD101716) </t>
  </si>
  <si>
    <t>VENTURE MEASUREMENT L L C</t>
  </si>
  <si>
    <t>WA/RP</t>
  </si>
  <si>
    <t>LMP 20SE0108</t>
  </si>
  <si>
    <t>180830.1</t>
  </si>
  <si>
    <t xml:space="preserve">Barreira Isoladora </t>
  </si>
  <si>
    <t>LMP 20SE0109</t>
  </si>
  <si>
    <t>180830.2</t>
  </si>
  <si>
    <t xml:space="preserve"> KFD2-VR-EX1.19</t>
  </si>
  <si>
    <t>BAS 01 ATEX 7262</t>
  </si>
  <si>
    <t>LMP 20SE0110</t>
  </si>
  <si>
    <t>180830.3</t>
  </si>
  <si>
    <t>LMP 20SE0111</t>
  </si>
  <si>
    <t>180830.4</t>
  </si>
  <si>
    <t>KFD2-ER-EX1.W.LB</t>
  </si>
  <si>
    <t>DMT00ATEXE033</t>
  </si>
  <si>
    <t>LMP 20SE0112</t>
  </si>
  <si>
    <t>180833.1</t>
  </si>
  <si>
    <t xml:space="preserve">Chave de pressão diferencial </t>
  </si>
  <si>
    <t>1950G-0-B-24</t>
  </si>
  <si>
    <t>Dwyer Instruments Inc.</t>
  </si>
  <si>
    <t>IECEx UL 19.0045 X</t>
  </si>
  <si>
    <t>LMP 20SE0113</t>
  </si>
  <si>
    <t>180831.1</t>
  </si>
  <si>
    <t xml:space="preserve">Analisador de Oxigênio </t>
  </si>
  <si>
    <t>LMP 20SE0114</t>
  </si>
  <si>
    <t>180838.1</t>
  </si>
  <si>
    <t>G.E. Sensing and Inspection (Changzhou) Co Ltda.  /                                   Druck Limited</t>
  </si>
  <si>
    <t>LMP 20SE0115</t>
  </si>
  <si>
    <t>180840.1</t>
  </si>
  <si>
    <t xml:space="preserve"> AVK-ADF</t>
  </si>
  <si>
    <t>KSR KUEBLER NIVEAU-MESSTECHNIK AG</t>
  </si>
  <si>
    <t>LMP 20SE0116</t>
  </si>
  <si>
    <t>180840.2</t>
  </si>
  <si>
    <t xml:space="preserve"> BGU-V-EExd</t>
  </si>
  <si>
    <t>LMP 20SE0117</t>
  </si>
  <si>
    <t>Solas</t>
  </si>
  <si>
    <t>180837.1</t>
  </si>
  <si>
    <t xml:space="preserve">Conector </t>
  </si>
  <si>
    <t>Amphe-EX - EXM-A02-19-RJF-01</t>
  </si>
  <si>
    <t>Amphenol Industrial</t>
  </si>
  <si>
    <t>Uiraçu</t>
  </si>
  <si>
    <t>IECEx SIR 08.0029X</t>
  </si>
  <si>
    <t>LMP 20SE0118</t>
  </si>
  <si>
    <t>180845.1</t>
  </si>
  <si>
    <t>Calibrador e Comunicador</t>
  </si>
  <si>
    <t>G.E. Sensing and Inspection (Changzhou) Co Ltda/ Druck Limited</t>
  </si>
  <si>
    <t>LMP 20SE0119</t>
  </si>
  <si>
    <t>180846.1</t>
  </si>
  <si>
    <t xml:space="preserve">Transmissor de Umidade </t>
  </si>
  <si>
    <t>HygroPro-1-1-W-1-1-0-0-0</t>
  </si>
  <si>
    <t>WA / RL</t>
  </si>
  <si>
    <t>LMP 20SE0120</t>
  </si>
  <si>
    <t>180841.1</t>
  </si>
  <si>
    <t xml:space="preserve">Transmissor de saida de corrente </t>
  </si>
  <si>
    <t xml:space="preserve"> ESK II A</t>
  </si>
  <si>
    <t>KROHNE Mebtechnik GmbH &amp; Co. KG</t>
  </si>
  <si>
    <t>PTB 00 ATEX 2063</t>
  </si>
  <si>
    <t>LMP 20SE0121</t>
  </si>
  <si>
    <t>180849.1</t>
  </si>
  <si>
    <t xml:space="preserve"> WE63.CXANDNANX</t>
  </si>
  <si>
    <t>LMP 20SE0122</t>
  </si>
  <si>
    <t>180849.2</t>
  </si>
  <si>
    <t xml:space="preserve"> DIS82.IEHANNAAX</t>
  </si>
  <si>
    <t>LMP 20SE0123</t>
  </si>
  <si>
    <t>180848.1</t>
  </si>
  <si>
    <t>TRF-FSM/CDQ2NW1/abcdefg</t>
  </si>
  <si>
    <t>LMP 20SE0124</t>
  </si>
  <si>
    <t>180848.2</t>
  </si>
  <si>
    <t>Medidor de vazão Ultrassônico</t>
  </si>
  <si>
    <t xml:space="preserve"> FLUXUS F808GP</t>
  </si>
  <si>
    <t>LMP 20SE0125</t>
  </si>
  <si>
    <t>180848.3</t>
  </si>
  <si>
    <t>Medidor de vazão ultrassônico</t>
  </si>
  <si>
    <t xml:space="preserve"> Fluxus G608**-A2</t>
  </si>
  <si>
    <t>IECEx IBE 12.0006</t>
  </si>
  <si>
    <t>LMP 20SE0126</t>
  </si>
  <si>
    <t>180856.1</t>
  </si>
  <si>
    <t xml:space="preserve">CHAVE DE NÍVEL VIBRATÓRIA </t>
  </si>
  <si>
    <t>OPTISWITCH 5200 C VF11DANCVXUZ</t>
  </si>
  <si>
    <t>KROHNE S.A.S</t>
  </si>
  <si>
    <t>KEMA ATEX 02ATEX2110 X</t>
  </si>
  <si>
    <t>LMP 20SE0127</t>
  </si>
  <si>
    <t>180844.1</t>
  </si>
  <si>
    <t xml:space="preserve">Transmissor de oxigênio </t>
  </si>
  <si>
    <t>LMP 20SE0128</t>
  </si>
  <si>
    <t>180859.1</t>
  </si>
  <si>
    <t xml:space="preserve">Chave de Nível Vibratória </t>
  </si>
  <si>
    <t xml:space="preserve"> OPTISWITCH 6600 VGPA412130000</t>
  </si>
  <si>
    <t>LMP 20SE0129</t>
  </si>
  <si>
    <t>180861.1</t>
  </si>
  <si>
    <t>G.E. Sensing and Inspection (Changzhou) Co Ltda./Druck Limited</t>
  </si>
  <si>
    <t>LMP 20SE0130</t>
  </si>
  <si>
    <t>180857.1</t>
  </si>
  <si>
    <t xml:space="preserve">Invólucro </t>
  </si>
  <si>
    <t>1080SM</t>
  </si>
  <si>
    <t>International Metal Engineering Pte Limited</t>
  </si>
  <si>
    <t>IECEx SIR 09.0006U</t>
  </si>
  <si>
    <t>LMP 20SE0131</t>
  </si>
  <si>
    <t>180857.2</t>
  </si>
  <si>
    <t xml:space="preserve">Conjunto de chave Orion </t>
  </si>
  <si>
    <t>LMP 20SE0132</t>
  </si>
  <si>
    <t>180855.1</t>
  </si>
  <si>
    <t>LMP 20SE0133</t>
  </si>
  <si>
    <t xml:space="preserve"> 180804.1</t>
  </si>
  <si>
    <t>Monitor de Corrosão</t>
  </si>
  <si>
    <t xml:space="preserve">  MS3610E</t>
  </si>
  <si>
    <t>Metal Samples Company</t>
  </si>
  <si>
    <t>LMP 20SE0134</t>
  </si>
  <si>
    <t xml:space="preserve">Metroval  </t>
  </si>
  <si>
    <t>180864.1</t>
  </si>
  <si>
    <t>TRF-FSM / CDM2N81/ abcdefg</t>
  </si>
  <si>
    <t>LMP 20SE0135</t>
  </si>
  <si>
    <t>180868.1</t>
  </si>
  <si>
    <t xml:space="preserve">Medidor de Vazão tipo turbina </t>
  </si>
  <si>
    <t xml:space="preserve"> Indicador E-series/ TZN 50-70 / 2” # 900 ET 1500 RTJ</t>
  </si>
  <si>
    <t>FAURE HERMAN / Fluidwell</t>
  </si>
  <si>
    <t>LMP 20SE0136</t>
  </si>
  <si>
    <t>180862.1</t>
  </si>
  <si>
    <t>Encoder Absoluto</t>
  </si>
  <si>
    <t>AX71/ 1212EK.42DPB-F0</t>
  </si>
  <si>
    <t>LMP 20SE0137</t>
  </si>
  <si>
    <t xml:space="preserve">SEW </t>
  </si>
  <si>
    <t>180876.1</t>
  </si>
  <si>
    <t>REPOSIÇÃO - Motoredutor</t>
  </si>
  <si>
    <t xml:space="preserve"> KH97/T - N/S: 70.0160239503.0001.08 / FD BA-000-000-FD1782_R0</t>
  </si>
  <si>
    <t>ATB Motorentechnik GmbH</t>
  </si>
  <si>
    <t>PTB 08 ATEX 1087 X</t>
  </si>
  <si>
    <t>LMP 20SE0138</t>
  </si>
  <si>
    <t>180759 .1</t>
  </si>
  <si>
    <t xml:space="preserve">Sinaleiro </t>
  </si>
  <si>
    <t>XB9</t>
  </si>
  <si>
    <t>Cooper MEDC Limited</t>
  </si>
  <si>
    <t>BAS 00 ATEX 2031/4</t>
  </si>
  <si>
    <t>LMP 20SE0139</t>
  </si>
  <si>
    <t>180881.1</t>
  </si>
  <si>
    <t xml:space="preserve">Módulo temporizador eletrônico </t>
  </si>
  <si>
    <t xml:space="preserve"> ETM-IS31- 001</t>
  </si>
  <si>
    <t>LMP 20SE0140</t>
  </si>
  <si>
    <t>Vega</t>
  </si>
  <si>
    <t>180863.1</t>
  </si>
  <si>
    <t>PS64.IEGGIIHXVOAXM/ PS64.IEGGPIHXVOAXM</t>
  </si>
  <si>
    <t>LMP 20SE0141</t>
  </si>
  <si>
    <t>Norteng</t>
  </si>
  <si>
    <t>180874.1</t>
  </si>
  <si>
    <t>Protetor de Sobretensão</t>
  </si>
  <si>
    <t>OVP-4/4-3.7-100</t>
  </si>
  <si>
    <t>Dairyland Electrical Industries Inc</t>
  </si>
  <si>
    <t>IECEx UL 14.0027X</t>
  </si>
  <si>
    <t>LMP 20SE0142</t>
  </si>
  <si>
    <t>180874.2</t>
  </si>
  <si>
    <t>Desacoplador de estado sólido</t>
  </si>
  <si>
    <t>SSD-2/2-3.7-100-R</t>
  </si>
  <si>
    <t>IECEx UL 14.0021X</t>
  </si>
  <si>
    <t>LMP 20SE0143</t>
  </si>
  <si>
    <t>180854.1</t>
  </si>
  <si>
    <t>FLUKE-718EX 30</t>
  </si>
  <si>
    <t>LMP 20SE0144</t>
  </si>
  <si>
    <t>180854.2</t>
  </si>
  <si>
    <t>Manômetro de Precisão</t>
  </si>
  <si>
    <t xml:space="preserve"> FLUKE-700G04 (4 un.),  FLUKE-700G06 (1 un.), FLUKE-700G08 (3 un.), FLUKE-700G30 (5 un.) e FLUKE-700G31 (1 un.)</t>
  </si>
  <si>
    <t>LMP 20SE0145</t>
  </si>
  <si>
    <t>180880.1</t>
  </si>
  <si>
    <t xml:space="preserve">Sensor capacitivo </t>
  </si>
  <si>
    <t xml:space="preserve"> CJ6-18GK-N</t>
  </si>
  <si>
    <t>TUV 03 ATEX 2003 X</t>
  </si>
  <si>
    <t>LMP 20SE0146</t>
  </si>
  <si>
    <t>180884.1</t>
  </si>
  <si>
    <t>OPTISWITCH 5200</t>
  </si>
  <si>
    <t>LMP 20SE0147</t>
  </si>
  <si>
    <t>180824.1</t>
  </si>
  <si>
    <t>Moto Redutor</t>
  </si>
  <si>
    <t>DCEx63K/4K / SK23F IEC63/2G</t>
  </si>
  <si>
    <t>Herforder Elektromotoren-Werke GmbH &amp; Co. KG</t>
  </si>
  <si>
    <t>IECEx SIQ 16.0002X</t>
  </si>
  <si>
    <t>LMP 20SE0148</t>
  </si>
  <si>
    <t>180896.1</t>
  </si>
  <si>
    <t xml:space="preserve">Smartphone </t>
  </si>
  <si>
    <t>Gravity X-EX-US</t>
  </si>
  <si>
    <t>Bartec Technor AS</t>
  </si>
  <si>
    <t>IECEx SIR 13.0047X</t>
  </si>
  <si>
    <t>LMP 20SE0149</t>
  </si>
  <si>
    <t xml:space="preserve">180899.1 </t>
  </si>
  <si>
    <t xml:space="preserve">Fonte Repetidora </t>
  </si>
  <si>
    <t>MTL5541</t>
  </si>
  <si>
    <t>LMP 20SE0150</t>
  </si>
  <si>
    <t>180843.1</t>
  </si>
  <si>
    <t>Barreira de proteção contra sobretensão</t>
  </si>
  <si>
    <t>FSLB-I</t>
  </si>
  <si>
    <t>LMP 20SE0151</t>
  </si>
  <si>
    <t>180906.1</t>
  </si>
  <si>
    <t xml:space="preserve">Transmissor de fluxo </t>
  </si>
  <si>
    <t xml:space="preserve"> TA2-A1B0-130/TER-A06A-120 e TA2-A1B0-131/TER-A43A-070</t>
  </si>
  <si>
    <t>FM 3038312</t>
  </si>
  <si>
    <t>LMP 20SE0152</t>
  </si>
  <si>
    <t>180843.2</t>
  </si>
  <si>
    <t>Amplificador de isolamento de segurança</t>
  </si>
  <si>
    <t>LMP 20SE0153</t>
  </si>
  <si>
    <t>180843.3</t>
  </si>
  <si>
    <t>Amplificador isolado do potenciômetro do transformador</t>
  </si>
  <si>
    <t>KFD2-PT2-EX1-5</t>
  </si>
  <si>
    <t>IECEx BAS 10.006</t>
  </si>
  <si>
    <t>LMP 20SE0154</t>
  </si>
  <si>
    <t>180901.1</t>
  </si>
  <si>
    <t>Sistema de Purga e Pressurização</t>
  </si>
  <si>
    <t>LMP 20SE0155</t>
  </si>
  <si>
    <t>180902.1</t>
  </si>
  <si>
    <t>Conversor de Temperatura</t>
  </si>
  <si>
    <t>KFD2-GUT-EX1.D</t>
  </si>
  <si>
    <t>LMP 20SE0156</t>
  </si>
  <si>
    <t>180903.1</t>
  </si>
  <si>
    <t>Transformador de Saída com Driver Isolado</t>
  </si>
  <si>
    <t>IECEx BAS 05.0041</t>
  </si>
  <si>
    <t>LMP 20SE0157</t>
  </si>
  <si>
    <t>180904.1</t>
  </si>
  <si>
    <t>PTB00ATEX 2042</t>
  </si>
  <si>
    <t>LMP 20SE0158</t>
  </si>
  <si>
    <t>180908.1</t>
  </si>
  <si>
    <t>CPG1500-ST-L-S-BG425-GDSZ-53-Z</t>
  </si>
  <si>
    <t>LMP 20SE0159</t>
  </si>
  <si>
    <t>180746.1</t>
  </si>
  <si>
    <t xml:space="preserve">Detector de Calor </t>
  </si>
  <si>
    <t>Baseefa 03 ATEX 0447/10</t>
  </si>
  <si>
    <t>LMP 20SE0160</t>
  </si>
  <si>
    <t>180907.1</t>
  </si>
  <si>
    <t xml:space="preserve">Analisador de ponto de orvalho de hidrocarboneto </t>
  </si>
  <si>
    <t>Condumax II</t>
  </si>
  <si>
    <t>Michell Instruments Ltd</t>
  </si>
  <si>
    <t>IECEx TRC 11.0008X</t>
  </si>
  <si>
    <t>falta analise critica</t>
  </si>
  <si>
    <t>LMP 20SE0161</t>
  </si>
  <si>
    <t>180911.1</t>
  </si>
  <si>
    <t xml:space="preserve">Sensor Optoeletrônico </t>
  </si>
  <si>
    <t>IECEx PTB 12.0061X</t>
  </si>
  <si>
    <t>LMP 20SE0162</t>
  </si>
  <si>
    <t>180915.1.A1</t>
  </si>
  <si>
    <t xml:space="preserve">Barreira Intrínseca de Interface do Transdutor Vibracional </t>
  </si>
  <si>
    <t>IECEx BAS 09.0037/06</t>
  </si>
  <si>
    <t>180915.1</t>
  </si>
  <si>
    <t>LMP 20SE0163</t>
  </si>
  <si>
    <t>Adriana AP</t>
  </si>
  <si>
    <t>180916.1.A1</t>
  </si>
  <si>
    <t>Barreira Intrínseca de Interface do Transdutor Vibracional</t>
  </si>
  <si>
    <t>180916.1</t>
  </si>
  <si>
    <t>LMP 20SE0164</t>
  </si>
  <si>
    <t>180921.1</t>
  </si>
  <si>
    <t>IECEx BAS 12.0078X/04</t>
  </si>
  <si>
    <t>LMP 20SE0165</t>
  </si>
  <si>
    <t>180919.1</t>
  </si>
  <si>
    <t>Sensor indutivo</t>
  </si>
  <si>
    <t>LMP 20SE0166</t>
  </si>
  <si>
    <t>180925.1</t>
  </si>
  <si>
    <t>Indicadro de Pressão Digital</t>
  </si>
  <si>
    <t>DPI 705 IS</t>
  </si>
  <si>
    <t>IECEx BAS 15.0028X</t>
  </si>
  <si>
    <t>LMP 20SE0167</t>
  </si>
  <si>
    <t>180927.1</t>
  </si>
  <si>
    <t>Fone de Ouvido</t>
  </si>
  <si>
    <t>SM1PHIS02</t>
  </si>
  <si>
    <t>Sensear Pty Limited</t>
  </si>
  <si>
    <t>SGSNA/17/SUW/00347</t>
  </si>
  <si>
    <t>LMP 20SE0168</t>
  </si>
  <si>
    <t>180893.1</t>
  </si>
  <si>
    <t xml:space="preserve">Detector de Gás Catalítico </t>
  </si>
  <si>
    <t>350800-01-240</t>
  </si>
  <si>
    <t>IECEx SIR 06.0053X</t>
  </si>
  <si>
    <t>LMP 20SE0169</t>
  </si>
  <si>
    <t xml:space="preserve">PARNAÍBA II </t>
  </si>
  <si>
    <t>180894.1</t>
  </si>
  <si>
    <t>350800-01-180</t>
  </si>
  <si>
    <t>LMP 20SE0170</t>
  </si>
  <si>
    <t>CARLOS VENDAS</t>
  </si>
  <si>
    <t>180895.1</t>
  </si>
  <si>
    <t>LMP 20SE0171</t>
  </si>
  <si>
    <t>180929.1</t>
  </si>
  <si>
    <t xml:space="preserve">Computador de Fluxo VEGA 3 </t>
  </si>
  <si>
    <t xml:space="preserve"> FC-M 11-1110</t>
  </si>
  <si>
    <t>ISOIL IMPIANTI</t>
  </si>
  <si>
    <t>IECEx INE 15.0042X</t>
  </si>
  <si>
    <t>LMP 20SE0172</t>
  </si>
  <si>
    <t>180933.1</t>
  </si>
  <si>
    <t>Medidor de Temperatura</t>
  </si>
  <si>
    <t>Ex-MP4a</t>
  </si>
  <si>
    <t>LMP 20SE0173</t>
  </si>
  <si>
    <t>180933.2</t>
  </si>
  <si>
    <t>Interruptor de Nível de Líquido</t>
  </si>
  <si>
    <t>LMP 20SE0174</t>
  </si>
  <si>
    <t>180933.3</t>
  </si>
  <si>
    <t>Transformador Isolado</t>
  </si>
  <si>
    <t>PEPPERL + FUCHS Asia Pte.</t>
  </si>
  <si>
    <t>IECEx BAS 08.0059/02</t>
  </si>
  <si>
    <t>LMP 20SE0175</t>
  </si>
  <si>
    <t>180933.4</t>
  </si>
  <si>
    <t>Repetidor de alimentação de barramento de campo</t>
  </si>
  <si>
    <t>KLD2-PR-EX1.IEC</t>
  </si>
  <si>
    <t>PTB 00 ATEX 2036</t>
  </si>
  <si>
    <t>JPC</t>
  </si>
  <si>
    <t>LMP 20SE0176</t>
  </si>
  <si>
    <t>180933.5</t>
  </si>
  <si>
    <t>BAS 02ATEX7203X/04</t>
  </si>
  <si>
    <t>LMP 20SE0177</t>
  </si>
  <si>
    <t>180931.1</t>
  </si>
  <si>
    <t>CPG1500-ST-L-S-BG616-MLSZ-13-Z</t>
  </si>
  <si>
    <t>LMP 20SE0178</t>
  </si>
  <si>
    <t>180931.2</t>
  </si>
  <si>
    <t>E-10- A-BBS-GB-ZGDXIA-ZZ</t>
  </si>
  <si>
    <t>LMP 20SE0179</t>
  </si>
  <si>
    <t>180931.3</t>
  </si>
  <si>
    <t>IPT-20-ADB-VIZBZ-H1-BG610-GLYSYZS1-ZZZ-3Z / IPT-20-ADB-VIZBZ-H1-BG560-GLYSYZS1-ZZZ-3Z</t>
  </si>
  <si>
    <t>LMP 20SE0180</t>
  </si>
  <si>
    <t>180933.6</t>
  </si>
  <si>
    <t>Conversor Universal de Temperatura</t>
  </si>
  <si>
    <t>KCD2-UT2-EX1</t>
  </si>
  <si>
    <t>IECEx BAS 13.0057X</t>
  </si>
  <si>
    <t>LMP 20SE0181</t>
  </si>
  <si>
    <t xml:space="preserve">Ruhrpumpen </t>
  </si>
  <si>
    <t>180917.1</t>
  </si>
  <si>
    <t>LMP 20SE0182</t>
  </si>
  <si>
    <t>180946.1</t>
  </si>
  <si>
    <t>WE61.LXANDRA9X
WE63.LXANDRA9X</t>
  </si>
  <si>
    <t>LMP 20SE0183</t>
  </si>
  <si>
    <t>180950.1</t>
  </si>
  <si>
    <t xml:space="preserve">Plugue e Tomada </t>
  </si>
  <si>
    <t xml:space="preserve"> GHG5114906R0001 e GHG5912201R0002</t>
  </si>
  <si>
    <t>Cooper Crouse-Hinds GmbH (CEAG)</t>
  </si>
  <si>
    <t>LMP 20SE0184</t>
  </si>
  <si>
    <t>180934.2</t>
  </si>
  <si>
    <t>VEGAVIB VB63.LXANCRANX</t>
  </si>
  <si>
    <t>RP / RL</t>
  </si>
  <si>
    <t>PTB 10 ATEX 1055 X / 01</t>
  </si>
  <si>
    <t>LMP 20SE0185</t>
  </si>
  <si>
    <t>180972.1</t>
  </si>
  <si>
    <t>SWING63.CIAPHXPN</t>
  </si>
  <si>
    <t>J.P.C</t>
  </si>
  <si>
    <t>LMP 20SE0186</t>
  </si>
  <si>
    <t>180957.1</t>
  </si>
  <si>
    <t>LA/RD</t>
  </si>
  <si>
    <t>Bassefa03ATEX0428</t>
  </si>
  <si>
    <t>LMP 20SE0187</t>
  </si>
  <si>
    <t>180958.1</t>
  </si>
  <si>
    <t xml:space="preserve">BGU-V-EExd </t>
  </si>
  <si>
    <t>LCIE 01 ATEX 6047 X / 01</t>
  </si>
  <si>
    <t>LMP 20SE0188</t>
  </si>
  <si>
    <t>180958.2</t>
  </si>
  <si>
    <t>Sonda de Nível</t>
  </si>
  <si>
    <t>BVS 16 ATEX E 116 X</t>
  </si>
  <si>
    <t>LMP 20SE0189</t>
  </si>
  <si>
    <t>180961.1</t>
  </si>
  <si>
    <t>TIDALFLUX 2300F</t>
  </si>
  <si>
    <t>LA / RL</t>
  </si>
  <si>
    <t xml:space="preserve">DEKRA 12ATEX0235 X / 1 </t>
  </si>
  <si>
    <t>LMP 20SE0190</t>
  </si>
  <si>
    <t xml:space="preserve"> 180962 .1</t>
  </si>
  <si>
    <t xml:space="preserve">Posicionador de Válvula </t>
  </si>
  <si>
    <t xml:space="preserve"> SVI 2</t>
  </si>
  <si>
    <t>Dresser LLC</t>
  </si>
  <si>
    <t xml:space="preserve">IECEx FMG 07.0007X </t>
  </si>
  <si>
    <t>LMP 20SE0191</t>
  </si>
  <si>
    <t>LMP 20SE0192</t>
  </si>
  <si>
    <t>180964.2</t>
  </si>
  <si>
    <t>LMP 20SE0193</t>
  </si>
  <si>
    <t>180965.1</t>
  </si>
  <si>
    <t>BAS02ATEX7203</t>
  </si>
  <si>
    <t>LMP 20SE0194</t>
  </si>
  <si>
    <t>180965.2</t>
  </si>
  <si>
    <t>Barreira de Segurança Intrínseca USB</t>
  </si>
  <si>
    <t>LMP 20SE0195</t>
  </si>
  <si>
    <t>LMP 20SE0196</t>
  </si>
  <si>
    <t>180966.1</t>
  </si>
  <si>
    <t xml:space="preserve">Módulo de Alimentação </t>
  </si>
  <si>
    <t>FM 3033657</t>
  </si>
  <si>
    <t>LMP 20SE0197</t>
  </si>
  <si>
    <t>180955.1</t>
  </si>
  <si>
    <t>Caixa do sensor</t>
  </si>
  <si>
    <t xml:space="preserve">  HTP</t>
  </si>
  <si>
    <t>Oil &amp; Gas Measurement Limited</t>
  </si>
  <si>
    <t>LCIE 08 ATEX 6009 X</t>
  </si>
  <si>
    <t>LMP 20SE0198</t>
  </si>
  <si>
    <t>180955.2</t>
  </si>
  <si>
    <t>Provador compacto de deslocamento unidirecional /</t>
  </si>
  <si>
    <t>FMD/ H46035(LL)1ABSJCIWES</t>
  </si>
  <si>
    <t>Flow Management Devices, LLC</t>
  </si>
  <si>
    <t>SKID (Consultar Riat)</t>
  </si>
  <si>
    <t>LMP 20SE0199</t>
  </si>
  <si>
    <t>180968.1</t>
  </si>
  <si>
    <t>pl.ok</t>
  </si>
  <si>
    <t>LMP 20SE0200</t>
  </si>
  <si>
    <t>180971.1</t>
  </si>
  <si>
    <t>LMP 20SE0201</t>
  </si>
  <si>
    <t>180954.1</t>
  </si>
  <si>
    <t>ST5491E-021- 0020- 00</t>
  </si>
  <si>
    <t>CSA 1044231 (LR 49334)</t>
  </si>
  <si>
    <t>LMP 20SE0202</t>
  </si>
  <si>
    <t>180947.1</t>
  </si>
  <si>
    <t>Monitor de Válvula</t>
  </si>
  <si>
    <t>Wuxi Aphe Flow Smart Controls Maker Co.,Ltd</t>
  </si>
  <si>
    <t>LMP 20SE0203</t>
  </si>
  <si>
    <t>180978.1</t>
  </si>
  <si>
    <t>Sensor Optoeletronico</t>
  </si>
  <si>
    <t>RL36-55-Ex (PN: 106531)</t>
  </si>
  <si>
    <t>PTB01ATEX2184X</t>
  </si>
  <si>
    <t>LMP 20SE0204</t>
  </si>
  <si>
    <t>180979.1</t>
  </si>
  <si>
    <t>RC15-14-N3 (PN: 051667)</t>
  </si>
  <si>
    <t>LMP 20SE0205</t>
  </si>
  <si>
    <t>180980.1</t>
  </si>
  <si>
    <t>UC4000-30GM-IU-V1-HA (PN: 094529)</t>
  </si>
  <si>
    <t>WYMV.E199034 (UL)</t>
  </si>
  <si>
    <t>LMP 20SE0206</t>
  </si>
  <si>
    <t>180981.1</t>
  </si>
  <si>
    <t>LMP 20SE0207</t>
  </si>
  <si>
    <t>180976.1</t>
  </si>
  <si>
    <t>DIS82.IEHVNNAAX</t>
  </si>
  <si>
    <t xml:space="preserve">IECEX DEK 14.0075X </t>
  </si>
  <si>
    <t>LMP 20SE0208</t>
  </si>
  <si>
    <t>180977.1</t>
  </si>
  <si>
    <t>Transmissor de Nível Capacitivo</t>
  </si>
  <si>
    <t>CL63.DIFSDHDNAX</t>
  </si>
  <si>
    <t>LMP 20SE0209</t>
  </si>
  <si>
    <t>181057.1</t>
  </si>
  <si>
    <t>PS64.IEGGUJHXANXXM / PS64.IEUTDBHXANXXM</t>
  </si>
  <si>
    <t>J.P.C / WA</t>
  </si>
  <si>
    <t>LMP 20SE0210</t>
  </si>
  <si>
    <t>181077.1</t>
  </si>
  <si>
    <t>Medidor de Nível</t>
  </si>
  <si>
    <t>PS64.IEGGIIHXAQKXX</t>
  </si>
  <si>
    <t>LMP 20SE0211</t>
  </si>
  <si>
    <t>181047.1</t>
  </si>
  <si>
    <t xml:space="preserve">Transmissor de Nível tipo Radar </t>
  </si>
  <si>
    <t>PS63.DINAIFDNXX</t>
  </si>
  <si>
    <t>LMP 20SE0212</t>
  </si>
  <si>
    <t>181146.1</t>
  </si>
  <si>
    <t>SWING61.CINBVXNNX; SWING61.CINBVXNNL; SWING63.CIAPVTUN; SWING63.CIGBVXUN</t>
  </si>
  <si>
    <t>LMP 20SE0213</t>
  </si>
  <si>
    <t>180984.1</t>
  </si>
  <si>
    <t xml:space="preserve">Medidor Servo Operado </t>
  </si>
  <si>
    <t>BJLM- 80H</t>
  </si>
  <si>
    <t>Joyo M&amp;C Technology Co., LTD.</t>
  </si>
  <si>
    <t>CCRI 19 .1317</t>
  </si>
  <si>
    <t>LMP 20SE0214X</t>
  </si>
  <si>
    <t>180996.1</t>
  </si>
  <si>
    <t xml:space="preserve">Transformador isolado com separador de corrente alimentado por circuito </t>
  </si>
  <si>
    <t>LMP 20SE0215</t>
  </si>
  <si>
    <t>180996.2</t>
  </si>
  <si>
    <t xml:space="preserve"> LFL1-CK-N-PUR3  (PN: 304095)</t>
  </si>
  <si>
    <t>LMP 20SE0216X</t>
  </si>
  <si>
    <t>180996.3</t>
  </si>
  <si>
    <t>KFD2-CD-EX1.32 (PN: 104204)</t>
  </si>
  <si>
    <t>LMP 20SE0217X</t>
  </si>
  <si>
    <t>180996.4</t>
  </si>
  <si>
    <t>SM1PHWEXPF01  (PN: 70110933)</t>
  </si>
  <si>
    <t>LMP 20SE0218</t>
  </si>
  <si>
    <t>180992.1</t>
  </si>
  <si>
    <t>Conector PC</t>
  </si>
  <si>
    <t xml:space="preserve">  PCL45USB</t>
  </si>
  <si>
    <t>TÜV 99 ATEX 1390</t>
  </si>
  <si>
    <t>LMP 20SE0219</t>
  </si>
  <si>
    <t>TBrTech</t>
  </si>
  <si>
    <t>180990.1</t>
  </si>
  <si>
    <t>Invólucro do sensor</t>
  </si>
  <si>
    <t>BA72342-10-03</t>
  </si>
  <si>
    <t>CSA 1470153</t>
  </si>
  <si>
    <t>Verificar</t>
  </si>
  <si>
    <t>LMP 20SE0220</t>
  </si>
  <si>
    <t>180993.1</t>
  </si>
  <si>
    <t xml:space="preserve">Sensor óptico </t>
  </si>
  <si>
    <t xml:space="preserve"> MiniVLS</t>
  </si>
  <si>
    <t>Compact Instruments Limited</t>
  </si>
  <si>
    <t>LMP 20SE0221X</t>
  </si>
  <si>
    <t>180997.1</t>
  </si>
  <si>
    <t xml:space="preserve">Detector de gás digital </t>
  </si>
  <si>
    <t xml:space="preserve"> UD10S5M25W2C</t>
  </si>
  <si>
    <t>IECEx FMG 08.0010X</t>
  </si>
  <si>
    <t>LMP 20SE0222X</t>
  </si>
  <si>
    <t>180998.1</t>
  </si>
  <si>
    <t>VR 70085-1010-330-20G</t>
  </si>
  <si>
    <t>LMP 20SE0223X</t>
  </si>
  <si>
    <t>180999.1</t>
  </si>
  <si>
    <t>Módulo temporizador eletrônico</t>
  </si>
  <si>
    <t xml:space="preserve">  ETM-IS31- 001</t>
  </si>
  <si>
    <t>31/09/2020</t>
  </si>
  <si>
    <t>LMP 20SE0224</t>
  </si>
  <si>
    <t>Nengezer</t>
  </si>
  <si>
    <t>181005.1</t>
  </si>
  <si>
    <t xml:space="preserve">Gas Detectors </t>
  </si>
  <si>
    <t>GTD-2000Ex, GTD-2000Tx &amp; GIR-3000</t>
  </si>
  <si>
    <t>Gastron Co.Limited
23, Gunpocheomdansaneop 1-ro Gunpo-Si Gyeonggi-Do 15881 - Republic of Korea</t>
  </si>
  <si>
    <t>LMP 20SE0225X</t>
  </si>
  <si>
    <t>181008.1</t>
  </si>
  <si>
    <t>TELEDYNE</t>
  </si>
  <si>
    <t>LMP 20SE0226</t>
  </si>
  <si>
    <t>Transmissor de Umidade Hygro-Pro</t>
  </si>
  <si>
    <t>HygroPro-1-2-W-1-0-1-0-0</t>
  </si>
  <si>
    <t>GE Infrastructure Sensing Incorporated</t>
  </si>
  <si>
    <t>LMP 20SE0227</t>
  </si>
  <si>
    <t>180948.1</t>
  </si>
  <si>
    <t>RXDHMAJ20EA1A5</t>
  </si>
  <si>
    <t>Venture Measurement Company LLC -
150 Venture Blvd - Spartanburg, South Carolina 29305 USA</t>
  </si>
  <si>
    <t>E27764-20140724</t>
  </si>
  <si>
    <t>LMP 20SE0228X</t>
  </si>
  <si>
    <t>180982.1</t>
  </si>
  <si>
    <t xml:space="preserve">Encoder Absoluto </t>
  </si>
  <si>
    <t xml:space="preserve"> AX71/ 1212EK.42DPB-F0</t>
  </si>
  <si>
    <t>Hengstler GmbH
Uhlandstrasse 49 78554 Aldingen - Germany</t>
  </si>
  <si>
    <t>LMP 20SE0229</t>
  </si>
  <si>
    <t>AMJ</t>
  </si>
  <si>
    <t xml:space="preserve">Detector de fumaça fotoelétrico </t>
  </si>
  <si>
    <t xml:space="preserve"> SLR-E-IS</t>
  </si>
  <si>
    <t>Hochiki Europe</t>
  </si>
  <si>
    <t>LMP 20SE0230</t>
  </si>
  <si>
    <t>Danke</t>
  </si>
  <si>
    <t>180937.1</t>
  </si>
  <si>
    <t>LMP 20SE0231</t>
  </si>
  <si>
    <t>181020.1</t>
  </si>
  <si>
    <t xml:space="preserve">Ponto de chamada manual </t>
  </si>
  <si>
    <t xml:space="preserve"> BF-502/EX</t>
  </si>
  <si>
    <t>LMP 20SE0232</t>
  </si>
  <si>
    <t>181016.1</t>
  </si>
  <si>
    <t xml:space="preserve">Calibrador do Processo </t>
  </si>
  <si>
    <t>Fluke 725EX</t>
  </si>
  <si>
    <t xml:space="preserve">Martel Electronics Corp. </t>
  </si>
  <si>
    <t>CSA: 1573266</t>
  </si>
  <si>
    <t>LMP 20SE0233X</t>
  </si>
  <si>
    <t>1F Comércio</t>
  </si>
  <si>
    <t>180853.1</t>
  </si>
  <si>
    <t>TRANSMISSOR DE VIBRAÇÃO</t>
  </si>
  <si>
    <t>HS-420I0250201</t>
  </si>
  <si>
    <t>LMP 20SE0234X</t>
  </si>
  <si>
    <t>181019.1</t>
  </si>
  <si>
    <t>LMP 20SE0235</t>
  </si>
  <si>
    <t>181019.2</t>
  </si>
  <si>
    <t>LMP 20SE0236</t>
  </si>
  <si>
    <t>181019.3</t>
  </si>
  <si>
    <t>KFD2-SRA-EX4</t>
  </si>
  <si>
    <t>LMP 20SE0237</t>
  </si>
  <si>
    <t>181019.4</t>
  </si>
  <si>
    <t>LMP 20SE0238X</t>
  </si>
  <si>
    <t>181025.1</t>
  </si>
  <si>
    <t xml:space="preserve">Chave de vibração </t>
  </si>
  <si>
    <t>CS/INVR-366L/ EURO366-D2H1EFXX</t>
  </si>
  <si>
    <t>Dynamin Srl</t>
  </si>
  <si>
    <t>IECEx CES 10.0018X</t>
  </si>
  <si>
    <t>LMP 20SE0239X</t>
  </si>
  <si>
    <t>181026.1</t>
  </si>
  <si>
    <t xml:space="preserve">Detector de gás </t>
  </si>
  <si>
    <t>BS03</t>
  </si>
  <si>
    <t>Henan Hanwei Electronics Corp. Ltd.</t>
  </si>
  <si>
    <t>Nemko 07ATEX1205X</t>
  </si>
  <si>
    <t>LMP 20SE0240X</t>
  </si>
  <si>
    <t>181033.1</t>
  </si>
  <si>
    <t xml:space="preserve"> Pressure Modules </t>
  </si>
  <si>
    <t>LMP 20SE0241</t>
  </si>
  <si>
    <t>181032.1</t>
  </si>
  <si>
    <t>SCOUT100</t>
  </si>
  <si>
    <t>LMP 20SE0242</t>
  </si>
  <si>
    <t>181035.1</t>
  </si>
  <si>
    <t xml:space="preserve"> ST5484E-121-0032-00</t>
  </si>
  <si>
    <t>Metrix Instrument Company</t>
  </si>
  <si>
    <t>LO/WA</t>
  </si>
  <si>
    <t>LMP 20SE0243</t>
  </si>
  <si>
    <t>181036.1</t>
  </si>
  <si>
    <t xml:space="preserve">Trena eletrônica portátil </t>
  </si>
  <si>
    <t>Utimeter OTEX – MOUTIPLSTD35BA</t>
  </si>
  <si>
    <t>Enraf Tanksystem AS.</t>
  </si>
  <si>
    <t>LMP 20SE0244</t>
  </si>
  <si>
    <t>181037.1</t>
  </si>
  <si>
    <t>ETM-IS31- 001</t>
  </si>
  <si>
    <t>LMP 20SE0245</t>
  </si>
  <si>
    <t>181041.1</t>
  </si>
  <si>
    <t xml:space="preserve"> 86517-01-01-01-01</t>
  </si>
  <si>
    <t>CSA 2216285</t>
  </si>
  <si>
    <t>LMP 20SE0246</t>
  </si>
  <si>
    <t>181041.2</t>
  </si>
  <si>
    <t xml:space="preserve"> 86517-01-01-01-02</t>
  </si>
  <si>
    <t>LMP 20SE0247</t>
  </si>
  <si>
    <t xml:space="preserve">Krohne </t>
  </si>
  <si>
    <t>181042.1</t>
  </si>
  <si>
    <t>Optiswitch 5200C-VF11DAACVXUR</t>
  </si>
  <si>
    <t>LMP 20SE0248</t>
  </si>
  <si>
    <t>181043.1</t>
  </si>
  <si>
    <t>LMP 20SE0249X</t>
  </si>
  <si>
    <t>180949.1</t>
  </si>
  <si>
    <t>Indicating light for panel mounting</t>
  </si>
  <si>
    <t xml:space="preserve"> types 8013/3.1-..and 8013/3.3-..- utilizado para a Reposição e/ou Manutenção</t>
  </si>
  <si>
    <t>LMP 20SE0250X</t>
  </si>
  <si>
    <t>181053.1</t>
  </si>
  <si>
    <t>LMP 20SE0251</t>
  </si>
  <si>
    <t>181054.1</t>
  </si>
  <si>
    <t xml:space="preserve">Barreira Isoladora Galvânica </t>
  </si>
  <si>
    <t>KCD2-STC-EX1.ES (PN: 322426)</t>
  </si>
  <si>
    <t>CESI 10 ATEX 071</t>
  </si>
  <si>
    <t>22//10/2020</t>
  </si>
  <si>
    <t>LMP 20SE0252X</t>
  </si>
  <si>
    <t>181054.2</t>
  </si>
  <si>
    <t>Dispositivo de retransmissão</t>
  </si>
  <si>
    <t xml:space="preserve"> KFD0-RO-Ex2 (PN: 038975)</t>
  </si>
  <si>
    <t>TÜV 00 ATEX 1621X</t>
  </si>
  <si>
    <t>LMP 20SE0253X</t>
  </si>
  <si>
    <t>181063.1</t>
  </si>
  <si>
    <t>RJ15-14-N (PN: 106555)
RC15-14-N3-Y187458 (PN: 187458)</t>
  </si>
  <si>
    <t>WA/LO</t>
  </si>
  <si>
    <t>LMP 20SE0254X</t>
  </si>
  <si>
    <t>181064.1</t>
  </si>
  <si>
    <t>RL36-55-Ex/40b/116 (PN: 106531)</t>
  </si>
  <si>
    <t>LMP 20SE0255X</t>
  </si>
  <si>
    <t>181013.1</t>
  </si>
  <si>
    <t>GHG5114306R3906</t>
  </si>
  <si>
    <t>PTB 00 ATEX 1032X</t>
  </si>
  <si>
    <t>LMP 20SE0256</t>
  </si>
  <si>
    <t>181066.1</t>
  </si>
  <si>
    <t>Plugue e Tomada</t>
  </si>
  <si>
    <t>GHG59222001R0002</t>
  </si>
  <si>
    <t>LMP 20SE0257X</t>
  </si>
  <si>
    <t>181074.1</t>
  </si>
  <si>
    <t xml:space="preserve">Sensor de nível modelo </t>
  </si>
  <si>
    <t>AL-ADF-RV1,5"-VUUU-L305/12-V44A; AF-ADF-FV2"/150/RF-VK10/T15-L1.350/14-V44R; AF-ADF-FV2"/150/RF-VK18/T15-L2.450/14-V44R (S/N:110EHPEI, 110EIISD, 110EIISE, 110EGS6N, 110EGS6M)</t>
  </si>
  <si>
    <t>LMP 20SE0258 X</t>
  </si>
  <si>
    <t>LMP 20SE0259</t>
  </si>
  <si>
    <t>181085.1</t>
  </si>
  <si>
    <t xml:space="preserve">Portable Hygrometer </t>
  </si>
  <si>
    <t>Type PM880</t>
  </si>
  <si>
    <t>GE Panametrics Inc.</t>
  </si>
  <si>
    <t>RR</t>
  </si>
  <si>
    <t>CSA-1506310</t>
  </si>
  <si>
    <t>LMP 20SE0260</t>
  </si>
  <si>
    <t>181086.1</t>
  </si>
  <si>
    <t>LMP 20SE0261</t>
  </si>
  <si>
    <t>181078.1</t>
  </si>
  <si>
    <t>Chaves de controle de choque / vibração</t>
  </si>
  <si>
    <t>Murphy Production Controls</t>
  </si>
  <si>
    <t>CSA-80028437</t>
  </si>
  <si>
    <t>LMP 20SE0262</t>
  </si>
  <si>
    <t>181083.1</t>
  </si>
  <si>
    <t>Model CWT-9020 Corrater Wireless Transmitter - P/N 748400 (748412 rev C)</t>
  </si>
  <si>
    <t>IECEx SIR 12.0059</t>
  </si>
  <si>
    <t>LMP 20SE0263X</t>
  </si>
  <si>
    <t>181079.1</t>
  </si>
  <si>
    <t>Chave limitadora</t>
  </si>
  <si>
    <t>07--2511</t>
  </si>
  <si>
    <t>LMP 20SE0264X</t>
  </si>
  <si>
    <t>181079.2</t>
  </si>
  <si>
    <t>Caixa de ligação</t>
  </si>
  <si>
    <t>GR.TBE.13.18.09.B-C23584</t>
  </si>
  <si>
    <t>IECEx CML 17.0144X</t>
  </si>
  <si>
    <t>LMP 20SE0265X</t>
  </si>
  <si>
    <t>181079.3</t>
  </si>
  <si>
    <t xml:space="preserve">Sensor de luz </t>
  </si>
  <si>
    <t>MinVLS</t>
  </si>
  <si>
    <t>IECEx SIR 13.0099X</t>
  </si>
  <si>
    <t>LMP 20SE0266X</t>
  </si>
  <si>
    <t>181093.1</t>
  </si>
  <si>
    <t xml:space="preserve">Transmissores de Temperatura </t>
  </si>
  <si>
    <t xml:space="preserve"> IPAQ C530X</t>
  </si>
  <si>
    <t>LMP 20SE0267X</t>
  </si>
  <si>
    <t>LMP 20SE0268</t>
  </si>
  <si>
    <t>LMP 20SE0269</t>
  </si>
  <si>
    <t>181096.1</t>
  </si>
  <si>
    <t>Isolation Amplifier</t>
  </si>
  <si>
    <t>KFD2-SRA-EX4 (PN: 190176)</t>
  </si>
  <si>
    <t>LMP 20SE0270</t>
  </si>
  <si>
    <t>181096.2</t>
  </si>
  <si>
    <t>Fieldbus Diagnostic Handheld</t>
  </si>
  <si>
    <t>FDH-1 (PN: 250382)</t>
  </si>
  <si>
    <t>ZELM14ATEX0531</t>
  </si>
  <si>
    <t>LMP 20SE0271X</t>
  </si>
  <si>
    <t>181081.1</t>
  </si>
  <si>
    <t xml:space="preserve">Módulo de Interface do Acelerômetro </t>
  </si>
  <si>
    <t>LMP 20SE0272</t>
  </si>
  <si>
    <t>181102.1</t>
  </si>
  <si>
    <t xml:space="preserve"> Type PM880 (referência Bently WF – 212156154)</t>
  </si>
  <si>
    <t>LMP 20SE0273</t>
  </si>
  <si>
    <t>LMP 20SE0274</t>
  </si>
  <si>
    <t>181110.1</t>
  </si>
  <si>
    <t>Sensores Namur</t>
  </si>
  <si>
    <t>MC60-12GM50-1N</t>
  </si>
  <si>
    <t>TÜV 01 ATEX 1718</t>
  </si>
  <si>
    <t>LMP 20SE0275</t>
  </si>
  <si>
    <t>181104.1</t>
  </si>
  <si>
    <t>PS64.IEGGJIHXANKXX</t>
  </si>
  <si>
    <t>LMP 20SE0276</t>
  </si>
  <si>
    <t>181099.1</t>
  </si>
  <si>
    <t>44506F0001 - PM09HA039</t>
  </si>
  <si>
    <t xml:space="preserve">ANDERSON INSTRUMENT CO INC </t>
  </si>
  <si>
    <t>UL FILE: E183557 - CCN: WYMV</t>
  </si>
  <si>
    <t>LMP 20SE0277X</t>
  </si>
  <si>
    <t>181107.1</t>
  </si>
  <si>
    <t xml:space="preserve">Differential Pressure Switch (Interruptores integrados à prova de explosão) </t>
  </si>
  <si>
    <t>1950G Série</t>
  </si>
  <si>
    <t xml:space="preserve"> IECEx UL 119.0045X</t>
  </si>
  <si>
    <t>LMP 20SE0278</t>
  </si>
  <si>
    <t>Technopetro Maquinas e Automacao Industrial</t>
  </si>
  <si>
    <t>181103.1</t>
  </si>
  <si>
    <t xml:space="preserve">Sist. pressurização e/ou purga </t>
  </si>
  <si>
    <t>R.Stahl Schaltgerate GmbH</t>
  </si>
  <si>
    <t>TUV 06 ATEX 553116</t>
  </si>
  <si>
    <t>LMP 20SE0279</t>
  </si>
  <si>
    <t>181114.1</t>
  </si>
  <si>
    <t>MX2030 (Series 10,000 Probe)</t>
  </si>
  <si>
    <t>Metrix Instrument Co</t>
  </si>
  <si>
    <t xml:space="preserve">Baseefa03ATEX0204 </t>
  </si>
  <si>
    <t>LMP 20SE0280</t>
  </si>
  <si>
    <t>181114.2</t>
  </si>
  <si>
    <t xml:space="preserve"> MX2030 (Series 10,000 Probe)</t>
  </si>
  <si>
    <t>IECEx BAS 11.0066X issue 3</t>
  </si>
  <si>
    <t>LMP 20SE0281</t>
  </si>
  <si>
    <t>181114.3</t>
  </si>
  <si>
    <t xml:space="preserve">Sistema de Proximidade Digital (DPS) </t>
  </si>
  <si>
    <t>MX2034 (Digital Proximity Systems)</t>
  </si>
  <si>
    <t>IECEx BAS 12.0033X issue 1</t>
  </si>
  <si>
    <t>LMP 20SE0282</t>
  </si>
  <si>
    <t>Nengenzer</t>
  </si>
  <si>
    <t xml:space="preserve">I/P-converter </t>
  </si>
  <si>
    <t xml:space="preserve"> Doc. 900771 </t>
  </si>
  <si>
    <t xml:space="preserve">ABB Automation Products GmbH </t>
  </si>
  <si>
    <t>RP/FL</t>
  </si>
  <si>
    <t xml:space="preserve"> BVS 02 ATEX E 121 X</t>
  </si>
  <si>
    <t>LMP 20SE0283</t>
  </si>
  <si>
    <t>TECNOSET</t>
  </si>
  <si>
    <t>181112.1</t>
  </si>
  <si>
    <t>Computadores portáteis</t>
  </si>
  <si>
    <t>HONEYWELL INTERNATIONAL INC</t>
  </si>
  <si>
    <t>20170613-E103264</t>
  </si>
  <si>
    <t>LMP 20SE0284X</t>
  </si>
  <si>
    <t>181117.1</t>
  </si>
  <si>
    <t xml:space="preserve"> E-10 ; 0 ... 16 bar; 4 ... 20 mA, 2 fios (S/N:110EIQV4)</t>
  </si>
  <si>
    <t>H/S</t>
  </si>
  <si>
    <t xml:space="preserve"> KEMA 05 ATEX 2240 X</t>
  </si>
  <si>
    <t>LMP 20SE0285</t>
  </si>
  <si>
    <t>RT SISTEMAS</t>
  </si>
  <si>
    <t>181127.1</t>
  </si>
  <si>
    <t>Módulo Temporizador Eletrônico</t>
  </si>
  <si>
    <t xml:space="preserve">Expo Technologies Ltd </t>
  </si>
  <si>
    <t>LMP 20SE0286</t>
  </si>
  <si>
    <t>181108.1</t>
  </si>
  <si>
    <t>Chave de Nível tipo Vibratória</t>
  </si>
  <si>
    <t>VB61.CXAGDZKMX</t>
  </si>
  <si>
    <t>PTB 04 ATEX 2035 X</t>
  </si>
  <si>
    <t>LMP 20SE0287</t>
  </si>
  <si>
    <t>181061.1</t>
  </si>
  <si>
    <t>GE Infrastructure Sensing, Inc</t>
  </si>
  <si>
    <t>LMP 20SE0288X</t>
  </si>
  <si>
    <t xml:space="preserve">Cabeça do Sensor </t>
  </si>
  <si>
    <t>LMP 20SE0289X</t>
  </si>
  <si>
    <t>181135.1</t>
  </si>
  <si>
    <t xml:space="preserve">Medidor de Vazão Ultrassônico de Gás </t>
  </si>
  <si>
    <t xml:space="preserve">ALTOSONIC V12 </t>
  </si>
  <si>
    <t xml:space="preserve">Krohne Altometer </t>
  </si>
  <si>
    <t xml:space="preserve">FTZÚ 18 ATEX 0007X </t>
  </si>
  <si>
    <t>LMP 20SE0290</t>
  </si>
  <si>
    <t>181105.1</t>
  </si>
  <si>
    <t xml:space="preserve"> KFD2-RCI-Ex1</t>
  </si>
  <si>
    <t>CESI 09 ATEX 037</t>
  </si>
  <si>
    <t>LMP 20SE0291X</t>
  </si>
  <si>
    <t>181109.1</t>
  </si>
  <si>
    <t>LMP 20SE0292</t>
  </si>
  <si>
    <t>181141.1.A2</t>
  </si>
  <si>
    <t xml:space="preserve">Sensor e Transmissor de gás tóxico </t>
  </si>
  <si>
    <t>GDS 10-0248</t>
  </si>
  <si>
    <t>Global Detection Systems Corp</t>
  </si>
  <si>
    <t>CSA INTERNACIONAL 4828-02</t>
  </si>
  <si>
    <t>181141.1.A1</t>
  </si>
  <si>
    <t>181141.1</t>
  </si>
  <si>
    <t>LMP 20SE0293</t>
  </si>
  <si>
    <t>LMP 20SE0294X</t>
  </si>
  <si>
    <t>181080.1</t>
  </si>
  <si>
    <t>LMP 20SE0295</t>
  </si>
  <si>
    <t>INSTRUCAMP</t>
  </si>
  <si>
    <t>Conjunto Monitor de Posição</t>
  </si>
  <si>
    <t>45VD6-B</t>
  </si>
  <si>
    <t xml:space="preserve">Dwyer Instruments, Inc </t>
  </si>
  <si>
    <t>KEMA 03ATEX2391 X</t>
  </si>
  <si>
    <t>LMP 20SE0296</t>
  </si>
  <si>
    <t>181130.1</t>
  </si>
  <si>
    <t xml:space="preserve">Barreira de Isolação Galvânica </t>
  </si>
  <si>
    <t>KFD0-CS-EX2.52 (PN: 183893)</t>
  </si>
  <si>
    <t xml:space="preserve">PEPPERL + FUCHS SE </t>
  </si>
  <si>
    <t>IECEx_BAS_08.0059_002</t>
  </si>
  <si>
    <t>LMP 20SE0297</t>
  </si>
  <si>
    <t>181130.2</t>
  </si>
  <si>
    <t>KFD2-SCD-EX1.LK</t>
  </si>
  <si>
    <t>BAS02ATEX7215</t>
  </si>
  <si>
    <t>LMP 20SE0298</t>
  </si>
  <si>
    <t>181130.3</t>
  </si>
  <si>
    <t xml:space="preserve">Leitor de código de barras e RFID portátil  </t>
  </si>
  <si>
    <t>EPS 16 ATEX 1 017</t>
  </si>
  <si>
    <t>LMP 20SE0299</t>
  </si>
  <si>
    <t>181150.1</t>
  </si>
  <si>
    <t>LMP 20SE0300X</t>
  </si>
  <si>
    <t>181120.1</t>
  </si>
  <si>
    <t xml:space="preserve">Ponto de Chamada Manual </t>
  </si>
  <si>
    <t>BF-503/EX/0500</t>
  </si>
  <si>
    <t>LMP 20SE0301X</t>
  </si>
  <si>
    <t>CATHELCO</t>
  </si>
  <si>
    <t>181120.2</t>
  </si>
  <si>
    <t>Detector de Calor Pontual</t>
  </si>
  <si>
    <t>LMP 20SE0302X</t>
  </si>
  <si>
    <t>181120.3</t>
  </si>
  <si>
    <t xml:space="preserve">UNIDADE DE ENTRADA COM SELFVERIFY </t>
  </si>
  <si>
    <t>BN-505/EXD</t>
  </si>
  <si>
    <t>IECEx PRE 17.0018X</t>
  </si>
  <si>
    <t>LMP 20SE0306</t>
  </si>
  <si>
    <t>181151.1</t>
  </si>
  <si>
    <t>26/112020</t>
  </si>
  <si>
    <t>LMP 20SE0307</t>
  </si>
  <si>
    <t>181145.1</t>
  </si>
  <si>
    <t>B87.IDBCAXGCHXWINX</t>
  </si>
  <si>
    <t>LMP 20SE0308</t>
  </si>
  <si>
    <t>181145.2</t>
  </si>
  <si>
    <t>LMP 20SE0313</t>
  </si>
  <si>
    <t>SUPERQUIP</t>
  </si>
  <si>
    <t>181154.1.A1</t>
  </si>
  <si>
    <t xml:space="preserve">Atuador </t>
  </si>
  <si>
    <t>SPS-K</t>
  </si>
  <si>
    <t>Pro Control</t>
  </si>
  <si>
    <t>AA</t>
  </si>
  <si>
    <t>ATEX N° TD 0006I</t>
  </si>
  <si>
    <t>181154.1</t>
  </si>
  <si>
    <t>LMP 20SE0314</t>
  </si>
  <si>
    <t>E+Bros</t>
  </si>
  <si>
    <t>181090.1</t>
  </si>
  <si>
    <t>Medidor de nível de corrente magnetostritiva</t>
  </si>
  <si>
    <t>DELPHI</t>
  </si>
  <si>
    <t>ALISONIC srl</t>
  </si>
  <si>
    <t>1811/2020</t>
  </si>
  <si>
    <t>AR18ATEX105</t>
  </si>
  <si>
    <t>LMP 20SE0316X</t>
  </si>
  <si>
    <t>181152.1</t>
  </si>
  <si>
    <t>Detector de calor e unidade de interface</t>
  </si>
  <si>
    <t>BF-502/ EX BF-503/EX/0100 BF-501/EX</t>
  </si>
  <si>
    <t>LMP 20SE0318X</t>
  </si>
  <si>
    <t>181138.1</t>
  </si>
  <si>
    <t xml:space="preserve">Codificadores incrementais e absolutos </t>
  </si>
  <si>
    <t>RX70TI1024EK72IFK0</t>
  </si>
  <si>
    <t>LMP 20SE0319</t>
  </si>
  <si>
    <t>181159.1</t>
  </si>
  <si>
    <t>TRANSMISSOR DE VIBRAÇÃO SÍSMICA DE 2 FIOS</t>
  </si>
  <si>
    <t>VTS 162</t>
  </si>
  <si>
    <t xml:space="preserve">CSA 1441464 (49334) </t>
  </si>
  <si>
    <t>LMP 20SE0320</t>
  </si>
  <si>
    <t>181162.1</t>
  </si>
  <si>
    <t>Transmissor de Nível Inteligente</t>
  </si>
  <si>
    <t xml:space="preserve">FM 3004550 </t>
  </si>
  <si>
    <t>LMP 20SE0321</t>
  </si>
  <si>
    <t>MET E112070</t>
  </si>
  <si>
    <t>LMP 20SE0322X</t>
  </si>
  <si>
    <t>181158.2</t>
  </si>
  <si>
    <t>Válvula Reguladora (Go Regulator)</t>
  </si>
  <si>
    <t>HPR2</t>
  </si>
  <si>
    <t>Circor Energy</t>
  </si>
  <si>
    <t>TRL 03ATEX11001X</t>
  </si>
  <si>
    <t>LMP 20SE0323</t>
  </si>
  <si>
    <t>181165.1</t>
  </si>
  <si>
    <t>Transmissor de Fluxo de Massa de Dispersão Térmica</t>
  </si>
  <si>
    <t>TA2 Enhanced</t>
  </si>
  <si>
    <t>CSA 1253322</t>
  </si>
  <si>
    <t>LMP 20SE0324X</t>
  </si>
  <si>
    <t>UNITECH</t>
  </si>
  <si>
    <t>181168.1</t>
  </si>
  <si>
    <t>TX* Series Valve Position Indicators</t>
  </si>
  <si>
    <t>TXS-L2CGNPM (S/N: 201112153807)</t>
  </si>
  <si>
    <t>Topworx</t>
  </si>
  <si>
    <t>IECEx SIR 06.0054X</t>
  </si>
  <si>
    <t>LMP 20SE0326</t>
  </si>
  <si>
    <t>TACOMETRO DIGITAL</t>
  </si>
  <si>
    <t>SPD-100</t>
  </si>
  <si>
    <t xml:space="preserve">DYNALCO CONTROLS </t>
  </si>
  <si>
    <t>HS/FL</t>
  </si>
  <si>
    <t>LMP 20SE0327X</t>
  </si>
  <si>
    <t>181178.1</t>
  </si>
  <si>
    <t xml:space="preserve">Termômetro Digital Portátil </t>
  </si>
  <si>
    <t>HERMeticonecal TS13101</t>
  </si>
  <si>
    <t>Enraf Tanksystem SA</t>
  </si>
  <si>
    <t>FL/MP</t>
  </si>
  <si>
    <t>IECEX BAS 12.0031X</t>
  </si>
  <si>
    <t>LMP 20SE0328X</t>
  </si>
  <si>
    <t>181174.1</t>
  </si>
  <si>
    <t>E-10, E-11</t>
  </si>
  <si>
    <t>LMP 20SE0329</t>
  </si>
  <si>
    <t>181175.1</t>
  </si>
  <si>
    <t xml:space="preserve">Leitor portátil Bluetooth </t>
  </si>
  <si>
    <t>IDM-Z1-261-M-2DJ1-BT-N-N0</t>
  </si>
  <si>
    <t>LMP 20SE0330X</t>
  </si>
  <si>
    <t>181175.2</t>
  </si>
  <si>
    <t xml:space="preserve">Barreira de isolação </t>
  </si>
  <si>
    <t>KFD0-RO-EX2</t>
  </si>
  <si>
    <t>LMP 20SE0331X</t>
  </si>
  <si>
    <t>181092.1</t>
  </si>
  <si>
    <t>UL - 20040721-E33356</t>
  </si>
  <si>
    <t>LMP 20SE0332X</t>
  </si>
  <si>
    <t>181176.1</t>
  </si>
  <si>
    <t>Codificadores incrementais e absolutos</t>
  </si>
  <si>
    <t>RX70TI360EK72KFF0 e RX71TI4096EK72IEV0</t>
  </si>
  <si>
    <t>Hengstler GmbH </t>
  </si>
  <si>
    <t>LMP 20SE0333</t>
  </si>
  <si>
    <t>ALUTAL</t>
  </si>
  <si>
    <t>181177.1</t>
  </si>
  <si>
    <t xml:space="preserve">Chaves de Nível para Líquido Tipo Deslocador e Chaves Proof-er </t>
  </si>
  <si>
    <t>C15</t>
  </si>
  <si>
    <t>FM - 0J2A9.AF</t>
  </si>
  <si>
    <t>LMP 20SE0334X</t>
  </si>
  <si>
    <t>181173.1</t>
  </si>
  <si>
    <t>BF-501/EX; BF-503/EX/0100</t>
  </si>
  <si>
    <t>Autronica Fire and Security</t>
  </si>
  <si>
    <t>LMP 20SE0335X</t>
  </si>
  <si>
    <t>181173.2</t>
  </si>
  <si>
    <t>Unidade de entrada</t>
  </si>
  <si>
    <t>LMP 20SE0336</t>
  </si>
  <si>
    <t>181173.3</t>
  </si>
  <si>
    <t>Módulo PowerLoop</t>
  </si>
  <si>
    <t>Nemko 03 ATEX 222</t>
  </si>
  <si>
    <t>LMP 20SE0337</t>
  </si>
  <si>
    <t>181184.1</t>
  </si>
  <si>
    <t xml:space="preserve">Roto-Bin-Dicator (Chave de Nível) </t>
  </si>
  <si>
    <t>PROAXAJ20EA1A4</t>
  </si>
  <si>
    <t>LMP 20SE0338</t>
  </si>
  <si>
    <t>181188.1</t>
  </si>
  <si>
    <t xml:space="preserve"> F78MP0402G2A</t>
  </si>
  <si>
    <t>FM3058226</t>
  </si>
  <si>
    <t>LMP 20SE0339</t>
  </si>
  <si>
    <t>181189.1</t>
  </si>
  <si>
    <t>Chave de fim de curso</t>
  </si>
  <si>
    <t>LS</t>
  </si>
  <si>
    <t>LMP 20SE0340X</t>
  </si>
  <si>
    <t>180936.1</t>
  </si>
  <si>
    <t xml:space="preserve">Medidor Portátil </t>
  </si>
  <si>
    <t>GTEX; GTEX 2000</t>
  </si>
  <si>
    <t xml:space="preserve">Honeywell Process Solutions </t>
  </si>
  <si>
    <t>JPC/HS</t>
  </si>
  <si>
    <t>LMP 20SE0341</t>
  </si>
  <si>
    <t>181195.1</t>
  </si>
  <si>
    <t>Transmissor magnetostritivo Jupiter</t>
  </si>
  <si>
    <t>X241-MH00-100-OM-043</t>
  </si>
  <si>
    <t>LMP 20SE0342</t>
  </si>
  <si>
    <t>181196.1</t>
  </si>
  <si>
    <t xml:space="preserve">Transmissores Térmicos Aprimorados </t>
  </si>
  <si>
    <t>TA2</t>
  </si>
  <si>
    <t>LMP 20SE0343</t>
  </si>
  <si>
    <t>181204.1</t>
  </si>
  <si>
    <t>Chave de Vibração Sísmica</t>
  </si>
  <si>
    <t>SW6000-6331- 350</t>
  </si>
  <si>
    <t>Metrix Instrument</t>
  </si>
  <si>
    <t xml:space="preserve">CSA - 1123122 </t>
  </si>
  <si>
    <t>LMP 20SE0344X</t>
  </si>
  <si>
    <t>181204.2</t>
  </si>
  <si>
    <t>805-511-A10/8CA-4ADC-355</t>
  </si>
  <si>
    <t xml:space="preserve">FM - 3004550 </t>
  </si>
  <si>
    <t>LMP 20SE0345</t>
  </si>
  <si>
    <t>181204.3</t>
  </si>
  <si>
    <t>811-1206- E00/8CA-4A1A-020</t>
  </si>
  <si>
    <t xml:space="preserve">CSA - LR 57020-81 </t>
  </si>
  <si>
    <t>LMP 20SE0346</t>
  </si>
  <si>
    <t>181204.4</t>
  </si>
  <si>
    <t>Transmissor de Nível Magnetostritivo JUPITER</t>
  </si>
  <si>
    <t>JM4-510A-B11/2CH-001F-101-00- 134</t>
  </si>
  <si>
    <t>LMP 20SE0347</t>
  </si>
  <si>
    <t>181204.5</t>
  </si>
  <si>
    <t>Chave de Nível de Líquido</t>
  </si>
  <si>
    <t>/ T31-003A-B4A (Tuffy ll)</t>
  </si>
  <si>
    <t>CSA - 1099187</t>
  </si>
  <si>
    <t>LMP 20SE0351</t>
  </si>
  <si>
    <t>LMP 20SE0352</t>
  </si>
  <si>
    <t>LMP 20SE0353</t>
  </si>
  <si>
    <t>LMP 20SE0354</t>
  </si>
  <si>
    <t>LMP 20SE0355</t>
  </si>
  <si>
    <t>LMP 20SE0356</t>
  </si>
  <si>
    <t>LMP 20SE0357</t>
  </si>
  <si>
    <t>LMP 20SE0358</t>
  </si>
  <si>
    <t>LMP 20SE0359</t>
  </si>
  <si>
    <t>LMP 20SE0360</t>
  </si>
  <si>
    <t>LMP 20SE0361</t>
  </si>
  <si>
    <t>LMP 20SE0362</t>
  </si>
  <si>
    <t>LMP 20SE0363</t>
  </si>
  <si>
    <t>LMP 20SE0364</t>
  </si>
  <si>
    <t>LMP 20SE0365</t>
  </si>
  <si>
    <t>LMP 20SE0366</t>
  </si>
  <si>
    <t>LMP 20SE0367</t>
  </si>
  <si>
    <t>LMP 20SE0368</t>
  </si>
  <si>
    <t>LMP 20SE0369</t>
  </si>
  <si>
    <t>LMP 20SE0370</t>
  </si>
  <si>
    <t>LMP 20SE0371</t>
  </si>
  <si>
    <t>LMP 20SE0372</t>
  </si>
  <si>
    <t>LMP 20SE0373</t>
  </si>
  <si>
    <t>LMP 20SE0374</t>
  </si>
  <si>
    <t>LMP 20SE0375</t>
  </si>
  <si>
    <t>LMP 20SE0376</t>
  </si>
  <si>
    <t>LMP 20SE0377</t>
  </si>
  <si>
    <t>LMP 20SE0378</t>
  </si>
  <si>
    <t>LMP 20SE0379</t>
  </si>
  <si>
    <t>LMP 20SE0380</t>
  </si>
  <si>
    <t>LMP 20SE0381</t>
  </si>
  <si>
    <t>LMP 19SE0001</t>
  </si>
  <si>
    <t>180233.1</t>
  </si>
  <si>
    <t>Acionador de alarme de incêndio</t>
  </si>
  <si>
    <t>CP830Exn</t>
  </si>
  <si>
    <t>BR</t>
  </si>
  <si>
    <t>MC</t>
  </si>
  <si>
    <t>Baseefa 05ATEX0155X</t>
  </si>
  <si>
    <t>02 2019</t>
  </si>
  <si>
    <t>LMP 19SE0002</t>
  </si>
  <si>
    <t>CF Sistemas</t>
  </si>
  <si>
    <t>180203.1</t>
  </si>
  <si>
    <t xml:space="preserve">Detector de Chama </t>
  </si>
  <si>
    <t>Talentum 16000</t>
  </si>
  <si>
    <t>FFE Ltd</t>
  </si>
  <si>
    <t>IECEx BAS 08.0073</t>
  </si>
  <si>
    <t>LMP 19SE0003</t>
  </si>
  <si>
    <t>180141.1</t>
  </si>
  <si>
    <t>EASIDEW I.S</t>
  </si>
  <si>
    <t>Michell Instruments Limited</t>
  </si>
  <si>
    <t>VC</t>
  </si>
  <si>
    <t>IECEx/BAS/06.0090X</t>
  </si>
  <si>
    <t>01 2019</t>
  </si>
  <si>
    <t>LMP 19SE0004</t>
  </si>
  <si>
    <t>180240.1</t>
  </si>
  <si>
    <t xml:space="preserve">Conversor de sinal </t>
  </si>
  <si>
    <t>ESK2A</t>
  </si>
  <si>
    <t>Krohne Messtechnik GmbH</t>
  </si>
  <si>
    <t>Rafael Quintiniano</t>
  </si>
  <si>
    <t>LMP 19SE0005</t>
  </si>
  <si>
    <t>180249.1</t>
  </si>
  <si>
    <t xml:space="preserve">Isolador de Resistencia </t>
  </si>
  <si>
    <t>MTL 5582</t>
  </si>
  <si>
    <t xml:space="preserve">IECEx BAS 10.0109 </t>
  </si>
  <si>
    <t>LMP 19SE0006</t>
  </si>
  <si>
    <t>180249.2</t>
  </si>
  <si>
    <t>Dispositivo de proteção contra surto</t>
  </si>
  <si>
    <t>TP48-N-NDI</t>
  </si>
  <si>
    <t>MTL Instrumentos PVT Limited</t>
  </si>
  <si>
    <t>IECEx BAS 07.0045X</t>
  </si>
  <si>
    <t>LMP 19SE0007</t>
  </si>
  <si>
    <t>180249.3</t>
  </si>
  <si>
    <t xml:space="preserve">Dispositivo de proteção contra surto </t>
  </si>
  <si>
    <t>IECEx BAS 15.0056X</t>
  </si>
  <si>
    <t>LMP 19SE0010</t>
  </si>
  <si>
    <t>180198.1</t>
  </si>
  <si>
    <t>Barreira de diodo zener</t>
  </si>
  <si>
    <t>MTL7722+</t>
  </si>
  <si>
    <t>LMP 19SE0011</t>
  </si>
  <si>
    <t>180253.3</t>
  </si>
  <si>
    <t>Indicador de loop</t>
  </si>
  <si>
    <t>MTL 662</t>
  </si>
  <si>
    <t>MTL</t>
  </si>
  <si>
    <t>IECEx KEM 08.0008X</t>
  </si>
  <si>
    <t>LMP 19SE0012</t>
  </si>
  <si>
    <t>180253.2</t>
  </si>
  <si>
    <t>Drive de isolação de canal único</t>
  </si>
  <si>
    <t>MTL 4546S</t>
  </si>
  <si>
    <t xml:space="preserve">MTL Electric Limited </t>
  </si>
  <si>
    <t>IECEx BAS 06.0035</t>
  </si>
  <si>
    <t>LMP 19SE0013</t>
  </si>
  <si>
    <t>180255.1</t>
  </si>
  <si>
    <t>FM 3032537</t>
  </si>
  <si>
    <t>LMP 19SE0014</t>
  </si>
  <si>
    <t>Medikron</t>
  </si>
  <si>
    <t>180250.1</t>
  </si>
  <si>
    <t xml:space="preserve">Transmissor de nível tipo radar  </t>
  </si>
  <si>
    <t>LMP 19SE0015</t>
  </si>
  <si>
    <t>180256.1</t>
  </si>
  <si>
    <t>Transmissor de Nível de Radar Guiado</t>
  </si>
  <si>
    <t>OPTIFLEX 1300 C</t>
  </si>
  <si>
    <t>Krohne S.A.S.</t>
  </si>
  <si>
    <t>KEMA 04ATEX1219 X</t>
  </si>
  <si>
    <t>LMP 19SE0016</t>
  </si>
  <si>
    <t>180253.1</t>
  </si>
  <si>
    <t xml:space="preserve">Isolador de Comunicações de Dados Serial </t>
  </si>
  <si>
    <t xml:space="preserve">MTL 5051 </t>
  </si>
  <si>
    <t>IECEx BAS 05.0021</t>
  </si>
  <si>
    <t>LMP 19SE0017</t>
  </si>
  <si>
    <t>180251.1</t>
  </si>
  <si>
    <t xml:space="preserve"> IPAQ C520X/C520XS</t>
  </si>
  <si>
    <t>MTL Instruments Pvt limited</t>
  </si>
  <si>
    <t>LMP 19SE0018</t>
  </si>
  <si>
    <t>180251.2</t>
  </si>
  <si>
    <t>IPAQ R520X</t>
  </si>
  <si>
    <t>MESO</t>
  </si>
  <si>
    <t>IECEx KIWA 14.0010X</t>
  </si>
  <si>
    <t>LMP 19SE0019</t>
  </si>
  <si>
    <t>180232.1</t>
  </si>
  <si>
    <t xml:space="preserve">Unidade de Bombeamento </t>
  </si>
  <si>
    <t>Dia-Vac R222-FT-NE3</t>
  </si>
  <si>
    <t>Air Dimensions Incorporsted - USA</t>
  </si>
  <si>
    <t>Ver tabela 1 certificado</t>
  </si>
  <si>
    <t>LMP 19SE0028</t>
  </si>
  <si>
    <t>180264.1</t>
  </si>
  <si>
    <t xml:space="preserve">Caixa de Ligação </t>
  </si>
  <si>
    <t>07-5311-****/****, 07-5312-****/****</t>
  </si>
  <si>
    <t>JOEZ</t>
  </si>
  <si>
    <t>IECEx EPS 18.0033X</t>
  </si>
  <si>
    <t>LMP 19SE0029</t>
  </si>
  <si>
    <t>180274.1</t>
  </si>
  <si>
    <t xml:space="preserve">Medidor de vazão de gás Tipo Vortex </t>
  </si>
  <si>
    <t xml:space="preserve">Optiswirl 4200 C - Ex </t>
  </si>
  <si>
    <t>Krohne Messtechnik Gmbh</t>
  </si>
  <si>
    <t>IECEx KIWA 15.0021X</t>
  </si>
  <si>
    <t>LMP 19SE0030</t>
  </si>
  <si>
    <t>180278.1</t>
  </si>
  <si>
    <t>3300 XL NSv (330930-040-01-05)</t>
  </si>
  <si>
    <t>LMP 19SE0042</t>
  </si>
  <si>
    <t>180272.1</t>
  </si>
  <si>
    <t>Analisador de Oxigenio portatil</t>
  </si>
  <si>
    <t>Teledyne Analytical Instruments - USA</t>
  </si>
  <si>
    <t>LMP 19SE0043</t>
  </si>
  <si>
    <t>180272.2</t>
  </si>
  <si>
    <t>Analisador de Oxigenio portatil Instatrans</t>
  </si>
  <si>
    <t>XD</t>
  </si>
  <si>
    <t>LMP 19SE0044</t>
  </si>
  <si>
    <t>Bahia</t>
  </si>
  <si>
    <t>180270.1</t>
  </si>
  <si>
    <t xml:space="preserve">Analisador Ametek </t>
  </si>
  <si>
    <t>3050 RM e 5830</t>
  </si>
  <si>
    <t>LMP 19SE0045</t>
  </si>
  <si>
    <t>180270.2</t>
  </si>
  <si>
    <t xml:space="preserve">Reguladora Go Regulator </t>
  </si>
  <si>
    <t xml:space="preserve"> HPR2</t>
  </si>
  <si>
    <t>Circor Instrumentation Technologies</t>
  </si>
  <si>
    <t>LMP 19SE0046</t>
  </si>
  <si>
    <t>180270.3</t>
  </si>
  <si>
    <t xml:space="preserve">Analisador de Oxigênio Barben </t>
  </si>
  <si>
    <t>4401OXY</t>
  </si>
  <si>
    <t>Barben Analyzer Technology</t>
  </si>
  <si>
    <t>TÜVNA 12 ATEX 7300X</t>
  </si>
  <si>
    <t>LMP 19SE0048</t>
  </si>
  <si>
    <t>180281.1</t>
  </si>
  <si>
    <t>Transdutor de interface de vibração</t>
  </si>
  <si>
    <t>MTL 4531</t>
  </si>
  <si>
    <t>IECEx BAS 09.0036</t>
  </si>
  <si>
    <t>03 2019</t>
  </si>
  <si>
    <t>LMP 19SE0049</t>
  </si>
  <si>
    <t>180281.2</t>
  </si>
  <si>
    <t xml:space="preserve">Isolador de termopar </t>
  </si>
  <si>
    <t>MTL5581</t>
  </si>
  <si>
    <t>IECEx BAS 11.0025</t>
  </si>
  <si>
    <t>LMP 19SE0058</t>
  </si>
  <si>
    <t>180288.1</t>
  </si>
  <si>
    <t xml:space="preserve">Indicador de posição de válvula multivoltas </t>
  </si>
  <si>
    <t>VPI</t>
  </si>
  <si>
    <t>Documentação não está na pasta, verificar</t>
  </si>
  <si>
    <t>LMP 19SE0059</t>
  </si>
  <si>
    <t>180291.1</t>
  </si>
  <si>
    <t>Medidor de vazão de gás Tipo Vortex</t>
  </si>
  <si>
    <t>Optiswirl 4200 Ci - Ex</t>
  </si>
  <si>
    <t>IECEx KIWA 15.0003X</t>
  </si>
  <si>
    <t>LMP 19SE0060</t>
  </si>
  <si>
    <t>180286.1</t>
  </si>
  <si>
    <t>Call Points, Smoke Detectors</t>
  </si>
  <si>
    <t>BHH-520, BF-5****/EX</t>
  </si>
  <si>
    <t>LMP 19SE0063</t>
  </si>
  <si>
    <t>180293.1</t>
  </si>
  <si>
    <t>OPTIWAVE 7500C</t>
  </si>
  <si>
    <t>KIWA 17ATEX0026 X</t>
  </si>
  <si>
    <t>LMP 19SE0065</t>
  </si>
  <si>
    <t>Techint</t>
  </si>
  <si>
    <t>180280.1</t>
  </si>
  <si>
    <t xml:space="preserve">Pressostato diferencial </t>
  </si>
  <si>
    <t>1950G-0-B-120</t>
  </si>
  <si>
    <t>IECEx DEK 11.0092X</t>
  </si>
  <si>
    <t>LMP 19SE0066</t>
  </si>
  <si>
    <t>180300.1</t>
  </si>
  <si>
    <t xml:space="preserve">Medidor de fluxo tipo área variável </t>
  </si>
  <si>
    <t>DK46/R/RE/K1</t>
  </si>
  <si>
    <t>PTB 05 ATEX 2021 X</t>
  </si>
  <si>
    <t>LMP 19SE0067</t>
  </si>
  <si>
    <t>Prominent</t>
  </si>
  <si>
    <t>180299.1</t>
  </si>
  <si>
    <t>Extronic EXBb G1006TT10A311</t>
  </si>
  <si>
    <t>Prominent Gmbh</t>
  </si>
  <si>
    <t>LMP 19SE0068</t>
  </si>
  <si>
    <t>180305.1</t>
  </si>
  <si>
    <t>Dispositivos de proteção contra surtos</t>
  </si>
  <si>
    <t>SD32X</t>
  </si>
  <si>
    <t>Eaton Electric Limited - UK</t>
  </si>
  <si>
    <t>IECEx BAS 12.0003X</t>
  </si>
  <si>
    <t>LMP 19SE0070</t>
  </si>
  <si>
    <t>180284.1</t>
  </si>
  <si>
    <t>ANA-D3510-100-A1</t>
  </si>
  <si>
    <t>IECEx ETL 16.0046X</t>
  </si>
  <si>
    <t>LMP 19SE0077</t>
  </si>
  <si>
    <t>180315.1</t>
  </si>
  <si>
    <t xml:space="preserve">Transmissor </t>
  </si>
  <si>
    <t>4020 LT</t>
  </si>
  <si>
    <t>Rohback Cosasco Systems</t>
  </si>
  <si>
    <t>DEMKO 03 ATEX 0307577X</t>
  </si>
  <si>
    <t>LMP 19SE0078</t>
  </si>
  <si>
    <t>180319.1</t>
  </si>
  <si>
    <t>TC100N</t>
  </si>
  <si>
    <t>Nemko 08ATEX1098X</t>
  </si>
  <si>
    <t>LMP 19SE0079</t>
  </si>
  <si>
    <t>Antagus</t>
  </si>
  <si>
    <t>180310.1</t>
  </si>
  <si>
    <t>X62T e X62U</t>
  </si>
  <si>
    <t>Exalon Delft B.V</t>
  </si>
  <si>
    <t>KEMA 06ATEX0294 X</t>
  </si>
  <si>
    <t>LMP 19SE0080</t>
  </si>
  <si>
    <t>180314.1</t>
  </si>
  <si>
    <t xml:space="preserve">Isolador de resistência </t>
  </si>
  <si>
    <t>MTL5582B</t>
  </si>
  <si>
    <t>Eaton Elecric Limited</t>
  </si>
  <si>
    <t xml:space="preserve"> IECEx BAS 15.0139 e IECEx BAS 15.0141X</t>
  </si>
  <si>
    <t>LMP 19SE0081</t>
  </si>
  <si>
    <t>Solution Controls</t>
  </si>
  <si>
    <t>180317.1</t>
  </si>
  <si>
    <t xml:space="preserve"> VRX75.70B.G00 e VRX25.70B.G00 </t>
  </si>
  <si>
    <t>LCIE 06 ATEX 6006X</t>
  </si>
  <si>
    <t>04 2019</t>
  </si>
  <si>
    <t>Cancelar um dos projetos e emitiar após 6 meses, pois utilizam o mesmo certificado de conformidade</t>
  </si>
  <si>
    <t>LMP 19SE0082</t>
  </si>
  <si>
    <t>180317.2</t>
  </si>
  <si>
    <t>VRX100.90B.G00</t>
  </si>
  <si>
    <t>LMP 19SE0083</t>
  </si>
  <si>
    <t>Solution Controles</t>
  </si>
  <si>
    <t>180316.1</t>
  </si>
  <si>
    <t>LMP 19SE0084</t>
  </si>
  <si>
    <t>180318.1</t>
  </si>
  <si>
    <t xml:space="preserve">Chave Capacitiva </t>
  </si>
  <si>
    <t xml:space="preserve">CP63.CIFDZANX </t>
  </si>
  <si>
    <t>LMP 19SE0085</t>
  </si>
  <si>
    <t>180318.2</t>
  </si>
  <si>
    <t>Instrumento Condicionador de Sinal</t>
  </si>
  <si>
    <t>TOR141.ICXXKBX</t>
  </si>
  <si>
    <t>IECEx TUN 04.0031X</t>
  </si>
  <si>
    <t>LMP 19SE0086</t>
  </si>
  <si>
    <t>180345.1</t>
  </si>
  <si>
    <t>Sensor de nível tipo radar</t>
  </si>
  <si>
    <t>PS69.IRBYDCHXA2XXX</t>
  </si>
  <si>
    <t xml:space="preserve">VEGA Americas Inc. </t>
  </si>
  <si>
    <t>IECEx BVS 16.0017X</t>
  </si>
  <si>
    <t>LMP 19SE0087</t>
  </si>
  <si>
    <t>180309.1</t>
  </si>
  <si>
    <t xml:space="preserve">VEGABAR83 B83.IDLFSGPSHXWINAM </t>
  </si>
  <si>
    <t>LMP 19SE0088</t>
  </si>
  <si>
    <t>180298.1</t>
  </si>
  <si>
    <t>SOLIBA EX P e SOBA EX</t>
  </si>
  <si>
    <t>LMP 19SE0089</t>
  </si>
  <si>
    <t>180313.1</t>
  </si>
  <si>
    <t>Medidor de Vazão tipo turbina /
PR/S</t>
  </si>
  <si>
    <t xml:space="preserve"> TZN 100-300 com dois sensores magnéticos TDF/bs SI – S – HT 2 –</t>
  </si>
  <si>
    <t>LMP 19SE0090</t>
  </si>
  <si>
    <t>180322.1</t>
  </si>
  <si>
    <t>Transmissor de vibração 191</t>
  </si>
  <si>
    <t>P/N: 1912</t>
  </si>
  <si>
    <t xml:space="preserve">Balmac Inc. </t>
  </si>
  <si>
    <t>UL E126345</t>
  </si>
  <si>
    <t>LMP 19SE0093</t>
  </si>
  <si>
    <t>180329.1</t>
  </si>
  <si>
    <t xml:space="preserve">Sonda série 10,000 </t>
  </si>
  <si>
    <t>MX21747-045-00 (P/N 740204500)</t>
  </si>
  <si>
    <t>IECEx BAS 11.0065, IECEx BAS 11.0066X</t>
  </si>
  <si>
    <t>LMP 19SE0094</t>
  </si>
  <si>
    <t>180328.1</t>
  </si>
  <si>
    <t>Metrix Instruments CO</t>
  </si>
  <si>
    <t>LCIE 02 ATEX 6244X</t>
  </si>
  <si>
    <t>LMP 19SE0095</t>
  </si>
  <si>
    <t>Michell</t>
  </si>
  <si>
    <t>180100.1</t>
  </si>
  <si>
    <t>Analisador de Umidade Modelo</t>
  </si>
  <si>
    <t>TDL-600</t>
  </si>
  <si>
    <t>Ver tabela 1 certificado (SKID)</t>
  </si>
  <si>
    <t>LMP 19SE0098</t>
  </si>
  <si>
    <t>180276.1</t>
  </si>
  <si>
    <t>OXY.IQ-231-10</t>
  </si>
  <si>
    <t>GE Infrastructure Sensing EMEA</t>
  </si>
  <si>
    <t>LMP 19SE0099</t>
  </si>
  <si>
    <t>180337.1</t>
  </si>
  <si>
    <t>Módulo de interface acelerômetro</t>
  </si>
  <si>
    <t xml:space="preserve">86517-0101-01-02 </t>
  </si>
  <si>
    <t>LMP 19SE0100</t>
  </si>
  <si>
    <t>180337.2</t>
  </si>
  <si>
    <t>Amplificador de carga</t>
  </si>
  <si>
    <t>350500-00-01-00-11-05</t>
  </si>
  <si>
    <t>IECEx BAS 05.0002</t>
  </si>
  <si>
    <t>LMP 19SE0101</t>
  </si>
  <si>
    <t>180338.1</t>
  </si>
  <si>
    <t xml:space="preserve">Indicador de pressão digital </t>
  </si>
  <si>
    <t>DPI705 IS</t>
  </si>
  <si>
    <t>LMP 19SE0102</t>
  </si>
  <si>
    <t>180341.1</t>
  </si>
  <si>
    <t>350900-158 Type S</t>
  </si>
  <si>
    <t>IECEx LCI 11.0067X
IECEx LCI 11.0069X</t>
  </si>
  <si>
    <t>Enviado</t>
  </si>
  <si>
    <t>LMP 19SE0110</t>
  </si>
  <si>
    <t>180326.1</t>
  </si>
  <si>
    <t>Medidor de fluxo tipo área variável</t>
  </si>
  <si>
    <t xml:space="preserve">DK800/R/K1 </t>
  </si>
  <si>
    <t xml:space="preserve">Krohne Messtechnik Gmbh </t>
  </si>
  <si>
    <t>LMP 19SE0111</t>
  </si>
  <si>
    <t>180276.2</t>
  </si>
  <si>
    <t>MTL7706+</t>
  </si>
  <si>
    <t>Eaton Electric LTD.</t>
  </si>
  <si>
    <t>LMP 19SE0114</t>
  </si>
  <si>
    <t>180358.1</t>
  </si>
  <si>
    <t>LMP 19SE0115</t>
  </si>
  <si>
    <t>180359.1</t>
  </si>
  <si>
    <t xml:space="preserve">Medidor de Vazão Ultrassônico Compacto </t>
  </si>
  <si>
    <t>UFM 3030 F-Ex</t>
  </si>
  <si>
    <t>Krohe Atometer</t>
  </si>
  <si>
    <t>PTB 03 ATEX 2021 X</t>
  </si>
  <si>
    <t>LMP 19SE0116</t>
  </si>
  <si>
    <t>180361.1</t>
  </si>
  <si>
    <t xml:space="preserve">Módulo de redundância / </t>
  </si>
  <si>
    <t>QUINT DIODE/40 (P/N: 2938963)</t>
  </si>
  <si>
    <t>Phoenix Contact</t>
  </si>
  <si>
    <t>KEMA 03ATEX1197 X</t>
  </si>
  <si>
    <t>LMP 19SE0117</t>
  </si>
  <si>
    <t>180362.1</t>
  </si>
  <si>
    <t xml:space="preserve">Chave limite de vibração </t>
  </si>
  <si>
    <t>VEGAWAVE WE63.LXANDRANX</t>
  </si>
  <si>
    <t>Vega Grishaber KG</t>
  </si>
  <si>
    <t>PTB 16ATEX 1014 X</t>
  </si>
  <si>
    <t>LMP 19SE0120</t>
  </si>
  <si>
    <t>180365.1</t>
  </si>
  <si>
    <t>LMP 19SE0121</t>
  </si>
  <si>
    <t>180366.1</t>
  </si>
  <si>
    <t xml:space="preserve">Conector PC tipo </t>
  </si>
  <si>
    <t>PCL45USB</t>
  </si>
  <si>
    <t>MTL Instruments GmbH</t>
  </si>
  <si>
    <t>TUV 99 ATEX 1390</t>
  </si>
  <si>
    <t>LMP 19SE0126</t>
  </si>
  <si>
    <t>180370.1</t>
  </si>
  <si>
    <t>IPAQ C520X/C520XS</t>
  </si>
  <si>
    <t>INOR</t>
  </si>
  <si>
    <t>LMP 19SE0129</t>
  </si>
  <si>
    <t>180375.1</t>
  </si>
  <si>
    <t>780A-D2</t>
  </si>
  <si>
    <t>LMP 19SE0130</t>
  </si>
  <si>
    <t>180376.1</t>
  </si>
  <si>
    <t>LMP 19SE0133</t>
  </si>
  <si>
    <t>180369.1</t>
  </si>
  <si>
    <t>VEGAPULS64 PS64.IEGGPIHXANXXM</t>
  </si>
  <si>
    <t>LMP 19SE0134</t>
  </si>
  <si>
    <t>180368.1</t>
  </si>
  <si>
    <t>VEGASWING 63.CIAAVXUN</t>
  </si>
  <si>
    <t>LMP 19SE0135</t>
  </si>
  <si>
    <t>180320.1</t>
  </si>
  <si>
    <t xml:space="preserve">Sonda </t>
  </si>
  <si>
    <t>VITO Probe 764</t>
  </si>
  <si>
    <t>Enraf B.V</t>
  </si>
  <si>
    <t>IECEx KEM 05.0014</t>
  </si>
  <si>
    <t>LMP 19SE0136</t>
  </si>
  <si>
    <t>180387.1</t>
  </si>
  <si>
    <t xml:space="preserve">Modulo Profibus de fibra optica </t>
  </si>
  <si>
    <t>OZD Profi 12M G12</t>
  </si>
  <si>
    <t>Hirschmann Automation and Control GmbH</t>
  </si>
  <si>
    <t>DEKRA 17ATEX0017X</t>
  </si>
  <si>
    <t>Recomendável que seja solicitado pela DEKRA o porque não foi avaliado pela norma 60079-28.</t>
  </si>
  <si>
    <t>LMP 19SE0137</t>
  </si>
  <si>
    <t>180407.1</t>
  </si>
  <si>
    <t xml:space="preserve">Indicador Digital remoto </t>
  </si>
  <si>
    <t>LMP 19SE0138</t>
  </si>
  <si>
    <t>180430.1</t>
  </si>
  <si>
    <t>WE62.GITNDRANX</t>
  </si>
  <si>
    <t xml:space="preserve">Vega Grieshaber KG </t>
  </si>
  <si>
    <t>IECEx_BVS_06.0013_1</t>
  </si>
  <si>
    <t>LMP 19SE0139</t>
  </si>
  <si>
    <t>180432.1</t>
  </si>
  <si>
    <t>SWING61.CIGBVXPNX</t>
  </si>
  <si>
    <t>LMP 19SE0140</t>
  </si>
  <si>
    <t>180377.1</t>
  </si>
  <si>
    <t xml:space="preserve">Transmissor de Nível Magnetostritivo </t>
  </si>
  <si>
    <t>Jupiter JM4</t>
  </si>
  <si>
    <t>Magnetrol Internacional Incorporated</t>
  </si>
  <si>
    <t>LMP 19SE0141</t>
  </si>
  <si>
    <t>180419.1</t>
  </si>
  <si>
    <t xml:space="preserve">Chave de Nivel Vibratoria </t>
  </si>
  <si>
    <t>SWING63.CIAPVXUN</t>
  </si>
  <si>
    <t>IECEX PTB 07.0062X</t>
  </si>
  <si>
    <t>LMP 19SE0142</t>
  </si>
  <si>
    <t>180437.1</t>
  </si>
  <si>
    <t>WE63</t>
  </si>
  <si>
    <t>IECEx BVS 06.0013X
PTB 16 ATEX 1014 X</t>
  </si>
  <si>
    <t>LMP 19SE0143</t>
  </si>
  <si>
    <t>180458.1</t>
  </si>
  <si>
    <t>DIS81.IRIANNAAX.</t>
  </si>
  <si>
    <t>IECEx_BVS_06.0014_3</t>
  </si>
  <si>
    <t>LMP 19SE0144</t>
  </si>
  <si>
    <t>180379.1</t>
  </si>
  <si>
    <t>Z1 H2S serie 933</t>
  </si>
  <si>
    <t>IECEx DEK 12.0035X</t>
  </si>
  <si>
    <t>LMP 19SE0148</t>
  </si>
  <si>
    <t>180354.1</t>
  </si>
  <si>
    <t>Detector de calor BD-501/EX, Unidade de interface alarme de fogo BN-500/EX e ponto de chamada
manual BF-502/EX</t>
  </si>
  <si>
    <t>N/OK</t>
  </si>
  <si>
    <t>LMP 19SE0149</t>
  </si>
  <si>
    <t>Cathelco</t>
  </si>
  <si>
    <t>180386.1</t>
  </si>
  <si>
    <t>Ponto de chamada</t>
  </si>
  <si>
    <t xml:space="preserve"> BF-503/N/0100</t>
  </si>
  <si>
    <t>LMP 19SE0150</t>
  </si>
  <si>
    <t>180385.1</t>
  </si>
  <si>
    <t>Ponto de chamada BF-503/EX/0500
Detector de fumaça BHH-500/N</t>
  </si>
  <si>
    <t xml:space="preserve">Detectores de fumaça, Calor e Alarme BHH,BF,BD e </t>
  </si>
  <si>
    <t>LMP 19SE0151</t>
  </si>
  <si>
    <t>180390.1</t>
  </si>
  <si>
    <t>Soba Ex</t>
  </si>
  <si>
    <t>ATMI Montigny</t>
  </si>
  <si>
    <t>180390.1.A1</t>
  </si>
  <si>
    <t>AL</t>
  </si>
  <si>
    <t>LMP 19SE0153</t>
  </si>
  <si>
    <t>180392.1</t>
  </si>
  <si>
    <t xml:space="preserve">Analisador inteligente </t>
  </si>
  <si>
    <t>1056-03-27-38-HT</t>
  </si>
  <si>
    <t>LMP 19SE0154</t>
  </si>
  <si>
    <t>180392.2</t>
  </si>
  <si>
    <t>IECEx LCI 06.0003X e IECEx LCI 06.0002X</t>
  </si>
  <si>
    <t>LMP 19SE0155</t>
  </si>
  <si>
    <t>180392.3</t>
  </si>
  <si>
    <t xml:space="preserve"> 3300 XL (PN: 330180-51-05) </t>
  </si>
  <si>
    <t>IECEx CSA 16.0042X</t>
  </si>
  <si>
    <t>LMP 19SE0156</t>
  </si>
  <si>
    <t>180393.1</t>
  </si>
  <si>
    <t xml:space="preserve">Analisador de oxigênio </t>
  </si>
  <si>
    <t>LMP 19SE0157</t>
  </si>
  <si>
    <t>180389.1</t>
  </si>
  <si>
    <t>Transdutor ultra-sônico</t>
  </si>
  <si>
    <t>UST2</t>
  </si>
  <si>
    <t>Rohrback Cosasco Sytems</t>
  </si>
  <si>
    <t>IECEx SIR 12.0029X</t>
  </si>
  <si>
    <t>LMP 19SE0158</t>
  </si>
  <si>
    <t>180399.1</t>
  </si>
  <si>
    <t xml:space="preserve">Fonte de Alimentação Repetidora de canal único, 4,20 mA para Transmissores de 2 ou 3 Fios /
</t>
  </si>
  <si>
    <t>LMP 19SE0159</t>
  </si>
  <si>
    <t>180397.1</t>
  </si>
  <si>
    <t>Detector de PIG Ultrassônico</t>
  </si>
  <si>
    <t>ID5000P</t>
  </si>
  <si>
    <t>Online Electronics Ltda</t>
  </si>
  <si>
    <t>TRL08ATEX21161X</t>
  </si>
  <si>
    <t>LMP 19SE0160</t>
  </si>
  <si>
    <t>180381.1</t>
  </si>
  <si>
    <t>série 10,000 MX21504-05-45-05-02</t>
  </si>
  <si>
    <t>IECEx BAS 11.0065
IECEx BAS 11.0066X</t>
  </si>
  <si>
    <t>LMP 19SE0162</t>
  </si>
  <si>
    <t>180396.1</t>
  </si>
  <si>
    <t xml:space="preserve"> OPTISWITCH 5200C</t>
  </si>
  <si>
    <t>KEMA 02ATEX2110X; PTB 02ATEX2116X</t>
  </si>
  <si>
    <t>LMP 19SE0163</t>
  </si>
  <si>
    <t>180388.1</t>
  </si>
  <si>
    <t>Medidor de Vazão tipo turbina</t>
  </si>
  <si>
    <t xml:space="preserve"> TZN 100-300 com dois sensores magnéticos TDF/bs – S – HT2 –PR/CO</t>
  </si>
  <si>
    <t>LMP 19SE0164</t>
  </si>
  <si>
    <t>Huberg</t>
  </si>
  <si>
    <t>180403.1</t>
  </si>
  <si>
    <t xml:space="preserve">Instrumento de medição de rede THT /TBM Odorgas* </t>
  </si>
  <si>
    <t>Ex-Pex Plus</t>
  </si>
  <si>
    <t>Huberg SAS</t>
  </si>
  <si>
    <t>Adriano Almeida</t>
  </si>
  <si>
    <t>TPS 11 ATEX 1 572 X</t>
  </si>
  <si>
    <t>LMP 19SE0165</t>
  </si>
  <si>
    <t>180400.1</t>
  </si>
  <si>
    <t>Barreira de Segurança Intrínseca</t>
  </si>
  <si>
    <t>SU 501-01</t>
  </si>
  <si>
    <t>TUV 17ATEX198530</t>
  </si>
  <si>
    <t>LMP 19SE0166</t>
  </si>
  <si>
    <t>180413.1</t>
  </si>
  <si>
    <t>EC 3090A</t>
  </si>
  <si>
    <t xml:space="preserve">Honeywell Optoelectronica S. de R.L. de C.V. </t>
  </si>
  <si>
    <t>BAS02ATEX3275X</t>
  </si>
  <si>
    <t>LMP 19SE0167</t>
  </si>
  <si>
    <t>180409.1</t>
  </si>
  <si>
    <t>Krohne S.A.S - França</t>
  </si>
  <si>
    <t>LMP 19SE0168</t>
  </si>
  <si>
    <t>180410.1</t>
  </si>
  <si>
    <t>PGK-301-BM</t>
  </si>
  <si>
    <t>Nivelco Ipari Elektronika Zrt</t>
  </si>
  <si>
    <t>BKI11ATEX0023</t>
  </si>
  <si>
    <t>LMP 19SE0169</t>
  </si>
  <si>
    <t>180411.1</t>
  </si>
  <si>
    <t>TMK-6**-6M</t>
  </si>
  <si>
    <t>Nivelco Ipari Elektronika Zrt.</t>
  </si>
  <si>
    <t>BKI16ATEX0004X</t>
  </si>
  <si>
    <t>LMP 19SE0170</t>
  </si>
  <si>
    <t>KROHNE</t>
  </si>
  <si>
    <t>180412.2</t>
  </si>
  <si>
    <t>LMP 19SE0171</t>
  </si>
  <si>
    <t>180398.1</t>
  </si>
  <si>
    <t>Detector de fogo automatico D*110*A-EX</t>
  </si>
  <si>
    <t>DO1101AEX</t>
  </si>
  <si>
    <t>Siemens Building Technologies AG</t>
  </si>
  <si>
    <t>LMP 19SE0172</t>
  </si>
  <si>
    <t>180405.1</t>
  </si>
  <si>
    <t>Detector de fogo</t>
  </si>
  <si>
    <t>ORB-OP-52028-AP0 (Orbis IS)</t>
  </si>
  <si>
    <t>LMP 19SE0173</t>
  </si>
  <si>
    <t>180417.1</t>
  </si>
  <si>
    <t>LMP 19SE0174</t>
  </si>
  <si>
    <t>180414.1</t>
  </si>
  <si>
    <t xml:space="preserve"> FLUXUS F808**-A1</t>
  </si>
  <si>
    <t>LMP 19SE0175</t>
  </si>
  <si>
    <t>180414.2</t>
  </si>
  <si>
    <t>CDM2N81</t>
  </si>
  <si>
    <t>LMP 19SE0176</t>
  </si>
  <si>
    <t xml:space="preserve">180354.2 </t>
  </si>
  <si>
    <t xml:space="preserve">Detector de calor, Unidade de interface alarme de fogo e ponto de chamada manual </t>
  </si>
  <si>
    <t>BD-501/EX, BN-500/EX e BF-502/EX</t>
  </si>
  <si>
    <t>LMP 19SE0177</t>
  </si>
  <si>
    <t>180404.1</t>
  </si>
  <si>
    <t>Interruptor limite de precisão</t>
  </si>
  <si>
    <t>07-2961-10620</t>
  </si>
  <si>
    <t>IECEx EPS 12.0036X</t>
  </si>
  <si>
    <t>LMP 19SE0178</t>
  </si>
  <si>
    <t>180380.1</t>
  </si>
  <si>
    <t>Módulo de Fonte de Alimentação</t>
  </si>
  <si>
    <t>Fieldbus F101-P*</t>
  </si>
  <si>
    <t>LMP 19SE0179</t>
  </si>
  <si>
    <t>180423.1</t>
  </si>
  <si>
    <t>Pressostato diferencial</t>
  </si>
  <si>
    <t xml:space="preserve"> AT11910-0-AB1XT2</t>
  </si>
  <si>
    <t>Comhas srl</t>
  </si>
  <si>
    <t>BVI12ATEX0060Q</t>
  </si>
  <si>
    <t>LMP 19SE0180</t>
  </si>
  <si>
    <t>180426.1</t>
  </si>
  <si>
    <t>ALTOSONIC III</t>
  </si>
  <si>
    <t>PTB 03 ATEX 2223 X</t>
  </si>
  <si>
    <t>LMP 19SE0182</t>
  </si>
  <si>
    <t>180425.1</t>
  </si>
  <si>
    <t>FLUXUS F801**-A1</t>
  </si>
  <si>
    <t>LMP 19SE0183</t>
  </si>
  <si>
    <t>180425.2</t>
  </si>
  <si>
    <t>LMP 19SE0186</t>
  </si>
  <si>
    <t>180428.1</t>
  </si>
  <si>
    <t>10A XCWD2110L5689</t>
  </si>
  <si>
    <t>EX-Tech Solution</t>
  </si>
  <si>
    <t>Carlos André</t>
  </si>
  <si>
    <t>INERIS03ATEX0083X</t>
  </si>
  <si>
    <t>LMP 19SE0187</t>
  </si>
  <si>
    <t>KNICK</t>
  </si>
  <si>
    <t>180170.1</t>
  </si>
  <si>
    <t xml:space="preserve">Analisador portátil multi-parâmetro </t>
  </si>
  <si>
    <t>Portavo 90*X*</t>
  </si>
  <si>
    <t>Knick Elektronische Messgerate GmbH &amp; Co.Kg</t>
  </si>
  <si>
    <t>IECEx_DEK_12.0059_1</t>
  </si>
  <si>
    <t>LMP 19SE0189</t>
  </si>
  <si>
    <t>180439.1</t>
  </si>
  <si>
    <t>Instatrans - XD</t>
  </si>
  <si>
    <t>LMP 19SE0190</t>
  </si>
  <si>
    <t>180439.2</t>
  </si>
  <si>
    <t>3110 XL</t>
  </si>
  <si>
    <t>LMP 19SE0194</t>
  </si>
  <si>
    <t>180446.1</t>
  </si>
  <si>
    <t xml:space="preserve">Transmissor de pressão tipo hidrostático </t>
  </si>
  <si>
    <t>B86.IDACAXA</t>
  </si>
  <si>
    <t>IECEx_TUN_14.0026X_0</t>
  </si>
  <si>
    <t>LMP 19SE0195</t>
  </si>
  <si>
    <t>180488.1</t>
  </si>
  <si>
    <t>Transmissor de nível Radar</t>
  </si>
  <si>
    <t>PS64.IEUTBAHXANAXM</t>
  </si>
  <si>
    <t>LMP 19SE0196</t>
  </si>
  <si>
    <t>180510.1</t>
  </si>
  <si>
    <t>PS64.IEGGPJHXANAXM</t>
  </si>
  <si>
    <t>IECEx_PTB_15.0023X_1</t>
  </si>
  <si>
    <t>LMP 19SE0197</t>
  </si>
  <si>
    <t>ToSolve</t>
  </si>
  <si>
    <t>180187.1</t>
  </si>
  <si>
    <t xml:space="preserve">Transdutor de nível e Transmissor </t>
  </si>
  <si>
    <t>HPT ***-**</t>
  </si>
  <si>
    <t xml:space="preserve">Holykell Technology Company Limited </t>
  </si>
  <si>
    <t>LMP 19SE0198</t>
  </si>
  <si>
    <t>180517.2</t>
  </si>
  <si>
    <t xml:space="preserve">CP63.CIFAAZANX </t>
  </si>
  <si>
    <t>LMP 19SE0199</t>
  </si>
  <si>
    <t>180508.1</t>
  </si>
  <si>
    <t>Chave de nível tipo Capacitiva</t>
  </si>
  <si>
    <t>CP64.CIFGAZKMX</t>
  </si>
  <si>
    <t>IECEx_TUN_04.0022X_3</t>
  </si>
  <si>
    <t>LMP 19SE0201</t>
  </si>
  <si>
    <t>180507.1</t>
  </si>
  <si>
    <t>Condicionador de Sinal</t>
  </si>
  <si>
    <t>VEGATOR142.ICXXKBX</t>
  </si>
  <si>
    <t>IECEx TUN 14.0031X</t>
  </si>
  <si>
    <t>LMP 19SE0205</t>
  </si>
  <si>
    <t>180187.2</t>
  </si>
  <si>
    <t>LMP 19SE0207</t>
  </si>
  <si>
    <t>LMP 19SE0209</t>
  </si>
  <si>
    <t>180456.1</t>
  </si>
  <si>
    <t>IECEx LCIE 13.0070X</t>
  </si>
  <si>
    <t>LMP 19SE0210</t>
  </si>
  <si>
    <t>180456.2</t>
  </si>
  <si>
    <t>Aplificador de Carga</t>
  </si>
  <si>
    <t>LMP 19SE0211</t>
  </si>
  <si>
    <t>180453.1</t>
  </si>
  <si>
    <t>Sensor de Gás combustível</t>
  </si>
  <si>
    <t>CGS</t>
  </si>
  <si>
    <t>DETECTOR ELETRONICS</t>
  </si>
  <si>
    <t>IECEx_ULD_10.0001X_1</t>
  </si>
  <si>
    <t>LMP 19SE0218</t>
  </si>
  <si>
    <t>180517.1</t>
  </si>
  <si>
    <t xml:space="preserve">TOR141.ICXXKBX </t>
  </si>
  <si>
    <t>IECEx_TUN_14.0031X_1</t>
  </si>
  <si>
    <t>LMP 19SE0219</t>
  </si>
  <si>
    <t>180529.1</t>
  </si>
  <si>
    <t>Sonda Capacitiva</t>
  </si>
  <si>
    <t>VEGACAP CP62.CICGCZAMX</t>
  </si>
  <si>
    <t>IECEX TUN 04.0022X</t>
  </si>
  <si>
    <t>LMP 19SE0220</t>
  </si>
  <si>
    <t>180464.1</t>
  </si>
  <si>
    <t>SN61.CXANHKNXX</t>
  </si>
  <si>
    <t>Ac</t>
  </si>
  <si>
    <t>PTB 03 ATEX 2213 X</t>
  </si>
  <si>
    <t>LMP 19SE0221</t>
  </si>
  <si>
    <t>180460.1</t>
  </si>
  <si>
    <t xml:space="preserve">Indicador Digital Remoto </t>
  </si>
  <si>
    <t>DIS82.ICHKIMACX</t>
  </si>
  <si>
    <t>LMP 19SE0222</t>
  </si>
  <si>
    <t>Schenck Process</t>
  </si>
  <si>
    <t>180374.1</t>
  </si>
  <si>
    <t>VXB 20901</t>
  </si>
  <si>
    <t>Schenk Process GmbH</t>
  </si>
  <si>
    <t>PTB 01 ATEX 2046 X</t>
  </si>
  <si>
    <t>LMP 19SE0223</t>
  </si>
  <si>
    <t>180701.1</t>
  </si>
  <si>
    <t>0085</t>
  </si>
  <si>
    <t>IECEx FMG 12.0022X</t>
  </si>
  <si>
    <t>02 2020</t>
  </si>
  <si>
    <t>LMP 19SE0224</t>
  </si>
  <si>
    <t>180546.1</t>
  </si>
  <si>
    <t>PS64.ICFGUJHXANKXX</t>
  </si>
  <si>
    <t>IECEx PTB 14.0040X</t>
  </si>
  <si>
    <t>180546.1.A1</t>
  </si>
  <si>
    <t>LMP 19SE0225</t>
  </si>
  <si>
    <t>180616.1</t>
  </si>
  <si>
    <t>Chave de nível tipo Vibratória</t>
  </si>
  <si>
    <t>LMP 19SE0230</t>
  </si>
  <si>
    <t>180450.1</t>
  </si>
  <si>
    <t xml:space="preserve">Sistema de Energia redundante </t>
  </si>
  <si>
    <t>LMP 19SE0231</t>
  </si>
  <si>
    <t>180463.1</t>
  </si>
  <si>
    <t xml:space="preserve">Transmissor de Nivel tipo Radar </t>
  </si>
  <si>
    <t>OPTIWAVE 7400C</t>
  </si>
  <si>
    <t>N</t>
  </si>
  <si>
    <t>LMP 19SE0232</t>
  </si>
  <si>
    <t>180454.1</t>
  </si>
  <si>
    <t xml:space="preserve">Tablet Latitude 12 Rugged Extreme </t>
  </si>
  <si>
    <t>Dell Inc.</t>
  </si>
  <si>
    <t>E317678</t>
  </si>
  <si>
    <t>LMP 19SE0234</t>
  </si>
  <si>
    <t>180427.1</t>
  </si>
  <si>
    <t>Skid Prover - Provador compacto</t>
  </si>
  <si>
    <t>H46035(LL)1ABSJCIWES</t>
  </si>
  <si>
    <t>IECEx CES 10.0001X
IECEx SIR 07.0044U
TUV 12 ATEX 102320 X
IECEx ETL 14.0035X
TUV 14.0006 X</t>
  </si>
  <si>
    <t>LMP 19SE0235</t>
  </si>
  <si>
    <t>180468.1</t>
  </si>
  <si>
    <t>IECEx_BAS_10.0109_2</t>
  </si>
  <si>
    <t>LMP 19SE0236</t>
  </si>
  <si>
    <t>180467.1</t>
  </si>
  <si>
    <t xml:space="preserve">Alto Falante Corneta </t>
  </si>
  <si>
    <t>HP-20EExIIN</t>
  </si>
  <si>
    <t>DNH A/S</t>
  </si>
  <si>
    <t>Nemko 03ATEX3568</t>
  </si>
  <si>
    <t>LMP 19SE0238</t>
  </si>
  <si>
    <t>180475.1</t>
  </si>
  <si>
    <t xml:space="preserve">Medidor de vazão miniatura </t>
  </si>
  <si>
    <t>DK800</t>
  </si>
  <si>
    <t>Krohne Messtechnik GmbH &amp; Co.KG</t>
  </si>
  <si>
    <t xml:space="preserve">PTB 05 A TEX 2021 X </t>
  </si>
  <si>
    <t>LMP 19SE0239</t>
  </si>
  <si>
    <t>180476.1</t>
  </si>
  <si>
    <t>Acionador manual</t>
  </si>
  <si>
    <t>116-BF-501/Ex</t>
  </si>
  <si>
    <t>LMP 19SE0240</t>
  </si>
  <si>
    <t>180481.1</t>
  </si>
  <si>
    <t>Série VR</t>
  </si>
  <si>
    <t>IECEx_ETL_16.0039X_2</t>
  </si>
  <si>
    <t>LMP 19SE0241</t>
  </si>
  <si>
    <t>180477.1</t>
  </si>
  <si>
    <t xml:space="preserve">Medidor de Fluxo Ultrassonico </t>
  </si>
  <si>
    <t>Panaflow Z3</t>
  </si>
  <si>
    <t>LMP 19SE0242</t>
  </si>
  <si>
    <t>180482.1</t>
  </si>
  <si>
    <t>V6EPS-S-S4-S-AT</t>
  </si>
  <si>
    <t>KEMA 04ATEX2128</t>
  </si>
  <si>
    <t>LMP 19SE0243</t>
  </si>
  <si>
    <t>180485.1</t>
  </si>
  <si>
    <t>Série LS</t>
  </si>
  <si>
    <t>Coelbo S.r.l</t>
  </si>
  <si>
    <t>IECEx_EPS_13.0034_0</t>
  </si>
  <si>
    <t>LMP 19SE0244</t>
  </si>
  <si>
    <t>180486.1</t>
  </si>
  <si>
    <t>LMP 19SE0246</t>
  </si>
  <si>
    <t>180496.1</t>
  </si>
  <si>
    <t>Transmissor de nível tipo Radar</t>
  </si>
  <si>
    <t>OPTIWAVE 6400c</t>
  </si>
  <si>
    <t>LMP 19SE0247</t>
  </si>
  <si>
    <t>180466.1</t>
  </si>
  <si>
    <t>LMP 19SE0248</t>
  </si>
  <si>
    <t>180466.2</t>
  </si>
  <si>
    <t>FLUXUS F801 FLUXUS ADM</t>
  </si>
  <si>
    <t>IECEx IBE 12.0020</t>
  </si>
  <si>
    <t>LMP 19SE0250</t>
  </si>
  <si>
    <t>180494.1</t>
  </si>
  <si>
    <t>Caixa de Ligação</t>
  </si>
  <si>
    <t>JB01S4E3M</t>
  </si>
  <si>
    <t>IECEx IBE 08.0006</t>
  </si>
  <si>
    <t>LMP 19SE0251</t>
  </si>
  <si>
    <t>SSE Sirio</t>
  </si>
  <si>
    <t>180487.1</t>
  </si>
  <si>
    <t>Painel pressurizado</t>
  </si>
  <si>
    <t>QSI 240/110S</t>
  </si>
  <si>
    <t>Quasar Service S.r.l</t>
  </si>
  <si>
    <t>INERIS 10 ATEX 3014X</t>
  </si>
  <si>
    <t>LMP 19SE0252</t>
  </si>
  <si>
    <t>180501.1</t>
  </si>
  <si>
    <t>Sensor de PH/ORP</t>
  </si>
  <si>
    <t>389 VP</t>
  </si>
  <si>
    <t>Emerson Process Management - Rosemount analytical</t>
  </si>
  <si>
    <t>LMP 19SE0253</t>
  </si>
  <si>
    <t>180480.1</t>
  </si>
  <si>
    <t>SA6200A-FD</t>
  </si>
  <si>
    <t>LMP 19SE0254</t>
  </si>
  <si>
    <t>180480.2</t>
  </si>
  <si>
    <t xml:space="preserve">Medidor de Nível </t>
  </si>
  <si>
    <t>Radar R82</t>
  </si>
  <si>
    <t>Magnetrol</t>
  </si>
  <si>
    <t>LMP 19SE0255</t>
  </si>
  <si>
    <t>Parker</t>
  </si>
  <si>
    <t>180271.1</t>
  </si>
  <si>
    <t>Sistema de purificador de óleo</t>
  </si>
  <si>
    <t xml:space="preserve"> / PVS-600-460-DS-D-5QE-24-AC-Ex2</t>
  </si>
  <si>
    <t>Parker Hannifin Ind. e Com. Ltda</t>
  </si>
  <si>
    <t>UL listed E10822
UL Listed E10518
UL Listed E37155
IECEx SIR 07.0089
LMP 19.0256 X</t>
  </si>
  <si>
    <t>LMP 19SE0261</t>
  </si>
  <si>
    <t>180515.1</t>
  </si>
  <si>
    <t>IECEx_LCI_11.0069X_1</t>
  </si>
  <si>
    <t>LMP 19SE0262</t>
  </si>
  <si>
    <t>180497.1</t>
  </si>
  <si>
    <t>Unidade de interface, comando e controle</t>
  </si>
  <si>
    <t>GUB- 0,3 V</t>
  </si>
  <si>
    <t xml:space="preserve">CORTEM S.p.A </t>
  </si>
  <si>
    <t>IECEx_CES_16.0015X_0</t>
  </si>
  <si>
    <t>LMP 19SE0263</t>
  </si>
  <si>
    <t>180519.1</t>
  </si>
  <si>
    <t>IECEx_KEM_08.0031X_1</t>
  </si>
  <si>
    <t>LMP 19SE0264</t>
  </si>
  <si>
    <t>180523.1</t>
  </si>
  <si>
    <t>Sonda Capacitiva VEGACAL</t>
  </si>
  <si>
    <t>TUN 05.0018X 6</t>
  </si>
  <si>
    <t>LMP 19SE0265</t>
  </si>
  <si>
    <t>180495.1</t>
  </si>
  <si>
    <t>Transmissor de nivel capacitivo</t>
  </si>
  <si>
    <t>CL62.DIANAHWNAX</t>
  </si>
  <si>
    <t>LMP 19SE0266</t>
  </si>
  <si>
    <t>180532.1</t>
  </si>
  <si>
    <t>DIS82.ICHKINACX</t>
  </si>
  <si>
    <t>LMP 19SE0267</t>
  </si>
  <si>
    <t>180577.1</t>
  </si>
  <si>
    <t>Transmissor de nivel</t>
  </si>
  <si>
    <t>IECEx TUN 05.0018X 6</t>
  </si>
  <si>
    <t>LMP 19SE0268</t>
  </si>
  <si>
    <t>180529.2</t>
  </si>
  <si>
    <t>Condicionador de Sinal Vegator</t>
  </si>
  <si>
    <t>Vegator 141.ICXSKBX</t>
  </si>
  <si>
    <t>LMP 19SE0269</t>
  </si>
  <si>
    <t>180504.1</t>
  </si>
  <si>
    <t>PS64.IEGGMIHXANAXX</t>
  </si>
  <si>
    <t>IECEx_PTB_15.0023X</t>
  </si>
  <si>
    <t>LMP 19SE0270</t>
  </si>
  <si>
    <t>180606.1</t>
  </si>
  <si>
    <t>Higrômetro</t>
  </si>
  <si>
    <t>HygroPro</t>
  </si>
  <si>
    <t>LMP 19SE0271</t>
  </si>
  <si>
    <t>180659.1</t>
  </si>
  <si>
    <t>DIS81.IEIANNAEX</t>
  </si>
  <si>
    <t>IECEx BVS 13.0069</t>
  </si>
  <si>
    <t>LMP 19SE0272</t>
  </si>
  <si>
    <t>180627.1</t>
  </si>
  <si>
    <t>Handheld a bateria</t>
  </si>
  <si>
    <t>Mobilink</t>
  </si>
  <si>
    <t>LMP 19SE0274</t>
  </si>
  <si>
    <t>180522.1</t>
  </si>
  <si>
    <t>XBTGT7340</t>
  </si>
  <si>
    <t>Schneider Automation SAS</t>
  </si>
  <si>
    <t>INERIS 06ATEX3024X</t>
  </si>
  <si>
    <t>LMP 19SE0275</t>
  </si>
  <si>
    <t>180527.1</t>
  </si>
  <si>
    <t>Medidor de Vazão Ultrassonico</t>
  </si>
  <si>
    <t>UFS 5</t>
  </si>
  <si>
    <t>IECEx FTZU 14.0020X</t>
  </si>
  <si>
    <t>LMP 19SE0276</t>
  </si>
  <si>
    <t>180535.1</t>
  </si>
  <si>
    <t>PXA4GJ</t>
  </si>
  <si>
    <t>Ettore Cella S.p.A</t>
  </si>
  <si>
    <t>IECEx_INE_13.0095X_0</t>
  </si>
  <si>
    <t>LMP 19SE0277</t>
  </si>
  <si>
    <t>180470.2</t>
  </si>
  <si>
    <t xml:space="preserve">Skid de medição fiscal de Óleo </t>
  </si>
  <si>
    <t>Skid Fiscal de Óleo</t>
  </si>
  <si>
    <t xml:space="preserve">METROVAL CONTROLE DE FLUIDOS LTDA </t>
  </si>
  <si>
    <t>LMP 19SE0278</t>
  </si>
  <si>
    <t>180470.3</t>
  </si>
  <si>
    <t>Skid offloading</t>
  </si>
  <si>
    <t>Skid Offloading</t>
  </si>
  <si>
    <t>LMP 19SE0282</t>
  </si>
  <si>
    <t>180470.1</t>
  </si>
  <si>
    <t>Skid Fiscal de Diesel</t>
  </si>
  <si>
    <t>LMP 19SE0283</t>
  </si>
  <si>
    <t>180536.1</t>
  </si>
  <si>
    <t>Transmissor de saída de corrente</t>
  </si>
  <si>
    <t>ESK II</t>
  </si>
  <si>
    <t>LMP 19SE0284</t>
  </si>
  <si>
    <t>180539.1</t>
  </si>
  <si>
    <t>IECEx_BAS_07.0069_8</t>
  </si>
  <si>
    <t>LMP 19SE0285</t>
  </si>
  <si>
    <t>180539.2</t>
  </si>
  <si>
    <t>Fonte Repetidora</t>
  </si>
  <si>
    <t>MTL 5544D</t>
  </si>
  <si>
    <t>LP / AC</t>
  </si>
  <si>
    <t>IECEx_BAS_09.0071_7</t>
  </si>
  <si>
    <t>LMP 19SE0287</t>
  </si>
  <si>
    <t>180544.1</t>
  </si>
  <si>
    <t xml:space="preserve"> MTL5541</t>
  </si>
  <si>
    <t>LMP 19SE0288</t>
  </si>
  <si>
    <t>180537.1</t>
  </si>
  <si>
    <t>Sistema de medição de temperatura e fundo da água</t>
  </si>
  <si>
    <t>Interface modelo 762</t>
  </si>
  <si>
    <t>LMP 19SE0289</t>
  </si>
  <si>
    <t>180537.2</t>
  </si>
  <si>
    <t>Display</t>
  </si>
  <si>
    <t>Smart view</t>
  </si>
  <si>
    <t>IECEx KEM 07.0004</t>
  </si>
  <si>
    <t>LMP 19SE0290</t>
  </si>
  <si>
    <t>180537.3</t>
  </si>
  <si>
    <t>Terminal Enraf Portatil</t>
  </si>
  <si>
    <t>PET 847</t>
  </si>
  <si>
    <t>IECEx DEK 11.0055</t>
  </si>
  <si>
    <t>LMP 19SE0291</t>
  </si>
  <si>
    <t>180537.4</t>
  </si>
  <si>
    <t>X62T</t>
  </si>
  <si>
    <t>LMP 19SE0292</t>
  </si>
  <si>
    <t>180537.5</t>
  </si>
  <si>
    <t>Indicador lateral para tank</t>
  </si>
  <si>
    <t>IECEx KEM 10.0069</t>
  </si>
  <si>
    <t>LMP 19SE0293</t>
  </si>
  <si>
    <t>180564.1</t>
  </si>
  <si>
    <t>Medidor Magnético</t>
  </si>
  <si>
    <t>OPTIFLUX 4040 (IFM 4042 K)</t>
  </si>
  <si>
    <t>KEMA 01ATEX2200 X</t>
  </si>
  <si>
    <t>LMP 19SE0294</t>
  </si>
  <si>
    <t>180469.1</t>
  </si>
  <si>
    <t>MAK 56</t>
  </si>
  <si>
    <t>RW</t>
  </si>
  <si>
    <t>LMP 19SE0295</t>
  </si>
  <si>
    <t>FLUKE</t>
  </si>
  <si>
    <t>180572.1</t>
  </si>
  <si>
    <t>FLUKE-700G30 (2UN) FLUKE-700G31 (1UN) e FLUKE-700G08 (4UN)</t>
  </si>
  <si>
    <t>IECEx_SIR_17.0034X_0</t>
  </si>
  <si>
    <t>LMP 19SE0296</t>
  </si>
  <si>
    <t>180572.2</t>
  </si>
  <si>
    <t>IECEx_SIR_17.0077X_000</t>
  </si>
  <si>
    <t>LMP 19SE0297</t>
  </si>
  <si>
    <t>180575.1</t>
  </si>
  <si>
    <t>Analisador de Oxigenio</t>
  </si>
  <si>
    <t>LMP 19SE0298</t>
  </si>
  <si>
    <t>180576.1</t>
  </si>
  <si>
    <t>180576.1.A1</t>
  </si>
  <si>
    <t>FLUKE-718EX 300G</t>
  </si>
  <si>
    <t>LMP 19SE0300</t>
  </si>
  <si>
    <t>180493.2</t>
  </si>
  <si>
    <t xml:space="preserve">Fonte de energia </t>
  </si>
  <si>
    <t>QUINT-OS/1AC/24DC/5/CO</t>
  </si>
  <si>
    <t>Phonenix Contact GmbH &amp; Co.KG</t>
  </si>
  <si>
    <t>IECEx TUN 11.0002X</t>
  </si>
  <si>
    <t>LMP 19SE0301</t>
  </si>
  <si>
    <t>180493.3</t>
  </si>
  <si>
    <t xml:space="preserve">Bloco de Terminais </t>
  </si>
  <si>
    <t>PT4***, PTTB4*** / PE</t>
  </si>
  <si>
    <t>IECEx PTB 10.0046U</t>
  </si>
  <si>
    <t>LMP 19SE0302</t>
  </si>
  <si>
    <t>180493.4</t>
  </si>
  <si>
    <t>PT2,5***, PTTB 2,5*** / PE</t>
  </si>
  <si>
    <t>IECEx PTB 10.0021U</t>
  </si>
  <si>
    <t>LMP 19SE0303</t>
  </si>
  <si>
    <t>180493.5</t>
  </si>
  <si>
    <t>(PP885R)</t>
  </si>
  <si>
    <t>Beijer Electronics Corp</t>
  </si>
  <si>
    <t>IECEx LC 15.0002U</t>
  </si>
  <si>
    <t>LMP 19SE0304</t>
  </si>
  <si>
    <t>180574.1</t>
  </si>
  <si>
    <t>TRF-FSK-NA1TS-000 (CDM2N81 , CDK1N81)</t>
  </si>
  <si>
    <t>IECEx_IBE_08-0007X_06</t>
  </si>
  <si>
    <t>LMP 19SE0305</t>
  </si>
  <si>
    <t>180574.2</t>
  </si>
  <si>
    <t>FLUXUS F808GP</t>
  </si>
  <si>
    <t>IECEx IBE 11.0006 X</t>
  </si>
  <si>
    <t>LMP 19SE0307</t>
  </si>
  <si>
    <t>180578.2</t>
  </si>
  <si>
    <t>Simatic TP700 - Touch 7"</t>
  </si>
  <si>
    <t>IECEx DEK 13.0085X</t>
  </si>
  <si>
    <t>LMP 19SE0308</t>
  </si>
  <si>
    <t>180582.1</t>
  </si>
  <si>
    <t>AVK-ADFUVK18/32-L1.750</t>
  </si>
  <si>
    <t>KSR Kubler Niveau-Messtechnik AG</t>
  </si>
  <si>
    <t>LMP 19SE0309</t>
  </si>
  <si>
    <t>180582.2</t>
  </si>
  <si>
    <t>Bóia AFV</t>
  </si>
  <si>
    <t>LMP 19SE0310</t>
  </si>
  <si>
    <t>180571.1</t>
  </si>
  <si>
    <t>EX Is M8Nb ABBAB N 1 GD 5M</t>
  </si>
  <si>
    <t>STEUTE Schaltgerate GmbH &amp; Co.</t>
  </si>
  <si>
    <t>LMP 19SE0311</t>
  </si>
  <si>
    <t>180549.1</t>
  </si>
  <si>
    <t>LSXA4L-2C e LSXA3K-2C</t>
  </si>
  <si>
    <t>Honeywell Sensing &amp; Control</t>
  </si>
  <si>
    <t>057327_0_000</t>
  </si>
  <si>
    <t>LMP 19SE0312</t>
  </si>
  <si>
    <t>180589.1</t>
  </si>
  <si>
    <t xml:space="preserve">Detector de Vibração </t>
  </si>
  <si>
    <t>365A</t>
  </si>
  <si>
    <t>UL WYMG7.E164999</t>
  </si>
  <si>
    <t>LMP 19SE0313</t>
  </si>
  <si>
    <t>180591.1</t>
  </si>
  <si>
    <t>365A-AA2</t>
  </si>
  <si>
    <t>LMP 19SE0314</t>
  </si>
  <si>
    <t>180586.1</t>
  </si>
  <si>
    <t>MBL-720-B Ex</t>
  </si>
  <si>
    <t>Nivelco Ipari Elektronika</t>
  </si>
  <si>
    <t>BKI16ATEX0012X/2</t>
  </si>
  <si>
    <t>LMP 19SE0315</t>
  </si>
  <si>
    <t>180590.1</t>
  </si>
  <si>
    <t>LMP 19SE0316</t>
  </si>
  <si>
    <t>180596.1</t>
  </si>
  <si>
    <t>FX opis/ TX</t>
  </si>
  <si>
    <t>R. Stahal Schaltgerate GmbH</t>
  </si>
  <si>
    <t>IECEx TUR 13.0014X</t>
  </si>
  <si>
    <t>LMP 19SE0317</t>
  </si>
  <si>
    <t>180595.1</t>
  </si>
  <si>
    <t>DW 181/RR/A/K2 (V7D*)</t>
  </si>
  <si>
    <t>INERIS 03ATEX0045X</t>
  </si>
  <si>
    <t>LMP 19SE0318</t>
  </si>
  <si>
    <t>180597.1</t>
  </si>
  <si>
    <t xml:space="preserve">UST2 </t>
  </si>
  <si>
    <t>LMP 19SE0319</t>
  </si>
  <si>
    <t>180597.2</t>
  </si>
  <si>
    <t>Transmissor ultrassônico de corrosão</t>
  </si>
  <si>
    <t>ULTRACORR-2</t>
  </si>
  <si>
    <t>IECEx SIR 12.0028X</t>
  </si>
  <si>
    <t>LMP 19SE0320</t>
  </si>
  <si>
    <t>180585.1</t>
  </si>
  <si>
    <t xml:space="preserve">Analisador de Umidade </t>
  </si>
  <si>
    <t>Moisture IQ</t>
  </si>
  <si>
    <t>FM13ATEX0059</t>
  </si>
  <si>
    <t>LMP 19SE0321</t>
  </si>
  <si>
    <t>180594.1</t>
  </si>
  <si>
    <t>Transdutor de fluxo ultrassonico</t>
  </si>
  <si>
    <t>C - RS - 402</t>
  </si>
  <si>
    <t>LMP 19SE0322</t>
  </si>
  <si>
    <t>180553.2</t>
  </si>
  <si>
    <t>Condicionador de sinal</t>
  </si>
  <si>
    <t>19/19/2019</t>
  </si>
  <si>
    <t>LMP 19SE0323</t>
  </si>
  <si>
    <t>180553.1</t>
  </si>
  <si>
    <t>CP64.CIFNAZANX</t>
  </si>
  <si>
    <t>LMP 19SE0325</t>
  </si>
  <si>
    <t>180601.1</t>
  </si>
  <si>
    <t>DIS82.ICHVNNAAX</t>
  </si>
  <si>
    <t>IECEx DEK 14.0048 X</t>
  </si>
  <si>
    <t>LMP 19SE0326</t>
  </si>
  <si>
    <t>180623.1</t>
  </si>
  <si>
    <t>Transmissor de nível VEGAWELL</t>
  </si>
  <si>
    <t>WL52.AIX4BTV1DC1X.</t>
  </si>
  <si>
    <t>IECEx TUN 06.0014X</t>
  </si>
  <si>
    <t>LMP 19SE0327</t>
  </si>
  <si>
    <t>180657.1</t>
  </si>
  <si>
    <t xml:space="preserve"> RP1001</t>
  </si>
  <si>
    <t>180562.1</t>
  </si>
  <si>
    <t>AIR RADAR F78MP</t>
  </si>
  <si>
    <t>LMP 19SE0328</t>
  </si>
  <si>
    <t>180562.2</t>
  </si>
  <si>
    <t xml:space="preserve"> Mark-4 / Yo-Yo Sensor</t>
  </si>
  <si>
    <t>FM 3019618</t>
  </si>
  <si>
    <t>LMP 19SE0329</t>
  </si>
  <si>
    <t>SLC Ferreira (Engezer)</t>
  </si>
  <si>
    <t>180587.1</t>
  </si>
  <si>
    <t>Ar condicionado</t>
  </si>
  <si>
    <t>RCBX08-11</t>
  </si>
  <si>
    <t>Shield Air Solutions</t>
  </si>
  <si>
    <t>150719)</t>
  </si>
  <si>
    <t>180656.1</t>
  </si>
  <si>
    <t>Acelerometro Industrial Triaxial</t>
  </si>
  <si>
    <t>ICP</t>
  </si>
  <si>
    <t>PCB Piexotronics</t>
  </si>
  <si>
    <t>WA /AC</t>
  </si>
  <si>
    <t>IECEx LCIE 14.0051X</t>
  </si>
  <si>
    <t>LMP 19SE0330</t>
  </si>
  <si>
    <t>Computador Touch</t>
  </si>
  <si>
    <t>TC75X</t>
  </si>
  <si>
    <t>LMP 19SE0334</t>
  </si>
  <si>
    <t>180621.1</t>
  </si>
  <si>
    <t xml:space="preserve"> SMART-isolating transformer  type KFD0-SCS-Ex1 .55</t>
  </si>
  <si>
    <t>LMP 19SE0335</t>
  </si>
  <si>
    <t>180622.1</t>
  </si>
  <si>
    <t>Protetores de Segmento Unicont (isolador e fonte)</t>
  </si>
  <si>
    <t>PGK-301-Bex</t>
  </si>
  <si>
    <t>LMP 19SE0337</t>
  </si>
  <si>
    <t>180620.1</t>
  </si>
  <si>
    <t>Acelerometro</t>
  </si>
  <si>
    <t>LCIE 04 ATEX 6062 X</t>
  </si>
  <si>
    <t>LMP 19SE0338</t>
  </si>
  <si>
    <t xml:space="preserve">180624.1 </t>
  </si>
  <si>
    <t>Chave fim de Curso</t>
  </si>
  <si>
    <t xml:space="preserve"> LS-Ex</t>
  </si>
  <si>
    <t>IDEM Safety Switches Limited</t>
  </si>
  <si>
    <t>IECEx BAS 11.0133X</t>
  </si>
  <si>
    <t>LMP 19SE0340</t>
  </si>
  <si>
    <t>180607.1</t>
  </si>
  <si>
    <t>Transmissor de Oxigenio</t>
  </si>
  <si>
    <t>Oxy.IQ</t>
  </si>
  <si>
    <t>LMP 19SE0341</t>
  </si>
  <si>
    <t>180608.1</t>
  </si>
  <si>
    <t>ACCL0547 (780A-D2)</t>
  </si>
  <si>
    <t>KEMA 08ATEX0134 X</t>
  </si>
  <si>
    <t>LMP 19SE0342</t>
  </si>
  <si>
    <t>180609.1</t>
  </si>
  <si>
    <t>LMP 19SE0343</t>
  </si>
  <si>
    <t>180635.1</t>
  </si>
  <si>
    <t xml:space="preserve">Sensor de Velocidade </t>
  </si>
  <si>
    <t>VR Series</t>
  </si>
  <si>
    <t>08/19/19</t>
  </si>
  <si>
    <t>LMP 19SE0346</t>
  </si>
  <si>
    <t>LMP 19SE0347</t>
  </si>
  <si>
    <t>180602.1</t>
  </si>
  <si>
    <t>Indicador de processo por loop</t>
  </si>
  <si>
    <t>830***</t>
  </si>
  <si>
    <t>IECEx DEK 15.0015</t>
  </si>
  <si>
    <t>LMP 19SE0348</t>
  </si>
  <si>
    <t>180641.1</t>
  </si>
  <si>
    <t>Chave de Nível tipo Boia SOLIBA</t>
  </si>
  <si>
    <t>SOLIBA EX P</t>
  </si>
  <si>
    <t>LMP 19SE0349</t>
  </si>
  <si>
    <t>180642.1</t>
  </si>
  <si>
    <t>Chave de pressão diferencial</t>
  </si>
  <si>
    <t>1950G-00-B-24</t>
  </si>
  <si>
    <t>KEMA 03ATEX2402 X</t>
  </si>
  <si>
    <t>LMP 19SE0353</t>
  </si>
  <si>
    <t>180638.1</t>
  </si>
  <si>
    <t>Analisador de oleo em água</t>
  </si>
  <si>
    <t>6650SP</t>
  </si>
  <si>
    <t>ITS16ATEX18456X</t>
  </si>
  <si>
    <t>LMP 19SE0355</t>
  </si>
  <si>
    <t>180554.1</t>
  </si>
  <si>
    <t>RX70</t>
  </si>
  <si>
    <t>LMP 19SE0356</t>
  </si>
  <si>
    <t xml:space="preserve"> </t>
  </si>
  <si>
    <t>LMP 19SE0357</t>
  </si>
  <si>
    <t>180645.1</t>
  </si>
  <si>
    <t>Keyboard</t>
  </si>
  <si>
    <t>KBD (i)-PS2-***</t>
  </si>
  <si>
    <t>IECEx BVS 07.0002</t>
  </si>
  <si>
    <t>X</t>
  </si>
  <si>
    <t>LMP 19SE0358</t>
  </si>
  <si>
    <t>180643.1</t>
  </si>
  <si>
    <t>Medidor magnético de vazão</t>
  </si>
  <si>
    <t>Optiflux 5000</t>
  </si>
  <si>
    <t>KEMA 04ATEX2126 x</t>
  </si>
  <si>
    <t>LMP 19SE0359</t>
  </si>
  <si>
    <t>180654.1</t>
  </si>
  <si>
    <t>3110-XL</t>
  </si>
  <si>
    <t>LMP 19SE0360</t>
  </si>
  <si>
    <t>180640.1</t>
  </si>
  <si>
    <t>INDICADOR DE FLUXO MAGNÉTICO</t>
  </si>
  <si>
    <t>DW 181</t>
  </si>
  <si>
    <t>Krohne S.A</t>
  </si>
  <si>
    <t>INERIS 03ATEX0045 X / 03</t>
  </si>
  <si>
    <t>LMP 19SE0361</t>
  </si>
  <si>
    <t>180646.1</t>
  </si>
  <si>
    <t>CPT 6210</t>
  </si>
  <si>
    <t>BVS 10 ATEX E 150 X</t>
  </si>
  <si>
    <t>LMP 19SE0362</t>
  </si>
  <si>
    <t>180646.2</t>
  </si>
  <si>
    <t xml:space="preserve">Indicador de pressão handheld IS </t>
  </si>
  <si>
    <t>CPH6210</t>
  </si>
  <si>
    <t>EPS 09 ATEX 1 227 X</t>
  </si>
  <si>
    <t>LMP 19SE0363</t>
  </si>
  <si>
    <t>180646.3</t>
  </si>
  <si>
    <t>AF-ADF...</t>
  </si>
  <si>
    <t>LMP 19SE0364</t>
  </si>
  <si>
    <t>LMP 19SE0365</t>
  </si>
  <si>
    <t>180655.2</t>
  </si>
  <si>
    <t>Fonte repetidora</t>
  </si>
  <si>
    <t>MTL5544D</t>
  </si>
  <si>
    <t>IECEx BAS 09.0071</t>
  </si>
  <si>
    <t>LMP 19SE0366</t>
  </si>
  <si>
    <t>180655.3</t>
  </si>
  <si>
    <t>Plug e Tomada</t>
  </si>
  <si>
    <t>DS GHG516</t>
  </si>
  <si>
    <t>PTB 99 ATEX 1115</t>
  </si>
  <si>
    <t>LMP 19SE0367</t>
  </si>
  <si>
    <t>LMP 19SE0368</t>
  </si>
  <si>
    <t>LMP 19SE0370</t>
  </si>
  <si>
    <t>Suplean</t>
  </si>
  <si>
    <t>180644.1</t>
  </si>
  <si>
    <t>Celula de carga</t>
  </si>
  <si>
    <t>LCA 1620</t>
  </si>
  <si>
    <t>Trelleborg Marine Systems</t>
  </si>
  <si>
    <t>IECEx SIM 06.0014</t>
  </si>
  <si>
    <t>LMP 19SE0371</t>
  </si>
  <si>
    <t>180663.1</t>
  </si>
  <si>
    <t>FLUKE-700G</t>
  </si>
  <si>
    <t xml:space="preserve"> Fluke Corporation </t>
  </si>
  <si>
    <t>LMP 19SE0372</t>
  </si>
  <si>
    <t>180663.2</t>
  </si>
  <si>
    <t>Medidor de pressão</t>
  </si>
  <si>
    <t>FLUKE-700PEx</t>
  </si>
  <si>
    <t xml:space="preserve">Mensor Corporation </t>
  </si>
  <si>
    <t>KEMA 04ATEX1102 X</t>
  </si>
  <si>
    <t>LMP 19SE0373</t>
  </si>
  <si>
    <t>LMP 19SE0374</t>
  </si>
  <si>
    <t>180675.1</t>
  </si>
  <si>
    <t>InPro 4800 / InPro 4801</t>
  </si>
  <si>
    <t>Metter-Toledo AG</t>
  </si>
  <si>
    <t>LMP 19SE0375</t>
  </si>
  <si>
    <t>180672.1</t>
  </si>
  <si>
    <t>B73 &amp; Series 75</t>
  </si>
  <si>
    <t>LMP 19SE0376</t>
  </si>
  <si>
    <t>180557.1</t>
  </si>
  <si>
    <t>Detector de fumaça Fotoelétrico</t>
  </si>
  <si>
    <t xml:space="preserve"> 23-09-2019</t>
  </si>
  <si>
    <t>LMP 19SE0377</t>
  </si>
  <si>
    <t>180687.1</t>
  </si>
  <si>
    <t xml:space="preserve">Transmissor Wirelles </t>
  </si>
  <si>
    <t>Rohrback Cosasco Systems Inc</t>
  </si>
  <si>
    <t>LMP 19SE0378</t>
  </si>
  <si>
    <t>180687.2</t>
  </si>
  <si>
    <t>Terminal de dados do corrosômetro</t>
  </si>
  <si>
    <t>Checkmate DL</t>
  </si>
  <si>
    <t>DEMKO 07 ATEX 0707396X</t>
  </si>
  <si>
    <t>LMP 19SE0379</t>
  </si>
  <si>
    <t>180688.1</t>
  </si>
  <si>
    <t>Chave de Nivel Vibratoria</t>
  </si>
  <si>
    <t>KEMA 02ATEX2110X</t>
  </si>
  <si>
    <t>LMP 19SE0380</t>
  </si>
  <si>
    <t>SEW</t>
  </si>
  <si>
    <t>180673.1</t>
  </si>
  <si>
    <t>Motoredutor</t>
  </si>
  <si>
    <t>KH157 EDRN315S4/2Db/RS/TF/AL/C/NIB</t>
  </si>
  <si>
    <t>SEW Eurodrive Gmbh &amp; Co. KG</t>
  </si>
  <si>
    <t>IECEX PTB 18.0021X</t>
  </si>
  <si>
    <t>LMP 19SE0382</t>
  </si>
  <si>
    <t>180692.1</t>
  </si>
  <si>
    <t>Boia - 60 ANPTL2</t>
  </si>
  <si>
    <t>LMP 19SE0385</t>
  </si>
  <si>
    <t>180679.1</t>
  </si>
  <si>
    <t>Panaflow Z3 / XMT 1000-2-DC-1-AL-00-1-1-0-0</t>
  </si>
  <si>
    <t>LMP 19SE0386</t>
  </si>
  <si>
    <t>LMP 19SE0387</t>
  </si>
  <si>
    <t>LMP 18SE0001</t>
  </si>
  <si>
    <t>EBR</t>
  </si>
  <si>
    <t>170032.2.A1</t>
  </si>
  <si>
    <t>Sistema Alarme de incêndio</t>
  </si>
  <si>
    <t xml:space="preserve"> EAGLE QUANTUM PREMIER SAFETY SYSTEM</t>
  </si>
  <si>
    <t>170032.1.A1</t>
  </si>
  <si>
    <t xml:space="preserve">Sistema Flare </t>
  </si>
  <si>
    <t>N/I</t>
  </si>
  <si>
    <t>John Zink</t>
  </si>
  <si>
    <t>170032.1</t>
  </si>
  <si>
    <t>31/10/17 a 05/11/17</t>
  </si>
  <si>
    <t>SKID</t>
  </si>
  <si>
    <t>02 2018</t>
  </si>
  <si>
    <t>LMP 18SE0002</t>
  </si>
  <si>
    <t>170032.2</t>
  </si>
  <si>
    <t>LMP 18SE0003</t>
  </si>
  <si>
    <t>170032.3.A2</t>
  </si>
  <si>
    <t>Compressor de gás</t>
  </si>
  <si>
    <t>UC-1233001A/B</t>
  </si>
  <si>
    <t>Sundyne LCC.</t>
  </si>
  <si>
    <t>170032.3</t>
  </si>
  <si>
    <t>LMP 18SE0004</t>
  </si>
  <si>
    <t>170039.1</t>
  </si>
  <si>
    <t>OFF Loading</t>
  </si>
  <si>
    <t>CT-MEC-013E00</t>
  </si>
  <si>
    <t>IHC HYTOP B.V</t>
  </si>
  <si>
    <t>05/11/17 a 09/11/17</t>
  </si>
  <si>
    <t>Pendencia de documentos e encerramento das incoerencias verificadas na inspeção</t>
  </si>
  <si>
    <t>PARADO CLIENTE</t>
  </si>
  <si>
    <t>27/04: Enviado email ao cliente solicitando informações sobre o processo // 13/07: Processo está parado com o cliente, o mesmo não responde a emails e ligações. 05/11: Cobrado o cliente sobre as pendencias.</t>
  </si>
  <si>
    <t>LMP 18SE0005</t>
  </si>
  <si>
    <t>170039.2</t>
  </si>
  <si>
    <t>Sistema de água potável</t>
  </si>
  <si>
    <t>TQ-UD-5122501ABC-04</t>
  </si>
  <si>
    <t>Aqua-Chen Inc</t>
  </si>
  <si>
    <t>LMP 18SE0006</t>
  </si>
  <si>
    <t>170039.3</t>
  </si>
  <si>
    <t>Unidade de eletrocoração</t>
  </si>
  <si>
    <t>SEVERN TRENT DE NORA</t>
  </si>
  <si>
    <t>LMP 18SE0012</t>
  </si>
  <si>
    <t>170042.1</t>
  </si>
  <si>
    <t>DewPro MMR31</t>
  </si>
  <si>
    <t>01 2018</t>
  </si>
  <si>
    <t>LMP 18SE0016</t>
  </si>
  <si>
    <t>180014.1</t>
  </si>
  <si>
    <t xml:space="preserve"> 2967/B</t>
  </si>
  <si>
    <t>180014.1.A2</t>
  </si>
  <si>
    <t>180014.1.A1</t>
  </si>
  <si>
    <t xml:space="preserve"> 2967/B (VPS5130)</t>
  </si>
  <si>
    <t>LMP 18SE0021</t>
  </si>
  <si>
    <t>170044.1.A1</t>
  </si>
  <si>
    <t>OXY.IQ-531-00</t>
  </si>
  <si>
    <t>170044.1</t>
  </si>
  <si>
    <t>LMP 18SE0022</t>
  </si>
  <si>
    <t>180018.1.A1</t>
  </si>
  <si>
    <t>3500/94M</t>
  </si>
  <si>
    <t>180018.1</t>
  </si>
  <si>
    <t>LMP 18SE0023</t>
  </si>
  <si>
    <t>180018.2.A1</t>
  </si>
  <si>
    <t>180018.2</t>
  </si>
  <si>
    <t>LMP 18SE0024</t>
  </si>
  <si>
    <t>180018.3.A1</t>
  </si>
  <si>
    <t xml:space="preserve">Fonte de alimentação </t>
  </si>
  <si>
    <t>TSP 090-124EX</t>
  </si>
  <si>
    <t>Traco Electronic AG</t>
  </si>
  <si>
    <t>180018.3</t>
  </si>
  <si>
    <t>EPS 12 ATEX 1 424 X</t>
  </si>
  <si>
    <t>LMP 18SE0026</t>
  </si>
  <si>
    <t>180019.2</t>
  </si>
  <si>
    <t>Balança dosadora gravimétrica existente</t>
  </si>
  <si>
    <t>C500-50G</t>
  </si>
  <si>
    <t>Shenck Process Europe GmbH</t>
  </si>
  <si>
    <t>27/04: Enviado email para o Rafa cobrar o cliente // 13/07: Resnpondido o email com as pendências, o processo ainda continua com pendencia de documentação.</t>
  </si>
  <si>
    <t>LMP 18SE0027</t>
  </si>
  <si>
    <t>180019.1</t>
  </si>
  <si>
    <t>LMP 18SE0028</t>
  </si>
  <si>
    <t>180019.3</t>
  </si>
  <si>
    <t xml:space="preserve">Balança dosadora gravimétrica </t>
  </si>
  <si>
    <t>C3000-100-G</t>
  </si>
  <si>
    <t>LMP 18SE0029</t>
  </si>
  <si>
    <t>180019.4</t>
  </si>
  <si>
    <t>Balança dosadora de fluxo</t>
  </si>
  <si>
    <t>Favor enviar o certificado PTB 08 ATEX 1087 X (Motor ATB NORDENHAM) com a marcação atualizada conforme foto abaixo:
Veja que a marcação informado no certificado está obsoleta:
Favor enviar o certificado PTB 03 ATEX D003 (Redutor STOBER).
Favor enviar o certificado de conformidade do sensor de velocidade PTB 00ATEX 2048 X 
Inspeção:
Favor enviar evidência da tradução da plaqueta de advertência em português fixada no equipamento conforme informado no campo observações gerais do relatório de inspeção.</t>
  </si>
  <si>
    <t>LMP 18SE0030</t>
  </si>
  <si>
    <t>VRX25.70B.G00</t>
  </si>
  <si>
    <t>180022.1</t>
  </si>
  <si>
    <t>LMP 18SE0031</t>
  </si>
  <si>
    <t>170043.1.A2</t>
  </si>
  <si>
    <t xml:space="preserve">Transmissor de ponto de orvalho </t>
  </si>
  <si>
    <t>DewPro MMY30</t>
  </si>
  <si>
    <t>170043.1.A1</t>
  </si>
  <si>
    <t>Cert. Não foi emitido</t>
  </si>
  <si>
    <t>170043.1</t>
  </si>
  <si>
    <t>LMP 18SE0032</t>
  </si>
  <si>
    <t>Schenck process</t>
  </si>
  <si>
    <t>170047.1.A1</t>
  </si>
  <si>
    <t xml:space="preserve">Célula de carga  </t>
  </si>
  <si>
    <t>RTN 1t C5/C4MI</t>
  </si>
  <si>
    <t xml:space="preserve">Schenck Process GmbH </t>
  </si>
  <si>
    <t>170047.1</t>
  </si>
  <si>
    <t>IECEx BVS 14.0067X</t>
  </si>
  <si>
    <t>incluir no documento aceite usuario final ou não / Mudar no documento proposta o nome e modelo do equipamento</t>
  </si>
  <si>
    <t>LMP 18SE0033</t>
  </si>
  <si>
    <t>180032.1.A1</t>
  </si>
  <si>
    <t>Unidade de terminação e conexão</t>
  </si>
  <si>
    <t>E-150</t>
  </si>
  <si>
    <t>Pentair Thermal Management</t>
  </si>
  <si>
    <t>180032.1</t>
  </si>
  <si>
    <t>IECEx PTB 09.0043U</t>
  </si>
  <si>
    <t>LMP 18SE0034</t>
  </si>
  <si>
    <t>FC-SALATA</t>
  </si>
  <si>
    <t>180033.1.A2</t>
  </si>
  <si>
    <t xml:space="preserve">Unidade de terminação e conexão </t>
  </si>
  <si>
    <t>180033.1.A1</t>
  </si>
  <si>
    <t>180033.1</t>
  </si>
  <si>
    <t>LMP 18SE0035</t>
  </si>
  <si>
    <t>180016.1.A1</t>
  </si>
  <si>
    <t xml:space="preserve">Transdutor Ultrassônico de Vazão </t>
  </si>
  <si>
    <t>T8-30-100-33-NT-TI-EX-S</t>
  </si>
  <si>
    <t>GE Sensing</t>
  </si>
  <si>
    <t>180016.1</t>
  </si>
  <si>
    <t>KEMA 02ATEX2283X</t>
  </si>
  <si>
    <t>LMP 18SE0036</t>
  </si>
  <si>
    <t>180016.2.A1</t>
  </si>
  <si>
    <t xml:space="preserve">Pré Amplificador </t>
  </si>
  <si>
    <t>PRE868</t>
  </si>
  <si>
    <t>180016.2</t>
  </si>
  <si>
    <t>ISSeP03ATEX084</t>
  </si>
  <si>
    <t>LMP 18SE0037</t>
  </si>
  <si>
    <t>PR Engenharia</t>
  </si>
  <si>
    <t>180031.1.A1</t>
  </si>
  <si>
    <t>MPM480</t>
  </si>
  <si>
    <t>Micro Sensor Co., Ltd</t>
  </si>
  <si>
    <t>180031.1</t>
  </si>
  <si>
    <t>CNEx 15.2321X</t>
  </si>
  <si>
    <t>LMP 18SE0038</t>
  </si>
  <si>
    <t>Provider Controls</t>
  </si>
  <si>
    <t>180030.1.A1</t>
  </si>
  <si>
    <t>180030.1</t>
  </si>
  <si>
    <t>LMP 18SE0039</t>
  </si>
  <si>
    <t>170054.1.A1</t>
  </si>
  <si>
    <t xml:space="preserve">Sensor de pressão </t>
  </si>
  <si>
    <t>170054.1</t>
  </si>
  <si>
    <t>LMP 18SE0040</t>
  </si>
  <si>
    <t>170055.1.A1</t>
  </si>
  <si>
    <t>Transmissor de oxigênio</t>
  </si>
  <si>
    <t>XMO2-2H-31-S</t>
  </si>
  <si>
    <t>170055.1</t>
  </si>
  <si>
    <t>LMP 18SE0041</t>
  </si>
  <si>
    <t>170034.1.A1</t>
  </si>
  <si>
    <t>MAK 56-4</t>
  </si>
  <si>
    <t>LMP 18SE0042</t>
  </si>
  <si>
    <t>180041.1.A1</t>
  </si>
  <si>
    <t xml:space="preserve">Bomba portátil de amostragem de ar </t>
  </si>
  <si>
    <t>224-44XR</t>
  </si>
  <si>
    <t>SKC Inc</t>
  </si>
  <si>
    <t>180041.1</t>
  </si>
  <si>
    <t>E62011</t>
  </si>
  <si>
    <t>LMP 18SE0043</t>
  </si>
  <si>
    <t>180045.1.A1</t>
  </si>
  <si>
    <t>UNIK 5800</t>
  </si>
  <si>
    <t>180045.1</t>
  </si>
  <si>
    <t>IECEx BAS 12.0047X</t>
  </si>
  <si>
    <t>LMP 18SE0049</t>
  </si>
  <si>
    <t>180054.1.A1</t>
  </si>
  <si>
    <t>EC</t>
  </si>
  <si>
    <t>Honeywell Sensing</t>
  </si>
  <si>
    <t>180054.1</t>
  </si>
  <si>
    <t>BAS 02ATEX3275X</t>
  </si>
  <si>
    <t>LMP 18SE0050</t>
  </si>
  <si>
    <t>180056.1.A1</t>
  </si>
  <si>
    <t>398VP-10-30-54</t>
  </si>
  <si>
    <t>180056.1</t>
  </si>
  <si>
    <t>LMP 18SE0051</t>
  </si>
  <si>
    <t>180058.1</t>
  </si>
  <si>
    <t xml:space="preserve">Atuador elétrico </t>
  </si>
  <si>
    <t>180058.1.A1</t>
  </si>
  <si>
    <t>LMP 18SE0057</t>
  </si>
  <si>
    <t>180067.1.A2</t>
  </si>
  <si>
    <t>Gerenciador de Dado</t>
  </si>
  <si>
    <t>HDM303</t>
  </si>
  <si>
    <t>Yamatake Corporation</t>
  </si>
  <si>
    <t>180067.1.A1</t>
  </si>
  <si>
    <t>Alterado nome do Produto</t>
  </si>
  <si>
    <t>180067.1</t>
  </si>
  <si>
    <t>Gerenciador de Dados</t>
  </si>
  <si>
    <t>LMP 18SE0058</t>
  </si>
  <si>
    <t>180067.2.A1</t>
  </si>
  <si>
    <t>Cromatógrafo</t>
  </si>
  <si>
    <t>HGC303-1E</t>
  </si>
  <si>
    <t>Azbil Corporation</t>
  </si>
  <si>
    <t>180067.2</t>
  </si>
  <si>
    <t>ISSeP14ATEX0007X</t>
  </si>
  <si>
    <t>LMP 18SE0065</t>
  </si>
  <si>
    <t>180071.1.A1</t>
  </si>
  <si>
    <t xml:space="preserve">ORB-HT-51150-AP0 </t>
  </si>
  <si>
    <t>180071.1</t>
  </si>
  <si>
    <t>RC</t>
  </si>
  <si>
    <t>03 2018</t>
  </si>
  <si>
    <t>LMP 18SE0066</t>
  </si>
  <si>
    <t>180073.1.A1</t>
  </si>
  <si>
    <t>3900VP-02-10</t>
  </si>
  <si>
    <t>180073.1</t>
  </si>
  <si>
    <t>LMP 18SE0068</t>
  </si>
  <si>
    <t>180086.1.A1</t>
  </si>
  <si>
    <t xml:space="preserve">Optiflex 1300C VF714B03300700B060000102 </t>
  </si>
  <si>
    <t>Kronhne S.A.S.</t>
  </si>
  <si>
    <t>180086.1</t>
  </si>
  <si>
    <t>LMP 18SE0069</t>
  </si>
  <si>
    <t>180065.1</t>
  </si>
  <si>
    <t>PTB 01 ATEX 2046X</t>
  </si>
  <si>
    <t>LMP 18SE0070</t>
  </si>
  <si>
    <t>180084.1.A2</t>
  </si>
  <si>
    <t xml:space="preserve">Transmissor de pressão e temperatura </t>
  </si>
  <si>
    <t>E121-13273</t>
  </si>
  <si>
    <t>180084.1.A1</t>
  </si>
  <si>
    <t>180084.1</t>
  </si>
  <si>
    <t>IECEx UL 03.0001X</t>
  </si>
  <si>
    <t>LMP 18SE0071</t>
  </si>
  <si>
    <t>180097.1</t>
  </si>
  <si>
    <t>Sensor com pré-Amplificador</t>
  </si>
  <si>
    <t>385+, 23558-00</t>
  </si>
  <si>
    <t>Rosemount Analytical INC</t>
  </si>
  <si>
    <t>Baseefa03ATEX0409X</t>
  </si>
  <si>
    <t>180097.1.A2</t>
  </si>
  <si>
    <t>385+,23558-00</t>
  </si>
  <si>
    <t>180097.1.A1</t>
  </si>
  <si>
    <t>LMP 18SE0072</t>
  </si>
  <si>
    <t>180076.1.A1</t>
  </si>
  <si>
    <t>180076.1</t>
  </si>
  <si>
    <t>LMP 18SE0073</t>
  </si>
  <si>
    <t>Lemasa</t>
  </si>
  <si>
    <t>180087.1</t>
  </si>
  <si>
    <t>Inversor de frequência</t>
  </si>
  <si>
    <t>Vacon X5 Series</t>
  </si>
  <si>
    <t>Vacon INC</t>
  </si>
  <si>
    <t>E362715</t>
  </si>
  <si>
    <t>180087.1.A2</t>
  </si>
  <si>
    <t>180087.1.A1</t>
  </si>
  <si>
    <t>LMP 18SE0074</t>
  </si>
  <si>
    <t>180092.1.A1</t>
  </si>
  <si>
    <t>Transdutor Ultrassônico de Vazão</t>
  </si>
  <si>
    <t>180092.1</t>
  </si>
  <si>
    <t>KEMA 02ATEX2283 X</t>
  </si>
  <si>
    <t>LMP 18SE0075</t>
  </si>
  <si>
    <t>180092.2.A1</t>
  </si>
  <si>
    <t>Pré Amplificador</t>
  </si>
  <si>
    <t>PRE868-NEM-2S</t>
  </si>
  <si>
    <t>180092.2</t>
  </si>
  <si>
    <t>LMP 18SE0076</t>
  </si>
  <si>
    <t>Sense</t>
  </si>
  <si>
    <t>180102.1.A1</t>
  </si>
  <si>
    <t xml:space="preserve">Indicador de montagem de painel </t>
  </si>
  <si>
    <t>BA327E</t>
  </si>
  <si>
    <t>Beka Associates limited</t>
  </si>
  <si>
    <t>180102.1</t>
  </si>
  <si>
    <t>LMP 18SE0077</t>
  </si>
  <si>
    <t>180103.1.A1</t>
  </si>
  <si>
    <t>ST5484E–121-0134-00</t>
  </si>
  <si>
    <t>180103.1</t>
  </si>
  <si>
    <t>LCIE 02ATEX6244X</t>
  </si>
  <si>
    <t>LMP 18SE0078</t>
  </si>
  <si>
    <t>180104.1</t>
  </si>
  <si>
    <t>Detector de Chama DURAG,</t>
  </si>
  <si>
    <t>D-LX 100 UL-97 EX</t>
  </si>
  <si>
    <t>Durag Industrie Elektronik GmbH &amp; Co. KG</t>
  </si>
  <si>
    <t>LMP 18SE0079</t>
  </si>
  <si>
    <t>180107.1.A1</t>
  </si>
  <si>
    <t>Conversor de fluxo Ultrassônico 
Sensor de fluxo Ultrassônico</t>
  </si>
  <si>
    <t>UFC400 Fex / 4000 F/HP/Ex</t>
  </si>
  <si>
    <t>180107.1</t>
  </si>
  <si>
    <t>IECEx KWA 15.0032X</t>
  </si>
  <si>
    <t>LMP 18SE0080</t>
  </si>
  <si>
    <t>180112.1.A1</t>
  </si>
  <si>
    <t>180112.1</t>
  </si>
  <si>
    <t>LMP 18SE0082</t>
  </si>
  <si>
    <t>180108.1.A1</t>
  </si>
  <si>
    <t>Codificador Industrial</t>
  </si>
  <si>
    <t>H38D-600-ABZ-28V/V-SC-CEN</t>
  </si>
  <si>
    <t>BEI Sensors &amp; Systems Company, DBA BEI Industrial Encoders</t>
  </si>
  <si>
    <t>180108.1</t>
  </si>
  <si>
    <t>LMP 18SE0083</t>
  </si>
  <si>
    <t>180108.2.A1</t>
  </si>
  <si>
    <t>Transdutor de Pressão</t>
  </si>
  <si>
    <t>PDCR 250 - 2967/B</t>
  </si>
  <si>
    <t>180108.2</t>
  </si>
  <si>
    <t>LMP 18SE0084</t>
  </si>
  <si>
    <t>180108.3.A1</t>
  </si>
  <si>
    <t>NLI/14000/2/1/1/5/12/1/4/1/3000</t>
  </si>
  <si>
    <t>Senmatic A/S</t>
  </si>
  <si>
    <t>180108.3</t>
  </si>
  <si>
    <t>IECEx FME 08.0007X</t>
  </si>
  <si>
    <t>LMP 18SE0085</t>
  </si>
  <si>
    <t>180108.4.A4</t>
  </si>
  <si>
    <t>Detector de temperatura e interface Ullage</t>
  </si>
  <si>
    <t>HERmetic UTImeter Otex</t>
  </si>
  <si>
    <t>TS Tanksystem AS</t>
  </si>
  <si>
    <t>180108.4</t>
  </si>
  <si>
    <t>LMP 18SE0087</t>
  </si>
  <si>
    <t>180113.1.A1</t>
  </si>
  <si>
    <t>Calibrador e comunicador intrinsicamente seguro</t>
  </si>
  <si>
    <t>G.E. Sensing and Inspection (Changzhou) Co Ltda.</t>
  </si>
  <si>
    <t>180113.1</t>
  </si>
  <si>
    <t>LMP 18SE0097</t>
  </si>
  <si>
    <t>180088.1.A1</t>
  </si>
  <si>
    <t>Fluxus 808**-A1</t>
  </si>
  <si>
    <t>180088.1</t>
  </si>
  <si>
    <t>IBExU11ATEX1022X</t>
  </si>
  <si>
    <t>LMP 18SE0099</t>
  </si>
  <si>
    <t>180115.1.A2</t>
  </si>
  <si>
    <t>Cromatógrafo de processo</t>
  </si>
  <si>
    <t>Sitrans CV 7KQ3105</t>
  </si>
  <si>
    <t>180115.1.A1</t>
  </si>
  <si>
    <t>IECEx BVS 10.0004X</t>
  </si>
  <si>
    <t>180115.1</t>
  </si>
  <si>
    <t>LMP 18SE0100</t>
  </si>
  <si>
    <t>180115.2.A1</t>
  </si>
  <si>
    <t>FS6204CV-1M</t>
  </si>
  <si>
    <t>AutoFlow Products, Inc.</t>
  </si>
  <si>
    <t>180115.2</t>
  </si>
  <si>
    <t>1156566 (111752-1)</t>
  </si>
  <si>
    <t>LMP 18SE0101</t>
  </si>
  <si>
    <t>180120.1</t>
  </si>
  <si>
    <t>PN 330500</t>
  </si>
  <si>
    <t>IECx LCI 06.0003X / IECEx LCI 06.0002X</t>
  </si>
  <si>
    <t>LMP 18SE0103</t>
  </si>
  <si>
    <t>180121.1</t>
  </si>
  <si>
    <t>ST5484E-151-0021-00</t>
  </si>
  <si>
    <t>LMP 18SE0105</t>
  </si>
  <si>
    <t>180125.1.A1</t>
  </si>
  <si>
    <t xml:space="preserve">Chave de pressão e temperatura intrinsecamente seguros </t>
  </si>
  <si>
    <t>10C-15-M511</t>
  </si>
  <si>
    <t>United Electric Controls</t>
  </si>
  <si>
    <t>180125.1</t>
  </si>
  <si>
    <t>IECEx UL 14.0075X</t>
  </si>
  <si>
    <t xml:space="preserve">LMP 18SE0106 </t>
  </si>
  <si>
    <t>180126.1</t>
  </si>
  <si>
    <t>Altosonic V12</t>
  </si>
  <si>
    <t>DEKRA 12ATEX0073 X</t>
  </si>
  <si>
    <t>LMP 18SE0108</t>
  </si>
  <si>
    <t>Tetralon</t>
  </si>
  <si>
    <t>180034.2.A1</t>
  </si>
  <si>
    <t>Kit de Pressurização</t>
  </si>
  <si>
    <t>SmartPurge II</t>
  </si>
  <si>
    <t>Expo Technologies Limited</t>
  </si>
  <si>
    <t>180034.2</t>
  </si>
  <si>
    <t>IECEx FME 11.0006</t>
  </si>
  <si>
    <t>LMP 18SE0109</t>
  </si>
  <si>
    <t>180129.1.A1</t>
  </si>
  <si>
    <t xml:space="preserve">Sistema de monitoramento (Módulo display e modulo I/O) </t>
  </si>
  <si>
    <t>180129.1</t>
  </si>
  <si>
    <t>IECEx CSA 15.0018X</t>
  </si>
  <si>
    <t>LMP 18SE0110</t>
  </si>
  <si>
    <t>180129.2.A1</t>
  </si>
  <si>
    <t>180129.2</t>
  </si>
  <si>
    <t>LMP 18SE0111</t>
  </si>
  <si>
    <t>180129.3</t>
  </si>
  <si>
    <t>LMP 18SE0115</t>
  </si>
  <si>
    <t>180132.1.A1</t>
  </si>
  <si>
    <t>Indicação de Sinal de Campo</t>
  </si>
  <si>
    <t>751AM7E8BBT</t>
  </si>
  <si>
    <t>180132.1</t>
  </si>
  <si>
    <t>DEMKO 18 ATEX 1958X</t>
  </si>
  <si>
    <t>LMP 18SE0117</t>
  </si>
  <si>
    <t>180017.1</t>
  </si>
  <si>
    <t>Desaeradora</t>
  </si>
  <si>
    <t>TQ-UD-5122501ABC</t>
  </si>
  <si>
    <t>Acqua-Chem. Inc.</t>
  </si>
  <si>
    <t>Ver RIAT</t>
  </si>
  <si>
    <t>05/11: Cobrado o cliente sobre as pendencias // 21/11: Reavaliado a documentação enviada pelo cliente, continua com pendencia, ver RIAT atualizado.</t>
  </si>
  <si>
    <t>LMP 18SE0118</t>
  </si>
  <si>
    <t>180017.2</t>
  </si>
  <si>
    <t>Sistema de injeção de Hipoclorito</t>
  </si>
  <si>
    <t>HX-150</t>
  </si>
  <si>
    <t>Severn Trent de Nora</t>
  </si>
  <si>
    <t>25 a 29/07/2018</t>
  </si>
  <si>
    <t>LMP 18SE0119</t>
  </si>
  <si>
    <t>180017.3</t>
  </si>
  <si>
    <t>Sistema Mooring</t>
  </si>
  <si>
    <t>CSR 1660-120</t>
  </si>
  <si>
    <t>Timberland Equipment Limited</t>
  </si>
  <si>
    <t>05/11: Cobrado o cliente sobre as pendencias</t>
  </si>
  <si>
    <t>LMP 18SE0120</t>
  </si>
  <si>
    <t>180017.4</t>
  </si>
  <si>
    <t>Sistema Off loading</t>
  </si>
  <si>
    <t>Off loading</t>
  </si>
  <si>
    <t>IHC Winches</t>
  </si>
  <si>
    <t>LMP 18SE0121</t>
  </si>
  <si>
    <t>180017.5</t>
  </si>
  <si>
    <t>Sistema Riser Pull in</t>
  </si>
  <si>
    <t>GN-6100501</t>
  </si>
  <si>
    <t>PH Hydraulics &amp; Enginnering Çte. Ltd.</t>
  </si>
  <si>
    <t>LMP 18SE0122</t>
  </si>
  <si>
    <t>180017.6</t>
  </si>
  <si>
    <t>Sistema de alarme e incêndio</t>
  </si>
  <si>
    <t>LMP 18SE0123</t>
  </si>
  <si>
    <t>180017.7</t>
  </si>
  <si>
    <t>Sistema casa de bombas</t>
  </si>
  <si>
    <t>HULL</t>
  </si>
  <si>
    <t>LMP 18SE0127</t>
  </si>
  <si>
    <t>180138.1.A1</t>
  </si>
  <si>
    <t xml:space="preserve">Dispositivos de proteção contra surtos </t>
  </si>
  <si>
    <t>SD32R</t>
  </si>
  <si>
    <t>180138.1</t>
  </si>
  <si>
    <t>LMP 18SE0128</t>
  </si>
  <si>
    <t>180140.1.A1</t>
  </si>
  <si>
    <t>180140.1</t>
  </si>
  <si>
    <t>LMP 18SE0129</t>
  </si>
  <si>
    <t>180142.1.A1</t>
  </si>
  <si>
    <t>C**2N81</t>
  </si>
  <si>
    <t>180142.1</t>
  </si>
  <si>
    <t>LMP 18SE0134</t>
  </si>
  <si>
    <t>180143.1</t>
  </si>
  <si>
    <t>811-FMG</t>
  </si>
  <si>
    <t>Sensotec</t>
  </si>
  <si>
    <t>0D1H0.AE</t>
  </si>
  <si>
    <t>LMP 18SE0135</t>
  </si>
  <si>
    <t>180149.1.A1</t>
  </si>
  <si>
    <t>Medidor de vazão vortex</t>
  </si>
  <si>
    <t>OPITISWIRL 4200 C -Ex</t>
  </si>
  <si>
    <t>180149.1</t>
  </si>
  <si>
    <t>KIWA 14ATEX0016 X</t>
  </si>
  <si>
    <t>01 2019: Recomendado pela comissão que seja incluída a descrição apenas do produto que está sendo importado.</t>
  </si>
  <si>
    <t>LMP 18SE0136</t>
  </si>
  <si>
    <t>180124.1</t>
  </si>
  <si>
    <t>T8</t>
  </si>
  <si>
    <t>LMP 18SE0137</t>
  </si>
  <si>
    <t>180157.1.A1</t>
  </si>
  <si>
    <t>Unidade de transferência de dados</t>
  </si>
  <si>
    <t>MATE-BT (TU-500)</t>
  </si>
  <si>
    <t>180157.1</t>
  </si>
  <si>
    <t>IECEx_SIR_14.0096X</t>
  </si>
  <si>
    <t>LMP 18SE0138</t>
  </si>
  <si>
    <t>180157.2.A1</t>
  </si>
  <si>
    <t>Transdutor ultrassônico de corrosão</t>
  </si>
  <si>
    <t>180157.2</t>
  </si>
  <si>
    <t>LMP 18SE0139</t>
  </si>
  <si>
    <t>180157.3.A1</t>
  </si>
  <si>
    <t>180157.3</t>
  </si>
  <si>
    <t>LMP 18SE0140</t>
  </si>
  <si>
    <t>180158.1.A1</t>
  </si>
  <si>
    <t>Detector de interface</t>
  </si>
  <si>
    <t>ID-201</t>
  </si>
  <si>
    <t>AGAR Corporation Incorporated</t>
  </si>
  <si>
    <t>180158.1</t>
  </si>
  <si>
    <t>Baseefa 03ATEX0600X</t>
  </si>
  <si>
    <t>LMP 18SE0141</t>
  </si>
  <si>
    <t>180158.2.A1</t>
  </si>
  <si>
    <t>Unidade básica de detecção</t>
  </si>
  <si>
    <t>XCEX</t>
  </si>
  <si>
    <t>180158.2</t>
  </si>
  <si>
    <t>Baseefa 07ATEX0166X</t>
  </si>
  <si>
    <t>LMP 18SE0143</t>
  </si>
  <si>
    <t>180162.1.A1</t>
  </si>
  <si>
    <t>PXA4GE</t>
  </si>
  <si>
    <t>Ettore Cella Spa</t>
  </si>
  <si>
    <t>180162.1</t>
  </si>
  <si>
    <t>LMP 18SE0146</t>
  </si>
  <si>
    <t>180172.1.A1</t>
  </si>
  <si>
    <t xml:space="preserve">IRIS500 IRX2  </t>
  </si>
  <si>
    <t>Combustion and Energy S.R.L</t>
  </si>
  <si>
    <t>180172.1</t>
  </si>
  <si>
    <t>INERIS 03ATEX0175X</t>
  </si>
  <si>
    <t>LMP 18SE0147</t>
  </si>
  <si>
    <t>180173.1</t>
  </si>
  <si>
    <t>Modulo de interface de acelerômetro</t>
  </si>
  <si>
    <t>LMP 18SE0148</t>
  </si>
  <si>
    <t>180173.2</t>
  </si>
  <si>
    <t>Sonda De Corrente parasita</t>
  </si>
  <si>
    <t>300, 3300/3300XL, 7200 Series</t>
  </si>
  <si>
    <t>GB_BAS_QAR06.0013</t>
  </si>
  <si>
    <t>LMP 18SE0149</t>
  </si>
  <si>
    <t>180173.3</t>
  </si>
  <si>
    <t xml:space="preserve">Sensor </t>
  </si>
  <si>
    <t>TF, M</t>
  </si>
  <si>
    <t>IECEx_BAS_13.0129X_1</t>
  </si>
  <si>
    <t>LMP 18SE0150</t>
  </si>
  <si>
    <t xml:space="preserve">Dart do Brasil </t>
  </si>
  <si>
    <t>180153.1</t>
  </si>
  <si>
    <t xml:space="preserve">Freezer e Refrigerador Comercial </t>
  </si>
  <si>
    <t>EP-3020</t>
  </si>
  <si>
    <t>Horizon Scientific INC</t>
  </si>
  <si>
    <t>06/11: Foi solicitado novamente a documentação ao cliente.</t>
  </si>
  <si>
    <t>LMP 18SE0153</t>
  </si>
  <si>
    <t>180177.1</t>
  </si>
  <si>
    <t xml:space="preserve">Transmissor de Nível de Raras Guiado </t>
  </si>
  <si>
    <t xml:space="preserve">OPTIFLEX 1300 C </t>
  </si>
  <si>
    <t>Krohme S.A.S.</t>
  </si>
  <si>
    <t>IECEx KEM 06.0024X</t>
  </si>
  <si>
    <t>LMP 18SE0154</t>
  </si>
  <si>
    <t>180178.1</t>
  </si>
  <si>
    <t xml:space="preserve">Sensor de Chama UV </t>
  </si>
  <si>
    <t>FFS07 UV-1 - PN 659D21-01/03/0</t>
  </si>
  <si>
    <t>LAMTEC</t>
  </si>
  <si>
    <t>IECEx IBE 15.0010X</t>
  </si>
  <si>
    <t>LMP 18SE0155</t>
  </si>
  <si>
    <t>180147.1</t>
  </si>
  <si>
    <t>Fonte de Alimentação Repetidora de canal único, 4,20 mA para Transmissores de 2 ou 3 Fios</t>
  </si>
  <si>
    <t>LMP 18SE0156</t>
  </si>
  <si>
    <t>180175.1</t>
  </si>
  <si>
    <t>05/11: Foi enviado um email ao cliente cobrando a etiqueta de tradução das advertências e enviado a prévia para aprovação.</t>
  </si>
  <si>
    <t>LMP 18SE0157</t>
  </si>
  <si>
    <t>180180.1</t>
  </si>
  <si>
    <t>Medidor Vazão Ultrassonico</t>
  </si>
  <si>
    <t>Fluxus F808**-A1</t>
  </si>
  <si>
    <t>FLEXIM FLEXIBLE INDUSTRIEMEßTECHNIK GMBH</t>
  </si>
  <si>
    <t>IECEx_IBE_11.0006X</t>
  </si>
  <si>
    <t>LMP 18SE0158</t>
  </si>
  <si>
    <t>180180.2</t>
  </si>
  <si>
    <t>CDM2N81 (PA-44-FE-0321)</t>
  </si>
  <si>
    <t>IECEx_IBE_08.0007X</t>
  </si>
  <si>
    <t>LMP 18SE0159</t>
  </si>
  <si>
    <t>180182.1</t>
  </si>
  <si>
    <t>Sinalizador de Led</t>
  </si>
  <si>
    <t>ZBWV/L/R...</t>
  </si>
  <si>
    <t>IECEx INE 16.0039U</t>
  </si>
  <si>
    <t>22/11: enviado email ao cliente com as pendencias.</t>
  </si>
  <si>
    <t>LMP 18SE0160</t>
  </si>
  <si>
    <t>180182.2.A1</t>
  </si>
  <si>
    <t>Gerador de Sinal</t>
  </si>
  <si>
    <t>mS75M-83</t>
  </si>
  <si>
    <t>Kapfer GmbH</t>
  </si>
  <si>
    <t>180182.2</t>
  </si>
  <si>
    <t>PTB 02 ATEX 2119</t>
  </si>
  <si>
    <t>LMP 18SE0161</t>
  </si>
  <si>
    <t>180182.3</t>
  </si>
  <si>
    <t>ZBWE.... ZBW4B..... ZBW5A.... E XBW....</t>
  </si>
  <si>
    <t>IECEx INE 14.0015U</t>
  </si>
  <si>
    <t>LMP 18SE0162</t>
  </si>
  <si>
    <t>180181.1</t>
  </si>
  <si>
    <t>Chave Mecanica de Vibração</t>
  </si>
  <si>
    <t>IECEX BAS 10.0020</t>
  </si>
  <si>
    <t>LMP 18SE0166</t>
  </si>
  <si>
    <t>180194.1</t>
  </si>
  <si>
    <t>Chave de posição</t>
  </si>
  <si>
    <t>07-2918-1330/30</t>
  </si>
  <si>
    <t>IECEx EPS 14.0092 X</t>
  </si>
  <si>
    <t>LMP 18SE0167</t>
  </si>
  <si>
    <t>180193.1</t>
  </si>
  <si>
    <t>MTL77**</t>
  </si>
  <si>
    <t>LMP 18SE0168</t>
  </si>
  <si>
    <t>180193.2</t>
  </si>
  <si>
    <t>Protetor de Surto</t>
  </si>
  <si>
    <t>SD**xxx</t>
  </si>
  <si>
    <t>LMP 18SE0169</t>
  </si>
  <si>
    <t>180191.1</t>
  </si>
  <si>
    <t xml:space="preserve">Unidade DAS </t>
  </si>
  <si>
    <t>OW300</t>
  </si>
  <si>
    <t>Baseefa 08ATEX0211</t>
  </si>
  <si>
    <t>LMP 18SE0170</t>
  </si>
  <si>
    <t>180191.2</t>
  </si>
  <si>
    <t>Sonda de Antena</t>
  </si>
  <si>
    <t>Serie OW-3020035-**</t>
  </si>
  <si>
    <t>IECEx ETL 16.0019X</t>
  </si>
  <si>
    <t>LMP 18SE0171</t>
  </si>
  <si>
    <t>180191.3</t>
  </si>
  <si>
    <t>medidor de agua em oleo</t>
  </si>
  <si>
    <t>OW</t>
  </si>
  <si>
    <t>IECEx ETL 15.0036X</t>
  </si>
  <si>
    <t>LMP 18SE0172</t>
  </si>
  <si>
    <t>180197.1</t>
  </si>
  <si>
    <t>Multiplexador de 32 canais</t>
  </si>
  <si>
    <t>MTL 4850</t>
  </si>
  <si>
    <t>LMP 18SE0174</t>
  </si>
  <si>
    <t>180199.1</t>
  </si>
  <si>
    <t>Chave de Nível RF</t>
  </si>
  <si>
    <t>810-0005-D01</t>
  </si>
  <si>
    <t>LR 57020</t>
  </si>
  <si>
    <t>LMP 18SE0175</t>
  </si>
  <si>
    <t>180192.1</t>
  </si>
  <si>
    <t>Sensor de Chama ultravioleta</t>
  </si>
  <si>
    <t>Honeywell International Inc.</t>
  </si>
  <si>
    <t>IECEx FMG 15.0005</t>
  </si>
  <si>
    <t>LMP 18SE0176</t>
  </si>
  <si>
    <t>180200.1</t>
  </si>
  <si>
    <t>Acionador Manual E2S</t>
  </si>
  <si>
    <t>(GNEXCP6A-BG)</t>
  </si>
  <si>
    <t>European Safety System Limited</t>
  </si>
  <si>
    <t>IECEx SIR 09.0121X</t>
  </si>
  <si>
    <t>LMP 18SE0177</t>
  </si>
  <si>
    <t>180200.2</t>
  </si>
  <si>
    <t>Sinalizador Audio Visual 100dB e LED</t>
  </si>
  <si>
    <t>E2S IS-MC1</t>
  </si>
  <si>
    <t>IECEx SR 06.0045X</t>
  </si>
  <si>
    <t>LMP 18SE0178</t>
  </si>
  <si>
    <t>180163.1</t>
  </si>
  <si>
    <t>Unidade de Ventilação</t>
  </si>
  <si>
    <t>LMP 18SE0179</t>
  </si>
  <si>
    <t>180167.1</t>
  </si>
  <si>
    <t>PDCR 250_****, 2967/*.</t>
  </si>
  <si>
    <t>Druck Limited - UK</t>
  </si>
  <si>
    <t>LMP 18SE0180</t>
  </si>
  <si>
    <t>180167.2</t>
  </si>
  <si>
    <t>Sonda</t>
  </si>
  <si>
    <t>10000 Series</t>
  </si>
  <si>
    <t>Metrix Instrument Co. - USA</t>
  </si>
  <si>
    <t>IECEx BAS 11.0066X e IECEx BAS 11.0065</t>
  </si>
  <si>
    <t>LMP 18SE0182</t>
  </si>
  <si>
    <t>180207.1</t>
  </si>
  <si>
    <t>Transmissor de Vibração SEISMIC</t>
  </si>
  <si>
    <t>ST5484E</t>
  </si>
  <si>
    <t>LMP 18SE0183</t>
  </si>
  <si>
    <t>180206.1</t>
  </si>
  <si>
    <t>Transmissor de nivel radar optiwave</t>
  </si>
  <si>
    <t>7400C e 7500</t>
  </si>
  <si>
    <t>LMP 18SE0184</t>
  </si>
  <si>
    <t>180208.1</t>
  </si>
  <si>
    <t>lnPro7*0X*/*-VP/7' r * *</t>
  </si>
  <si>
    <t>Mettler-Toledo GmbH, Process Anaiytics</t>
  </si>
  <si>
    <t>SEV 14ATEX0129 X</t>
  </si>
  <si>
    <t>LMP 18SE0185</t>
  </si>
  <si>
    <t>180209.1</t>
  </si>
  <si>
    <t>3110P, 331419</t>
  </si>
  <si>
    <t>LMP 18SE0187</t>
  </si>
  <si>
    <t>180216.1</t>
  </si>
  <si>
    <t>ALTOSONIC 5</t>
  </si>
  <si>
    <t>FTZÚ 14ATEX 0131X</t>
  </si>
  <si>
    <t>LMP 18SE0188</t>
  </si>
  <si>
    <t>180220.1</t>
  </si>
  <si>
    <t>Medidor de Vazão Ultrassônico Compacto</t>
  </si>
  <si>
    <t>UFM 3030 K Ex</t>
  </si>
  <si>
    <t>LMP 18SE0199</t>
  </si>
  <si>
    <t>180223.1</t>
  </si>
  <si>
    <t>EX628F01</t>
  </si>
  <si>
    <t>IMI Sensors - USA</t>
  </si>
  <si>
    <t>LMP 18SE0201</t>
  </si>
  <si>
    <t>180230.1</t>
  </si>
  <si>
    <t xml:space="preserve"> TDF/bs – A – PR</t>
  </si>
  <si>
    <t>180664.1</t>
  </si>
  <si>
    <t>Detector de chama</t>
  </si>
  <si>
    <t>IRIS500 UV Ex</t>
  </si>
  <si>
    <t>LMP 17SE0001 X</t>
  </si>
  <si>
    <t xml:space="preserve">VBB </t>
  </si>
  <si>
    <t xml:space="preserve">Schenck Process Holding GmbH </t>
  </si>
  <si>
    <t>JM</t>
  </si>
  <si>
    <t>IT</t>
  </si>
  <si>
    <t>01 2017</t>
  </si>
  <si>
    <t>LMP 17SE0002 X</t>
  </si>
  <si>
    <t>DPI 6****</t>
  </si>
  <si>
    <t>LMP 17SE0008</t>
  </si>
  <si>
    <t>170008.A1</t>
  </si>
  <si>
    <t>Advantech Co Ltd</t>
  </si>
  <si>
    <t>E180881</t>
  </si>
  <si>
    <t>LMP 17SE0014X</t>
  </si>
  <si>
    <t xml:space="preserve">Detector de Passagem de PIG ultrassônico </t>
  </si>
  <si>
    <t>ID 5000</t>
  </si>
  <si>
    <t>ONLINE ELECTRONICS LTD</t>
  </si>
  <si>
    <t>TRL 08ATEX21161X</t>
  </si>
  <si>
    <t>LMP 17SE0015X</t>
  </si>
  <si>
    <t>Transmissor de Oxigênio Panametrics</t>
  </si>
  <si>
    <t>OXY.IQ-2-3-1-0-0</t>
  </si>
  <si>
    <t>LMP 17SE0016X</t>
  </si>
  <si>
    <t>HygroPro 1-1-R-1-0-1-0-0</t>
  </si>
  <si>
    <t>LMP 17SE0017</t>
  </si>
  <si>
    <t>Embraer</t>
  </si>
  <si>
    <t>Medidor transmissor linear de vazão</t>
  </si>
  <si>
    <t>LA-5-A-MA-9-EXP</t>
  </si>
  <si>
    <t>FTI Flow Technology, Inc.</t>
  </si>
  <si>
    <t>LR 1275-1</t>
  </si>
  <si>
    <t>LMP 17SE0018X</t>
  </si>
  <si>
    <t>Mudar data da solicitação no documento proposta / incluir no documento aceite usuario final ou não</t>
  </si>
  <si>
    <t>LMP 17SE0020</t>
  </si>
  <si>
    <t>170047.2</t>
  </si>
  <si>
    <t>RTN 1t C3</t>
  </si>
  <si>
    <t>Schenck Process GmbH</t>
  </si>
  <si>
    <t>BVS 14 ATEX E 108 X</t>
  </si>
  <si>
    <t>LMP 17SE0022</t>
  </si>
  <si>
    <t>170047.3</t>
  </si>
  <si>
    <t>NC</t>
  </si>
  <si>
    <t>Pepperl + Fuchs</t>
  </si>
  <si>
    <t>ZELM 03ATEX0128X</t>
  </si>
  <si>
    <t>LMP 17SE0026</t>
  </si>
  <si>
    <t>OXY.IQ-331-00</t>
  </si>
  <si>
    <t>LMP 17SE0027</t>
  </si>
  <si>
    <t>Sistema de Monitoramento</t>
  </si>
  <si>
    <t>LMP 17SE0033</t>
  </si>
  <si>
    <t>170033.A1</t>
  </si>
  <si>
    <t>Monitor de Gás</t>
  </si>
  <si>
    <t>GX-2009</t>
  </si>
  <si>
    <t>Riken Keiki Co.,Ltd</t>
  </si>
  <si>
    <t>IECEx KEM 08.0013</t>
  </si>
  <si>
    <t>LMP 17SE0034</t>
  </si>
  <si>
    <t>170034.A1</t>
  </si>
  <si>
    <t>C-GEX020-FPM8151-1</t>
  </si>
  <si>
    <t>LMP 17SE0035X</t>
  </si>
  <si>
    <t>170035.A1</t>
  </si>
  <si>
    <t>EPS 12 ATEX 1424 X</t>
  </si>
  <si>
    <t>LMP 17SE0036</t>
  </si>
  <si>
    <t>170036.1</t>
  </si>
  <si>
    <t>Moisture.IQ</t>
  </si>
  <si>
    <t>LMP 17SE0037</t>
  </si>
  <si>
    <t>170036.2</t>
  </si>
  <si>
    <t>Sonda MIS</t>
  </si>
  <si>
    <t>Probe 2</t>
  </si>
  <si>
    <t>LMP 17SE0038</t>
  </si>
  <si>
    <t>Sensor de Gás</t>
  </si>
  <si>
    <t>11159-2</t>
  </si>
  <si>
    <t xml:space="preserve">General Monitors Inc </t>
  </si>
  <si>
    <t>SIRA 00ATEX1039U</t>
  </si>
  <si>
    <t>LMP 17SE0039</t>
  </si>
  <si>
    <t>170041.1</t>
  </si>
  <si>
    <t>Sistema de monitoramento (Módulo display e modulo I/O)</t>
  </si>
  <si>
    <t>LMP 17SE0040</t>
  </si>
  <si>
    <t>170041.2</t>
  </si>
  <si>
    <t>LMP 17SE0041</t>
  </si>
  <si>
    <t>170041.3</t>
  </si>
  <si>
    <t>Router</t>
  </si>
  <si>
    <t>LMP 17SE0046</t>
  </si>
  <si>
    <t xml:space="preserve">Chave micro switch </t>
  </si>
  <si>
    <t>CX</t>
  </si>
  <si>
    <t>WSQX.E14274</t>
  </si>
  <si>
    <t>LMP 22SE0059X</t>
  </si>
  <si>
    <t>LMP 22SE0060X</t>
  </si>
  <si>
    <t>LMP 22SE0061</t>
  </si>
  <si>
    <t>LMP 22SE0062</t>
  </si>
  <si>
    <t>LMP 22SE0063</t>
  </si>
  <si>
    <t>LMP 22SE0064</t>
  </si>
  <si>
    <t>LMP 22SE0065</t>
  </si>
  <si>
    <t>LMP 22SE0066</t>
  </si>
  <si>
    <t>LMP 22SE0067</t>
  </si>
  <si>
    <t>LMP 22SE0068</t>
  </si>
  <si>
    <t>LMP 22SE0069</t>
  </si>
  <si>
    <t>LMP 22SE0070</t>
  </si>
  <si>
    <t>LMP 22SE0071</t>
  </si>
  <si>
    <t>LMP 22SE0072</t>
  </si>
  <si>
    <t>LMP 22SE0073</t>
  </si>
  <si>
    <t>LMP 22SE0074</t>
  </si>
  <si>
    <t>LMP 22SE0075</t>
  </si>
  <si>
    <t>LMP 22SE0076</t>
  </si>
  <si>
    <t>LMP 22SE0077</t>
  </si>
  <si>
    <t>LMP 22SE0078</t>
  </si>
  <si>
    <t>LMP 22SE0079</t>
  </si>
  <si>
    <t>LMP 22SE0080</t>
  </si>
  <si>
    <t>LMP 22SE0081</t>
  </si>
  <si>
    <t>LMP 22SE0082</t>
  </si>
  <si>
    <t>LMP 22SE0083</t>
  </si>
  <si>
    <t>LMP 22SE0084</t>
  </si>
  <si>
    <t>LMP 22SE0056X</t>
  </si>
  <si>
    <t>LMP 22SE0057X</t>
  </si>
  <si>
    <t>LMP 22SE0054X</t>
  </si>
  <si>
    <t>PLANEJAMENTO DE PROCESSOS - LOTE- LMP REG 018-01 Rev.01</t>
  </si>
  <si>
    <t xml:space="preserve">Status </t>
  </si>
  <si>
    <t xml:space="preserve">Tipo de certificação </t>
  </si>
  <si>
    <t xml:space="preserve">Portaria </t>
  </si>
  <si>
    <t xml:space="preserve">Proposta </t>
  </si>
  <si>
    <t xml:space="preserve">Número do certificado </t>
  </si>
  <si>
    <t xml:space="preserve">Solicitante </t>
  </si>
  <si>
    <t xml:space="preserve">Endereço solicitante </t>
  </si>
  <si>
    <t xml:space="preserve">Cidade </t>
  </si>
  <si>
    <t xml:space="preserve">Estado </t>
  </si>
  <si>
    <t xml:space="preserve">Produto </t>
  </si>
  <si>
    <t xml:space="preserve">Modelo </t>
  </si>
  <si>
    <t xml:space="preserve">Normas </t>
  </si>
  <si>
    <t xml:space="preserve">Analista </t>
  </si>
  <si>
    <t xml:space="preserve">Data da emissão inicial </t>
  </si>
  <si>
    <t>ATIVO</t>
  </si>
  <si>
    <t>Alteração 1</t>
  </si>
  <si>
    <t>179/2010</t>
  </si>
  <si>
    <t>180020.1</t>
  </si>
  <si>
    <t>LMP 18.0025</t>
  </si>
  <si>
    <t>AK-PZ-D + APP-A6L-66</t>
  </si>
  <si>
    <t>ABNT NBR IEC 60079-0:2013 (Versão corrigida em 2016)
ABNT NBR IEC 60079-2:2009</t>
  </si>
  <si>
    <t>BSR</t>
  </si>
  <si>
    <t>Alteração 2</t>
  </si>
  <si>
    <t>180101.1.A2</t>
  </si>
  <si>
    <t>LMP 18.0086</t>
  </si>
  <si>
    <t>Inicial</t>
  </si>
  <si>
    <t>180257.1</t>
  </si>
  <si>
    <t>LMP 19.0058</t>
  </si>
  <si>
    <t>conforme certificado</t>
  </si>
  <si>
    <t>180258.1</t>
  </si>
  <si>
    <t>Indicador de posição de válvula multivoltas</t>
  </si>
  <si>
    <t>180506.1</t>
  </si>
  <si>
    <t>LMP 19.0260</t>
  </si>
  <si>
    <t xml:space="preserve">Painel pressurizado analisador de oxigênio </t>
  </si>
  <si>
    <t>AKP-PZ-D + APP-A6L-66 (TAG: AIT-5412003)</t>
  </si>
  <si>
    <t>ABNT NBR IEC 60079-0:2013
Versão corrigida em 2016
ABNT NBR IEC 60079-2:2009</t>
  </si>
  <si>
    <t>Bomba de Vácuo com Analisador de Oxigênio</t>
  </si>
  <si>
    <t>Instatrans-XD / M121-FT-ZA1  / 34R6BECI</t>
  </si>
  <si>
    <t>HHSC</t>
  </si>
  <si>
    <t>181134.1</t>
  </si>
  <si>
    <t>LMP 20.0418</t>
  </si>
  <si>
    <t>MTT Aselco Automação Ltda.</t>
  </si>
  <si>
    <t>Rua Nicolino Stoffa, 148, Bairro do Limão, São Paulo, SP – Brasil - CEP 02550-020
CNPJ: 03.673.549/0001-35</t>
  </si>
  <si>
    <t>Painel de Controle Pressurizado</t>
  </si>
  <si>
    <t>AKP-PZ-C + APP-A6L-66</t>
  </si>
  <si>
    <t>ABNT NBR IEC 60079-0:2013
Versão corrigida [2016]
ABNT NBR IEC 60079-2:2016</t>
  </si>
  <si>
    <t>180077.1</t>
  </si>
  <si>
    <t>LMP 18.0113X</t>
  </si>
  <si>
    <t>Rod. Jornalista Francisco Aguirre Proença- Campinas, SP – Brasil - CEP: 13064-654
CNPJ: 01.128.902/0002-51</t>
  </si>
  <si>
    <t>Campinas</t>
  </si>
  <si>
    <t xml:space="preserve"> DPS5000</t>
  </si>
  <si>
    <t>ABNT NBR IEC 60079-0:2013
ABNT NBR IEC 60079-11:2013</t>
  </si>
  <si>
    <t>181645.1</t>
  </si>
  <si>
    <t>LMP 21.0059</t>
  </si>
  <si>
    <t>Av. João Vieira, 58 - Cascata - Paulínia/SP - 13146-023
CNPJ: 06.979.206/0001-91</t>
  </si>
  <si>
    <t>Paulínia</t>
  </si>
  <si>
    <t xml:space="preserve">Monitores de posição de válvula </t>
  </si>
  <si>
    <t>Série 50</t>
  </si>
  <si>
    <t>ABNT NBR IEC 60079-0:2013 
ABNT NBR IEC 60079-1:2016</t>
  </si>
  <si>
    <t>180598.1</t>
  </si>
  <si>
    <t>LMP 19.0244</t>
  </si>
  <si>
    <t>Coengi Instalações de Equipamentos Industriais</t>
  </si>
  <si>
    <t>Ibrain Nobre, 50 – Jardim Rafaela Amoroso Micelli – Araraquara – SP – Brasil - CEP: 14808-034
CNPJ: 05.137.574/0001-20</t>
  </si>
  <si>
    <t>Araraquara</t>
  </si>
  <si>
    <t xml:space="preserve">Caixa de ligação </t>
  </si>
  <si>
    <t>KTB QL 765020 S4E3</t>
  </si>
  <si>
    <t>NBR IEC 60079-0:2013
NBR IEC 60079-7:2018</t>
  </si>
  <si>
    <t>ADC</t>
  </si>
  <si>
    <t>180716.1</t>
  </si>
  <si>
    <t>LMP 20.0213 X</t>
  </si>
  <si>
    <t xml:space="preserve">Painel Pressurizado </t>
  </si>
  <si>
    <t>PL-90-127X - COE0220</t>
  </si>
  <si>
    <t>ABNT NBR IEC 60079-0:2013 
ABNT NBR IEC 60079-2:2016</t>
  </si>
  <si>
    <t>COS</t>
  </si>
  <si>
    <t>181426.1</t>
  </si>
  <si>
    <t>LMP 21.0045X</t>
  </si>
  <si>
    <t>Caixa de junção</t>
  </si>
  <si>
    <t>COE1219 (Projeto MV30 Veolia)</t>
  </si>
  <si>
    <t>ABNT NBR IEC 60079-0:2013 
ABNT NBR IEC 60079-7:2018</t>
  </si>
  <si>
    <t>181012.1.A1</t>
  </si>
  <si>
    <t>LMP 21.0041</t>
  </si>
  <si>
    <t>Caixa de junção do sistema de lubrificação de óleo</t>
  </si>
  <si>
    <t>ABTECH SX3 - 200 e ABTECH SX6 - 300</t>
  </si>
  <si>
    <t>HHSC / JPC</t>
  </si>
  <si>
    <t>181029.3</t>
  </si>
  <si>
    <t>LMP 21.0056</t>
  </si>
  <si>
    <t>DE NORA DO BRASIL Ltda.</t>
  </si>
  <si>
    <t>Av. Jerome Case 1959, CEP 18087-220, Sorocaba – Brasil 
CNPJ: 00.776.908.0001-91 IE: 669.184.560.110</t>
  </si>
  <si>
    <t>Sorocaba</t>
  </si>
  <si>
    <t>Painel pressurizado com IHM</t>
  </si>
  <si>
    <t xml:space="preserve"> PN-EU-5121501-01</t>
  </si>
  <si>
    <t>181029.4</t>
  </si>
  <si>
    <t>LMP 21.0057</t>
  </si>
  <si>
    <t>Painel pressurizado com transformador</t>
  </si>
  <si>
    <t>TF-EU-5121501-01</t>
  </si>
  <si>
    <t>180875.1</t>
  </si>
  <si>
    <t>LMP 21.0239X</t>
  </si>
  <si>
    <t>INDUSTRIA ELETRO ELETRONICA FDT EIRELI</t>
  </si>
  <si>
    <t>R GENERAL OSORIO 1153 Sala 201 – CENTRO, RS – Brasil – CEP: 98.280-000
CNPJ:08.625.025/0001-92</t>
  </si>
  <si>
    <t>Panambi</t>
  </si>
  <si>
    <t>RS</t>
  </si>
  <si>
    <t xml:space="preserve">Cabo Sensor </t>
  </si>
  <si>
    <t>WDT130**</t>
  </si>
  <si>
    <t>ABNT NBR IEC 60079-0:2013 
ABNT NBR IEC 60079-31:2014</t>
  </si>
  <si>
    <t>180447.1</t>
  </si>
  <si>
    <t>LMP 19.0226</t>
  </si>
  <si>
    <t>Gascat Industria e Comercio Ltda</t>
  </si>
  <si>
    <t>Rodovia SP-73, 1141 – Indaiatuba – SP - Brasil - CEP: 13347-390
CNPJ: 00.965.449/0001-94</t>
  </si>
  <si>
    <t>Indaiatuba</t>
  </si>
  <si>
    <t xml:space="preserve">Barreira de segurança intrínseca </t>
  </si>
  <si>
    <t>JBZ-02</t>
  </si>
  <si>
    <t>NBR IEC 60079-0:2013
NBR IEC 60079-11:2009</t>
  </si>
  <si>
    <t>180987.1</t>
  </si>
  <si>
    <t>LMP 20.0253X</t>
  </si>
  <si>
    <t>Ghibli do Brasil Indústria e Comércio LTDA</t>
  </si>
  <si>
    <t>Rua Winston Churchill, 350 – Capão Raso – Curitiba – PR – Brasil – CEP: 81130-000
CNPJ: 68.289.206/0001-17</t>
  </si>
  <si>
    <t>Capão Raso</t>
  </si>
  <si>
    <t>PR</t>
  </si>
  <si>
    <t xml:space="preserve">Lavadora de Alta Pressão </t>
  </si>
  <si>
    <t>Green.Ex 10/19</t>
  </si>
  <si>
    <t>ABNT NBR IEC 60079-0:2013 
ABNT NBR IEC 60079-1:2016 
ABNT NBR IEC 60079-7:2018</t>
  </si>
  <si>
    <t>181263.1</t>
  </si>
  <si>
    <t>LMP 21.0049X</t>
  </si>
  <si>
    <t>HYDAC TECNOLOGIA LTDA</t>
  </si>
  <si>
    <t>Av. Horst Frederico Joao heer – Indaiatuba - SP – Brasil – CEP: 13348-758
CNPJ: 01.697.279/0009-24</t>
  </si>
  <si>
    <t>UNIDADE DE TRATAMENTO DE ÓLEO</t>
  </si>
  <si>
    <t xml:space="preserve"> FAM-15-M-2-B/1900-015-Z-Z-D-Z-1/-EX04</t>
  </si>
  <si>
    <t>ABNT NBR IEC 60079-0:2013
ABNT NBR IEC 60079-1:2016
ABNT NBR IEC 60079-7:2018
ABNT NBR IEC 60079-11:2013 
ABNT NBR IEC 60079-31:2014</t>
  </si>
  <si>
    <t>L.O</t>
  </si>
  <si>
    <t>181235.1</t>
  </si>
  <si>
    <t>LMP 21.0043X</t>
  </si>
  <si>
    <t>Instrument Equipamentos Eletrônicos Ltda</t>
  </si>
  <si>
    <t>Rua Baronesa de Itu, 83 - São Paulo – SP – Brasil – CEP: 01231-001
CNPJ: 20.282.097/0001-80</t>
  </si>
  <si>
    <t>CF12DC-3-N-S-L50-GX-9-UL-ST</t>
  </si>
  <si>
    <t>181342.1</t>
  </si>
  <si>
    <t>MP 21.0046X</t>
  </si>
  <si>
    <t>CF12DC-3-N-S-L30-GX-9-UL-ST</t>
  </si>
  <si>
    <t>181438.1</t>
  </si>
  <si>
    <t>LMP 21.0053X</t>
  </si>
  <si>
    <t xml:space="preserve">Chave de Fluxo por Dispersão Térmica </t>
  </si>
  <si>
    <t>181472.1.A1</t>
  </si>
  <si>
    <t>LMP 21.0055X</t>
  </si>
  <si>
    <t xml:space="preserve"> CF12DC-3-N-S-L30-GX-9-UL</t>
  </si>
  <si>
    <t>181634.1</t>
  </si>
  <si>
    <t>LMP 21.0060X</t>
  </si>
  <si>
    <t xml:space="preserve"> CF12DC-4-B-S-L170-GX-9-UL</t>
  </si>
  <si>
    <t>ABNT NBR IEC 60079-0: 2020 
ABNT NBR IEC 60079-1:2016</t>
  </si>
  <si>
    <t>180809.1</t>
  </si>
  <si>
    <t>LMP 20.0234</t>
  </si>
  <si>
    <t>Sonda de Nível Vibratória</t>
  </si>
  <si>
    <t>VTK R GX</t>
  </si>
  <si>
    <t>ABNT NBR IEC 60079-0:2013
(Versão corrigida em 2016) 
ABNT NBR IEC 60079-1:2016</t>
  </si>
  <si>
    <t>180064.1.A1</t>
  </si>
  <si>
    <t>LMP 18.0098</t>
  </si>
  <si>
    <t>Kei – Tek Sistemas de Automação Industrial Ltda.</t>
  </si>
  <si>
    <t>Av. Papa João XXII, 4887 – Mauá, SP – Brasil – CEP: 09.370-800
CNPJ: 09.393.196/0001-04</t>
  </si>
  <si>
    <t>Mauá</t>
  </si>
  <si>
    <t>C-401</t>
  </si>
  <si>
    <t>GG / BSR</t>
  </si>
  <si>
    <t>180271.2</t>
  </si>
  <si>
    <t>LMP 19.0256 X</t>
  </si>
  <si>
    <t>Estrada Municipal Joel de Paula, 900 – São José dos Campos, SP – Brasil - CEP: 12247-004
CNPJ: 54.823.455/0007-21</t>
  </si>
  <si>
    <t>SJC</t>
  </si>
  <si>
    <t xml:space="preserve">Painel Pressurizado Sistema de purificação de óleo </t>
  </si>
  <si>
    <t xml:space="preserve"> PVS 600-460-DS-D-5QE-24-AC-EX2</t>
  </si>
  <si>
    <t>RQ / BSR</t>
  </si>
  <si>
    <t>180095.1</t>
  </si>
  <si>
    <t>LMP 18.0124</t>
  </si>
  <si>
    <t xml:space="preserve">techinc </t>
  </si>
  <si>
    <t>Rua Ponta do Poço, s/n – Pontal do Paraná – CEP: 83255-000
CNPJ: 17.865.240/0001-51</t>
  </si>
  <si>
    <t>Pontal do Paraná</t>
  </si>
  <si>
    <t>Paraná</t>
  </si>
  <si>
    <t xml:space="preserve">Painel pressurizado </t>
  </si>
  <si>
    <t>PN-UC-Z-5241001-01 e PN-UC-Z-5241001-02</t>
  </si>
  <si>
    <t>180034.1</t>
  </si>
  <si>
    <t>LMP 18.0107</t>
  </si>
  <si>
    <t>Tetralon Ind e Com. de Equipamentos Industriais Ltda.</t>
  </si>
  <si>
    <t>Rua Forte da Ribeira, 350 - Unidade I - Condomínio São Gabriel - São Paulo, SP - Brasil - CEP: 08341-300
CNPJ: 53.945.507/0001-84</t>
  </si>
  <si>
    <t xml:space="preserve">Painel de força e controle </t>
  </si>
  <si>
    <t>DE-MRP-M018</t>
  </si>
  <si>
    <t>ABNT NBR IEC 60079-0:2013
Versão corrigida em 2016 Requisitos gerais.
ABNT NBR IEC 60079-2:2009</t>
  </si>
  <si>
    <t>180304.1</t>
  </si>
  <si>
    <t>LMP 19.0075X</t>
  </si>
  <si>
    <t>Toshiba Mitsubishi - Electric Industrial Systems Corporation</t>
  </si>
  <si>
    <t>2-4 Suehiro-cho Tsurumi-ku Yokohama 230-0045 Japão</t>
  </si>
  <si>
    <t>JP</t>
  </si>
  <si>
    <t>Japão</t>
  </si>
  <si>
    <t xml:space="preserve">Motor de Indução trifásico pressurizado </t>
  </si>
  <si>
    <t>ICR-CHCNWXP TEWAC</t>
  </si>
  <si>
    <t>ABNT NBR IEC 60079-0:2013 
ABNT NBR IEC 60079-2:2016 
ABNT NBR IEC 60079-7:2018</t>
  </si>
  <si>
    <t>LO / LP</t>
  </si>
  <si>
    <t>180307.1</t>
  </si>
  <si>
    <t>LMP 19.0076X</t>
  </si>
  <si>
    <t>Motor de Indução trifásico pressurizado</t>
  </si>
  <si>
    <t>170009.1.A1</t>
  </si>
  <si>
    <t>LMP 17.0009</t>
  </si>
  <si>
    <t>Trexcon Sistemas e Automação Ltda.</t>
  </si>
  <si>
    <t>Rua João Serrano, 112 – Bairro do Limão, São Paulo, SP, CEP-02551-060 – Brasil
CNPJ: 04.039.451/0001-93</t>
  </si>
  <si>
    <t xml:space="preserve">Caixa de Terminais </t>
  </si>
  <si>
    <t>TMX-22</t>
  </si>
  <si>
    <t>ABNT NBR IEC 60079-0:2013
ABNT NBR IEC 60079-1:2009 (Versão corrigida 2011)
ABNT NBR IEC 60079-11:2013
ABNT NBR IEC 60079-15:2012
ABNT NBR IEC 60079-26:2016
ABNT NBR IEC 60079-31:2014
ABNT NBR IEC 60529:2017</t>
  </si>
  <si>
    <t>170010.1.A1</t>
  </si>
  <si>
    <t>LMP 17.0010</t>
  </si>
  <si>
    <t>TIP-201608 (PN-5520002G)</t>
  </si>
  <si>
    <t>ABNT NBR IEC 60079-0:2013
ABNT NBR IEC 60079-2:2016
ABNT NBR IEC 60529:2005</t>
  </si>
  <si>
    <t>170019.1.A2</t>
  </si>
  <si>
    <t>LMP 17.0019</t>
  </si>
  <si>
    <t>Painel de sinalização e comando</t>
  </si>
  <si>
    <t>LCP-7Q55.31A/B/C/D</t>
  </si>
  <si>
    <t>ABNT NBR IEC 60079-0:2013
ABNT NBR IEC 60079-1:2009 (Versão corrigida 2011)
ABNT NBR IEC 60079-31:2014
ABNT NBR IEC 60529:2017</t>
  </si>
  <si>
    <t>170048.1.A1</t>
  </si>
  <si>
    <t>LMP 18.0011</t>
  </si>
  <si>
    <t>TIP-070503</t>
  </si>
  <si>
    <t>ABNT NBR IEC 60079-0:2013
Versão corrigida em 2016
ABNT NBR IEC 60079-2:2009 
ABNT NBR IEC 60529:2005</t>
  </si>
  <si>
    <t>170029.1.A1</t>
  </si>
  <si>
    <t>LMP 18.0020</t>
  </si>
  <si>
    <t>Painel elétrico de comando e segurança e operação</t>
  </si>
  <si>
    <t>LCP-7Q55.80</t>
  </si>
  <si>
    <t>ABNT NBR IEC 60079-0:2013
ABNT NBR IEC 60079-1:2016</t>
  </si>
  <si>
    <t>180012.1.A2</t>
  </si>
  <si>
    <t>LMP 18.0046</t>
  </si>
  <si>
    <t xml:space="preserve">Painel de Damper corta fogo </t>
  </si>
  <si>
    <t>DPN-DF-5250510</t>
  </si>
  <si>
    <t>ABNT NBR IEC 60079-0:2013
Versão corrigida em 2016
ABNT NBR IEC 60079-7:2008
Versão corrigida em 2010
ABNT NBR IEC 60529:2005
Versão corrigida em 2011</t>
  </si>
  <si>
    <t>180013.1</t>
  </si>
  <si>
    <t>LMP 18.0047</t>
  </si>
  <si>
    <t>Quadro Sistema Trifásico</t>
  </si>
  <si>
    <t xml:space="preserve"> PL-1223500</t>
  </si>
  <si>
    <t>ABNT NBR IEC 60079-0:2013
Versão corrigida em 2016
ABNT NBR IEC 60079-7:2008
Versão corrigida em 2010
ABNT NBR IEC 60529:2005</t>
  </si>
  <si>
    <t>180062.1</t>
  </si>
  <si>
    <t>LMP 19.0025</t>
  </si>
  <si>
    <t>TIP-151004</t>
  </si>
  <si>
    <t>ABNT NBR IEC 60079-0:2013
Versão corrigida em 2016
ABNT NBR IEC 60079-2:2009 
ABNT NBR IEC 60529:2005
Versão corrigida em 2011</t>
  </si>
  <si>
    <t>180063.1.A1</t>
  </si>
  <si>
    <t>LMP 18.0053</t>
  </si>
  <si>
    <t xml:space="preserve"> TIP-160804</t>
  </si>
  <si>
    <t>180099.1</t>
  </si>
  <si>
    <t>LMP 18.0102</t>
  </si>
  <si>
    <t>Caixas de junção</t>
  </si>
  <si>
    <t>TRX-Exi-302019-AI4-U</t>
  </si>
  <si>
    <t>ABNT NBR IEC 60079-0:2013
Versão corrigida em 2016
ABNT NBR IEC 60079-7:2008
Versão corrigida em 2010</t>
  </si>
  <si>
    <t>180093.1.A1</t>
  </si>
  <si>
    <t>LMP 18.0116</t>
  </si>
  <si>
    <t>TIP-170803</t>
  </si>
  <si>
    <t>180212.1</t>
  </si>
  <si>
    <t>LMP 19.0009</t>
  </si>
  <si>
    <t>TIP-170803 (Laser LDS-6)</t>
  </si>
  <si>
    <t>180262.1</t>
  </si>
  <si>
    <t>TIP-15100</t>
  </si>
  <si>
    <t>180279.1</t>
  </si>
  <si>
    <t>LMP 19.0041</t>
  </si>
  <si>
    <t xml:space="preserve"> TIP-070503</t>
  </si>
  <si>
    <t>180312.1</t>
  </si>
  <si>
    <t>LMP 19.0091</t>
  </si>
  <si>
    <t xml:space="preserve"> TIP-232305</t>
  </si>
  <si>
    <t>ADC / BSR</t>
  </si>
  <si>
    <t>180205.1</t>
  </si>
  <si>
    <t>LMP 19.0108</t>
  </si>
  <si>
    <t>(LG4900EX)</t>
  </si>
  <si>
    <t>180402.1</t>
  </si>
  <si>
    <t>LMP 19.0188</t>
  </si>
  <si>
    <t xml:space="preserve">Painel de Controle </t>
  </si>
  <si>
    <t>F-5125500 – TIP-200806</t>
  </si>
  <si>
    <t>ABNT NBR IEC 60079-0:2013
Versão corrigida em 2016
ABNT NBR IEC 60079-2:2016</t>
  </si>
  <si>
    <t>180493.1</t>
  </si>
  <si>
    <t>LMP 19.0299</t>
  </si>
  <si>
    <t xml:space="preserve">Caixa de IHM </t>
  </si>
  <si>
    <t>TRX-U-707020-AI6-E</t>
  </si>
  <si>
    <t>NBR IEC 60079-0:2013
NBR IEC 60079-15:2012</t>
  </si>
  <si>
    <t>180578.1</t>
  </si>
  <si>
    <t>LMP 19.0306 X</t>
  </si>
  <si>
    <t>Caixa de IHM</t>
  </si>
  <si>
    <t>TRX-U-504016-AC</t>
  </si>
  <si>
    <t>NBR IEC 60079-0:2013
Versão corrigida em 2016
NBR IEC 60079-31:2014
Versão corrigida em 2014</t>
  </si>
  <si>
    <t>180630.1</t>
  </si>
  <si>
    <t>LMP 19.0345</t>
  </si>
  <si>
    <t>TIP-110302</t>
  </si>
  <si>
    <t>180707.1</t>
  </si>
  <si>
    <t>LMP 20.0201</t>
  </si>
  <si>
    <t>PLC-100-01</t>
  </si>
  <si>
    <t>ABNT NBR IEC 60079-0:2013
Terceira edição
ABNT NBR IEC 60079-2:2009
Terceira edição
ABNT NBR IEC 60529:2005
Primeira edição</t>
  </si>
  <si>
    <t>180725.2</t>
  </si>
  <si>
    <t>LMP 20.0231</t>
  </si>
  <si>
    <t xml:space="preserve">Painel de Remota </t>
  </si>
  <si>
    <t>TRX-U-608030-AC</t>
  </si>
  <si>
    <t>ABNT NBR IEC 60079-0:2013 
ABNT NBR IEC 60079-7:2008</t>
  </si>
  <si>
    <t>180964.1</t>
  </si>
  <si>
    <t>LMP 20.0251X</t>
  </si>
  <si>
    <t xml:space="preserve">Caixa Remota </t>
  </si>
  <si>
    <t>TRX-U-Ex-e-608030-AC</t>
  </si>
  <si>
    <t>ABNT NBR IEC 60079-0:2013
ABNT NBR IEC 60079-7:2018
ABNT NBR IEC 60079-15:2012</t>
  </si>
  <si>
    <t>180798.1</t>
  </si>
  <si>
    <t>LMP 20.0252X</t>
  </si>
  <si>
    <t>BSR / RL</t>
  </si>
  <si>
    <t>181197.1</t>
  </si>
  <si>
    <t>LMP 21.0042</t>
  </si>
  <si>
    <t xml:space="preserve">PAINEL DE CONTROLE MICROCANAL </t>
  </si>
  <si>
    <t>TIP-108030</t>
  </si>
  <si>
    <t>LO / FM</t>
  </si>
  <si>
    <t>181425.1</t>
  </si>
  <si>
    <t>LMP 21.0052</t>
  </si>
  <si>
    <t>PAINEL</t>
  </si>
  <si>
    <t>OT-207298</t>
  </si>
  <si>
    <t>181657.1</t>
  </si>
  <si>
    <t>LMP 21.0063</t>
  </si>
  <si>
    <t>Painel de controle</t>
  </si>
  <si>
    <t>TIP-100804</t>
  </si>
  <si>
    <t>ABNT NBR IEC 60079-0:2020 
ABNT NBR IEC 60079-2:2016</t>
  </si>
  <si>
    <t>181727.1</t>
  </si>
  <si>
    <t>LMP 21.0065</t>
  </si>
  <si>
    <t>Caixa para sistema de dosagem de aditivo</t>
  </si>
  <si>
    <t>TRX-E-505020-AC</t>
  </si>
  <si>
    <t>ABNT NBR IEC 60079-0:2020 
ABNT NBR IEC 60079-31:2014</t>
  </si>
  <si>
    <t>181668.1</t>
  </si>
  <si>
    <t>LMP 21.0064</t>
  </si>
  <si>
    <t>TIP-060605</t>
  </si>
  <si>
    <t>FM / BSR</t>
  </si>
  <si>
    <t>180287.1</t>
  </si>
  <si>
    <t>LMP 19.0096 X</t>
  </si>
  <si>
    <t>Workship do Brasil LTDA</t>
  </si>
  <si>
    <t>Avenida Gilberto Carvalho, 327 – Maricá, RJ – CEP: 24944-000
CNPJ: 08.532.005/0001-77</t>
  </si>
  <si>
    <t>Maricá</t>
  </si>
  <si>
    <t>RJ</t>
  </si>
  <si>
    <t>181775.1</t>
  </si>
  <si>
    <t>LMP 22.0602X</t>
  </si>
  <si>
    <t>Rua João Serrano, 112, São Paulo, SP, Brasil - CEP: 02551-060 
CNPJ: 04.039.451/0001-93</t>
  </si>
  <si>
    <t>TIP-120803</t>
  </si>
  <si>
    <t>Portaria 179/2010</t>
  </si>
  <si>
    <t>181774.1</t>
  </si>
  <si>
    <t>LMP 22.0600X</t>
  </si>
  <si>
    <t>Rua Baronesa de Itu, 81,83, Santa Cecília, São Paulo, SP, Brasil - CEP: 01231-001
CNPJ: 20.282.097/0001-80</t>
  </si>
  <si>
    <t>Chave de fluxo eletrônica por dispersão térmica</t>
  </si>
  <si>
    <t xml:space="preserve"> CF12DC</t>
  </si>
  <si>
    <t>ABNT NBR IEC 60079-0:2020
ABNT NBR IEC 60079-1:2016
ABNT NBR IEC 60079-26:2016</t>
  </si>
  <si>
    <t>Manutenção 1</t>
  </si>
  <si>
    <t>180628.1.M1</t>
  </si>
  <si>
    <t>LMP 20.0216 X</t>
  </si>
  <si>
    <t>Sensycal Instrumentos e Sistemas Ltda</t>
  </si>
  <si>
    <t>Avenida do Estado, 4567
São Paulo, Brasil CEP: 03105 000
CNPJ: 20.785.889/0001-77</t>
  </si>
  <si>
    <t xml:space="preserve">Monitores de posição / Chave fim de curso </t>
  </si>
  <si>
    <t>Série ALG 700, ALG 7000, ALGNET 700 e ALGNET 7000</t>
  </si>
  <si>
    <t>ABNT NBR IEC 60079-0:2013 
Versão corrigida em 06/06/2016 
ABNT NBR IEC 60079-1:2016 ABNT NBR IEC 60079-31:2014 
ABNT NBR IEC 60529:2005</t>
  </si>
  <si>
    <t>Portaria 115/2022</t>
  </si>
  <si>
    <t>181945.1</t>
  </si>
  <si>
    <t>LMP 22.0790</t>
  </si>
  <si>
    <t>LMP 22.0814</t>
  </si>
  <si>
    <t xml:space="preserve">GHIBLI </t>
  </si>
  <si>
    <t>181937.1</t>
  </si>
  <si>
    <t>LMP 22.0772X</t>
  </si>
  <si>
    <t xml:space="preserve">Av. Horst Frederico João Heer, 2755, Europark Comercial - Indaiatuba, SP, Brasil - CEP: 13348-758 
CNPJ: 01.697.279/0009-24 </t>
  </si>
  <si>
    <t>Unidade de filtragem móvel</t>
  </si>
  <si>
    <t>2550320BR - MFU-60-M-V-2-H60-2-ON03-B /-S3P4-EX</t>
  </si>
  <si>
    <t>ABNT NBR IEC 60079-0:2020
ABNT NBR IEC 60079-1:2016</t>
  </si>
  <si>
    <t>F.M</t>
  </si>
  <si>
    <t>Alteração</t>
  </si>
  <si>
    <t>Eletrodomestico</t>
  </si>
  <si>
    <t>Portaria 371/2009</t>
  </si>
  <si>
    <t>180612.1</t>
  </si>
  <si>
    <t>LMP 20.0215</t>
  </si>
  <si>
    <t>DUAL COMP – Comércio e Distribuição de Produtos Eletrônicos e Informática LTDA.</t>
  </si>
  <si>
    <t>Rua Fernando Falcão, 1081 – Vila Claudia, CEP: 03180-003
CNPJ: 62.778.048/0002-63</t>
  </si>
  <si>
    <t>Ferro de Soldar</t>
  </si>
  <si>
    <t>Duallux 30 W, 40 W e 60 W (127 V / 220 V)</t>
  </si>
  <si>
    <t>182347.1</t>
  </si>
  <si>
    <t>LMP 22.0917</t>
  </si>
  <si>
    <t xml:space="preserve"> JBV17066</t>
  </si>
  <si>
    <t>ABNT NBR IEC 60079-0:2020
ABNT NBR IEC 60079-7:2018</t>
  </si>
  <si>
    <t>182347.2</t>
  </si>
  <si>
    <t>LMP 22.0919</t>
  </si>
  <si>
    <t>JBVI17066</t>
  </si>
  <si>
    <t>R ERICO VERISSIMO, 66, SALVADOR, BA - 41.815-340</t>
  </si>
  <si>
    <t>Salvador</t>
  </si>
  <si>
    <t>BA</t>
  </si>
  <si>
    <t>182039.1</t>
  </si>
  <si>
    <t>LMP 22.0892</t>
  </si>
  <si>
    <t>Mayekawa do Brasil Equipamentos Industriais LTDA</t>
  </si>
  <si>
    <t>Rua Licatem, 250, Arujá, SP - 07428-280</t>
  </si>
  <si>
    <t>Arujá</t>
  </si>
  <si>
    <t>JBIF-1416-801A ou JBI-1416-801B</t>
  </si>
  <si>
    <t>182039.2</t>
  </si>
  <si>
    <t>LMP 22.0893</t>
  </si>
  <si>
    <t>JBI-1416-802</t>
  </si>
  <si>
    <t>181737.1</t>
  </si>
  <si>
    <t xml:space="preserve">LMP 22.1210X </t>
  </si>
  <si>
    <t>Unidade de tratamento de óleo</t>
  </si>
  <si>
    <t>FAM-15-B-2-H/1900-015-Z-Z-D-Z-1/-EX04-V</t>
  </si>
  <si>
    <t>ABNT NBR IEC 60079-0:2020  
ABNT NBR IEC 60079-1:2016 
ABNT NBR IEC 60079-7:2018 
ABNT NBR IEC 60079-11:2013 
ABNT NBR IEC 60079-18:2020</t>
  </si>
  <si>
    <t>182273.1</t>
  </si>
  <si>
    <t>LMP 23.0411X</t>
  </si>
  <si>
    <t>Rua Baronesa de Itu, 81 / 83, Santa Cecília - São Paulo, SP - Brasil - CEP: 01231-001 
CNPJ: 20.282.097/0001-80</t>
  </si>
  <si>
    <t>CF22DC e CF22AC</t>
  </si>
  <si>
    <t>ABNT NBR IEC 60079-0:2020 ABNT NBR IEC 60079-1:2016 ABNT NBR IEC 60079-26:2016</t>
  </si>
  <si>
    <t>182470.1</t>
  </si>
  <si>
    <t>Painel (analisador de óleo em água)</t>
  </si>
  <si>
    <t>ABNT NBR IEC 60079-2:2016
ABNT NBR IEC 60079-2:2016</t>
  </si>
  <si>
    <t>182470.2</t>
  </si>
  <si>
    <t>LMP 23.0414</t>
  </si>
  <si>
    <t>Painel (analisador de H2S em água)</t>
  </si>
  <si>
    <t>182459.1</t>
  </si>
  <si>
    <t>CF22DC</t>
  </si>
  <si>
    <t xml:space="preserve">EM ANDAMENTO </t>
  </si>
  <si>
    <t xml:space="preserve">182361.1 </t>
  </si>
  <si>
    <t>LMP 23.0258</t>
  </si>
  <si>
    <t>BAHIA CONTROL</t>
  </si>
  <si>
    <t>182637.1</t>
  </si>
  <si>
    <t>LMP 23.0422</t>
  </si>
  <si>
    <t>182595.1</t>
  </si>
  <si>
    <t>LMP 23.0423</t>
  </si>
  <si>
    <t>CF22DC-5-N-S-L50-GX-9-UL-ST</t>
  </si>
  <si>
    <t>EM ANDAMENTO</t>
  </si>
  <si>
    <t>182603.1</t>
  </si>
  <si>
    <t>LMP 23.0424</t>
  </si>
  <si>
    <t>181810.1</t>
  </si>
  <si>
    <t>LMP 23.0522</t>
  </si>
  <si>
    <t>ROCKWELL AUTOMATION DO BRASIL LTDA</t>
  </si>
  <si>
    <t>AV PREFEITO LUIZ LATORRE, 9401, GLEBA 2 GALPAO7 DISTRITO INDUSTRIAL, RETIRO, JUNDIA, SP, CEP: 13.209-430, CNPJ: 46.323.754/0004-26</t>
  </si>
  <si>
    <t>Jundiaí</t>
  </si>
  <si>
    <t>Painel Pressurizado</t>
  </si>
  <si>
    <t>GB-1304</t>
  </si>
  <si>
    <t>ABNT NBR IEC 60079-0:2020       ABNT NBR IEC 60079-2:2016</t>
  </si>
  <si>
    <t>182651.1</t>
  </si>
  <si>
    <t>LMP 23.0248 X</t>
  </si>
  <si>
    <t>Lote</t>
  </si>
  <si>
    <t>Unidade de Tratamento de Oleo</t>
  </si>
  <si>
    <t>FAM-15-B-2-H/1900-015-Z-Z-D-Z-1 /-EX04</t>
  </si>
  <si>
    <t>182650.1</t>
  </si>
  <si>
    <t>LMP 23.0268 X</t>
  </si>
  <si>
    <t>Unidade de Filtragem Movel</t>
  </si>
  <si>
    <t>FCMB-60-O-4-10-B/EXD/SO7708</t>
  </si>
  <si>
    <t>LMP 23.0263</t>
  </si>
  <si>
    <t>LMP 23.0425</t>
  </si>
  <si>
    <t>LMP 23.0426</t>
  </si>
  <si>
    <t>LMP 23.0427</t>
  </si>
  <si>
    <t>LMP 23.0428</t>
  </si>
  <si>
    <t>LMP 23.0429</t>
  </si>
  <si>
    <t>LMP 23.0430</t>
  </si>
  <si>
    <t>LMP 23.0432</t>
  </si>
  <si>
    <t>LMP 23.0433</t>
  </si>
  <si>
    <t>LMP 23.0435</t>
  </si>
  <si>
    <t>LMP 23.0436</t>
  </si>
  <si>
    <t>LMP 23.0438</t>
  </si>
  <si>
    <t>LMP 23.0439</t>
  </si>
  <si>
    <t>LMP 23.0441</t>
  </si>
  <si>
    <t>LMP 23.0442</t>
  </si>
  <si>
    <t>LMP 23.0444</t>
  </si>
  <si>
    <t>LMP 23.0445</t>
  </si>
  <si>
    <t>LMP 23.0447</t>
  </si>
  <si>
    <t>LMP 23.0448</t>
  </si>
  <si>
    <t>LMP 23.0450</t>
  </si>
  <si>
    <t>LMP 23.0451</t>
  </si>
  <si>
    <t>LMP 23.0452</t>
  </si>
  <si>
    <t>LMP 23.0456</t>
  </si>
  <si>
    <t>LMP 23.0457</t>
  </si>
  <si>
    <t>LMP 23.0460</t>
  </si>
  <si>
    <t>LMP 23.0463</t>
  </si>
  <si>
    <t>LMP 23.0464</t>
  </si>
  <si>
    <t>LMP 23.0465</t>
  </si>
  <si>
    <t>LMP 23.0467</t>
  </si>
  <si>
    <t>LMP 23.0470</t>
  </si>
  <si>
    <t>LMP 23.0471</t>
  </si>
  <si>
    <t>LMP 23.0472</t>
  </si>
  <si>
    <t>LMP 23.0473</t>
  </si>
  <si>
    <t>LMP 23.0474</t>
  </si>
  <si>
    <t>LMP 23.0475</t>
  </si>
  <si>
    <t>LMP 23.0476</t>
  </si>
  <si>
    <t>LMP 23.0482</t>
  </si>
  <si>
    <t>LMP 23.0484</t>
  </si>
  <si>
    <t>LMP 23.0485</t>
  </si>
  <si>
    <t>LMP 23.0486</t>
  </si>
  <si>
    <t>LMP 23.0487</t>
  </si>
  <si>
    <t>LMP 23.0488</t>
  </si>
  <si>
    <t>LMP 23.0490</t>
  </si>
  <si>
    <t>LMP 23.0492</t>
  </si>
  <si>
    <t>LMP 23.0493</t>
  </si>
  <si>
    <t>LMP 23.0494</t>
  </si>
  <si>
    <t>LMP 23.0496</t>
  </si>
  <si>
    <t>LMP 23.0498</t>
  </si>
  <si>
    <t>LMP 23.0499</t>
  </si>
  <si>
    <t>LMP 23.0501</t>
  </si>
  <si>
    <t>LMP 23.0502</t>
  </si>
  <si>
    <t>LMP 23.0503</t>
  </si>
  <si>
    <t>LMP 23.0504</t>
  </si>
  <si>
    <t>LMP 23.0505</t>
  </si>
  <si>
    <t>LMP 23.0506</t>
  </si>
  <si>
    <t>LMP 23.0507</t>
  </si>
  <si>
    <t>LMP 23.0509</t>
  </si>
  <si>
    <t>LMP 23.0510</t>
  </si>
  <si>
    <t>LMP 23.0511</t>
  </si>
  <si>
    <t>LMP 23.0512</t>
  </si>
  <si>
    <t>LMP 23.0513</t>
  </si>
  <si>
    <t>LMP 23.0517</t>
  </si>
  <si>
    <t>LMP 23.0518</t>
  </si>
  <si>
    <t>LMP 23.0519</t>
  </si>
  <si>
    <t>LMP 23.0520</t>
  </si>
  <si>
    <t>184937.1</t>
  </si>
  <si>
    <t>Alutal Controles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</si>
</sst>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dd/mm/yy;@"/>
    <numFmt numFmtId="165" formatCode="[$-F800]dddd\,\ mmmm\ dd\,\ yyyy"/>
    <numFmt numFmtId="166" formatCode="_(&quot;R$ &quot;* #,##0.00_);_(&quot;R$ &quot;* \(#,##0.00\);_(&quot;R$ &quot;* &quot;-&quot;??_);_(@_)"/>
    <numFmt numFmtId="167" formatCode="0_ ;[Red]\-0\ "/>
  </numFmts>
  <fonts count="25" x14ac:knownFonts="1">
    <font>
      <sz val="11"/>
      <color theme="1"/>
      <name val="Calibri"/>
      <family val="2"/>
      <scheme val="minor"/>
    </font>
    <font>
      <b/>
      <sz val="14"/>
      <color theme="1"/>
      <name val="Arial"/>
      <family val="2"/>
    </font>
    <font>
      <sz val="10"/>
      <name val="Arial"/>
      <family val="2"/>
    </font>
    <font>
      <sz val="10"/>
      <color theme="1"/>
      <name val="Arial"/>
      <family val="2"/>
    </font>
    <font>
      <b/>
      <sz val="10"/>
      <color theme="1"/>
      <name val="Arial"/>
      <family val="2"/>
    </font>
    <font>
      <sz val="10"/>
      <color rgb="FFFF0000"/>
      <name val="Arial"/>
      <family val="2"/>
    </font>
    <font>
      <sz val="8"/>
      <name val="Calibri"/>
      <family val="2"/>
      <scheme val="minor"/>
    </font>
    <font>
      <b/>
      <sz val="12"/>
      <color theme="1"/>
      <name val="Arial"/>
      <family val="2"/>
    </font>
    <font>
      <sz val="12"/>
      <color theme="1"/>
      <name val="Arial"/>
      <family val="2"/>
    </font>
    <font>
      <sz val="12"/>
      <color rgb="FFFF0000"/>
      <name val="Arial"/>
      <family val="2"/>
    </font>
    <font>
      <sz val="12"/>
      <name val="Arial"/>
      <family val="2"/>
    </font>
    <font>
      <b/>
      <sz val="12"/>
      <name val="Arial"/>
      <family val="2"/>
    </font>
    <font>
      <sz val="12"/>
      <color theme="1"/>
      <name val="Calibri"/>
      <family val="2"/>
      <scheme val="minor"/>
    </font>
    <font>
      <b/>
      <sz val="12"/>
      <color theme="0"/>
      <name val="Arial"/>
      <family val="2"/>
    </font>
    <font>
      <b/>
      <sz val="11"/>
      <color theme="1"/>
      <name val="Arial"/>
      <family val="2"/>
    </font>
    <font>
      <sz val="8"/>
      <color theme="1"/>
      <name val="Arial"/>
      <family val="2"/>
    </font>
    <font>
      <b/>
      <sz val="10"/>
      <name val="Arial"/>
      <family val="2"/>
    </font>
    <font>
      <sz val="10"/>
      <name val="Arial"/>
      <family val="2"/>
    </font>
    <font>
      <u/>
      <sz val="7.5"/>
      <color indexed="12"/>
      <name val="Arial"/>
      <family val="2"/>
    </font>
    <font>
      <b/>
      <sz val="10"/>
      <color theme="0"/>
      <name val="Arial"/>
      <family val="2"/>
    </font>
    <font>
      <sz val="11"/>
      <color theme="1"/>
      <name val="Arial"/>
      <family val="2"/>
    </font>
    <font>
      <sz val="9"/>
      <color indexed="81"/>
      <name val="Segoe UI"/>
      <family val="2"/>
    </font>
    <font>
      <b/>
      <sz val="9"/>
      <color indexed="81"/>
      <name val="Segoe UI"/>
      <family val="2"/>
    </font>
    <font>
      <sz val="10"/>
      <name val="Arial"/>
      <family val="2"/>
    </font>
    <font>
      <sz val="8"/>
      <color theme="1"/>
      <name val="Calibri"/>
      <family val="2"/>
      <scheme val="minor"/>
    </font>
  </fonts>
  <fills count="17">
    <fill>
      <patternFill patternType="none"/>
    </fill>
    <fill>
      <patternFill patternType="gray125"/>
    </fill>
    <fill>
      <patternFill patternType="solid">
        <fgColor rgb="FFFF0000"/>
        <bgColor indexed="64"/>
      </patternFill>
    </fill>
    <fill>
      <patternFill patternType="solid">
        <fgColor rgb="FFFFFF66"/>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0"/>
        <bgColor indexed="64"/>
      </patternFill>
    </fill>
    <fill>
      <patternFill patternType="solid">
        <fgColor theme="4" tint="0.39997558519241921"/>
        <bgColor indexed="64"/>
      </patternFill>
    </fill>
    <fill>
      <patternFill patternType="solid">
        <fgColor rgb="FFE6B8B7"/>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39997558519241921"/>
        <bgColor indexed="64"/>
      </patternFill>
    </fill>
  </fills>
  <borders count="49">
    <border>
      <left/>
      <right/>
      <top/>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auto="1"/>
      </right>
      <top/>
      <bottom style="thin">
        <color auto="1"/>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bottom/>
      <diagonal/>
    </border>
    <border>
      <left style="thin">
        <color indexed="64"/>
      </left>
      <right style="thin">
        <color indexed="64"/>
      </right>
      <top/>
      <bottom/>
      <diagonal/>
    </border>
    <border>
      <left style="medium">
        <color indexed="64"/>
      </left>
      <right style="thin">
        <color indexed="64"/>
      </right>
      <top/>
      <bottom/>
      <diagonal/>
    </border>
    <border>
      <left/>
      <right style="thin">
        <color indexed="64"/>
      </right>
      <top style="medium">
        <color indexed="64"/>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n">
        <color indexed="64"/>
      </left>
      <right style="thin">
        <color indexed="64"/>
      </right>
      <top style="thin">
        <color indexed="64"/>
      </top>
      <bottom/>
      <diagonal/>
    </border>
    <border>
      <left style="thick">
        <color auto="1"/>
      </left>
      <right style="thick">
        <color auto="1"/>
      </right>
      <top/>
      <bottom style="thick">
        <color auto="1"/>
      </bottom>
      <diagonal/>
    </border>
    <border>
      <left style="medium">
        <color auto="1"/>
      </left>
      <right style="thin">
        <color auto="1"/>
      </right>
      <top style="thin">
        <color auto="1"/>
      </top>
      <bottom/>
      <diagonal/>
    </border>
    <border>
      <left style="medium">
        <color auto="1"/>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indexed="64"/>
      </right>
      <top/>
      <bottom/>
      <diagonal/>
    </border>
    <border>
      <left style="thick">
        <color auto="1"/>
      </left>
      <right/>
      <top style="thin">
        <color indexed="64"/>
      </top>
      <bottom style="thick">
        <color auto="1"/>
      </bottom>
      <diagonal/>
    </border>
    <border>
      <left/>
      <right/>
      <top style="thin">
        <color indexed="64"/>
      </top>
      <bottom style="thick">
        <color auto="1"/>
      </bottom>
      <diagonal/>
    </border>
    <border>
      <left/>
      <right style="thick">
        <color auto="1"/>
      </right>
      <top style="thin">
        <color indexed="64"/>
      </top>
      <bottom style="thick">
        <color auto="1"/>
      </bottom>
      <diagonal/>
    </border>
    <border>
      <left/>
      <right style="thick">
        <color auto="1"/>
      </right>
      <top/>
      <bottom/>
      <diagonal/>
    </border>
    <border>
      <left style="medium">
        <color indexed="64"/>
      </left>
      <right/>
      <top/>
      <bottom/>
      <diagonal/>
    </border>
    <border>
      <left/>
      <right style="medium">
        <color auto="1"/>
      </right>
      <top/>
      <bottom/>
      <diagonal/>
    </border>
    <border>
      <left style="thick">
        <color auto="1"/>
      </left>
      <right/>
      <top/>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style="medium">
        <color auto="1"/>
      </left>
      <right/>
      <top style="thin">
        <color auto="1"/>
      </top>
      <bottom style="thin">
        <color auto="1"/>
      </bottom>
      <diagonal/>
    </border>
    <border>
      <left/>
      <right/>
      <top style="thin">
        <color indexed="64"/>
      </top>
      <bottom style="thin">
        <color indexed="64"/>
      </bottom>
      <diagonal/>
    </border>
    <border>
      <left style="thick">
        <color auto="1"/>
      </left>
      <right/>
      <top style="thin">
        <color indexed="64"/>
      </top>
      <bottom style="thin">
        <color indexed="64"/>
      </bottom>
      <diagonal/>
    </border>
    <border>
      <left/>
      <right style="thick">
        <color auto="1"/>
      </right>
      <top style="thin">
        <color indexed="64"/>
      </top>
      <bottom style="thin">
        <color indexed="64"/>
      </bottom>
      <diagonal/>
    </border>
  </borders>
  <cellStyleXfs count="38">
    <xf numFmtId="0" fontId="0" fillId="0" borderId="0"/>
    <xf numFmtId="0" fontId="17" fillId="0" borderId="0"/>
    <xf numFmtId="0" fontId="18" fillId="0" borderId="0" applyNumberFormat="0" applyFill="0" applyBorder="0" applyAlignment="0" applyProtection="0">
      <alignment vertical="top"/>
      <protection locked="0"/>
    </xf>
    <xf numFmtId="166" fontId="17" fillId="0" borderId="0" applyFont="0" applyFill="0" applyBorder="0" applyAlignment="0" applyProtection="0"/>
    <xf numFmtId="166" fontId="2" fillId="0" borderId="0" applyFont="0" applyFill="0" applyBorder="0" applyAlignment="0" applyProtection="0"/>
    <xf numFmtId="166" fontId="17" fillId="0" borderId="0" applyFont="0" applyFill="0" applyBorder="0" applyAlignment="0" applyProtection="0"/>
    <xf numFmtId="0" fontId="2" fillId="0" borderId="0"/>
    <xf numFmtId="0" fontId="2" fillId="0" borderId="0"/>
    <xf numFmtId="43" fontId="17"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7" fillId="0" borderId="0" applyFont="0" applyFill="0" applyBorder="0" applyAlignment="0" applyProtection="0"/>
    <xf numFmtId="0" fontId="2" fillId="0" borderId="0"/>
    <xf numFmtId="166" fontId="2" fillId="0" borderId="0" applyFont="0" applyFill="0" applyBorder="0" applyAlignment="0" applyProtection="0"/>
    <xf numFmtId="166"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166" fontId="2" fillId="0" borderId="0" applyFont="0" applyFill="0" applyBorder="0" applyAlignment="0" applyProtection="0"/>
    <xf numFmtId="166"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3" fillId="0" borderId="0"/>
    <xf numFmtId="166" fontId="23" fillId="0" borderId="0" applyFont="0" applyFill="0" applyBorder="0" applyAlignment="0" applyProtection="0"/>
    <xf numFmtId="43" fontId="2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493">
    <xf numFmtId="0" fontId="0" fillId="0" borderId="0" xfId="0"/>
    <xf numFmtId="0" fontId="2" fillId="6" borderId="3" xfId="0" applyFont="1" applyFill="1" applyBorder="1" applyAlignment="1" applyProtection="1">
      <alignment horizontal="center" vertical="center" wrapText="1"/>
      <protection locked="0"/>
    </xf>
    <xf numFmtId="0" fontId="3" fillId="0" borderId="0" xfId="0" applyFont="1" applyAlignment="1" applyProtection="1">
      <alignment horizontal="center"/>
      <protection locked="0"/>
    </xf>
    <xf numFmtId="0" fontId="3" fillId="0" borderId="0" xfId="0" applyFont="1" applyAlignment="1" applyProtection="1">
      <alignment horizontal="center" wrapText="1"/>
      <protection locked="0"/>
    </xf>
    <xf numFmtId="14" fontId="3" fillId="0" borderId="0" xfId="0" applyNumberFormat="1" applyFont="1" applyAlignment="1" applyProtection="1">
      <alignment horizontal="center"/>
      <protection locked="0"/>
    </xf>
    <xf numFmtId="14" fontId="3" fillId="0" borderId="0" xfId="0" applyNumberFormat="1" applyFont="1" applyAlignment="1" applyProtection="1">
      <alignment horizontal="center" wrapText="1"/>
      <protection locked="0"/>
    </xf>
    <xf numFmtId="0" fontId="3" fillId="0" borderId="0" xfId="0" applyFont="1"/>
    <xf numFmtId="0" fontId="3" fillId="0" borderId="0" xfId="0" applyFont="1" applyAlignment="1">
      <alignment horizontal="left"/>
    </xf>
    <xf numFmtId="0" fontId="3" fillId="0" borderId="0" xfId="0" applyFont="1" applyProtection="1">
      <protection locked="0"/>
    </xf>
    <xf numFmtId="0" fontId="3" fillId="0" borderId="17" xfId="0" applyFont="1" applyBorder="1" applyProtection="1">
      <protection locked="0"/>
    </xf>
    <xf numFmtId="0" fontId="4" fillId="6" borderId="11" xfId="0" applyFont="1" applyFill="1" applyBorder="1" applyAlignment="1" applyProtection="1">
      <alignment horizontal="center" vertical="center" wrapText="1"/>
      <protection locked="0"/>
    </xf>
    <xf numFmtId="0" fontId="4" fillId="6" borderId="15" xfId="0" applyFont="1" applyFill="1" applyBorder="1" applyAlignment="1" applyProtection="1">
      <alignment horizontal="center" vertical="center" wrapText="1"/>
      <protection locked="0"/>
    </xf>
    <xf numFmtId="0" fontId="4" fillId="6" borderId="10" xfId="0" applyFont="1" applyFill="1" applyBorder="1" applyAlignment="1" applyProtection="1">
      <alignment horizontal="center" vertical="center" wrapText="1"/>
      <protection locked="0"/>
    </xf>
    <xf numFmtId="0" fontId="4" fillId="6" borderId="10" xfId="0" applyFont="1" applyFill="1" applyBorder="1" applyAlignment="1" applyProtection="1">
      <alignment horizontal="center" vertical="center"/>
      <protection locked="0"/>
    </xf>
    <xf numFmtId="14" fontId="4" fillId="6" borderId="10" xfId="0" applyNumberFormat="1" applyFont="1" applyFill="1" applyBorder="1" applyAlignment="1" applyProtection="1">
      <alignment horizontal="center" vertical="center" wrapText="1"/>
      <protection locked="0"/>
    </xf>
    <xf numFmtId="14" fontId="4" fillId="6" borderId="9" xfId="0" applyNumberFormat="1" applyFont="1" applyFill="1" applyBorder="1" applyAlignment="1" applyProtection="1">
      <alignment horizontal="center" vertical="center" wrapText="1"/>
      <protection locked="0"/>
    </xf>
    <xf numFmtId="0" fontId="4" fillId="5" borderId="14" xfId="0" applyFont="1" applyFill="1" applyBorder="1" applyAlignment="1" applyProtection="1">
      <alignment horizontal="center" vertical="center" wrapText="1"/>
      <protection locked="0"/>
    </xf>
    <xf numFmtId="0" fontId="4" fillId="5" borderId="13" xfId="0" applyFont="1" applyFill="1" applyBorder="1" applyAlignment="1" applyProtection="1">
      <alignment horizontal="center" vertical="center" wrapText="1"/>
      <protection locked="0"/>
    </xf>
    <xf numFmtId="14" fontId="4" fillId="5" borderId="13" xfId="0" applyNumberFormat="1" applyFont="1" applyFill="1" applyBorder="1" applyAlignment="1" applyProtection="1">
      <alignment horizontal="center" vertical="center" wrapText="1"/>
      <protection locked="0"/>
    </xf>
    <xf numFmtId="0" fontId="4" fillId="5" borderId="13" xfId="0" applyFont="1" applyFill="1" applyBorder="1" applyAlignment="1" applyProtection="1">
      <alignment horizontal="center" vertical="center"/>
      <protection locked="0"/>
    </xf>
    <xf numFmtId="14" fontId="4" fillId="5" borderId="12" xfId="0" applyNumberFormat="1" applyFont="1" applyFill="1" applyBorder="1" applyAlignment="1" applyProtection="1">
      <alignment horizontal="center" vertical="center" wrapText="1"/>
      <protection locked="0"/>
    </xf>
    <xf numFmtId="0" fontId="4" fillId="4" borderId="11" xfId="0" applyFont="1" applyFill="1" applyBorder="1" applyAlignment="1" applyProtection="1">
      <alignment horizontal="center" vertical="center" wrapText="1"/>
      <protection locked="0"/>
    </xf>
    <xf numFmtId="14" fontId="4" fillId="4" borderId="10" xfId="0" applyNumberFormat="1" applyFont="1" applyFill="1" applyBorder="1" applyAlignment="1" applyProtection="1">
      <alignment horizontal="center" vertical="center" wrapText="1"/>
      <protection locked="0"/>
    </xf>
    <xf numFmtId="164" fontId="4" fillId="4" borderId="10" xfId="0" applyNumberFormat="1" applyFont="1" applyFill="1" applyBorder="1" applyAlignment="1" applyProtection="1">
      <alignment horizontal="center" vertical="center" wrapText="1"/>
      <protection locked="0"/>
    </xf>
    <xf numFmtId="164" fontId="4" fillId="4" borderId="9" xfId="0" applyNumberFormat="1" applyFont="1" applyFill="1" applyBorder="1" applyAlignment="1" applyProtection="1">
      <alignment horizontal="center" vertical="center" wrapText="1"/>
      <protection locked="0"/>
    </xf>
    <xf numFmtId="0" fontId="3" fillId="3" borderId="2" xfId="0" applyFont="1" applyFill="1" applyBorder="1" applyAlignment="1" applyProtection="1">
      <alignment horizontal="center" vertical="center"/>
      <protection locked="0"/>
    </xf>
    <xf numFmtId="0" fontId="3" fillId="8" borderId="0" xfId="0" applyFont="1" applyFill="1" applyAlignment="1" applyProtection="1">
      <alignment horizontal="left" vertical="center"/>
      <protection locked="0"/>
    </xf>
    <xf numFmtId="0" fontId="3" fillId="8" borderId="0" xfId="0" applyFont="1" applyFill="1" applyAlignment="1" applyProtection="1">
      <alignment horizontal="center" vertical="center"/>
      <protection locked="0"/>
    </xf>
    <xf numFmtId="0" fontId="3" fillId="6" borderId="2" xfId="0" applyFont="1" applyFill="1" applyBorder="1" applyAlignment="1" applyProtection="1">
      <alignment horizontal="center" vertical="center" wrapText="1"/>
      <protection locked="0"/>
    </xf>
    <xf numFmtId="0" fontId="3" fillId="6" borderId="3" xfId="0" applyFont="1" applyFill="1" applyBorder="1" applyAlignment="1">
      <alignment horizontal="center" vertical="center"/>
    </xf>
    <xf numFmtId="0" fontId="3" fillId="6" borderId="3" xfId="0" applyFont="1" applyFill="1" applyBorder="1" applyAlignment="1" applyProtection="1">
      <alignment horizontal="center" vertical="center"/>
      <protection locked="0"/>
    </xf>
    <xf numFmtId="14" fontId="3" fillId="6" borderId="3" xfId="0" applyNumberFormat="1" applyFont="1" applyFill="1" applyBorder="1" applyAlignment="1" applyProtection="1">
      <alignment horizontal="center" vertical="center"/>
      <protection locked="0"/>
    </xf>
    <xf numFmtId="14" fontId="3" fillId="6" borderId="1" xfId="0" applyNumberFormat="1"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protection locked="0"/>
    </xf>
    <xf numFmtId="0" fontId="3" fillId="5" borderId="3" xfId="0" applyFont="1" applyFill="1" applyBorder="1" applyAlignment="1" applyProtection="1">
      <alignment horizontal="center" vertical="center"/>
      <protection locked="0"/>
    </xf>
    <xf numFmtId="14" fontId="3" fillId="5" borderId="3" xfId="0" applyNumberFormat="1" applyFont="1" applyFill="1" applyBorder="1" applyAlignment="1" applyProtection="1">
      <alignment horizontal="center" vertical="center"/>
      <protection locked="0"/>
    </xf>
    <xf numFmtId="14" fontId="3" fillId="5" borderId="1" xfId="0" applyNumberFormat="1" applyFont="1" applyFill="1" applyBorder="1" applyAlignment="1" applyProtection="1">
      <alignment horizontal="center" vertical="center"/>
      <protection locked="0"/>
    </xf>
    <xf numFmtId="0" fontId="3" fillId="4" borderId="2" xfId="0" applyFont="1" applyFill="1" applyBorder="1" applyAlignment="1" applyProtection="1">
      <alignment horizontal="center" vertical="center"/>
      <protection locked="0"/>
    </xf>
    <xf numFmtId="14" fontId="3" fillId="4" borderId="3" xfId="0" applyNumberFormat="1" applyFont="1" applyFill="1" applyBorder="1" applyAlignment="1" applyProtection="1">
      <alignment horizontal="center" vertical="center"/>
      <protection locked="0"/>
    </xf>
    <xf numFmtId="14" fontId="3" fillId="4" borderId="1" xfId="0" applyNumberFormat="1" applyFont="1" applyFill="1" applyBorder="1" applyAlignment="1" applyProtection="1">
      <alignment horizontal="center" vertical="center"/>
      <protection locked="0"/>
    </xf>
    <xf numFmtId="0" fontId="4" fillId="4" borderId="7" xfId="0" applyFont="1" applyFill="1" applyBorder="1" applyAlignment="1" applyProtection="1">
      <alignment horizontal="center" vertical="center" wrapText="1"/>
      <protection locked="0"/>
    </xf>
    <xf numFmtId="2" fontId="4" fillId="4" borderId="4" xfId="0" applyNumberFormat="1" applyFont="1" applyFill="1" applyBorder="1" applyAlignment="1" applyProtection="1">
      <alignment horizontal="center" vertical="center" wrapText="1"/>
      <protection locked="0"/>
    </xf>
    <xf numFmtId="0" fontId="3" fillId="3" borderId="1" xfId="0" applyFont="1" applyFill="1" applyBorder="1" applyAlignment="1" applyProtection="1">
      <alignment horizontal="center" vertical="center"/>
      <protection locked="0"/>
    </xf>
    <xf numFmtId="0" fontId="3" fillId="8" borderId="8" xfId="0" applyFont="1" applyFill="1" applyBorder="1" applyAlignment="1" applyProtection="1">
      <alignment horizontal="left" vertical="center"/>
      <protection locked="0"/>
    </xf>
    <xf numFmtId="164" fontId="3" fillId="4" borderId="2" xfId="0" applyNumberFormat="1" applyFont="1" applyFill="1" applyBorder="1" applyAlignment="1" applyProtection="1">
      <alignment horizontal="center" vertical="center"/>
      <protection locked="0"/>
    </xf>
    <xf numFmtId="164" fontId="3" fillId="4" borderId="7" xfId="0" applyNumberFormat="1" applyFont="1" applyFill="1" applyBorder="1" applyAlignment="1" applyProtection="1">
      <alignment horizontal="center" vertical="center"/>
      <protection locked="0"/>
    </xf>
    <xf numFmtId="164" fontId="3" fillId="4" borderId="4" xfId="0" applyNumberFormat="1" applyFont="1" applyFill="1" applyBorder="1" applyAlignment="1" applyProtection="1">
      <alignment horizontal="center" vertical="center"/>
      <protection locked="0"/>
    </xf>
    <xf numFmtId="0" fontId="2" fillId="6" borderId="3" xfId="0" applyFont="1" applyFill="1" applyBorder="1" applyAlignment="1">
      <alignment horizontal="center" vertical="center"/>
    </xf>
    <xf numFmtId="0" fontId="2" fillId="6" borderId="3" xfId="0" applyFont="1" applyFill="1" applyBorder="1" applyAlignment="1" applyProtection="1">
      <alignment horizontal="center" vertical="center"/>
      <protection locked="0"/>
    </xf>
    <xf numFmtId="0" fontId="3" fillId="6" borderId="3"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14" fontId="3" fillId="6" borderId="3"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center" vertical="center" wrapText="1"/>
      <protection locked="0"/>
    </xf>
    <xf numFmtId="0" fontId="3" fillId="3" borderId="2" xfId="0" applyFont="1" applyFill="1" applyBorder="1" applyAlignment="1" applyProtection="1">
      <alignment horizontal="center"/>
      <protection locked="0"/>
    </xf>
    <xf numFmtId="0" fontId="3" fillId="3" borderId="1" xfId="0" applyFont="1" applyFill="1" applyBorder="1" applyAlignment="1" applyProtection="1">
      <alignment horizontal="center"/>
      <protection locked="0"/>
    </xf>
    <xf numFmtId="0" fontId="3" fillId="0" borderId="8" xfId="0" applyFont="1" applyBorder="1" applyAlignment="1" applyProtection="1">
      <alignment horizontal="left"/>
      <protection locked="0"/>
    </xf>
    <xf numFmtId="0" fontId="3" fillId="8" borderId="8" xfId="0" applyFont="1" applyFill="1" applyBorder="1" applyAlignment="1" applyProtection="1">
      <alignment horizontal="left" vertical="center" wrapText="1"/>
      <protection locked="0"/>
    </xf>
    <xf numFmtId="164" fontId="3" fillId="6" borderId="3" xfId="0" applyNumberFormat="1" applyFont="1" applyFill="1" applyBorder="1" applyAlignment="1" applyProtection="1">
      <alignment horizontal="center" vertical="center"/>
      <protection locked="0"/>
    </xf>
    <xf numFmtId="16" fontId="3" fillId="6" borderId="3" xfId="0" applyNumberFormat="1" applyFont="1" applyFill="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center" vertical="center"/>
      <protection locked="0"/>
    </xf>
    <xf numFmtId="14" fontId="3" fillId="2" borderId="3" xfId="0" applyNumberFormat="1" applyFont="1" applyFill="1" applyBorder="1" applyAlignment="1" applyProtection="1">
      <alignment horizontal="center" vertical="center"/>
      <protection locked="0"/>
    </xf>
    <xf numFmtId="14" fontId="3" fillId="2" borderId="1" xfId="0" applyNumberFormat="1" applyFont="1" applyFill="1" applyBorder="1" applyAlignment="1" applyProtection="1">
      <alignment horizontal="center" vertical="center"/>
      <protection locked="0"/>
    </xf>
    <xf numFmtId="0" fontId="3" fillId="8" borderId="0" xfId="0" applyFont="1" applyFill="1" applyAlignment="1" applyProtection="1">
      <alignment horizontal="left" vertical="center" wrapText="1"/>
      <protection locked="0"/>
    </xf>
    <xf numFmtId="0" fontId="3" fillId="6" borderId="2" xfId="0" applyFont="1" applyFill="1" applyBorder="1" applyAlignment="1" applyProtection="1">
      <alignment horizontal="center" vertical="center"/>
      <protection locked="0"/>
    </xf>
    <xf numFmtId="0" fontId="3" fillId="0" borderId="7" xfId="0" applyFont="1" applyBorder="1" applyAlignment="1" applyProtection="1">
      <alignment horizontal="left"/>
      <protection locked="0"/>
    </xf>
    <xf numFmtId="0" fontId="3" fillId="8" borderId="7" xfId="0" applyFont="1" applyFill="1" applyBorder="1" applyAlignment="1" applyProtection="1">
      <alignment horizontal="left" vertical="center"/>
      <protection locked="0"/>
    </xf>
    <xf numFmtId="0" fontId="3" fillId="0" borderId="0" xfId="0" applyFont="1" applyAlignment="1" applyProtection="1">
      <alignment horizontal="left"/>
      <protection locked="0"/>
    </xf>
    <xf numFmtId="0" fontId="3" fillId="0" borderId="7" xfId="0" applyFont="1" applyBorder="1" applyAlignment="1" applyProtection="1">
      <alignment horizontal="center"/>
      <protection locked="0"/>
    </xf>
    <xf numFmtId="0" fontId="3" fillId="5" borderId="1" xfId="0" applyFont="1" applyFill="1" applyBorder="1" applyAlignment="1" applyProtection="1">
      <alignment horizontal="center" vertical="center"/>
      <protection locked="0"/>
    </xf>
    <xf numFmtId="164" fontId="3" fillId="4" borderId="3" xfId="0" applyNumberFormat="1" applyFont="1" applyFill="1" applyBorder="1" applyAlignment="1" applyProtection="1">
      <alignment horizontal="center" vertical="center"/>
      <protection locked="0"/>
    </xf>
    <xf numFmtId="164" fontId="3" fillId="4" borderId="1" xfId="0" applyNumberFormat="1" applyFont="1" applyFill="1" applyBorder="1" applyAlignment="1" applyProtection="1">
      <alignment horizontal="center" vertical="center"/>
      <protection locked="0"/>
    </xf>
    <xf numFmtId="49" fontId="3" fillId="6" borderId="3" xfId="0" applyNumberFormat="1"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14" fontId="3" fillId="4" borderId="2" xfId="0" applyNumberFormat="1" applyFont="1" applyFill="1" applyBorder="1" applyAlignment="1" applyProtection="1">
      <alignment horizontal="center" vertical="center"/>
      <protection locked="0"/>
    </xf>
    <xf numFmtId="0" fontId="3" fillId="2" borderId="3" xfId="0" applyFont="1" applyFill="1" applyBorder="1" applyAlignment="1">
      <alignment horizontal="center" vertical="center" wrapText="1"/>
    </xf>
    <xf numFmtId="0" fontId="3" fillId="0" borderId="2" xfId="0" applyFont="1" applyBorder="1"/>
    <xf numFmtId="0" fontId="3" fillId="0" borderId="1" xfId="0" applyFont="1" applyBorder="1"/>
    <xf numFmtId="0" fontId="3" fillId="0" borderId="1" xfId="0" applyFont="1" applyBorder="1" applyAlignment="1">
      <alignment horizontal="center"/>
    </xf>
    <xf numFmtId="0" fontId="3" fillId="2" borderId="2" xfId="0" applyFont="1" applyFill="1" applyBorder="1" applyAlignment="1" applyProtection="1">
      <alignment horizontal="center" vertical="center" wrapText="1"/>
      <protection locked="0"/>
    </xf>
    <xf numFmtId="0" fontId="3" fillId="2" borderId="3" xfId="0" applyFont="1" applyFill="1" applyBorder="1" applyAlignment="1">
      <alignment horizontal="center" vertical="center"/>
    </xf>
    <xf numFmtId="0" fontId="3" fillId="2" borderId="3" xfId="0" applyFont="1" applyFill="1" applyBorder="1" applyAlignment="1" applyProtection="1">
      <alignment horizontal="center" vertical="center"/>
      <protection locked="0"/>
    </xf>
    <xf numFmtId="0" fontId="3" fillId="2" borderId="2" xfId="0"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0" fontId="3" fillId="2" borderId="1" xfId="0" applyFont="1" applyFill="1" applyBorder="1" applyAlignment="1" applyProtection="1">
      <alignment horizontal="center" vertical="center"/>
      <protection locked="0"/>
    </xf>
    <xf numFmtId="0" fontId="3" fillId="2" borderId="0" xfId="0" applyFont="1" applyFill="1" applyAlignment="1" applyProtection="1">
      <alignment horizontal="center" vertical="center"/>
      <protection locked="0"/>
    </xf>
    <xf numFmtId="0" fontId="3" fillId="2" borderId="0" xfId="0" applyFont="1" applyFill="1" applyAlignment="1" applyProtection="1">
      <alignment horizontal="center"/>
      <protection locked="0"/>
    </xf>
    <xf numFmtId="0" fontId="3" fillId="6" borderId="3" xfId="0" applyFont="1" applyFill="1" applyBorder="1" applyAlignment="1" applyProtection="1">
      <alignment horizontal="left" vertical="center"/>
      <protection locked="0"/>
    </xf>
    <xf numFmtId="0" fontId="3" fillId="6" borderId="1" xfId="0" applyFont="1" applyFill="1" applyBorder="1" applyAlignment="1" applyProtection="1">
      <alignment horizontal="center" vertical="center" wrapText="1"/>
      <protection locked="0"/>
    </xf>
    <xf numFmtId="164" fontId="3" fillId="4" borderId="6" xfId="0" applyNumberFormat="1" applyFont="1" applyFill="1" applyBorder="1" applyAlignment="1" applyProtection="1">
      <alignment horizontal="center" vertical="center"/>
      <protection locked="0"/>
    </xf>
    <xf numFmtId="164" fontId="3" fillId="4" borderId="5" xfId="0" applyNumberFormat="1" applyFont="1" applyFill="1" applyBorder="1" applyAlignment="1" applyProtection="1">
      <alignment horizontal="center" vertical="center"/>
      <protection locked="0"/>
    </xf>
    <xf numFmtId="0" fontId="5" fillId="0" borderId="0" xfId="0" applyFont="1" applyAlignment="1" applyProtection="1">
      <alignment horizontal="left"/>
      <protection locked="0"/>
    </xf>
    <xf numFmtId="0" fontId="2" fillId="6" borderId="2" xfId="0" applyFont="1" applyFill="1" applyBorder="1" applyAlignment="1" applyProtection="1">
      <alignment horizontal="center" vertical="center" wrapText="1"/>
      <protection locked="0"/>
    </xf>
    <xf numFmtId="0" fontId="2" fillId="6" borderId="2" xfId="0" applyFont="1" applyFill="1" applyBorder="1" applyAlignment="1" applyProtection="1">
      <alignment horizontal="center" vertical="center"/>
      <protection locked="0"/>
    </xf>
    <xf numFmtId="0" fontId="3" fillId="2" borderId="3" xfId="0" applyFont="1" applyFill="1" applyBorder="1" applyAlignment="1" applyProtection="1">
      <alignment horizontal="center" vertical="center" wrapText="1"/>
      <protection locked="0"/>
    </xf>
    <xf numFmtId="14" fontId="3" fillId="2" borderId="3" xfId="0" applyNumberFormat="1" applyFont="1" applyFill="1" applyBorder="1" applyAlignment="1" applyProtection="1">
      <alignment horizontal="center" vertical="center" wrapText="1"/>
      <protection locked="0"/>
    </xf>
    <xf numFmtId="14" fontId="3" fillId="2" borderId="1" xfId="0" applyNumberFormat="1"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protection locked="0"/>
    </xf>
    <xf numFmtId="0" fontId="3" fillId="2" borderId="1" xfId="0" applyFont="1" applyFill="1" applyBorder="1" applyAlignment="1" applyProtection="1">
      <alignment horizontal="center"/>
      <protection locked="0"/>
    </xf>
    <xf numFmtId="0" fontId="3" fillId="2" borderId="0" xfId="0" applyFont="1" applyFill="1" applyAlignment="1" applyProtection="1">
      <alignment horizontal="left" vertical="center"/>
      <protection locked="0"/>
    </xf>
    <xf numFmtId="0" fontId="3" fillId="0" borderId="0" xfId="0" applyFont="1" applyAlignment="1" applyProtection="1">
      <alignment horizontal="center" vertical="center" wrapText="1"/>
      <protection locked="0"/>
    </xf>
    <xf numFmtId="164" fontId="3" fillId="2" borderId="7" xfId="0" applyNumberFormat="1" applyFont="1" applyFill="1" applyBorder="1" applyAlignment="1" applyProtection="1">
      <alignment horizontal="center" vertical="center"/>
      <protection locked="0"/>
    </xf>
    <xf numFmtId="164" fontId="3" fillId="2" borderId="4" xfId="0" applyNumberFormat="1" applyFont="1" applyFill="1" applyBorder="1" applyAlignment="1" applyProtection="1">
      <alignment horizontal="center" vertical="center"/>
      <protection locked="0"/>
    </xf>
    <xf numFmtId="0" fontId="3" fillId="2" borderId="0" xfId="0" applyFont="1" applyFill="1" applyAlignment="1" applyProtection="1">
      <alignment horizontal="left"/>
      <protection locked="0"/>
    </xf>
    <xf numFmtId="0" fontId="2" fillId="2" borderId="2" xfId="0" applyFont="1" applyFill="1" applyBorder="1" applyAlignment="1" applyProtection="1">
      <alignment horizontal="center" vertical="center" wrapText="1"/>
      <protection locked="0"/>
    </xf>
    <xf numFmtId="0" fontId="2" fillId="2" borderId="3" xfId="0" applyFont="1" applyFill="1" applyBorder="1" applyAlignment="1">
      <alignment horizontal="center" vertical="center" wrapText="1"/>
    </xf>
    <xf numFmtId="0" fontId="2" fillId="2" borderId="3" xfId="0" applyFont="1" applyFill="1" applyBorder="1" applyAlignment="1" applyProtection="1">
      <alignment horizontal="center" vertical="center" wrapText="1"/>
      <protection locked="0"/>
    </xf>
    <xf numFmtId="14" fontId="2" fillId="2" borderId="3" xfId="0" applyNumberFormat="1" applyFont="1" applyFill="1" applyBorder="1" applyAlignment="1" applyProtection="1">
      <alignment horizontal="center" vertical="center" wrapText="1"/>
      <protection locked="0"/>
    </xf>
    <xf numFmtId="14" fontId="2" fillId="2" borderId="1" xfId="0" applyNumberFormat="1" applyFont="1" applyFill="1" applyBorder="1" applyAlignment="1" applyProtection="1">
      <alignment horizontal="center" vertical="center" wrapText="1"/>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14" fontId="2" fillId="2" borderId="3" xfId="0" applyNumberFormat="1" applyFont="1" applyFill="1" applyBorder="1" applyAlignment="1" applyProtection="1">
      <alignment horizontal="center" vertical="center"/>
      <protection locked="0"/>
    </xf>
    <xf numFmtId="14" fontId="2" fillId="2" borderId="1" xfId="0" applyNumberFormat="1" applyFont="1" applyFill="1" applyBorder="1" applyAlignment="1" applyProtection="1">
      <alignment horizontal="center" vertical="center"/>
      <protection locked="0"/>
    </xf>
    <xf numFmtId="164" fontId="2" fillId="2" borderId="2" xfId="0" applyNumberFormat="1" applyFont="1" applyFill="1" applyBorder="1" applyAlignment="1" applyProtection="1">
      <alignment horizontal="center" vertical="center"/>
      <protection locked="0"/>
    </xf>
    <xf numFmtId="164" fontId="2" fillId="2" borderId="7" xfId="0" applyNumberFormat="1" applyFont="1" applyFill="1" applyBorder="1" applyAlignment="1" applyProtection="1">
      <alignment horizontal="center" vertical="center"/>
      <protection locked="0"/>
    </xf>
    <xf numFmtId="164" fontId="2" fillId="2" borderId="4" xfId="0" applyNumberFormat="1" applyFont="1" applyFill="1" applyBorder="1" applyAlignment="1" applyProtection="1">
      <alignment horizontal="center" vertical="center"/>
      <protection locked="0"/>
    </xf>
    <xf numFmtId="0" fontId="2" fillId="2" borderId="2" xfId="0" applyFont="1" applyFill="1" applyBorder="1" applyAlignment="1" applyProtection="1">
      <alignment horizontal="center"/>
      <protection locked="0"/>
    </xf>
    <xf numFmtId="0" fontId="2" fillId="2" borderId="1" xfId="0" applyFont="1" applyFill="1" applyBorder="1" applyAlignment="1" applyProtection="1">
      <alignment horizontal="center"/>
      <protection locked="0"/>
    </xf>
    <xf numFmtId="0" fontId="2" fillId="2" borderId="0" xfId="0" applyFont="1" applyFill="1" applyAlignment="1" applyProtection="1">
      <alignment horizontal="left"/>
      <protection locked="0"/>
    </xf>
    <xf numFmtId="0" fontId="2" fillId="2" borderId="0" xfId="0" applyFont="1" applyFill="1" applyAlignment="1" applyProtection="1">
      <alignment horizontal="center"/>
      <protection locked="0"/>
    </xf>
    <xf numFmtId="0" fontId="3" fillId="3" borderId="20" xfId="0" applyFont="1" applyFill="1" applyBorder="1" applyAlignment="1" applyProtection="1">
      <alignment horizontal="center" vertical="center"/>
      <protection locked="0"/>
    </xf>
    <xf numFmtId="0" fontId="3" fillId="6" borderId="21" xfId="0" applyFont="1" applyFill="1" applyBorder="1" applyAlignment="1" applyProtection="1">
      <alignment horizontal="center" vertical="center" wrapText="1"/>
      <protection locked="0"/>
    </xf>
    <xf numFmtId="0" fontId="3" fillId="6" borderId="22" xfId="0" applyFont="1" applyFill="1" applyBorder="1" applyAlignment="1">
      <alignment horizontal="center" vertical="center"/>
    </xf>
    <xf numFmtId="0" fontId="3" fillId="6" borderId="22" xfId="0" applyFont="1" applyFill="1" applyBorder="1" applyAlignment="1" applyProtection="1">
      <alignment horizontal="center" vertical="center"/>
      <protection locked="0"/>
    </xf>
    <xf numFmtId="14" fontId="3" fillId="6" borderId="22" xfId="0" applyNumberFormat="1" applyFont="1" applyFill="1" applyBorder="1" applyAlignment="1" applyProtection="1">
      <alignment horizontal="center" vertical="center"/>
      <protection locked="0"/>
    </xf>
    <xf numFmtId="14" fontId="3" fillId="6" borderId="23" xfId="0" applyNumberFormat="1" applyFont="1" applyFill="1" applyBorder="1" applyAlignment="1" applyProtection="1">
      <alignment horizontal="center" vertical="center"/>
      <protection locked="0"/>
    </xf>
    <xf numFmtId="0" fontId="3" fillId="5" borderId="21" xfId="0" applyFont="1" applyFill="1" applyBorder="1" applyAlignment="1" applyProtection="1">
      <alignment horizontal="center" vertical="center"/>
      <protection locked="0"/>
    </xf>
    <xf numFmtId="0" fontId="3" fillId="5" borderId="22" xfId="0" applyFont="1" applyFill="1" applyBorder="1" applyAlignment="1" applyProtection="1">
      <alignment horizontal="center" vertical="center"/>
      <protection locked="0"/>
    </xf>
    <xf numFmtId="14" fontId="3" fillId="5" borderId="22" xfId="0" applyNumberFormat="1" applyFont="1" applyFill="1" applyBorder="1" applyAlignment="1" applyProtection="1">
      <alignment horizontal="center" vertical="center"/>
      <protection locked="0"/>
    </xf>
    <xf numFmtId="14" fontId="3" fillId="5" borderId="23" xfId="0" applyNumberFormat="1"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14" fontId="3" fillId="4" borderId="22" xfId="0" applyNumberFormat="1" applyFont="1" applyFill="1" applyBorder="1" applyAlignment="1" applyProtection="1">
      <alignment horizontal="center" vertical="center"/>
      <protection locked="0"/>
    </xf>
    <xf numFmtId="14" fontId="3" fillId="4" borderId="23" xfId="0" applyNumberFormat="1" applyFont="1" applyFill="1" applyBorder="1" applyAlignment="1" applyProtection="1">
      <alignment horizontal="center" vertical="center"/>
      <protection locked="0"/>
    </xf>
    <xf numFmtId="0" fontId="4" fillId="4" borderId="24" xfId="0" applyFont="1" applyFill="1" applyBorder="1" applyAlignment="1" applyProtection="1">
      <alignment horizontal="center" vertical="center" wrapText="1"/>
      <protection locked="0"/>
    </xf>
    <xf numFmtId="2" fontId="4" fillId="4" borderId="25" xfId="0" applyNumberFormat="1" applyFont="1" applyFill="1" applyBorder="1" applyAlignment="1" applyProtection="1">
      <alignment horizontal="center" vertical="center" wrapText="1"/>
      <protection locked="0"/>
    </xf>
    <xf numFmtId="0" fontId="3" fillId="3" borderId="21" xfId="0" applyFont="1" applyFill="1" applyBorder="1" applyAlignment="1" applyProtection="1">
      <alignment horizontal="center" vertical="center"/>
      <protection locked="0"/>
    </xf>
    <xf numFmtId="0" fontId="3" fillId="3" borderId="23"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locked="0"/>
    </xf>
    <xf numFmtId="0" fontId="3" fillId="8" borderId="3" xfId="0" applyFont="1" applyFill="1" applyBorder="1" applyAlignment="1" applyProtection="1">
      <alignment horizontal="left" vertical="center"/>
      <protection locked="0"/>
    </xf>
    <xf numFmtId="0" fontId="7" fillId="6" borderId="11" xfId="0" applyFont="1" applyFill="1" applyBorder="1" applyAlignment="1" applyProtection="1">
      <alignment horizontal="center" vertical="center" wrapText="1"/>
      <protection locked="0"/>
    </xf>
    <xf numFmtId="0" fontId="7" fillId="6" borderId="15" xfId="0" applyFont="1" applyFill="1" applyBorder="1" applyAlignment="1" applyProtection="1">
      <alignment horizontal="center" vertical="center" wrapText="1"/>
      <protection locked="0"/>
    </xf>
    <xf numFmtId="0" fontId="7" fillId="6" borderId="10" xfId="0" applyFont="1" applyFill="1" applyBorder="1" applyAlignment="1" applyProtection="1">
      <alignment horizontal="center" vertical="center" wrapText="1"/>
      <protection locked="0"/>
    </xf>
    <xf numFmtId="0" fontId="7" fillId="6" borderId="10" xfId="0" applyFont="1" applyFill="1" applyBorder="1" applyAlignment="1" applyProtection="1">
      <alignment horizontal="center" vertical="center"/>
      <protection locked="0"/>
    </xf>
    <xf numFmtId="14" fontId="7" fillId="6" borderId="10" xfId="0" applyNumberFormat="1" applyFont="1" applyFill="1" applyBorder="1" applyAlignment="1" applyProtection="1">
      <alignment horizontal="center" vertical="center" wrapText="1"/>
      <protection locked="0"/>
    </xf>
    <xf numFmtId="14" fontId="7" fillId="6" borderId="9" xfId="0" applyNumberFormat="1" applyFont="1" applyFill="1" applyBorder="1" applyAlignment="1" applyProtection="1">
      <alignment horizontal="center" vertical="center" wrapText="1"/>
      <protection locked="0"/>
    </xf>
    <xf numFmtId="0" fontId="7" fillId="5" borderId="14" xfId="0" applyFont="1" applyFill="1" applyBorder="1" applyAlignment="1" applyProtection="1">
      <alignment horizontal="center" vertical="center" wrapText="1"/>
      <protection locked="0"/>
    </xf>
    <xf numFmtId="0" fontId="7" fillId="5" borderId="13" xfId="0" applyFont="1" applyFill="1" applyBorder="1" applyAlignment="1" applyProtection="1">
      <alignment horizontal="center" vertical="center" wrapText="1"/>
      <protection locked="0"/>
    </xf>
    <xf numFmtId="14" fontId="7" fillId="5" borderId="13" xfId="0" applyNumberFormat="1" applyFont="1" applyFill="1" applyBorder="1" applyAlignment="1" applyProtection="1">
      <alignment horizontal="center" vertical="center" wrapText="1"/>
      <protection locked="0"/>
    </xf>
    <xf numFmtId="0" fontId="7" fillId="5" borderId="13" xfId="0" applyFont="1" applyFill="1" applyBorder="1" applyAlignment="1" applyProtection="1">
      <alignment horizontal="center" vertical="center"/>
      <protection locked="0"/>
    </xf>
    <xf numFmtId="14" fontId="7" fillId="5" borderId="12" xfId="0" applyNumberFormat="1" applyFont="1" applyFill="1" applyBorder="1" applyAlignment="1" applyProtection="1">
      <alignment horizontal="center" vertical="center" wrapText="1"/>
      <protection locked="0"/>
    </xf>
    <xf numFmtId="0" fontId="7" fillId="4" borderId="11" xfId="0" applyFont="1" applyFill="1" applyBorder="1" applyAlignment="1" applyProtection="1">
      <alignment horizontal="center" vertical="center" wrapText="1"/>
      <protection locked="0"/>
    </xf>
    <xf numFmtId="14" fontId="7" fillId="4" borderId="10" xfId="0" applyNumberFormat="1" applyFont="1" applyFill="1" applyBorder="1" applyAlignment="1" applyProtection="1">
      <alignment horizontal="center" vertical="center" wrapText="1"/>
      <protection locked="0"/>
    </xf>
    <xf numFmtId="164" fontId="7" fillId="4" borderId="10" xfId="0" applyNumberFormat="1" applyFont="1" applyFill="1" applyBorder="1" applyAlignment="1" applyProtection="1">
      <alignment horizontal="center" vertical="center" wrapText="1"/>
      <protection locked="0"/>
    </xf>
    <xf numFmtId="164" fontId="7" fillId="4" borderId="9" xfId="0" applyNumberFormat="1" applyFont="1" applyFill="1" applyBorder="1" applyAlignment="1" applyProtection="1">
      <alignment horizontal="center" vertical="center" wrapText="1"/>
      <protection locked="0"/>
    </xf>
    <xf numFmtId="0" fontId="8" fillId="3" borderId="20" xfId="0" applyFont="1" applyFill="1" applyBorder="1" applyAlignment="1" applyProtection="1">
      <alignment horizontal="center" vertical="center"/>
      <protection locked="0"/>
    </xf>
    <xf numFmtId="0" fontId="8" fillId="6" borderId="2" xfId="0" applyFont="1" applyFill="1" applyBorder="1" applyAlignment="1" applyProtection="1">
      <alignment horizontal="center" vertical="center" wrapText="1"/>
      <protection locked="0"/>
    </xf>
    <xf numFmtId="0" fontId="8" fillId="6" borderId="3" xfId="0" applyFont="1" applyFill="1" applyBorder="1" applyAlignment="1">
      <alignment horizontal="center" vertical="center" wrapText="1"/>
    </xf>
    <xf numFmtId="0" fontId="8" fillId="6" borderId="3" xfId="0" applyFont="1" applyFill="1" applyBorder="1" applyAlignment="1" applyProtection="1">
      <alignment horizontal="center" vertical="center" wrapText="1"/>
      <protection locked="0"/>
    </xf>
    <xf numFmtId="14" fontId="8" fillId="6" borderId="3" xfId="0" applyNumberFormat="1" applyFont="1" applyFill="1" applyBorder="1" applyAlignment="1" applyProtection="1">
      <alignment horizontal="center" vertical="center" wrapText="1"/>
      <protection locked="0"/>
    </xf>
    <xf numFmtId="14" fontId="8" fillId="6" borderId="1" xfId="0" applyNumberFormat="1"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protection locked="0"/>
    </xf>
    <xf numFmtId="0" fontId="8" fillId="5" borderId="3" xfId="0" applyFont="1" applyFill="1" applyBorder="1" applyAlignment="1" applyProtection="1">
      <alignment horizontal="center" vertical="center"/>
      <protection locked="0"/>
    </xf>
    <xf numFmtId="14" fontId="8" fillId="5" borderId="3" xfId="0" applyNumberFormat="1" applyFont="1" applyFill="1" applyBorder="1" applyAlignment="1" applyProtection="1">
      <alignment horizontal="center" vertical="center"/>
      <protection locked="0"/>
    </xf>
    <xf numFmtId="14" fontId="8" fillId="5" borderId="1" xfId="0" applyNumberFormat="1" applyFont="1" applyFill="1" applyBorder="1" applyAlignment="1" applyProtection="1">
      <alignment horizontal="center" vertical="center"/>
      <protection locked="0"/>
    </xf>
    <xf numFmtId="14" fontId="8" fillId="4" borderId="2" xfId="0" applyNumberFormat="1" applyFont="1" applyFill="1" applyBorder="1" applyAlignment="1" applyProtection="1">
      <alignment horizontal="center" vertical="center"/>
      <protection locked="0"/>
    </xf>
    <xf numFmtId="14" fontId="8" fillId="4" borderId="3" xfId="0" applyNumberFormat="1" applyFont="1" applyFill="1" applyBorder="1" applyAlignment="1" applyProtection="1">
      <alignment horizontal="center" vertical="center"/>
      <protection locked="0"/>
    </xf>
    <xf numFmtId="14" fontId="8" fillId="4" borderId="1" xfId="0" applyNumberFormat="1" applyFont="1" applyFill="1" applyBorder="1" applyAlignment="1" applyProtection="1">
      <alignment horizontal="center" vertical="center"/>
      <protection locked="0"/>
    </xf>
    <xf numFmtId="0" fontId="10" fillId="6" borderId="2" xfId="0" applyFont="1" applyFill="1" applyBorder="1" applyAlignment="1" applyProtection="1">
      <alignment horizontal="center" vertical="center" wrapText="1"/>
      <protection locked="0"/>
    </xf>
    <xf numFmtId="0" fontId="10" fillId="6" borderId="3" xfId="0" applyFont="1" applyFill="1" applyBorder="1" applyAlignment="1">
      <alignment horizontal="center" vertical="center" wrapText="1"/>
    </xf>
    <xf numFmtId="0" fontId="10" fillId="6" borderId="3" xfId="0" applyFont="1" applyFill="1" applyBorder="1" applyAlignment="1" applyProtection="1">
      <alignment horizontal="center" vertical="center" wrapText="1"/>
      <protection locked="0"/>
    </xf>
    <xf numFmtId="14" fontId="10" fillId="6" borderId="3" xfId="0" applyNumberFormat="1" applyFont="1" applyFill="1" applyBorder="1" applyAlignment="1" applyProtection="1">
      <alignment horizontal="center" vertical="center" wrapText="1"/>
      <protection locked="0"/>
    </xf>
    <xf numFmtId="0" fontId="10" fillId="5" borderId="2" xfId="0" applyFont="1" applyFill="1" applyBorder="1" applyAlignment="1" applyProtection="1">
      <alignment horizontal="center" vertical="center"/>
      <protection locked="0"/>
    </xf>
    <xf numFmtId="0" fontId="10" fillId="5" borderId="3" xfId="0" applyFont="1" applyFill="1" applyBorder="1" applyAlignment="1" applyProtection="1">
      <alignment horizontal="center" vertical="center"/>
      <protection locked="0"/>
    </xf>
    <xf numFmtId="14" fontId="10" fillId="5" borderId="3" xfId="0" applyNumberFormat="1" applyFont="1" applyFill="1" applyBorder="1" applyAlignment="1" applyProtection="1">
      <alignment horizontal="center" vertical="center"/>
      <protection locked="0"/>
    </xf>
    <xf numFmtId="14" fontId="10" fillId="5" borderId="1" xfId="0" applyNumberFormat="1" applyFont="1" applyFill="1" applyBorder="1" applyAlignment="1" applyProtection="1">
      <alignment horizontal="center" vertical="center"/>
      <protection locked="0"/>
    </xf>
    <xf numFmtId="14" fontId="10" fillId="4" borderId="2" xfId="0" applyNumberFormat="1" applyFont="1" applyFill="1" applyBorder="1" applyAlignment="1" applyProtection="1">
      <alignment horizontal="center" vertical="center"/>
      <protection locked="0"/>
    </xf>
    <xf numFmtId="14" fontId="10" fillId="4" borderId="3" xfId="0" applyNumberFormat="1" applyFont="1" applyFill="1" applyBorder="1" applyAlignment="1" applyProtection="1">
      <alignment horizontal="center" vertical="center"/>
      <protection locked="0"/>
    </xf>
    <xf numFmtId="14" fontId="10" fillId="4" borderId="1" xfId="0" applyNumberFormat="1" applyFont="1" applyFill="1" applyBorder="1" applyAlignment="1" applyProtection="1">
      <alignment horizontal="center" vertical="center"/>
      <protection locked="0"/>
    </xf>
    <xf numFmtId="14" fontId="10" fillId="6" borderId="1" xfId="0" applyNumberFormat="1" applyFont="1" applyFill="1" applyBorder="1" applyAlignment="1" applyProtection="1">
      <alignment horizontal="center" vertical="center" wrapText="1"/>
      <protection locked="0"/>
    </xf>
    <xf numFmtId="0" fontId="10" fillId="6" borderId="2" xfId="0" applyFont="1" applyFill="1" applyBorder="1" applyAlignment="1" applyProtection="1">
      <alignment horizontal="center" vertical="center"/>
      <protection locked="0"/>
    </xf>
    <xf numFmtId="0" fontId="10" fillId="6" borderId="3" xfId="0" applyFont="1" applyFill="1" applyBorder="1" applyAlignment="1">
      <alignment horizontal="center" vertical="center"/>
    </xf>
    <xf numFmtId="0" fontId="10" fillId="6" borderId="3" xfId="0" applyFont="1" applyFill="1" applyBorder="1" applyAlignment="1" applyProtection="1">
      <alignment horizontal="center" vertical="center"/>
      <protection locked="0"/>
    </xf>
    <xf numFmtId="14" fontId="10" fillId="6" borderId="3" xfId="0" applyNumberFormat="1" applyFont="1" applyFill="1" applyBorder="1" applyAlignment="1" applyProtection="1">
      <alignment horizontal="center" vertical="center"/>
      <protection locked="0"/>
    </xf>
    <xf numFmtId="0" fontId="10" fillId="5" borderId="3" xfId="0" applyFont="1" applyFill="1" applyBorder="1" applyAlignment="1" applyProtection="1">
      <alignment horizontal="center" vertical="center" wrapText="1"/>
      <protection locked="0"/>
    </xf>
    <xf numFmtId="14" fontId="10" fillId="4" borderId="4" xfId="0" applyNumberFormat="1" applyFont="1" applyFill="1" applyBorder="1" applyAlignment="1" applyProtection="1">
      <alignment horizontal="center" vertical="center"/>
      <protection locked="0"/>
    </xf>
    <xf numFmtId="14" fontId="10" fillId="6" borderId="1" xfId="0" applyNumberFormat="1" applyFont="1" applyFill="1" applyBorder="1" applyAlignment="1" applyProtection="1">
      <alignment horizontal="center" vertical="center"/>
      <protection locked="0"/>
    </xf>
    <xf numFmtId="0" fontId="8" fillId="6" borderId="1" xfId="0" applyFont="1" applyFill="1" applyBorder="1" applyAlignment="1" applyProtection="1">
      <alignment horizontal="center" vertical="center" wrapText="1"/>
      <protection locked="0"/>
    </xf>
    <xf numFmtId="0" fontId="8" fillId="5" borderId="1" xfId="0" applyFont="1" applyFill="1" applyBorder="1" applyAlignment="1" applyProtection="1">
      <alignment horizontal="center" vertical="center"/>
      <protection locked="0"/>
    </xf>
    <xf numFmtId="0" fontId="8" fillId="2" borderId="2" xfId="0" applyFont="1" applyFill="1" applyBorder="1" applyAlignment="1" applyProtection="1">
      <alignment horizontal="center" vertical="center" wrapText="1"/>
      <protection locked="0"/>
    </xf>
    <xf numFmtId="0" fontId="8" fillId="2" borderId="3" xfId="0" applyFont="1" applyFill="1" applyBorder="1" applyAlignment="1">
      <alignment horizontal="center" vertical="center" wrapText="1"/>
    </xf>
    <xf numFmtId="0" fontId="8" fillId="2" borderId="3" xfId="0" applyFont="1" applyFill="1" applyBorder="1" applyAlignment="1" applyProtection="1">
      <alignment horizontal="center" vertical="center" wrapText="1"/>
      <protection locked="0"/>
    </xf>
    <xf numFmtId="14" fontId="8" fillId="2" borderId="3" xfId="0" applyNumberFormat="1" applyFont="1" applyFill="1" applyBorder="1" applyAlignment="1" applyProtection="1">
      <alignment horizontal="center" vertical="center" wrapText="1"/>
      <protection locked="0"/>
    </xf>
    <xf numFmtId="14" fontId="8" fillId="2" borderId="1" xfId="0" applyNumberFormat="1" applyFont="1" applyFill="1" applyBorder="1" applyAlignment="1" applyProtection="1">
      <alignment horizontal="center" vertical="center" wrapText="1"/>
      <protection locked="0"/>
    </xf>
    <xf numFmtId="0" fontId="8" fillId="2" borderId="2"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14" fontId="8" fillId="2" borderId="3" xfId="0" applyNumberFormat="1" applyFont="1" applyFill="1" applyBorder="1" applyAlignment="1" applyProtection="1">
      <alignment horizontal="center" vertical="center"/>
      <protection locked="0"/>
    </xf>
    <xf numFmtId="14" fontId="8" fillId="2" borderId="1" xfId="0" applyNumberFormat="1" applyFont="1" applyFill="1" applyBorder="1" applyAlignment="1" applyProtection="1">
      <alignment horizontal="center" vertical="center"/>
      <protection locked="0"/>
    </xf>
    <xf numFmtId="14" fontId="8" fillId="2" borderId="2" xfId="0" applyNumberFormat="1" applyFont="1" applyFill="1" applyBorder="1" applyAlignment="1" applyProtection="1">
      <alignment horizontal="center" vertical="center"/>
      <protection locked="0"/>
    </xf>
    <xf numFmtId="0" fontId="8" fillId="5" borderId="3" xfId="0" applyFont="1" applyFill="1" applyBorder="1" applyAlignment="1" applyProtection="1">
      <alignment horizontal="center" vertical="center" wrapText="1"/>
      <protection locked="0"/>
    </xf>
    <xf numFmtId="14" fontId="9" fillId="5" borderId="3" xfId="0" applyNumberFormat="1" applyFont="1" applyFill="1" applyBorder="1" applyAlignment="1" applyProtection="1">
      <alignment horizontal="center" vertical="center"/>
      <protection locked="0"/>
    </xf>
    <xf numFmtId="14" fontId="9" fillId="5" borderId="1" xfId="0" applyNumberFormat="1" applyFont="1" applyFill="1" applyBorder="1" applyAlignment="1" applyProtection="1">
      <alignment horizontal="center" vertical="center"/>
      <protection locked="0"/>
    </xf>
    <xf numFmtId="0" fontId="10" fillId="6" borderId="1" xfId="0" applyFont="1" applyFill="1" applyBorder="1" applyAlignment="1" applyProtection="1">
      <alignment horizontal="center" vertical="center" wrapText="1"/>
      <protection locked="0"/>
    </xf>
    <xf numFmtId="0" fontId="8" fillId="6" borderId="3" xfId="0"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protection locked="0"/>
    </xf>
    <xf numFmtId="0" fontId="8" fillId="2" borderId="1" xfId="0" applyFont="1" applyFill="1" applyBorder="1" applyAlignment="1" applyProtection="1">
      <alignment horizontal="center" vertical="center"/>
      <protection locked="0"/>
    </xf>
    <xf numFmtId="14" fontId="8" fillId="7" borderId="3" xfId="0" applyNumberFormat="1" applyFont="1" applyFill="1" applyBorder="1" applyAlignment="1" applyProtection="1">
      <alignment horizontal="center" vertical="center" wrapText="1"/>
      <protection locked="0"/>
    </xf>
    <xf numFmtId="14" fontId="8" fillId="7" borderId="1" xfId="0" applyNumberFormat="1" applyFont="1" applyFill="1" applyBorder="1" applyAlignment="1" applyProtection="1">
      <alignment horizontal="center" vertical="center" wrapText="1"/>
      <protection locked="0"/>
    </xf>
    <xf numFmtId="0" fontId="8" fillId="6" borderId="18" xfId="0" applyFont="1" applyFill="1" applyBorder="1" applyAlignment="1" applyProtection="1">
      <alignment horizontal="center" vertical="center" wrapText="1"/>
      <protection locked="0"/>
    </xf>
    <xf numFmtId="0" fontId="8" fillId="0" borderId="0" xfId="0" applyFont="1" applyAlignment="1">
      <alignment horizontal="center" vertical="center"/>
    </xf>
    <xf numFmtId="0" fontId="8" fillId="0" borderId="0" xfId="0" applyFont="1" applyAlignment="1" applyProtection="1">
      <alignment horizontal="center" vertical="center"/>
      <protection locked="0"/>
    </xf>
    <xf numFmtId="0" fontId="8" fillId="3" borderId="2" xfId="0" applyFont="1" applyFill="1" applyBorder="1" applyAlignment="1" applyProtection="1">
      <alignment horizontal="center" vertical="center"/>
      <protection locked="0"/>
    </xf>
    <xf numFmtId="0" fontId="8" fillId="3" borderId="1" xfId="0" applyFont="1" applyFill="1" applyBorder="1" applyAlignment="1" applyProtection="1">
      <alignment horizontal="center" vertical="center"/>
      <protection locked="0"/>
    </xf>
    <xf numFmtId="0" fontId="9" fillId="0" borderId="0" xfId="0" applyFont="1" applyAlignment="1" applyProtection="1">
      <alignment horizontal="center" vertical="center"/>
      <protection locked="0"/>
    </xf>
    <xf numFmtId="0" fontId="10" fillId="0" borderId="0" xfId="0" applyFont="1" applyAlignment="1" applyProtection="1">
      <alignment horizontal="center" vertical="center"/>
      <protection locked="0"/>
    </xf>
    <xf numFmtId="0" fontId="10" fillId="3" borderId="2" xfId="0" applyFont="1" applyFill="1" applyBorder="1" applyAlignment="1" applyProtection="1">
      <alignment horizontal="center" vertical="center"/>
      <protection locked="0"/>
    </xf>
    <xf numFmtId="0" fontId="10" fillId="3" borderId="1" xfId="0" applyFont="1" applyFill="1" applyBorder="1" applyAlignment="1" applyProtection="1">
      <alignment horizontal="center" vertical="center"/>
      <protection locked="0"/>
    </xf>
    <xf numFmtId="0" fontId="10" fillId="0" borderId="0" xfId="0" applyFont="1" applyAlignment="1">
      <alignment horizontal="center" vertical="center"/>
    </xf>
    <xf numFmtId="0" fontId="8" fillId="2" borderId="0" xfId="0" applyFont="1" applyFill="1" applyAlignment="1" applyProtection="1">
      <alignment horizontal="center" vertical="center"/>
      <protection locked="0"/>
    </xf>
    <xf numFmtId="0" fontId="12" fillId="0" borderId="0" xfId="0" applyFont="1" applyAlignment="1">
      <alignment horizontal="center" vertical="center"/>
    </xf>
    <xf numFmtId="14" fontId="11" fillId="5" borderId="3" xfId="0" applyNumberFormat="1" applyFont="1" applyFill="1" applyBorder="1" applyAlignment="1" applyProtection="1">
      <alignment horizontal="center" vertical="center"/>
      <protection locked="0"/>
    </xf>
    <xf numFmtId="14" fontId="7" fillId="4" borderId="2" xfId="0" applyNumberFormat="1" applyFont="1" applyFill="1" applyBorder="1" applyAlignment="1" applyProtection="1">
      <alignment horizontal="center" vertical="center"/>
      <protection locked="0"/>
    </xf>
    <xf numFmtId="0" fontId="8" fillId="6" borderId="11" xfId="0" applyFont="1" applyFill="1" applyBorder="1" applyAlignment="1">
      <alignment horizontal="center" vertical="center" wrapText="1"/>
    </xf>
    <xf numFmtId="14" fontId="10" fillId="5" borderId="3" xfId="0" applyNumberFormat="1" applyFont="1" applyFill="1" applyBorder="1" applyAlignment="1">
      <alignment horizontal="center" vertical="center"/>
    </xf>
    <xf numFmtId="14" fontId="8" fillId="4" borderId="2" xfId="0" applyNumberFormat="1" applyFont="1" applyFill="1" applyBorder="1" applyAlignment="1">
      <alignment horizontal="center" vertical="center"/>
    </xf>
    <xf numFmtId="0" fontId="8" fillId="7" borderId="3" xfId="0" applyFont="1" applyFill="1" applyBorder="1" applyAlignment="1" applyProtection="1">
      <alignment horizontal="center" vertical="center" wrapText="1"/>
      <protection locked="0"/>
    </xf>
    <xf numFmtId="165" fontId="14" fillId="11" borderId="18" xfId="0" applyNumberFormat="1" applyFont="1" applyFill="1" applyBorder="1" applyAlignment="1">
      <alignment horizontal="center"/>
    </xf>
    <xf numFmtId="0" fontId="15" fillId="5" borderId="3" xfId="0" applyFont="1" applyFill="1" applyBorder="1" applyAlignment="1" applyProtection="1">
      <alignment horizontal="center" vertical="center" wrapText="1"/>
      <protection locked="0"/>
    </xf>
    <xf numFmtId="0" fontId="10" fillId="0" borderId="0" xfId="0" applyFont="1" applyAlignment="1" applyProtection="1">
      <alignment horizontal="center"/>
      <protection locked="0"/>
    </xf>
    <xf numFmtId="0" fontId="10" fillId="3" borderId="2" xfId="0" applyFont="1" applyFill="1" applyBorder="1" applyAlignment="1" applyProtection="1">
      <alignment horizontal="center"/>
      <protection locked="0"/>
    </xf>
    <xf numFmtId="0" fontId="10" fillId="3" borderId="1" xfId="0" applyFont="1" applyFill="1" applyBorder="1" applyAlignment="1" applyProtection="1">
      <alignment horizontal="center"/>
      <protection locked="0"/>
    </xf>
    <xf numFmtId="0" fontId="9" fillId="0" borderId="0" xfId="0" applyFont="1" applyAlignment="1" applyProtection="1">
      <alignment horizontal="left"/>
      <protection locked="0"/>
    </xf>
    <xf numFmtId="0" fontId="8" fillId="0" borderId="0" xfId="0" applyFont="1" applyAlignment="1" applyProtection="1">
      <alignment horizontal="center"/>
      <protection locked="0"/>
    </xf>
    <xf numFmtId="0" fontId="10" fillId="0" borderId="0" xfId="0" applyFont="1" applyAlignment="1" applyProtection="1">
      <alignment horizontal="left"/>
      <protection locked="0"/>
    </xf>
    <xf numFmtId="0" fontId="8" fillId="0" borderId="0" xfId="0" applyFont="1" applyAlignment="1" applyProtection="1">
      <alignment horizontal="left"/>
      <protection locked="0"/>
    </xf>
    <xf numFmtId="0" fontId="10" fillId="0" borderId="0" xfId="0" applyFont="1" applyAlignment="1">
      <alignment horizontal="left"/>
    </xf>
    <xf numFmtId="0" fontId="10" fillId="0" borderId="0" xfId="0" applyFont="1"/>
    <xf numFmtId="0" fontId="8" fillId="2" borderId="0" xfId="0" applyFont="1" applyFill="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1" xfId="0" applyFont="1" applyFill="1" applyBorder="1" applyAlignment="1" applyProtection="1">
      <alignment horizontal="center"/>
      <protection locked="0"/>
    </xf>
    <xf numFmtId="0" fontId="8" fillId="3" borderId="2" xfId="0" applyFont="1" applyFill="1" applyBorder="1" applyAlignment="1" applyProtection="1">
      <alignment horizontal="center"/>
      <protection locked="0"/>
    </xf>
    <xf numFmtId="0" fontId="8" fillId="3" borderId="1" xfId="0" applyFont="1" applyFill="1" applyBorder="1" applyAlignment="1" applyProtection="1">
      <alignment horizontal="center"/>
      <protection locked="0"/>
    </xf>
    <xf numFmtId="0" fontId="8" fillId="2" borderId="0" xfId="0" applyFont="1" applyFill="1" applyAlignment="1" applyProtection="1">
      <alignment horizontal="left"/>
      <protection locked="0"/>
    </xf>
    <xf numFmtId="0" fontId="9" fillId="0" borderId="0" xfId="0" applyFont="1" applyAlignment="1" applyProtection="1">
      <alignment horizontal="center"/>
      <protection locked="0"/>
    </xf>
    <xf numFmtId="0" fontId="8" fillId="0" borderId="0" xfId="0" applyFont="1" applyAlignment="1">
      <alignment horizontal="left"/>
    </xf>
    <xf numFmtId="0" fontId="8" fillId="0" borderId="0" xfId="0" applyFont="1"/>
    <xf numFmtId="14" fontId="10" fillId="5" borderId="2" xfId="0" applyNumberFormat="1" applyFont="1" applyFill="1" applyBorder="1" applyAlignment="1" applyProtection="1">
      <alignment horizontal="center" vertical="center"/>
      <protection locked="0"/>
    </xf>
    <xf numFmtId="0" fontId="10" fillId="2" borderId="2" xfId="0" applyFont="1" applyFill="1" applyBorder="1" applyAlignment="1" applyProtection="1">
      <alignment horizontal="center" vertical="center"/>
      <protection locked="0"/>
    </xf>
    <xf numFmtId="14" fontId="10" fillId="2" borderId="2" xfId="0" applyNumberFormat="1" applyFont="1" applyFill="1" applyBorder="1" applyAlignment="1" applyProtection="1">
      <alignment horizontal="center" vertical="center"/>
      <protection locked="0"/>
    </xf>
    <xf numFmtId="0" fontId="10" fillId="2" borderId="0" xfId="0" applyFont="1" applyFill="1" applyAlignment="1" applyProtection="1">
      <alignment horizontal="center"/>
      <protection locked="0"/>
    </xf>
    <xf numFmtId="0" fontId="10" fillId="2" borderId="2" xfId="0" applyFont="1" applyFill="1" applyBorder="1" applyAlignment="1" applyProtection="1">
      <alignment horizontal="center"/>
      <protection locked="0"/>
    </xf>
    <xf numFmtId="0" fontId="10" fillId="2" borderId="1" xfId="0" applyFont="1" applyFill="1" applyBorder="1" applyAlignment="1" applyProtection="1">
      <alignment horizontal="center"/>
      <protection locked="0"/>
    </xf>
    <xf numFmtId="0" fontId="9" fillId="2" borderId="0" xfId="0" applyFont="1" applyFill="1" applyAlignment="1" applyProtection="1">
      <alignment horizontal="left"/>
      <protection locked="0"/>
    </xf>
    <xf numFmtId="0" fontId="9" fillId="2" borderId="0" xfId="0" applyFont="1" applyFill="1" applyAlignment="1" applyProtection="1">
      <alignment horizontal="center" vertical="center"/>
      <protection locked="0"/>
    </xf>
    <xf numFmtId="0" fontId="10" fillId="2" borderId="0" xfId="0" applyFont="1" applyFill="1" applyAlignment="1" applyProtection="1">
      <alignment horizontal="center" vertical="center"/>
      <protection locked="0"/>
    </xf>
    <xf numFmtId="0" fontId="8" fillId="7" borderId="2" xfId="0" applyFont="1" applyFill="1" applyBorder="1" applyAlignment="1" applyProtection="1">
      <alignment horizontal="center" vertical="center" wrapText="1"/>
      <protection locked="0"/>
    </xf>
    <xf numFmtId="0" fontId="8" fillId="7" borderId="3" xfId="0" applyFont="1" applyFill="1" applyBorder="1" applyAlignment="1">
      <alignment horizontal="center" vertical="center" wrapText="1"/>
    </xf>
    <xf numFmtId="0" fontId="8" fillId="7" borderId="1" xfId="0" applyFont="1" applyFill="1" applyBorder="1" applyAlignment="1" applyProtection="1">
      <alignment horizontal="center" vertical="center" wrapText="1"/>
      <protection locked="0"/>
    </xf>
    <xf numFmtId="0" fontId="8" fillId="7" borderId="2" xfId="0" applyFont="1" applyFill="1" applyBorder="1" applyAlignment="1" applyProtection="1">
      <alignment horizontal="center" vertical="center"/>
      <protection locked="0"/>
    </xf>
    <xf numFmtId="0" fontId="8" fillId="7" borderId="3" xfId="0" applyFont="1" applyFill="1" applyBorder="1" applyAlignment="1" applyProtection="1">
      <alignment horizontal="center" vertical="center"/>
      <protection locked="0"/>
    </xf>
    <xf numFmtId="0" fontId="8" fillId="7" borderId="1" xfId="0" applyFont="1" applyFill="1" applyBorder="1" applyAlignment="1" applyProtection="1">
      <alignment horizontal="center" vertical="center"/>
      <protection locked="0"/>
    </xf>
    <xf numFmtId="14" fontId="8" fillId="7" borderId="2" xfId="0" applyNumberFormat="1" applyFont="1" applyFill="1" applyBorder="1" applyAlignment="1" applyProtection="1">
      <alignment horizontal="center" vertical="center"/>
      <protection locked="0"/>
    </xf>
    <xf numFmtId="14" fontId="8" fillId="7" borderId="3" xfId="0" applyNumberFormat="1" applyFont="1" applyFill="1" applyBorder="1" applyAlignment="1" applyProtection="1">
      <alignment horizontal="center" vertical="center"/>
      <protection locked="0"/>
    </xf>
    <xf numFmtId="14" fontId="8" fillId="7" borderId="1" xfId="0" applyNumberFormat="1" applyFont="1" applyFill="1" applyBorder="1" applyAlignment="1" applyProtection="1">
      <alignment horizontal="center" vertical="center"/>
      <protection locked="0"/>
    </xf>
    <xf numFmtId="0" fontId="8" fillId="7" borderId="0" xfId="0" applyFont="1" applyFill="1" applyAlignment="1" applyProtection="1">
      <alignment horizontal="center" vertical="center"/>
      <protection locked="0"/>
    </xf>
    <xf numFmtId="0" fontId="8" fillId="7" borderId="0" xfId="0" applyFont="1" applyFill="1" applyAlignment="1">
      <alignment horizontal="center" vertical="center"/>
    </xf>
    <xf numFmtId="0" fontId="8" fillId="2" borderId="0" xfId="0" applyFont="1" applyFill="1" applyAlignment="1">
      <alignment horizontal="center" vertical="center"/>
    </xf>
    <xf numFmtId="14" fontId="16" fillId="5" borderId="3" xfId="0" applyNumberFormat="1" applyFont="1" applyFill="1" applyBorder="1" applyAlignment="1" applyProtection="1">
      <alignment horizontal="center" vertical="center"/>
      <protection locked="0"/>
    </xf>
    <xf numFmtId="14" fontId="4" fillId="4" borderId="2" xfId="0" applyNumberFormat="1" applyFont="1" applyFill="1" applyBorder="1" applyAlignment="1" applyProtection="1">
      <alignment horizontal="center" vertical="center"/>
      <protection locked="0"/>
    </xf>
    <xf numFmtId="14" fontId="10" fillId="5" borderId="18" xfId="0" applyNumberFormat="1" applyFont="1" applyFill="1" applyBorder="1" applyAlignment="1">
      <alignment horizontal="center" vertical="center"/>
    </xf>
    <xf numFmtId="14" fontId="8" fillId="4" borderId="20" xfId="0" applyNumberFormat="1" applyFont="1" applyFill="1" applyBorder="1" applyAlignment="1">
      <alignment horizontal="center" vertical="center"/>
    </xf>
    <xf numFmtId="0" fontId="8" fillId="0" borderId="0" xfId="0" applyFont="1" applyAlignment="1">
      <alignment horizontal="center" vertical="center" wrapText="1"/>
    </xf>
    <xf numFmtId="14" fontId="10" fillId="0" borderId="0" xfId="0" applyNumberFormat="1" applyFont="1" applyAlignment="1">
      <alignment horizontal="center" vertical="center"/>
    </xf>
    <xf numFmtId="14" fontId="8" fillId="0" borderId="0" xfId="0" applyNumberFormat="1" applyFont="1" applyAlignment="1">
      <alignment horizontal="center" vertical="center"/>
    </xf>
    <xf numFmtId="0" fontId="3" fillId="6" borderId="20" xfId="0" applyFont="1" applyFill="1" applyBorder="1" applyAlignment="1" applyProtection="1">
      <alignment horizontal="center" vertical="center" wrapText="1"/>
      <protection locked="0"/>
    </xf>
    <xf numFmtId="14" fontId="8" fillId="4" borderId="3" xfId="0" applyNumberFormat="1" applyFont="1" applyFill="1" applyBorder="1" applyAlignment="1">
      <alignment horizontal="center" vertical="center"/>
    </xf>
    <xf numFmtId="0" fontId="10" fillId="6" borderId="3" xfId="0" quotePrefix="1" applyFont="1" applyFill="1" applyBorder="1" applyAlignment="1" applyProtection="1">
      <alignment horizontal="center" vertical="center" wrapText="1"/>
      <protection locked="0"/>
    </xf>
    <xf numFmtId="0" fontId="10" fillId="2" borderId="3" xfId="0" applyFont="1" applyFill="1" applyBorder="1" applyAlignment="1" applyProtection="1">
      <alignment horizontal="center" vertical="center" wrapText="1"/>
      <protection locked="0"/>
    </xf>
    <xf numFmtId="0" fontId="8" fillId="2" borderId="11" xfId="0" applyFont="1" applyFill="1" applyBorder="1" applyAlignment="1">
      <alignment horizontal="center" vertical="center" wrapText="1"/>
    </xf>
    <xf numFmtId="14" fontId="10" fillId="2" borderId="3" xfId="0" applyNumberFormat="1" applyFont="1" applyFill="1" applyBorder="1" applyAlignment="1">
      <alignment horizontal="center" vertical="center"/>
    </xf>
    <xf numFmtId="14" fontId="8" fillId="2" borderId="2" xfId="0" applyNumberFormat="1" applyFont="1" applyFill="1" applyBorder="1" applyAlignment="1">
      <alignment horizontal="center" vertical="center"/>
    </xf>
    <xf numFmtId="14" fontId="10" fillId="2" borderId="3" xfId="0" applyNumberFormat="1" applyFont="1" applyFill="1" applyBorder="1" applyAlignment="1" applyProtection="1">
      <alignment horizontal="center" vertical="center" wrapText="1"/>
      <protection locked="0"/>
    </xf>
    <xf numFmtId="0" fontId="10" fillId="2" borderId="0" xfId="0" applyFont="1" applyFill="1" applyAlignment="1" applyProtection="1">
      <alignment horizontal="left"/>
      <protection locked="0"/>
    </xf>
    <xf numFmtId="0" fontId="10" fillId="2" borderId="11" xfId="0" applyFont="1" applyFill="1" applyBorder="1" applyAlignment="1">
      <alignment horizontal="center" vertical="center" wrapText="1"/>
    </xf>
    <xf numFmtId="14" fontId="10" fillId="2" borderId="2" xfId="0" applyNumberFormat="1" applyFont="1" applyFill="1" applyBorder="1" applyAlignment="1">
      <alignment horizontal="center" vertical="center"/>
    </xf>
    <xf numFmtId="0" fontId="8" fillId="7" borderId="11" xfId="0" applyFont="1" applyFill="1" applyBorder="1" applyAlignment="1">
      <alignment horizontal="center" vertical="center" wrapText="1"/>
    </xf>
    <xf numFmtId="14" fontId="10" fillId="7" borderId="3" xfId="0" applyNumberFormat="1" applyFont="1" applyFill="1" applyBorder="1" applyAlignment="1">
      <alignment horizontal="center" vertical="center"/>
    </xf>
    <xf numFmtId="14" fontId="8" fillId="7" borderId="2" xfId="0" applyNumberFormat="1" applyFont="1" applyFill="1" applyBorder="1" applyAlignment="1">
      <alignment horizontal="center" vertical="center"/>
    </xf>
    <xf numFmtId="0" fontId="3" fillId="7" borderId="3" xfId="0" applyFont="1" applyFill="1" applyBorder="1" applyAlignment="1">
      <alignment horizontal="center" vertical="center" wrapText="1"/>
    </xf>
    <xf numFmtId="0" fontId="10" fillId="7" borderId="3" xfId="0" applyFont="1" applyFill="1" applyBorder="1" applyAlignment="1" applyProtection="1">
      <alignment horizontal="center" vertical="center" wrapText="1"/>
      <protection locked="0"/>
    </xf>
    <xf numFmtId="0" fontId="12" fillId="7" borderId="0" xfId="0" applyFont="1" applyFill="1" applyAlignment="1">
      <alignment horizontal="center" vertical="center"/>
    </xf>
    <xf numFmtId="14" fontId="10" fillId="6" borderId="2" xfId="0" applyNumberFormat="1" applyFont="1" applyFill="1" applyBorder="1" applyAlignment="1" applyProtection="1">
      <alignment horizontal="center" vertical="center"/>
      <protection locked="0"/>
    </xf>
    <xf numFmtId="0" fontId="8" fillId="6" borderId="3" xfId="0" applyFont="1" applyFill="1" applyBorder="1" applyAlignment="1" applyProtection="1">
      <alignment horizontal="center"/>
      <protection locked="0"/>
    </xf>
    <xf numFmtId="14" fontId="8" fillId="6" borderId="0" xfId="0" applyNumberFormat="1" applyFont="1" applyFill="1" applyAlignment="1" applyProtection="1">
      <alignment horizontal="center"/>
      <protection locked="0"/>
    </xf>
    <xf numFmtId="0" fontId="10" fillId="11" borderId="3" xfId="0" applyFont="1" applyFill="1" applyBorder="1" applyAlignment="1" applyProtection="1">
      <alignment horizontal="center" vertical="center" wrapText="1"/>
      <protection locked="0"/>
    </xf>
    <xf numFmtId="14" fontId="10" fillId="11" borderId="3" xfId="0" applyNumberFormat="1" applyFont="1" applyFill="1" applyBorder="1" applyAlignment="1" applyProtection="1">
      <alignment horizontal="center" vertical="center" wrapText="1"/>
      <protection locked="0"/>
    </xf>
    <xf numFmtId="49" fontId="10" fillId="5" borderId="2" xfId="0" applyNumberFormat="1" applyFont="1" applyFill="1" applyBorder="1" applyAlignment="1" applyProtection="1">
      <alignment horizontal="center" vertical="center"/>
      <protection locked="0"/>
    </xf>
    <xf numFmtId="0" fontId="8" fillId="6" borderId="37" xfId="0" applyFont="1" applyFill="1" applyBorder="1" applyAlignment="1">
      <alignment horizontal="center" vertical="center" wrapText="1"/>
    </xf>
    <xf numFmtId="0" fontId="4" fillId="6" borderId="3" xfId="0" applyFont="1" applyFill="1" applyBorder="1" applyAlignment="1" applyProtection="1">
      <alignment horizontal="center" vertical="center" wrapText="1"/>
      <protection locked="0"/>
    </xf>
    <xf numFmtId="14" fontId="16" fillId="5" borderId="3" xfId="0" applyNumberFormat="1" applyFont="1" applyFill="1" applyBorder="1" applyAlignment="1" applyProtection="1">
      <alignment horizontal="center" vertical="center" wrapText="1"/>
      <protection locked="0"/>
    </xf>
    <xf numFmtId="14" fontId="4" fillId="4" borderId="3" xfId="0" applyNumberFormat="1" applyFont="1" applyFill="1" applyBorder="1" applyAlignment="1" applyProtection="1">
      <alignment horizontal="center" vertical="center" wrapText="1"/>
      <protection locked="0"/>
    </xf>
    <xf numFmtId="14" fontId="4" fillId="6" borderId="3" xfId="0" applyNumberFormat="1" applyFont="1" applyFill="1" applyBorder="1" applyAlignment="1" applyProtection="1">
      <alignment horizontal="center" vertical="center" wrapText="1"/>
      <protection locked="0"/>
    </xf>
    <xf numFmtId="0" fontId="4" fillId="5" borderId="3" xfId="0" applyFont="1" applyFill="1" applyBorder="1" applyAlignment="1" applyProtection="1">
      <alignment horizontal="center" vertical="center" wrapText="1"/>
      <protection locked="0"/>
    </xf>
    <xf numFmtId="14" fontId="4" fillId="5" borderId="3" xfId="0" applyNumberFormat="1" applyFont="1" applyFill="1" applyBorder="1" applyAlignment="1" applyProtection="1">
      <alignment horizontal="center" vertical="center" wrapText="1"/>
      <protection locked="0"/>
    </xf>
    <xf numFmtId="0" fontId="4" fillId="4" borderId="3" xfId="0" applyFont="1" applyFill="1" applyBorder="1" applyAlignment="1" applyProtection="1">
      <alignment horizontal="center" vertical="center" wrapText="1"/>
      <protection locked="0"/>
    </xf>
    <xf numFmtId="164" fontId="4" fillId="4" borderId="3" xfId="0" applyNumberFormat="1"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3" fillId="6" borderId="11" xfId="0" applyFont="1" applyFill="1" applyBorder="1" applyAlignment="1">
      <alignment horizontal="center" vertical="center" wrapText="1"/>
    </xf>
    <xf numFmtId="14" fontId="2" fillId="5" borderId="3" xfId="0" applyNumberFormat="1" applyFont="1" applyFill="1" applyBorder="1" applyAlignment="1">
      <alignment horizontal="center" vertical="center"/>
    </xf>
    <xf numFmtId="14" fontId="3" fillId="4" borderId="2" xfId="0" applyNumberFormat="1" applyFont="1" applyFill="1" applyBorder="1" applyAlignment="1">
      <alignment horizontal="center" vertical="center"/>
    </xf>
    <xf numFmtId="14" fontId="2" fillId="6" borderId="3" xfId="0" applyNumberFormat="1" applyFont="1" applyFill="1" applyBorder="1" applyAlignment="1" applyProtection="1">
      <alignment horizontal="center" vertical="center" wrapText="1"/>
      <protection locked="0"/>
    </xf>
    <xf numFmtId="0" fontId="2" fillId="5" borderId="2" xfId="0" applyFont="1" applyFill="1" applyBorder="1" applyAlignment="1" applyProtection="1">
      <alignment horizontal="center" vertical="center"/>
      <protection locked="0"/>
    </xf>
    <xf numFmtId="14" fontId="2" fillId="5" borderId="2" xfId="0" applyNumberFormat="1" applyFont="1" applyFill="1" applyBorder="1" applyAlignment="1" applyProtection="1">
      <alignment horizontal="center" vertical="center"/>
      <protection locked="0"/>
    </xf>
    <xf numFmtId="0" fontId="3" fillId="4" borderId="3" xfId="0" applyFont="1" applyFill="1" applyBorder="1" applyAlignment="1">
      <alignment horizontal="center" vertical="center" wrapText="1"/>
    </xf>
    <xf numFmtId="14" fontId="3" fillId="4" borderId="3" xfId="0" applyNumberFormat="1"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14" fontId="3" fillId="6" borderId="3" xfId="0" applyNumberFormat="1"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0" xfId="0" applyFont="1" applyFill="1" applyAlignment="1" applyProtection="1">
      <alignment horizontal="center"/>
      <protection locked="0"/>
    </xf>
    <xf numFmtId="0" fontId="2" fillId="6" borderId="3" xfId="0" applyFont="1" applyFill="1" applyBorder="1" applyAlignment="1">
      <alignment horizontal="center" vertical="center" wrapText="1"/>
    </xf>
    <xf numFmtId="0" fontId="3" fillId="8" borderId="0" xfId="0" applyFont="1" applyFill="1"/>
    <xf numFmtId="14" fontId="10" fillId="13" borderId="2" xfId="0" applyNumberFormat="1" applyFont="1" applyFill="1" applyBorder="1" applyAlignment="1" applyProtection="1">
      <alignment horizontal="center" vertical="center"/>
      <protection locked="0"/>
    </xf>
    <xf numFmtId="14" fontId="3" fillId="5" borderId="3" xfId="0" applyNumberFormat="1" applyFont="1" applyFill="1" applyBorder="1" applyAlignment="1">
      <alignment horizontal="center" vertical="center" wrapText="1"/>
    </xf>
    <xf numFmtId="0" fontId="8" fillId="8" borderId="0" xfId="0" applyFont="1" applyFill="1" applyAlignment="1" applyProtection="1">
      <alignment horizontal="center"/>
      <protection locked="0"/>
    </xf>
    <xf numFmtId="0" fontId="8" fillId="8" borderId="2" xfId="0" applyFont="1" applyFill="1" applyBorder="1" applyAlignment="1" applyProtection="1">
      <alignment horizontal="center"/>
      <protection locked="0"/>
    </xf>
    <xf numFmtId="0" fontId="8" fillId="8" borderId="1" xfId="0" applyFont="1" applyFill="1" applyBorder="1" applyAlignment="1" applyProtection="1">
      <alignment horizontal="center"/>
      <protection locked="0"/>
    </xf>
    <xf numFmtId="0" fontId="8" fillId="8" borderId="0" xfId="0" applyFont="1" applyFill="1" applyAlignment="1" applyProtection="1">
      <alignment horizontal="left"/>
      <protection locked="0"/>
    </xf>
    <xf numFmtId="14" fontId="10" fillId="6" borderId="3" xfId="0" applyNumberFormat="1" applyFont="1" applyFill="1" applyBorder="1" applyAlignment="1">
      <alignment horizontal="center" vertical="center"/>
    </xf>
    <xf numFmtId="14" fontId="8" fillId="6" borderId="2" xfId="0" applyNumberFormat="1" applyFont="1" applyFill="1" applyBorder="1" applyAlignment="1">
      <alignment horizontal="center" vertical="center"/>
    </xf>
    <xf numFmtId="0" fontId="10" fillId="7" borderId="2" xfId="0" applyFont="1" applyFill="1" applyBorder="1" applyAlignment="1" applyProtection="1">
      <alignment horizontal="center" vertical="center"/>
      <protection locked="0"/>
    </xf>
    <xf numFmtId="0" fontId="3" fillId="14" borderId="3" xfId="0" applyFont="1" applyFill="1" applyBorder="1" applyAlignment="1">
      <alignment horizontal="center" vertical="center" wrapText="1"/>
    </xf>
    <xf numFmtId="14" fontId="3" fillId="14" borderId="3" xfId="0" applyNumberFormat="1" applyFont="1" applyFill="1" applyBorder="1" applyAlignment="1">
      <alignment horizontal="center" vertical="center" wrapText="1"/>
    </xf>
    <xf numFmtId="0" fontId="3" fillId="6" borderId="3" xfId="0" quotePrefix="1" applyFont="1" applyFill="1" applyBorder="1" applyAlignment="1">
      <alignment horizontal="center" vertical="center" wrapText="1"/>
    </xf>
    <xf numFmtId="0" fontId="2" fillId="5" borderId="2" xfId="0" applyFont="1" applyFill="1" applyBorder="1" applyAlignment="1" applyProtection="1">
      <alignment horizontal="center" vertical="center" wrapText="1"/>
      <protection locked="0"/>
    </xf>
    <xf numFmtId="0" fontId="3" fillId="5" borderId="2" xfId="0" applyFont="1" applyFill="1" applyBorder="1" applyAlignment="1">
      <alignment horizontal="center" vertical="center" wrapText="1"/>
    </xf>
    <xf numFmtId="0" fontId="2" fillId="5" borderId="3" xfId="0" applyFont="1" applyFill="1" applyBorder="1" applyAlignment="1" applyProtection="1">
      <alignment horizontal="center" vertical="center"/>
      <protection locked="0"/>
    </xf>
    <xf numFmtId="0" fontId="2" fillId="5" borderId="3" xfId="0" applyFont="1" applyFill="1" applyBorder="1" applyAlignment="1" applyProtection="1">
      <alignment horizontal="center" vertical="center" wrapText="1"/>
      <protection locked="0"/>
    </xf>
    <xf numFmtId="14" fontId="2" fillId="5" borderId="3" xfId="0" applyNumberFormat="1" applyFont="1" applyFill="1" applyBorder="1" applyAlignment="1" applyProtection="1">
      <alignment horizontal="center" vertical="center"/>
      <protection locked="0"/>
    </xf>
    <xf numFmtId="14" fontId="3" fillId="5" borderId="2" xfId="0" applyNumberFormat="1" applyFont="1" applyFill="1" applyBorder="1" applyAlignment="1">
      <alignment horizontal="center" vertical="center" wrapText="1"/>
    </xf>
    <xf numFmtId="14" fontId="3" fillId="14" borderId="2" xfId="0" applyNumberFormat="1" applyFont="1" applyFill="1" applyBorder="1" applyAlignment="1">
      <alignment horizontal="center" vertical="center" wrapText="1"/>
    </xf>
    <xf numFmtId="14" fontId="2" fillId="5" borderId="3" xfId="0" applyNumberFormat="1" applyFont="1" applyFill="1" applyBorder="1" applyAlignment="1" applyProtection="1">
      <alignment horizontal="center" vertical="center" wrapText="1"/>
      <protection locked="0"/>
    </xf>
    <xf numFmtId="49" fontId="2" fillId="5" borderId="3" xfId="0" applyNumberFormat="1" applyFont="1" applyFill="1" applyBorder="1" applyAlignment="1" applyProtection="1">
      <alignment horizontal="center" vertical="center"/>
      <protection locked="0"/>
    </xf>
    <xf numFmtId="0" fontId="3" fillId="14" borderId="2" xfId="0" applyFont="1" applyFill="1" applyBorder="1" applyAlignment="1">
      <alignment horizontal="center" vertical="center" wrapText="1"/>
    </xf>
    <xf numFmtId="0" fontId="3" fillId="4" borderId="2" xfId="0" applyFont="1" applyFill="1" applyBorder="1" applyAlignment="1">
      <alignment horizontal="center" vertical="center" wrapText="1"/>
    </xf>
    <xf numFmtId="14" fontId="3" fillId="4" borderId="2" xfId="0" applyNumberFormat="1" applyFont="1" applyFill="1" applyBorder="1" applyAlignment="1">
      <alignment horizontal="center" vertical="center" wrapText="1"/>
    </xf>
    <xf numFmtId="164" fontId="3" fillId="4" borderId="3" xfId="0" applyNumberFormat="1" applyFont="1" applyFill="1" applyBorder="1" applyAlignment="1">
      <alignment horizontal="center" vertical="center" wrapText="1"/>
    </xf>
    <xf numFmtId="14" fontId="3" fillId="5" borderId="7" xfId="0" applyNumberFormat="1" applyFont="1" applyFill="1" applyBorder="1" applyAlignment="1">
      <alignment horizontal="center" vertical="center" wrapText="1"/>
    </xf>
    <xf numFmtId="0" fontId="2" fillId="6" borderId="3" xfId="0" quotePrefix="1" applyFont="1" applyFill="1" applyBorder="1" applyAlignment="1" applyProtection="1">
      <alignment horizontal="center" vertical="center" wrapText="1"/>
      <protection locked="0"/>
    </xf>
    <xf numFmtId="0" fontId="0" fillId="0" borderId="3" xfId="0" applyBorder="1" applyAlignment="1">
      <alignment horizontal="center" vertical="center" wrapText="1"/>
    </xf>
    <xf numFmtId="0" fontId="20" fillId="0" borderId="3" xfId="0" applyFont="1" applyBorder="1" applyAlignment="1">
      <alignment horizontal="center" vertical="center" wrapText="1"/>
    </xf>
    <xf numFmtId="0" fontId="0" fillId="0" borderId="3" xfId="0" applyBorder="1"/>
    <xf numFmtId="0" fontId="0" fillId="0" borderId="0" xfId="0" applyAlignment="1">
      <alignment horizontal="center" vertical="center" wrapText="1"/>
    </xf>
    <xf numFmtId="0" fontId="0" fillId="0" borderId="18" xfId="0" applyBorder="1"/>
    <xf numFmtId="14" fontId="20" fillId="0" borderId="3" xfId="0" applyNumberFormat="1" applyFont="1" applyBorder="1" applyAlignment="1">
      <alignment horizontal="center" vertical="center" wrapText="1"/>
    </xf>
    <xf numFmtId="0" fontId="20" fillId="0" borderId="0" xfId="0" applyFont="1"/>
    <xf numFmtId="0" fontId="20" fillId="0" borderId="0" xfId="0" applyFont="1" applyAlignment="1">
      <alignment horizontal="center" vertical="center" wrapText="1"/>
    </xf>
    <xf numFmtId="0" fontId="20" fillId="7" borderId="3" xfId="0" applyFont="1" applyFill="1" applyBorder="1" applyAlignment="1">
      <alignment horizontal="center" vertical="center" wrapText="1"/>
    </xf>
    <xf numFmtId="0" fontId="20" fillId="7" borderId="0" xfId="0" applyFont="1" applyFill="1"/>
    <xf numFmtId="0" fontId="0" fillId="0" borderId="3" xfId="0" applyBorder="1" applyAlignment="1">
      <alignment horizontal="center" vertical="center"/>
    </xf>
    <xf numFmtId="0" fontId="3" fillId="6" borderId="43" xfId="0" applyFont="1" applyFill="1" applyBorder="1" applyAlignment="1">
      <alignment horizontal="center" vertical="center" wrapText="1"/>
    </xf>
    <xf numFmtId="14" fontId="3" fillId="6" borderId="42" xfId="0" applyNumberFormat="1" applyFont="1" applyFill="1" applyBorder="1" applyAlignment="1">
      <alignment horizontal="center" vertical="center" wrapText="1"/>
    </xf>
    <xf numFmtId="0" fontId="3" fillId="6" borderId="42" xfId="0" applyFont="1" applyFill="1" applyBorder="1" applyAlignment="1">
      <alignment horizontal="center" vertical="center" wrapText="1"/>
    </xf>
    <xf numFmtId="49" fontId="3" fillId="6" borderId="3" xfId="0" applyNumberFormat="1" applyFont="1" applyFill="1" applyBorder="1" applyAlignment="1">
      <alignment horizontal="center" vertical="center" wrapText="1"/>
    </xf>
    <xf numFmtId="0" fontId="3" fillId="5" borderId="43" xfId="0" applyFont="1" applyFill="1" applyBorder="1" applyAlignment="1">
      <alignment horizontal="center" vertical="center" wrapText="1"/>
    </xf>
    <xf numFmtId="14" fontId="3" fillId="15" borderId="3" xfId="0" applyNumberFormat="1" applyFont="1" applyFill="1" applyBorder="1" applyAlignment="1">
      <alignment horizontal="center" vertical="center" wrapText="1"/>
    </xf>
    <xf numFmtId="0" fontId="3" fillId="15" borderId="3" xfId="0" applyFont="1" applyFill="1" applyBorder="1" applyAlignment="1">
      <alignment horizontal="center" vertical="center" wrapText="1"/>
    </xf>
    <xf numFmtId="14" fontId="3" fillId="5" borderId="4" xfId="0" applyNumberFormat="1" applyFont="1" applyFill="1" applyBorder="1" applyAlignment="1">
      <alignment horizontal="center" vertical="center" wrapText="1"/>
    </xf>
    <xf numFmtId="0" fontId="3" fillId="5" borderId="4" xfId="0" applyFont="1" applyFill="1" applyBorder="1" applyAlignment="1">
      <alignment horizontal="center" vertical="center" wrapText="1"/>
    </xf>
    <xf numFmtId="17" fontId="3" fillId="6" borderId="3" xfId="0" quotePrefix="1" applyNumberFormat="1" applyFont="1" applyFill="1" applyBorder="1" applyAlignment="1">
      <alignment horizontal="center" vertical="center" wrapText="1"/>
    </xf>
    <xf numFmtId="0" fontId="3" fillId="6" borderId="44" xfId="0" applyFont="1" applyFill="1" applyBorder="1" applyAlignment="1">
      <alignment horizontal="center" vertical="center" wrapText="1"/>
    </xf>
    <xf numFmtId="0" fontId="3" fillId="6" borderId="18" xfId="0" applyFont="1" applyFill="1" applyBorder="1" applyAlignment="1">
      <alignment horizontal="center" vertical="center" wrapText="1"/>
    </xf>
    <xf numFmtId="0" fontId="3" fillId="5" borderId="18" xfId="0" applyFont="1" applyFill="1" applyBorder="1" applyAlignment="1">
      <alignment horizontal="center" vertical="center" wrapText="1"/>
    </xf>
    <xf numFmtId="0" fontId="3" fillId="6" borderId="7" xfId="0" applyFont="1" applyFill="1" applyBorder="1" applyAlignment="1">
      <alignment horizontal="center" vertical="center" wrapText="1"/>
    </xf>
    <xf numFmtId="0" fontId="3" fillId="5" borderId="7" xfId="0" applyFont="1" applyFill="1" applyBorder="1" applyAlignment="1">
      <alignment horizontal="center" vertical="center" wrapText="1"/>
    </xf>
    <xf numFmtId="0" fontId="3" fillId="5" borderId="45" xfId="0" applyFont="1" applyFill="1" applyBorder="1" applyAlignment="1">
      <alignment horizontal="center" vertical="center" wrapText="1"/>
    </xf>
    <xf numFmtId="0" fontId="3" fillId="14" borderId="45" xfId="0" applyFont="1" applyFill="1" applyBorder="1" applyAlignment="1">
      <alignment horizontal="center" vertical="center" wrapText="1"/>
    </xf>
    <xf numFmtId="14" fontId="3" fillId="14" borderId="7" xfId="0" applyNumberFormat="1" applyFont="1" applyFill="1" applyBorder="1" applyAlignment="1">
      <alignment horizontal="center" vertical="center" wrapText="1"/>
    </xf>
    <xf numFmtId="0" fontId="0" fillId="8" borderId="3" xfId="0" applyFill="1" applyBorder="1" applyAlignment="1">
      <alignment horizontal="center" vertical="center" wrapText="1"/>
    </xf>
    <xf numFmtId="3" fontId="3" fillId="6" borderId="3" xfId="0" applyNumberFormat="1" applyFont="1" applyFill="1" applyBorder="1" applyAlignment="1">
      <alignment horizontal="center" vertical="center" wrapText="1"/>
    </xf>
    <xf numFmtId="167" fontId="3" fillId="6" borderId="3" xfId="0" applyNumberFormat="1" applyFont="1" applyFill="1" applyBorder="1" applyAlignment="1">
      <alignment horizontal="center" vertical="center" wrapText="1"/>
    </xf>
    <xf numFmtId="0" fontId="3" fillId="0" borderId="12" xfId="0" applyFont="1" applyBorder="1" applyAlignment="1">
      <alignment horizontal="center" vertical="center" wrapText="1"/>
    </xf>
    <xf numFmtId="0" fontId="3" fillId="0" borderId="12" xfId="0" applyFont="1" applyBorder="1" applyAlignment="1">
      <alignment vertical="center" wrapText="1"/>
    </xf>
    <xf numFmtId="0" fontId="3" fillId="0" borderId="0" xfId="0" applyFont="1" applyAlignment="1">
      <alignment vertical="center" wrapText="1"/>
    </xf>
    <xf numFmtId="0" fontId="14" fillId="0" borderId="3" xfId="0" applyFont="1" applyBorder="1" applyAlignment="1">
      <alignment horizontal="center" vertical="center" wrapText="1"/>
    </xf>
    <xf numFmtId="0" fontId="14" fillId="0" borderId="4" xfId="0" applyFont="1" applyBorder="1" applyAlignment="1">
      <alignment horizontal="center" vertical="center" wrapText="1"/>
    </xf>
    <xf numFmtId="0" fontId="3" fillId="3" borderId="7" xfId="0" applyFont="1" applyFill="1" applyBorder="1" applyAlignment="1" applyProtection="1">
      <alignment horizontal="center" vertical="center" wrapText="1"/>
      <protection locked="0"/>
    </xf>
    <xf numFmtId="0" fontId="0" fillId="0" borderId="0" xfId="0" applyAlignment="1">
      <alignment horizontal="left" vertical="center" wrapText="1"/>
    </xf>
    <xf numFmtId="0" fontId="3" fillId="7" borderId="43" xfId="0" applyFont="1" applyFill="1" applyBorder="1" applyAlignment="1">
      <alignment horizontal="center" vertical="center" wrapText="1"/>
    </xf>
    <xf numFmtId="49" fontId="3" fillId="7" borderId="3" xfId="0" applyNumberFormat="1" applyFont="1" applyFill="1" applyBorder="1" applyAlignment="1">
      <alignment horizontal="center" vertical="center" wrapText="1"/>
    </xf>
    <xf numFmtId="49" fontId="3" fillId="2" borderId="3" xfId="0" applyNumberFormat="1" applyFont="1" applyFill="1" applyBorder="1" applyAlignment="1">
      <alignment horizontal="center" vertical="center" wrapText="1"/>
    </xf>
    <xf numFmtId="14" fontId="3" fillId="5" borderId="18" xfId="0" applyNumberFormat="1" applyFont="1" applyFill="1" applyBorder="1" applyAlignment="1">
      <alignment horizontal="center" vertical="center" wrapText="1"/>
    </xf>
    <xf numFmtId="1" fontId="3" fillId="5" borderId="4" xfId="0" applyNumberFormat="1" applyFont="1" applyFill="1" applyBorder="1" applyAlignment="1">
      <alignment horizontal="center" vertical="center" wrapText="1"/>
    </xf>
    <xf numFmtId="0" fontId="4" fillId="0" borderId="38"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29"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0" fontId="4" fillId="0" borderId="24" xfId="0" applyFont="1" applyBorder="1" applyAlignment="1" applyProtection="1">
      <alignment horizontal="center" vertical="center" wrapText="1"/>
      <protection locked="0"/>
    </xf>
    <xf numFmtId="0" fontId="3" fillId="5" borderId="3" xfId="0" quotePrefix="1" applyFont="1" applyFill="1" applyBorder="1" applyAlignment="1">
      <alignment horizontal="center" vertical="center" wrapText="1"/>
    </xf>
    <xf numFmtId="14" fontId="3" fillId="5" borderId="43" xfId="0" applyNumberFormat="1" applyFont="1" applyFill="1" applyBorder="1" applyAlignment="1">
      <alignment horizontal="center" vertical="center" wrapText="1"/>
    </xf>
    <xf numFmtId="0" fontId="3" fillId="16" borderId="3" xfId="0" applyFont="1" applyFill="1" applyBorder="1" applyAlignment="1">
      <alignment horizontal="center" vertical="center" wrapText="1"/>
    </xf>
    <xf numFmtId="49" fontId="2" fillId="6" borderId="3" xfId="0" applyNumberFormat="1" applyFont="1" applyFill="1" applyBorder="1" applyAlignment="1">
      <alignment horizontal="center" vertical="center" wrapText="1"/>
    </xf>
    <xf numFmtId="14" fontId="3" fillId="6" borderId="4" xfId="0" applyNumberFormat="1" applyFont="1" applyFill="1" applyBorder="1" applyAlignment="1">
      <alignment horizontal="center" vertical="center" wrapText="1"/>
    </xf>
    <xf numFmtId="14" fontId="3" fillId="5" borderId="46" xfId="0" applyNumberFormat="1" applyFont="1" applyFill="1" applyBorder="1" applyAlignment="1">
      <alignment horizontal="center" vertical="center" wrapText="1"/>
    </xf>
    <xf numFmtId="0" fontId="3" fillId="6" borderId="4" xfId="0" applyFont="1" applyFill="1" applyBorder="1" applyAlignment="1">
      <alignment horizontal="center" vertical="center" wrapText="1"/>
    </xf>
    <xf numFmtId="14" fontId="4" fillId="0" borderId="38" xfId="0" applyNumberFormat="1" applyFont="1" applyBorder="1" applyAlignment="1" applyProtection="1">
      <alignment horizontal="center" vertical="center" wrapText="1"/>
      <protection locked="0"/>
    </xf>
    <xf numFmtId="14" fontId="4" fillId="0" borderId="0" xfId="0" applyNumberFormat="1" applyFont="1" applyAlignment="1" applyProtection="1">
      <alignment horizontal="center" vertical="center" wrapText="1"/>
      <protection locked="0"/>
    </xf>
    <xf numFmtId="14" fontId="4" fillId="0" borderId="41" xfId="0" applyNumberFormat="1" applyFont="1" applyBorder="1" applyAlignment="1" applyProtection="1">
      <alignment horizontal="center" vertical="center" wrapText="1"/>
      <protection locked="0"/>
    </xf>
    <xf numFmtId="14" fontId="3" fillId="0" borderId="0" xfId="0" applyNumberFormat="1" applyFont="1" applyAlignment="1">
      <alignment horizontal="center" vertical="center" wrapText="1"/>
    </xf>
    <xf numFmtId="16" fontId="3" fillId="5" borderId="3" xfId="0" applyNumberFormat="1" applyFont="1" applyFill="1" applyBorder="1" applyAlignment="1">
      <alignment horizontal="center" vertical="center" wrapText="1"/>
    </xf>
    <xf numFmtId="0" fontId="24" fillId="0" borderId="3"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3" fontId="24" fillId="0" borderId="3" xfId="0" applyNumberFormat="1" applyFont="1" applyBorder="1" applyAlignment="1" applyProtection="1">
      <alignment horizontal="center" vertical="center" wrapText="1"/>
      <protection locked="0"/>
    </xf>
    <xf numFmtId="0" fontId="24" fillId="8" borderId="3" xfId="0" applyFont="1" applyFill="1" applyBorder="1" applyAlignment="1" applyProtection="1">
      <alignment horizontal="center" vertical="center" wrapText="1"/>
      <protection locked="0"/>
    </xf>
    <xf numFmtId="0" fontId="24" fillId="0" borderId="3" xfId="0" applyFont="1" applyBorder="1" applyAlignment="1">
      <alignment wrapText="1"/>
    </xf>
    <xf numFmtId="3" fontId="0" fillId="0" borderId="3" xfId="0" applyNumberFormat="1" applyBorder="1" applyAlignment="1">
      <alignment vertical="center"/>
    </xf>
    <xf numFmtId="0" fontId="20" fillId="0" borderId="3" xfId="0" applyFont="1"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3" fontId="0" fillId="0" borderId="3" xfId="0" applyNumberFormat="1" applyBorder="1" applyAlignment="1" applyProtection="1">
      <alignment horizontal="center" vertical="center" wrapText="1"/>
      <protection locked="0"/>
    </xf>
    <xf numFmtId="0" fontId="0" fillId="8" borderId="3" xfId="0" applyFill="1" applyBorder="1" applyAlignment="1" applyProtection="1">
      <alignment horizontal="center" vertical="center" wrapText="1"/>
      <protection locked="0"/>
    </xf>
    <xf numFmtId="0" fontId="20" fillId="0" borderId="3" xfId="0" applyFont="1" applyBorder="1" applyAlignment="1" applyProtection="1">
      <alignment horizontal="center" vertical="center"/>
      <protection locked="0"/>
    </xf>
    <xf numFmtId="0" fontId="0" fillId="11" borderId="3" xfId="0" applyFill="1" applyBorder="1" applyAlignment="1">
      <alignment vertical="center"/>
    </xf>
    <xf numFmtId="0" fontId="4" fillId="6" borderId="3" xfId="0" applyFont="1" applyFill="1" applyBorder="1" applyAlignment="1">
      <alignment horizontal="center" vertical="center" wrapText="1"/>
    </xf>
    <xf numFmtId="0" fontId="4" fillId="10" borderId="47" xfId="0" applyFont="1" applyFill="1" applyBorder="1" applyAlignment="1" applyProtection="1">
      <alignment horizontal="center" vertical="center" wrapText="1"/>
      <protection locked="0"/>
    </xf>
    <xf numFmtId="0" fontId="4" fillId="10" borderId="46" xfId="0" applyFont="1" applyFill="1" applyBorder="1" applyAlignment="1" applyProtection="1">
      <alignment horizontal="center" vertical="center" wrapText="1"/>
      <protection locked="0"/>
    </xf>
    <xf numFmtId="14" fontId="4" fillId="10" borderId="46" xfId="0" applyNumberFormat="1" applyFont="1" applyFill="1" applyBorder="1" applyAlignment="1" applyProtection="1">
      <alignment horizontal="center" vertical="center" wrapText="1"/>
      <protection locked="0"/>
    </xf>
    <xf numFmtId="14" fontId="4" fillId="10" borderId="48" xfId="0" applyNumberFormat="1" applyFont="1" applyFill="1" applyBorder="1" applyAlignment="1" applyProtection="1">
      <alignment horizontal="center" vertical="center" wrapText="1"/>
      <protection locked="0"/>
    </xf>
    <xf numFmtId="0" fontId="4" fillId="9" borderId="47" xfId="0" applyFont="1" applyFill="1" applyBorder="1" applyAlignment="1" applyProtection="1">
      <alignment horizontal="center" vertical="center" wrapText="1"/>
      <protection locked="0"/>
    </xf>
    <xf numFmtId="0" fontId="4" fillId="9" borderId="46" xfId="0" applyFont="1" applyFill="1" applyBorder="1" applyAlignment="1" applyProtection="1">
      <alignment horizontal="center" vertical="center" wrapText="1"/>
      <protection locked="0"/>
    </xf>
    <xf numFmtId="14" fontId="4" fillId="9" borderId="48" xfId="0" applyNumberFormat="1" applyFont="1" applyFill="1" applyBorder="1" applyAlignment="1" applyProtection="1">
      <alignment horizontal="center" vertical="center" wrapText="1"/>
      <protection locked="0"/>
    </xf>
    <xf numFmtId="0" fontId="4" fillId="4" borderId="47" xfId="0" applyFont="1" applyFill="1" applyBorder="1" applyAlignment="1" applyProtection="1">
      <alignment horizontal="center" vertical="center" wrapText="1"/>
      <protection locked="0"/>
    </xf>
    <xf numFmtId="14" fontId="4" fillId="4" borderId="46" xfId="0" applyNumberFormat="1" applyFont="1" applyFill="1" applyBorder="1" applyAlignment="1" applyProtection="1">
      <alignment horizontal="center" vertical="center" wrapText="1"/>
      <protection locked="0"/>
    </xf>
    <xf numFmtId="0" fontId="4" fillId="10" borderId="36" xfId="0" applyFont="1" applyFill="1" applyBorder="1" applyAlignment="1" applyProtection="1">
      <alignment horizontal="center" vertical="center" wrapText="1"/>
      <protection locked="0"/>
    </xf>
    <xf numFmtId="0" fontId="4" fillId="10" borderId="0" xfId="0" applyFont="1" applyFill="1" applyAlignment="1" applyProtection="1">
      <alignment horizontal="center" vertical="center" wrapText="1"/>
      <protection locked="0"/>
    </xf>
    <xf numFmtId="0" fontId="4" fillId="10" borderId="33" xfId="0" applyFont="1" applyFill="1" applyBorder="1" applyAlignment="1" applyProtection="1">
      <alignment horizontal="center" vertical="center" wrapText="1"/>
      <protection locked="0"/>
    </xf>
    <xf numFmtId="0" fontId="4" fillId="9" borderId="36" xfId="0" applyFont="1" applyFill="1" applyBorder="1" applyAlignment="1" applyProtection="1">
      <alignment horizontal="center" vertical="center" wrapText="1"/>
      <protection locked="0"/>
    </xf>
    <xf numFmtId="0" fontId="4" fillId="9" borderId="0" xfId="0" applyFont="1" applyFill="1" applyAlignment="1" applyProtection="1">
      <alignment horizontal="center" vertical="center" wrapText="1"/>
      <protection locked="0"/>
    </xf>
    <xf numFmtId="0" fontId="4" fillId="9" borderId="33" xfId="0" applyFont="1" applyFill="1" applyBorder="1" applyAlignment="1" applyProtection="1">
      <alignment horizontal="center" vertical="center" wrapText="1"/>
      <protection locked="0"/>
    </xf>
    <xf numFmtId="0" fontId="4" fillId="4" borderId="36" xfId="0" applyFont="1" applyFill="1" applyBorder="1" applyAlignment="1" applyProtection="1">
      <alignment horizontal="center" vertical="center" wrapText="1"/>
      <protection locked="0"/>
    </xf>
    <xf numFmtId="0" fontId="4" fillId="4" borderId="0" xfId="0" applyFont="1" applyFill="1" applyAlignment="1" applyProtection="1">
      <alignment horizontal="center" vertical="center" wrapText="1"/>
      <protection locked="0"/>
    </xf>
    <xf numFmtId="0" fontId="4" fillId="0" borderId="39" xfId="0" applyFont="1" applyBorder="1" applyAlignment="1" applyProtection="1">
      <alignment horizontal="center" vertical="center" wrapText="1"/>
      <protection locked="0"/>
    </xf>
    <xf numFmtId="0" fontId="4" fillId="0" borderId="38"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12" xfId="0" applyFont="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29"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0" fontId="4" fillId="0" borderId="24" xfId="0" applyFont="1" applyBorder="1" applyAlignment="1" applyProtection="1">
      <alignment horizontal="center" vertical="center" wrapText="1"/>
      <protection locked="0"/>
    </xf>
    <xf numFmtId="0" fontId="19" fillId="12" borderId="0" xfId="0" applyFont="1" applyFill="1" applyAlignment="1">
      <alignment horizontal="center" vertical="center" wrapText="1"/>
    </xf>
    <xf numFmtId="0" fontId="19" fillId="12" borderId="33" xfId="0" applyFont="1" applyFill="1" applyBorder="1" applyAlignment="1">
      <alignment horizontal="center" vertical="center" wrapText="1"/>
    </xf>
    <xf numFmtId="0" fontId="8" fillId="2" borderId="34" xfId="0" applyFont="1" applyFill="1" applyBorder="1" applyAlignment="1">
      <alignment horizontal="center" vertical="center" wrapText="1"/>
    </xf>
    <xf numFmtId="0" fontId="8" fillId="2" borderId="0" xfId="0" applyFont="1" applyFill="1" applyAlignment="1">
      <alignment horizontal="center" vertical="center" wrapText="1"/>
    </xf>
    <xf numFmtId="0" fontId="8" fillId="2" borderId="35" xfId="0" applyFont="1" applyFill="1" applyBorder="1" applyAlignment="1">
      <alignment horizontal="center" vertical="center" wrapText="1"/>
    </xf>
    <xf numFmtId="0" fontId="1" fillId="0" borderId="0" xfId="0" applyFont="1" applyAlignment="1" applyProtection="1">
      <alignment horizontal="center" vertical="center" wrapText="1"/>
      <protection locked="0"/>
    </xf>
    <xf numFmtId="0" fontId="1" fillId="0" borderId="29" xfId="0" applyFont="1" applyBorder="1" applyAlignment="1" applyProtection="1">
      <alignment horizontal="center" vertical="center" wrapText="1"/>
      <protection locked="0"/>
    </xf>
    <xf numFmtId="0" fontId="4" fillId="10" borderId="30" xfId="0" applyFont="1" applyFill="1" applyBorder="1" applyAlignment="1" applyProtection="1">
      <alignment horizontal="center"/>
      <protection locked="0"/>
    </xf>
    <xf numFmtId="0" fontId="4" fillId="10" borderId="31" xfId="0" applyFont="1" applyFill="1" applyBorder="1" applyAlignment="1" applyProtection="1">
      <alignment horizontal="center"/>
      <protection locked="0"/>
    </xf>
    <xf numFmtId="0" fontId="4" fillId="10" borderId="32" xfId="0" applyFont="1" applyFill="1" applyBorder="1" applyAlignment="1" applyProtection="1">
      <alignment horizontal="center"/>
      <protection locked="0"/>
    </xf>
    <xf numFmtId="0" fontId="4" fillId="9" borderId="26" xfId="0" applyFont="1" applyFill="1" applyBorder="1" applyAlignment="1" applyProtection="1">
      <alignment horizontal="center"/>
      <protection locked="0"/>
    </xf>
    <xf numFmtId="0" fontId="4" fillId="9" borderId="27" xfId="0" applyFont="1" applyFill="1" applyBorder="1" applyAlignment="1" applyProtection="1">
      <alignment horizontal="center"/>
      <protection locked="0"/>
    </xf>
    <xf numFmtId="0" fontId="4" fillId="9" borderId="28" xfId="0" applyFont="1" applyFill="1" applyBorder="1" applyAlignment="1" applyProtection="1">
      <alignment horizontal="center"/>
      <protection locked="0"/>
    </xf>
    <xf numFmtId="0" fontId="4" fillId="4" borderId="26" xfId="0" applyFont="1" applyFill="1" applyBorder="1" applyAlignment="1" applyProtection="1">
      <alignment horizontal="center"/>
      <protection locked="0"/>
    </xf>
    <xf numFmtId="0" fontId="4" fillId="4" borderId="27" xfId="0" applyFont="1" applyFill="1" applyBorder="1" applyAlignment="1" applyProtection="1">
      <alignment horizontal="center"/>
      <protection locked="0"/>
    </xf>
    <xf numFmtId="0" fontId="4" fillId="4" borderId="28" xfId="0" applyFont="1" applyFill="1" applyBorder="1" applyAlignment="1" applyProtection="1">
      <alignment horizontal="center"/>
      <protection locked="0"/>
    </xf>
    <xf numFmtId="0" fontId="13" fillId="12" borderId="0" xfId="0" applyFont="1" applyFill="1" applyAlignment="1">
      <alignment horizontal="center" vertical="center"/>
    </xf>
    <xf numFmtId="0" fontId="13" fillId="12" borderId="33" xfId="0" applyFont="1" applyFill="1" applyBorder="1" applyAlignment="1">
      <alignment horizontal="center" vertical="center"/>
    </xf>
    <xf numFmtId="0" fontId="8" fillId="7" borderId="34" xfId="0" applyFont="1" applyFill="1" applyBorder="1" applyAlignment="1">
      <alignment horizontal="center" vertical="center" wrapText="1"/>
    </xf>
    <xf numFmtId="0" fontId="8" fillId="7" borderId="0" xfId="0" applyFont="1" applyFill="1" applyAlignment="1">
      <alignment horizontal="center" vertical="center" wrapText="1"/>
    </xf>
    <xf numFmtId="0" fontId="8" fillId="7" borderId="35" xfId="0" applyFont="1" applyFill="1" applyBorder="1" applyAlignment="1">
      <alignment horizontal="center" vertical="center" wrapText="1"/>
    </xf>
    <xf numFmtId="0" fontId="7" fillId="10" borderId="30" xfId="0" applyFont="1" applyFill="1" applyBorder="1" applyAlignment="1" applyProtection="1">
      <alignment horizontal="center" vertical="center"/>
      <protection locked="0"/>
    </xf>
    <xf numFmtId="0" fontId="7" fillId="10" borderId="31" xfId="0" applyFont="1" applyFill="1" applyBorder="1" applyAlignment="1" applyProtection="1">
      <alignment horizontal="center" vertical="center"/>
      <protection locked="0"/>
    </xf>
    <xf numFmtId="0" fontId="7" fillId="10" borderId="32" xfId="0" applyFont="1" applyFill="1" applyBorder="1" applyAlignment="1" applyProtection="1">
      <alignment horizontal="center" vertical="center"/>
      <protection locked="0"/>
    </xf>
    <xf numFmtId="0" fontId="7" fillId="9" borderId="26"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0" fontId="7" fillId="9" borderId="28" xfId="0" applyFont="1" applyFill="1" applyBorder="1" applyAlignment="1" applyProtection="1">
      <alignment horizontal="center" vertical="center"/>
      <protection locked="0"/>
    </xf>
    <xf numFmtId="0" fontId="7" fillId="4" borderId="26" xfId="0" applyFont="1" applyFill="1" applyBorder="1" applyAlignment="1" applyProtection="1">
      <alignment horizontal="center" vertical="center"/>
      <protection locked="0"/>
    </xf>
    <xf numFmtId="0" fontId="7" fillId="4" borderId="27" xfId="0" applyFont="1" applyFill="1" applyBorder="1" applyAlignment="1" applyProtection="1">
      <alignment horizontal="center" vertical="center"/>
      <protection locked="0"/>
    </xf>
    <xf numFmtId="0" fontId="7" fillId="4" borderId="28" xfId="0" applyFont="1" applyFill="1" applyBorder="1" applyAlignment="1" applyProtection="1">
      <alignment horizontal="center" vertical="center"/>
      <protection locked="0"/>
    </xf>
    <xf numFmtId="0" fontId="7" fillId="0" borderId="0" xfId="0" applyFont="1" applyAlignment="1" applyProtection="1">
      <alignment horizontal="center" vertical="center" wrapText="1"/>
      <protection locked="0"/>
    </xf>
    <xf numFmtId="0" fontId="8" fillId="0" borderId="0" xfId="0" applyFont="1" applyAlignment="1">
      <alignment horizontal="center" vertical="center" wrapText="1"/>
    </xf>
    <xf numFmtId="0" fontId="1" fillId="0" borderId="12" xfId="0" applyFont="1" applyBorder="1" applyAlignment="1" applyProtection="1">
      <alignment horizontal="center" vertical="center" wrapText="1"/>
      <protection locked="0"/>
    </xf>
    <xf numFmtId="0" fontId="4" fillId="10" borderId="19" xfId="0" applyFont="1" applyFill="1" applyBorder="1" applyAlignment="1" applyProtection="1">
      <alignment horizontal="center"/>
      <protection locked="0"/>
    </xf>
    <xf numFmtId="0" fontId="4" fillId="10" borderId="19" xfId="0" applyFont="1" applyFill="1" applyBorder="1" applyAlignment="1" applyProtection="1">
      <alignment horizontal="center" vertical="center"/>
      <protection locked="0"/>
    </xf>
    <xf numFmtId="14" fontId="4" fillId="10" borderId="19" xfId="0" applyNumberFormat="1" applyFont="1" applyFill="1" applyBorder="1" applyAlignment="1" applyProtection="1">
      <alignment horizontal="center"/>
      <protection locked="0"/>
    </xf>
    <xf numFmtId="0" fontId="4" fillId="9" borderId="16" xfId="0" applyFont="1" applyFill="1" applyBorder="1" applyAlignment="1" applyProtection="1">
      <alignment horizontal="center"/>
      <protection locked="0"/>
    </xf>
    <xf numFmtId="14" fontId="4" fillId="9" borderId="16" xfId="0" applyNumberFormat="1" applyFont="1" applyFill="1" applyBorder="1" applyAlignment="1" applyProtection="1">
      <alignment horizontal="center"/>
      <protection locked="0"/>
    </xf>
    <xf numFmtId="0" fontId="4" fillId="4" borderId="16" xfId="0" applyFont="1" applyFill="1" applyBorder="1" applyAlignment="1" applyProtection="1">
      <alignment horizontal="center"/>
      <protection locked="0"/>
    </xf>
    <xf numFmtId="0" fontId="4" fillId="0" borderId="3" xfId="0" applyFont="1" applyBorder="1" applyAlignment="1" applyProtection="1">
      <alignment horizontal="center" vertical="center" wrapText="1"/>
      <protection locked="0"/>
    </xf>
    <xf numFmtId="0" fontId="4" fillId="4" borderId="33" xfId="0" applyFont="1" applyFill="1" applyBorder="1" applyAlignment="1" applyProtection="1">
      <alignment horizontal="center" vertical="center" wrapText="1"/>
      <protection locked="0"/>
    </xf>
    <xf numFmtId="0" fontId="1" fillId="0" borderId="3" xfId="0" applyFont="1" applyBorder="1" applyAlignment="1">
      <alignment horizontal="center" vertical="center" wrapText="1"/>
    </xf>
    <xf numFmtId="0" fontId="14" fillId="0" borderId="3" xfId="0" applyFont="1" applyBorder="1" applyAlignment="1">
      <alignment horizontal="center" vertical="center" wrapText="1"/>
    </xf>
  </cellXfs>
  <cellStyles count="38">
    <cellStyle name="Hiperlink 2" xfId="2" xr:uid="{9610EF83-83DB-40E2-91A1-9538F1EE868C}"/>
    <cellStyle name="Moeda 2" xfId="4" xr:uid="{71CEC369-5244-4193-890F-A8C21FF639B2}"/>
    <cellStyle name="Moeda 3" xfId="5" xr:uid="{46666E73-A726-45CD-ABCE-6A40ECA9A7CE}"/>
    <cellStyle name="Moeda 3 2" xfId="25" xr:uid="{23CB24AF-61B7-4313-9E19-9BADE2C8A87F}"/>
    <cellStyle name="Moeda 3 3" xfId="16" xr:uid="{68BC7F55-DEFE-4519-8303-864AFD758DF4}"/>
    <cellStyle name="Moeda 4" xfId="3" xr:uid="{4E79E290-5BF8-46CC-B2C1-64F8A00082B6}"/>
    <cellStyle name="Moeda 4 2" xfId="24" xr:uid="{725B58CC-1A45-43C6-94F8-373851411139}"/>
    <cellStyle name="Moeda 4 3" xfId="15" xr:uid="{0A0297EC-E101-44F2-AA95-9B586794F863}"/>
    <cellStyle name="Moeda 5" xfId="33" xr:uid="{5B952494-357C-4586-BDD3-99F2ED3BF163}"/>
    <cellStyle name="Normal" xfId="0" builtinId="0"/>
    <cellStyle name="Normal 2" xfId="6" xr:uid="{CE5B7525-B4FF-458A-9AC7-8FEE4E1D99AA}"/>
    <cellStyle name="Normal 3" xfId="7" xr:uid="{CFB55FDE-C2A4-413B-AB18-1C671F4EB523}"/>
    <cellStyle name="Normal 4" xfId="1" xr:uid="{A9EEA194-AD9D-49ED-A056-504F5AF25D13}"/>
    <cellStyle name="Normal 4 2" xfId="23" xr:uid="{45A095B9-9E39-4D36-8AB3-6DFC76D9B38F}"/>
    <cellStyle name="Normal 4 3" xfId="14" xr:uid="{0D5F21C4-0852-400C-AC04-566C34B4B116}"/>
    <cellStyle name="Normal 5" xfId="32" xr:uid="{6532EBF2-9ECC-4A3C-A3E1-9F15F5F10460}"/>
    <cellStyle name="Vírgula 2" xfId="9" xr:uid="{4306E2C7-CFC9-4ECE-A811-91EBA8587ADC}"/>
    <cellStyle name="Vírgula 2 2" xfId="27" xr:uid="{653B44DC-9BB2-4D1F-AD42-946FC1DC68F0}"/>
    <cellStyle name="Vírgula 2 3" xfId="18" xr:uid="{6238DA0A-045B-4353-9B3A-D2FA424660E8}"/>
    <cellStyle name="Vírgula 2 4" xfId="35" xr:uid="{6BE949E4-94C2-4134-97BF-CD957B8A5C01}"/>
    <cellStyle name="Vírgula 3" xfId="10" xr:uid="{49A9F63E-8201-4263-A032-6252356919F6}"/>
    <cellStyle name="Vírgula 3 2" xfId="28" xr:uid="{11C0A958-8DAE-4B0F-B1DE-2F65C034A105}"/>
    <cellStyle name="Vírgula 3 3" xfId="19" xr:uid="{F1F55B68-C222-4BCA-92B3-4614A4650A1F}"/>
    <cellStyle name="Vírgula 3 4" xfId="36" xr:uid="{CDF5A348-C7F8-443E-A755-611887C7EC2E}"/>
    <cellStyle name="Vírgula 4" xfId="11" xr:uid="{EB9C9581-3A96-48D6-8F34-44FD3EBB9F2C}"/>
    <cellStyle name="Vírgula 4 2" xfId="29" xr:uid="{42C1495F-82A4-49FE-B7CB-572D266993E4}"/>
    <cellStyle name="Vírgula 4 3" xfId="20" xr:uid="{81EF1B65-3EF8-44D1-AD10-DF393FC3CBC4}"/>
    <cellStyle name="Vírgula 4 4" xfId="37" xr:uid="{C81F2BC8-617B-4B2E-8684-46B766062FFE}"/>
    <cellStyle name="Vírgula 5" xfId="12" xr:uid="{4CEC7A94-8FF2-4121-82D0-CDE0C844DCE5}"/>
    <cellStyle name="Vírgula 5 2" xfId="30" xr:uid="{AAEAEDFB-6FEA-4868-8912-7FD9CD3ACB44}"/>
    <cellStyle name="Vírgula 5 3" xfId="21" xr:uid="{96D75403-5BC8-4310-9B96-5FE00CEDC2A1}"/>
    <cellStyle name="Vírgula 6" xfId="13" xr:uid="{F44DEAD8-4C0D-45BD-97DE-372B0224F93E}"/>
    <cellStyle name="Vírgula 6 2" xfId="31" xr:uid="{C34CC1B7-BCD0-4E3C-8448-D7C592601A6E}"/>
    <cellStyle name="Vírgula 6 3" xfId="22" xr:uid="{AD2F201B-71D5-48F0-9E69-7905422A9F8E}"/>
    <cellStyle name="Vírgula 7" xfId="8" xr:uid="{A66FA9FA-3713-421F-9C8E-8414F40F597C}"/>
    <cellStyle name="Vírgula 7 2" xfId="26" xr:uid="{8E26F9AB-552B-45FA-B742-1BDB3971CE6B}"/>
    <cellStyle name="Vírgula 7 3" xfId="17" xr:uid="{9F74DD78-5DDD-4975-B4FD-59C16831EF45}"/>
    <cellStyle name="Vírgula 8" xfId="34" xr:uid="{E660D3E8-ECA4-4B68-B53E-474D6E56B808}"/>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0/relationships/richValueRel" Target="richData/richValueRel.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62753</xdr:colOff>
      <xdr:row>0</xdr:row>
      <xdr:rowOff>105363</xdr:rowOff>
    </xdr:from>
    <xdr:to>
      <xdr:col>1</xdr:col>
      <xdr:colOff>577393</xdr:colOff>
      <xdr:row>3</xdr:row>
      <xdr:rowOff>137178</xdr:rowOff>
    </xdr:to>
    <xdr:pic>
      <xdr:nvPicPr>
        <xdr:cNvPr id="2" name="Imagem 1">
          <a:extLst>
            <a:ext uri="{FF2B5EF4-FFF2-40B4-BE49-F238E27FC236}">
              <a16:creationId xmlns:a16="http://schemas.microsoft.com/office/drawing/2014/main" id="{5A1B5F1F-DFA9-4EB3-B46C-A60CDBD37A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753" y="105363"/>
          <a:ext cx="985420" cy="57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62753</xdr:colOff>
      <xdr:row>0</xdr:row>
      <xdr:rowOff>105363</xdr:rowOff>
    </xdr:from>
    <xdr:to>
      <xdr:col>1</xdr:col>
      <xdr:colOff>320218</xdr:colOff>
      <xdr:row>2</xdr:row>
      <xdr:rowOff>318247</xdr:rowOff>
    </xdr:to>
    <xdr:pic>
      <xdr:nvPicPr>
        <xdr:cNvPr id="2" name="Imagem 1">
          <a:extLst>
            <a:ext uri="{FF2B5EF4-FFF2-40B4-BE49-F238E27FC236}">
              <a16:creationId xmlns:a16="http://schemas.microsoft.com/office/drawing/2014/main" id="{1048C259-5E5E-4578-B717-0DB4FA38FC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753" y="105363"/>
          <a:ext cx="993271" cy="5938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62753</xdr:colOff>
      <xdr:row>0</xdr:row>
      <xdr:rowOff>105363</xdr:rowOff>
    </xdr:from>
    <xdr:to>
      <xdr:col>1</xdr:col>
      <xdr:colOff>579774</xdr:colOff>
      <xdr:row>2</xdr:row>
      <xdr:rowOff>318247</xdr:rowOff>
    </xdr:to>
    <xdr:pic>
      <xdr:nvPicPr>
        <xdr:cNvPr id="2" name="Imagem 1">
          <a:extLst>
            <a:ext uri="{FF2B5EF4-FFF2-40B4-BE49-F238E27FC236}">
              <a16:creationId xmlns:a16="http://schemas.microsoft.com/office/drawing/2014/main" id="{830754EE-E9BE-4305-A40F-17135C337C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753" y="105363"/>
          <a:ext cx="1001536" cy="5714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299701</xdr:colOff>
      <xdr:row>0</xdr:row>
      <xdr:rowOff>15716</xdr:rowOff>
    </xdr:from>
    <xdr:to>
      <xdr:col>2</xdr:col>
      <xdr:colOff>144780</xdr:colOff>
      <xdr:row>2</xdr:row>
      <xdr:rowOff>99060</xdr:rowOff>
    </xdr:to>
    <xdr:pic>
      <xdr:nvPicPr>
        <xdr:cNvPr id="2" name="Imagem 1">
          <a:extLst>
            <a:ext uri="{FF2B5EF4-FFF2-40B4-BE49-F238E27FC236}">
              <a16:creationId xmlns:a16="http://schemas.microsoft.com/office/drawing/2014/main" id="{F45BEB6D-20B5-4E21-8322-42060C02898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9701" y="15716"/>
          <a:ext cx="782339" cy="4491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40621</xdr:colOff>
      <xdr:row>0</xdr:row>
      <xdr:rowOff>53816</xdr:rowOff>
    </xdr:from>
    <xdr:to>
      <xdr:col>4</xdr:col>
      <xdr:colOff>236220</xdr:colOff>
      <xdr:row>2</xdr:row>
      <xdr:rowOff>160020</xdr:rowOff>
    </xdr:to>
    <xdr:pic>
      <xdr:nvPicPr>
        <xdr:cNvPr id="4" name="Imagem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9801" y="53816"/>
          <a:ext cx="782339" cy="44910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197785</xdr:colOff>
      <xdr:row>0</xdr:row>
      <xdr:rowOff>77601</xdr:rowOff>
    </xdr:from>
    <xdr:to>
      <xdr:col>2</xdr:col>
      <xdr:colOff>276270</xdr:colOff>
      <xdr:row>2</xdr:row>
      <xdr:rowOff>147682</xdr:rowOff>
    </xdr:to>
    <xdr:pic>
      <xdr:nvPicPr>
        <xdr:cNvPr id="2" name="Imagem 1">
          <a:extLst>
            <a:ext uri="{FF2B5EF4-FFF2-40B4-BE49-F238E27FC236}">
              <a16:creationId xmlns:a16="http://schemas.microsoft.com/office/drawing/2014/main" id="{8DF29753-C677-43E8-A7F9-9F8AB4AE08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7785" y="77601"/>
          <a:ext cx="888110" cy="42726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340659</xdr:colOff>
      <xdr:row>0</xdr:row>
      <xdr:rowOff>53788</xdr:rowOff>
    </xdr:from>
    <xdr:to>
      <xdr:col>4</xdr:col>
      <xdr:colOff>706126</xdr:colOff>
      <xdr:row>2</xdr:row>
      <xdr:rowOff>123869</xdr:rowOff>
    </xdr:to>
    <xdr:pic>
      <xdr:nvPicPr>
        <xdr:cNvPr id="2" name="Imagem 1">
          <a:extLst>
            <a:ext uri="{FF2B5EF4-FFF2-40B4-BE49-F238E27FC236}">
              <a16:creationId xmlns:a16="http://schemas.microsoft.com/office/drawing/2014/main" id="{66FCA6F5-4514-45B7-B17C-4A939C1358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0659" y="221428"/>
          <a:ext cx="906487" cy="4358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340659</xdr:colOff>
      <xdr:row>0</xdr:row>
      <xdr:rowOff>53788</xdr:rowOff>
    </xdr:from>
    <xdr:to>
      <xdr:col>1</xdr:col>
      <xdr:colOff>706126</xdr:colOff>
      <xdr:row>2</xdr:row>
      <xdr:rowOff>123869</xdr:rowOff>
    </xdr:to>
    <xdr:pic>
      <xdr:nvPicPr>
        <xdr:cNvPr id="2" name="Imagem 1">
          <a:extLst>
            <a:ext uri="{FF2B5EF4-FFF2-40B4-BE49-F238E27FC236}">
              <a16:creationId xmlns:a16="http://schemas.microsoft.com/office/drawing/2014/main" id="{6658904F-1F8A-4CDD-9778-478A9E2194C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0659" y="221428"/>
          <a:ext cx="906487" cy="43584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340659</xdr:colOff>
      <xdr:row>0</xdr:row>
      <xdr:rowOff>53788</xdr:rowOff>
    </xdr:from>
    <xdr:to>
      <xdr:col>1</xdr:col>
      <xdr:colOff>706126</xdr:colOff>
      <xdr:row>2</xdr:row>
      <xdr:rowOff>123869</xdr:rowOff>
    </xdr:to>
    <xdr:pic>
      <xdr:nvPicPr>
        <xdr:cNvPr id="2" name="Imagem 1">
          <a:extLst>
            <a:ext uri="{FF2B5EF4-FFF2-40B4-BE49-F238E27FC236}">
              <a16:creationId xmlns:a16="http://schemas.microsoft.com/office/drawing/2014/main" id="{49EBE8D3-3FC5-4007-8311-21600F7BC7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0659" y="221428"/>
          <a:ext cx="906487" cy="43584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299701</xdr:colOff>
      <xdr:row>0</xdr:row>
      <xdr:rowOff>15716</xdr:rowOff>
    </xdr:from>
    <xdr:to>
      <xdr:col>1</xdr:col>
      <xdr:colOff>464820</xdr:colOff>
      <xdr:row>2</xdr:row>
      <xdr:rowOff>99060</xdr:rowOff>
    </xdr:to>
    <xdr:pic>
      <xdr:nvPicPr>
        <xdr:cNvPr id="2" name="Imagem 1">
          <a:extLst>
            <a:ext uri="{FF2B5EF4-FFF2-40B4-BE49-F238E27FC236}">
              <a16:creationId xmlns:a16="http://schemas.microsoft.com/office/drawing/2014/main" id="{55FDA4B1-A106-4D3F-835A-61A40B63D1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9701" y="15716"/>
          <a:ext cx="774719" cy="44910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165735</xdr:colOff>
      <xdr:row>1</xdr:row>
      <xdr:rowOff>97156</xdr:rowOff>
    </xdr:from>
    <xdr:to>
      <xdr:col>2</xdr:col>
      <xdr:colOff>164646</xdr:colOff>
      <xdr:row>5</xdr:row>
      <xdr:rowOff>104776</xdr:rowOff>
    </xdr:to>
    <xdr:pic>
      <xdr:nvPicPr>
        <xdr:cNvPr id="2" name="Imagem 1">
          <a:extLst>
            <a:ext uri="{FF2B5EF4-FFF2-40B4-BE49-F238E27FC236}">
              <a16:creationId xmlns:a16="http://schemas.microsoft.com/office/drawing/2014/main" id="{B98E1BE2-32FD-4DDA-9A39-5B118936CA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5335" y="287656"/>
          <a:ext cx="1084761" cy="76962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Contato - LMP" id="{4E6AF087-8E09-442E-B823-2AD1559931A7}" userId="Contato - LMP" providerId="None"/>
  <person displayName="Higor" id="{D3EEE49D-02FE-409A-BAD6-DE8400B68DCF}" userId="S::ocp@lmpcertificacoes.com.br::ee83da10-32c4-42f6-9ef8-346a02ccd74b" providerId="AD"/>
  <person displayName="Fabio" id="{7469C07E-AFCB-4843-AAD3-8E42A38C3285}" userId="S::fabio@lmpcertificacoes.com.br::b1306f6f-98a4-4060-aa98-79cf3cb23a39" providerId="AD"/>
  <person displayName="Tecnico" id="{E1F8CE72-1F25-46D6-A009-2AC3A123AF8F}" userId="S::tecnico@lmpcertificacoes.com.br::b1306f6f-98a4-4060-aa98-79cf3cb23a39" providerId="AD"/>
</personLis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v>C:\Users\User\Pictures\Ass_RV.png</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56" dT="2024-02-26T15:07:30.89" personId="{E1F8CE72-1F25-46D6-A009-2AC3A123AF8F}" id="{0FBA9B2F-865A-4BEE-9D01-BB4D08392F0E}">
    <text>Cliente cancelou</text>
  </threadedComment>
  <threadedComment ref="E62" dT="2024-02-26T12:15:44.59" personId="{E1F8CE72-1F25-46D6-A009-2AC3A123AF8F}" id="{549B4D7B-BAA0-4934-A138-862BC5644BAB}">
    <text>Cliente cancelou</text>
  </threadedComment>
  <threadedComment ref="F430" dT="2024-09-24T17:37:17.30" personId="{7469C07E-AFCB-4843-AAD3-8E42A38C3285}" id="{120CCDA6-8FE6-48C5-B4C0-C5957E944BE6}">
    <text>Cancelado, já possui Inmetro</text>
  </threadedComment>
</ThreadedComments>
</file>

<file path=xl/threadedComments/threadedComment2.xml><?xml version="1.0" encoding="utf-8"?>
<ThreadedComments xmlns="http://schemas.microsoft.com/office/spreadsheetml/2018/threadedcomments" xmlns:x="http://schemas.openxmlformats.org/spreadsheetml/2006/main">
  <threadedComment ref="B98" dT="2023-09-05T15:21:21.27" personId="{E1F8CE72-1F25-46D6-A009-2AC3A123AF8F}" id="{3EDBF909-4BBB-4D54-86BB-4C28FBE2FA40}">
    <text>Cliente desistiu do processo</text>
  </threadedComment>
  <threadedComment ref="D98" dT="2024-01-12T17:12:35.37" personId="{7469C07E-AFCB-4843-AAD3-8E42A38C3285}" id="{52E9B548-6095-41F8-987B-E834BA822E0F}">
    <text>Desistiu do processo</text>
  </threadedComment>
  <threadedComment ref="D179" dT="2024-01-12T17:12:08.43" personId="{7469C07E-AFCB-4843-AAD3-8E42A38C3285}" id="{C50DDB6E-6BFE-45A8-B9B7-68BA1E87DC01}">
    <text>Desistiu do processo</text>
  </threadedComment>
  <threadedComment ref="D299" dT="2023-08-23T13:22:23.38" personId="{E1F8CE72-1F25-46D6-A009-2AC3A123AF8F}" id="{C0727E07-409A-4930-BF97-0C75FD564CE8}">
    <text>Desistiu do processo</text>
  </threadedComment>
  <threadedComment ref="D407" dT="2024-01-12T17:11:48.99" personId="{7469C07E-AFCB-4843-AAD3-8E42A38C3285}" id="{D35DFEBD-70BC-4961-9EA0-BD0CD8C347AD}">
    <text>Desistiu do processo</text>
  </threadedComment>
  <threadedComment ref="D409" dT="2023-10-30T17:24:55.26" personId="{E1F8CE72-1F25-46D6-A009-2AC3A123AF8F}" id="{551CBCBA-1DAF-49AC-BC6C-F3DEEAC047EC}">
    <text>Sem aceite</text>
  </threadedComment>
  <threadedComment ref="D438" dT="2024-01-10T19:25:55.25" personId="{E1F8CE72-1F25-46D6-A009-2AC3A123AF8F}" id="{D127B3AB-CE25-4C11-8451-A34F6492F2AB}">
    <text>Cancelado, já possuía Inmetro</text>
  </threadedComment>
  <threadedComment ref="D461" dT="2024-01-10T20:00:00.25" personId="{E1F8CE72-1F25-46D6-A009-2AC3A123AF8F}" id="{99662CF1-B7F9-4023-A9EF-B6E391B512CE}">
    <text>Desistiu por falta de documento</text>
  </threadedComment>
  <threadedComment ref="D529" dT="2024-01-12T20:49:58.07" personId="{7469C07E-AFCB-4843-AAD3-8E42A38C3285}" id="{BCBE7AF0-6848-42F1-8B6A-91032A346245}">
    <text>Desistiu do processo</text>
  </threadedComment>
</ThreadedComments>
</file>

<file path=xl/threadedComments/threadedComment3.xml><?xml version="1.0" encoding="utf-8"?>
<ThreadedComments xmlns="http://schemas.microsoft.com/office/spreadsheetml/2018/threadedcomments" xmlns:x="http://schemas.openxmlformats.org/spreadsheetml/2006/main">
  <threadedComment ref="V166" dT="2021-07-14T12:14:06.16" personId="{4E6AF087-8E09-442E-B823-2AD1559931A7}" id="{31123612-2651-4080-AAF3-D4BD412157B3}">
    <text>Inicialmente foi disponibilizado o certificado CSA 70207041, onde não foi evidenciado as condição de uso, após a inspeção foi verificado o certificado IECEx BAS 05.0035X que está marcado no produto, bem como as condições de uso.</text>
  </threadedComment>
</ThreadedComments>
</file>

<file path=xl/threadedComments/threadedComment4.xml><?xml version="1.0" encoding="utf-8"?>
<ThreadedComments xmlns="http://schemas.microsoft.com/office/spreadsheetml/2018/threadedcomments" xmlns:x="http://schemas.openxmlformats.org/spreadsheetml/2006/main">
  <threadedComment ref="F347" dT="2021-03-02T15:04:07.26" personId="{D3EEE49D-02FE-409A-BAD6-DE8400B68DCF}" id="{2BC197DD-488E-48D0-8B31-0CF803D75527}">
    <text>Já foi feito a inspeção - porém o processo consta um divergencia</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7ADFC-4FF2-4CE1-B627-AFD24BD73A59}">
  <sheetPr filterMode="1"/>
  <dimension ref="A1:U1005"/>
  <sheetViews>
    <sheetView showGridLines="0" tabSelected="1" zoomScale="90" zoomScaleNormal="90" workbookViewId="0">
      <pane ySplit="5" topLeftCell="A806" activePane="bottomLeft" state="frozen"/>
      <selection activeCell="A5" sqref="A5"/>
      <selection pane="bottomLeft" activeCell="F821" sqref="A1:K821"/>
    </sheetView>
  </sheetViews>
  <sheetFormatPr defaultRowHeight="15" x14ac:dyDescent="0.25"/>
  <cols>
    <col min="1" max="1" width="7.42578125" style="315" customWidth="1"/>
    <col min="2" max="2" width="16.42578125" style="315" customWidth="1"/>
    <col min="3" max="4" width="26.42578125" style="315" customWidth="1"/>
    <col min="5" max="6" width="15" style="315" customWidth="1"/>
    <col min="7" max="7" width="24.5703125" style="315" customWidth="1"/>
    <col min="8" max="8" width="27.5703125" style="315" customWidth="1"/>
    <col min="9" max="9" width="26.5703125" style="315" customWidth="1"/>
    <col min="10" max="11" width="12.5703125" style="408" customWidth="1"/>
    <col min="12" max="12" width="13.5703125" style="315" customWidth="1"/>
    <col min="13" max="13" width="22.5703125" style="315" customWidth="1"/>
    <col min="14" max="14" width="7.42578125" style="315" customWidth="1"/>
    <col min="15" max="15" width="12.5703125" style="408" customWidth="1"/>
    <col min="16" max="16" width="13.5703125" style="315" customWidth="1"/>
    <col min="17" max="18" width="12.5703125" style="408" customWidth="1"/>
    <col min="19" max="19" width="12" style="351" customWidth="1"/>
    <col min="20" max="20" width="41.5703125" style="351" customWidth="1"/>
    <col min="21" max="21" width="9.140625" style="351"/>
  </cols>
  <sheetData>
    <row r="1" spans="1:19" ht="14.25" x14ac:dyDescent="0.25">
      <c r="A1" s="392"/>
      <c r="B1" s="392"/>
      <c r="C1" s="392"/>
      <c r="D1" s="392"/>
      <c r="E1" s="392"/>
      <c r="F1" s="392"/>
      <c r="G1" s="392"/>
      <c r="H1" s="392"/>
      <c r="I1" s="392"/>
      <c r="J1" s="405"/>
      <c r="K1" s="405"/>
      <c r="L1" s="392"/>
      <c r="M1" s="392"/>
      <c r="N1" s="392"/>
      <c r="O1" s="405"/>
      <c r="P1" s="392"/>
      <c r="Q1" s="405"/>
      <c r="R1" s="405"/>
      <c r="S1" s="393"/>
    </row>
    <row r="2" spans="1:19" ht="14.25" x14ac:dyDescent="0.25">
      <c r="A2" s="394"/>
      <c r="B2" s="394"/>
      <c r="C2" s="394"/>
      <c r="D2" s="394"/>
      <c r="E2" s="394"/>
      <c r="F2" s="394"/>
      <c r="G2" s="394"/>
      <c r="H2" s="394"/>
      <c r="I2" s="394"/>
      <c r="J2" s="406"/>
      <c r="K2" s="406"/>
      <c r="L2" s="394"/>
      <c r="M2" s="394"/>
      <c r="N2" s="394"/>
      <c r="O2" s="406"/>
      <c r="P2" s="394"/>
      <c r="Q2" s="406"/>
      <c r="R2" s="406"/>
      <c r="S2" s="395"/>
    </row>
    <row r="3" spans="1:19" ht="34.700000000000003" customHeight="1" x14ac:dyDescent="0.25">
      <c r="A3" s="396"/>
      <c r="B3" s="396"/>
      <c r="C3" s="396"/>
      <c r="D3" s="396"/>
      <c r="E3" s="396"/>
      <c r="F3" s="396"/>
      <c r="G3" s="396"/>
      <c r="H3" s="396"/>
      <c r="I3" s="396"/>
      <c r="J3" s="407"/>
      <c r="K3" s="407"/>
      <c r="L3" s="396">
        <f>SUBTOTAL(3,L6:L1061)</f>
        <v>59</v>
      </c>
      <c r="M3" s="396"/>
      <c r="N3" s="396"/>
      <c r="O3" s="407"/>
      <c r="P3" s="396"/>
      <c r="Q3" s="407"/>
      <c r="R3" s="407"/>
      <c r="S3" s="397">
        <f>SUBTOTAL(3,S7:S1061)</f>
        <v>0</v>
      </c>
    </row>
    <row r="4" spans="1:19" ht="15" customHeight="1" x14ac:dyDescent="0.25">
      <c r="A4" s="424" t="s">
        <v>0</v>
      </c>
      <c r="B4" s="425"/>
      <c r="C4" s="425"/>
      <c r="D4" s="425"/>
      <c r="E4" s="425"/>
      <c r="F4" s="425"/>
      <c r="G4" s="425"/>
      <c r="H4" s="425"/>
      <c r="I4" s="425"/>
      <c r="J4" s="426"/>
      <c r="K4" s="427"/>
      <c r="L4" s="428" t="s">
        <v>1</v>
      </c>
      <c r="M4" s="429"/>
      <c r="N4" s="429"/>
      <c r="O4" s="430"/>
      <c r="P4" s="431" t="s">
        <v>2</v>
      </c>
      <c r="Q4" s="432"/>
      <c r="R4" s="432"/>
      <c r="S4" s="385"/>
    </row>
    <row r="5" spans="1:19" ht="51" x14ac:dyDescent="0.25">
      <c r="A5" s="297" t="s">
        <v>3</v>
      </c>
      <c r="B5" s="297" t="s">
        <v>4</v>
      </c>
      <c r="C5" s="297" t="s">
        <v>5</v>
      </c>
      <c r="D5" s="297" t="s">
        <v>6</v>
      </c>
      <c r="E5" s="297" t="s">
        <v>7</v>
      </c>
      <c r="F5" s="297" t="s">
        <v>8</v>
      </c>
      <c r="G5" s="297" t="s">
        <v>9</v>
      </c>
      <c r="H5" s="297" t="s">
        <v>10</v>
      </c>
      <c r="I5" s="297" t="s">
        <v>11</v>
      </c>
      <c r="J5" s="300" t="s">
        <v>12</v>
      </c>
      <c r="K5" s="300" t="s">
        <v>13</v>
      </c>
      <c r="L5" s="301" t="s">
        <v>14</v>
      </c>
      <c r="M5" s="301" t="s">
        <v>15</v>
      </c>
      <c r="N5" s="301" t="s">
        <v>16</v>
      </c>
      <c r="O5" s="302" t="s">
        <v>17</v>
      </c>
      <c r="P5" s="303" t="s">
        <v>18</v>
      </c>
      <c r="Q5" s="299" t="s">
        <v>19</v>
      </c>
      <c r="R5" s="299" t="s">
        <v>20</v>
      </c>
      <c r="S5" s="305" t="s">
        <v>21</v>
      </c>
    </row>
    <row r="6" spans="1:19" ht="38.25" hidden="1" x14ac:dyDescent="0.25">
      <c r="A6" s="359">
        <v>0</v>
      </c>
      <c r="B6" s="49" t="s">
        <v>22</v>
      </c>
      <c r="C6" s="49" t="s">
        <v>23</v>
      </c>
      <c r="D6" s="49"/>
      <c r="E6" s="49">
        <v>184561</v>
      </c>
      <c r="F6" s="49" t="s">
        <v>24</v>
      </c>
      <c r="G6" s="49" t="s">
        <v>25</v>
      </c>
      <c r="H6" s="49" t="s">
        <v>26</v>
      </c>
      <c r="I6" s="49" t="s">
        <v>27</v>
      </c>
      <c r="J6" s="316">
        <v>45660</v>
      </c>
      <c r="K6" s="360"/>
      <c r="L6" s="363" t="s">
        <v>28</v>
      </c>
      <c r="M6" s="317" t="s">
        <v>29</v>
      </c>
      <c r="N6" s="317">
        <v>1</v>
      </c>
      <c r="O6" s="366">
        <v>45681</v>
      </c>
      <c r="P6" s="365" t="s">
        <v>30</v>
      </c>
      <c r="Q6" s="364">
        <v>45684</v>
      </c>
      <c r="R6" s="364">
        <v>45684</v>
      </c>
      <c r="S6" s="348"/>
    </row>
    <row r="7" spans="1:19" ht="38.25" hidden="1" x14ac:dyDescent="0.25">
      <c r="A7" s="359">
        <v>0</v>
      </c>
      <c r="B7" s="49" t="s">
        <v>31</v>
      </c>
      <c r="C7" s="49" t="s">
        <v>32</v>
      </c>
      <c r="D7" s="49"/>
      <c r="E7" s="49">
        <v>184563</v>
      </c>
      <c r="F7" s="49" t="s">
        <v>33</v>
      </c>
      <c r="G7" s="49" t="s">
        <v>34</v>
      </c>
      <c r="H7" s="49" t="s">
        <v>35</v>
      </c>
      <c r="I7" s="49" t="s">
        <v>36</v>
      </c>
      <c r="J7" s="316">
        <v>45663</v>
      </c>
      <c r="K7" s="360">
        <v>45664</v>
      </c>
      <c r="L7" s="363" t="s">
        <v>28</v>
      </c>
      <c r="M7" s="317" t="s">
        <v>37</v>
      </c>
      <c r="N7" s="398">
        <v>20</v>
      </c>
      <c r="O7" s="366">
        <v>45670</v>
      </c>
      <c r="P7" s="365" t="s">
        <v>30</v>
      </c>
      <c r="Q7" s="364">
        <v>45671</v>
      </c>
      <c r="R7" s="364">
        <v>45671</v>
      </c>
      <c r="S7" s="348"/>
    </row>
    <row r="8" spans="1:19" ht="14.25" hidden="1" x14ac:dyDescent="0.25">
      <c r="A8" s="359">
        <v>0</v>
      </c>
      <c r="B8" s="49" t="s">
        <v>38</v>
      </c>
      <c r="C8" s="49" t="s">
        <v>39</v>
      </c>
      <c r="D8" s="49"/>
      <c r="E8" s="49">
        <v>184565</v>
      </c>
      <c r="F8" s="49" t="s">
        <v>40</v>
      </c>
      <c r="G8" s="49"/>
      <c r="H8" s="49"/>
      <c r="I8" s="49"/>
      <c r="J8" s="316"/>
      <c r="K8" s="316"/>
      <c r="L8" s="363"/>
      <c r="M8" s="317"/>
      <c r="N8" s="317"/>
      <c r="O8" s="366"/>
      <c r="P8" s="365"/>
      <c r="Q8" s="364"/>
      <c r="R8" s="364"/>
      <c r="S8" s="348"/>
    </row>
    <row r="9" spans="1:19" ht="25.5" hidden="1" x14ac:dyDescent="0.25">
      <c r="A9" s="359">
        <v>0</v>
      </c>
      <c r="B9" s="49" t="s">
        <v>41</v>
      </c>
      <c r="C9" s="49" t="s">
        <v>42</v>
      </c>
      <c r="D9" s="49"/>
      <c r="E9" s="49">
        <v>184567</v>
      </c>
      <c r="F9" s="49" t="s">
        <v>43</v>
      </c>
      <c r="G9" s="49" t="s">
        <v>44</v>
      </c>
      <c r="H9" s="49" t="s">
        <v>45</v>
      </c>
      <c r="I9" s="49" t="s">
        <v>46</v>
      </c>
      <c r="J9" s="316">
        <v>45666</v>
      </c>
      <c r="K9" s="360">
        <v>45666</v>
      </c>
      <c r="L9" s="363" t="s">
        <v>47</v>
      </c>
      <c r="M9" s="317" t="s">
        <v>48</v>
      </c>
      <c r="N9" s="317">
        <v>1</v>
      </c>
      <c r="O9" s="322">
        <v>45687</v>
      </c>
      <c r="P9" s="365" t="s">
        <v>30</v>
      </c>
      <c r="Q9" s="364">
        <v>45688</v>
      </c>
      <c r="R9" s="364">
        <v>45688</v>
      </c>
      <c r="S9" s="348"/>
    </row>
    <row r="10" spans="1:19" hidden="1" x14ac:dyDescent="0.25">
      <c r="A10" s="359">
        <v>0</v>
      </c>
      <c r="B10" s="49" t="s">
        <v>49</v>
      </c>
      <c r="C10" s="49" t="s">
        <v>50</v>
      </c>
      <c r="D10" s="49"/>
      <c r="E10" s="49">
        <v>184562</v>
      </c>
      <c r="F10" s="49" t="s">
        <v>51</v>
      </c>
      <c r="G10" s="49" t="s">
        <v>52</v>
      </c>
      <c r="H10" s="49">
        <v>981332</v>
      </c>
      <c r="I10" s="49" t="s">
        <v>53</v>
      </c>
      <c r="J10" s="316">
        <v>45663</v>
      </c>
      <c r="K10" s="360">
        <v>45665</v>
      </c>
      <c r="L10" s="363" t="s">
        <v>28</v>
      </c>
      <c r="M10" s="317" t="s">
        <v>54</v>
      </c>
      <c r="N10" s="317">
        <v>9</v>
      </c>
      <c r="O10" s="366">
        <v>45678</v>
      </c>
      <c r="P10" s="365" t="s">
        <v>30</v>
      </c>
      <c r="Q10" s="364">
        <v>45679</v>
      </c>
      <c r="R10" s="364">
        <v>45679</v>
      </c>
      <c r="S10" s="348"/>
    </row>
    <row r="11" spans="1:19" ht="25.5" hidden="1" x14ac:dyDescent="0.25">
      <c r="A11" s="359">
        <v>0</v>
      </c>
      <c r="B11" s="49" t="s">
        <v>55</v>
      </c>
      <c r="C11" s="49" t="s">
        <v>56</v>
      </c>
      <c r="D11" s="49"/>
      <c r="E11" s="49">
        <v>184560</v>
      </c>
      <c r="F11" s="49" t="s">
        <v>57</v>
      </c>
      <c r="G11" s="49" t="s">
        <v>58</v>
      </c>
      <c r="H11" s="49" t="s">
        <v>59</v>
      </c>
      <c r="I11" s="49" t="s">
        <v>60</v>
      </c>
      <c r="J11" s="316">
        <v>45671</v>
      </c>
      <c r="K11" s="360">
        <v>45699</v>
      </c>
      <c r="L11" s="363" t="s">
        <v>28</v>
      </c>
      <c r="M11" s="317" t="s">
        <v>61</v>
      </c>
      <c r="N11" s="317">
        <v>1</v>
      </c>
      <c r="O11" s="366">
        <v>45699</v>
      </c>
      <c r="P11" s="365" t="s">
        <v>30</v>
      </c>
      <c r="Q11" s="364">
        <v>45699</v>
      </c>
      <c r="R11" s="364">
        <v>45699</v>
      </c>
      <c r="S11" s="348"/>
    </row>
    <row r="12" spans="1:19" ht="51" hidden="1" x14ac:dyDescent="0.25">
      <c r="A12" s="359">
        <v>0</v>
      </c>
      <c r="B12" s="49" t="s">
        <v>62</v>
      </c>
      <c r="C12" s="49" t="s">
        <v>63</v>
      </c>
      <c r="D12" s="49"/>
      <c r="E12" s="49">
        <v>184598</v>
      </c>
      <c r="F12" s="49" t="s">
        <v>64</v>
      </c>
      <c r="G12" s="49" t="s">
        <v>65</v>
      </c>
      <c r="H12" s="49" t="s">
        <v>66</v>
      </c>
      <c r="I12" s="49" t="s">
        <v>67</v>
      </c>
      <c r="J12" s="316">
        <v>45677</v>
      </c>
      <c r="K12" s="360">
        <v>45678</v>
      </c>
      <c r="L12" s="363" t="s">
        <v>28</v>
      </c>
      <c r="M12" s="317">
        <v>2379426</v>
      </c>
      <c r="N12" s="317">
        <v>4</v>
      </c>
      <c r="O12" s="366">
        <v>45685</v>
      </c>
      <c r="P12" s="365" t="s">
        <v>30</v>
      </c>
      <c r="Q12" s="364">
        <v>45685</v>
      </c>
      <c r="R12" s="364">
        <v>45685</v>
      </c>
      <c r="S12" s="348"/>
    </row>
    <row r="13" spans="1:19" hidden="1" x14ac:dyDescent="0.25">
      <c r="A13" s="359">
        <v>0</v>
      </c>
      <c r="B13" s="49" t="s">
        <v>68</v>
      </c>
      <c r="C13" s="49" t="s">
        <v>69</v>
      </c>
      <c r="D13" s="49"/>
      <c r="E13" s="49">
        <v>184554</v>
      </c>
      <c r="F13" s="49" t="s">
        <v>70</v>
      </c>
      <c r="G13" s="49" t="s">
        <v>71</v>
      </c>
      <c r="H13" s="49" t="s">
        <v>72</v>
      </c>
      <c r="I13" s="49" t="s">
        <v>73</v>
      </c>
      <c r="J13" s="316">
        <v>45684</v>
      </c>
      <c r="K13" s="360"/>
      <c r="L13" s="363" t="s">
        <v>47</v>
      </c>
      <c r="M13" s="317" t="s">
        <v>74</v>
      </c>
      <c r="N13" s="317">
        <v>1</v>
      </c>
      <c r="O13" s="366">
        <v>45686</v>
      </c>
      <c r="P13" s="365" t="s">
        <v>30</v>
      </c>
      <c r="Q13" s="364">
        <v>45688</v>
      </c>
      <c r="R13" s="364">
        <v>45688</v>
      </c>
      <c r="S13" s="348"/>
    </row>
    <row r="14" spans="1:19" hidden="1" x14ac:dyDescent="0.25">
      <c r="A14" s="359">
        <v>0</v>
      </c>
      <c r="B14" s="49" t="s">
        <v>75</v>
      </c>
      <c r="C14" s="49" t="s">
        <v>69</v>
      </c>
      <c r="D14" s="49"/>
      <c r="E14" s="49">
        <v>184554</v>
      </c>
      <c r="F14" s="49" t="s">
        <v>76</v>
      </c>
      <c r="G14" s="49" t="s">
        <v>77</v>
      </c>
      <c r="H14" s="49" t="s">
        <v>78</v>
      </c>
      <c r="I14" s="49" t="s">
        <v>73</v>
      </c>
      <c r="J14" s="316">
        <v>45698</v>
      </c>
      <c r="K14" s="360">
        <v>45698</v>
      </c>
      <c r="L14" s="363" t="s">
        <v>28</v>
      </c>
      <c r="M14" s="317" t="s">
        <v>79</v>
      </c>
      <c r="N14" s="317">
        <v>2</v>
      </c>
      <c r="O14" s="366">
        <v>45699</v>
      </c>
      <c r="P14" s="365" t="s">
        <v>30</v>
      </c>
      <c r="Q14" s="364">
        <v>45707</v>
      </c>
      <c r="R14" s="364">
        <v>45707</v>
      </c>
      <c r="S14" s="348"/>
    </row>
    <row r="15" spans="1:19" hidden="1" x14ac:dyDescent="0.25">
      <c r="A15" s="359">
        <v>0</v>
      </c>
      <c r="B15" s="49" t="s">
        <v>80</v>
      </c>
      <c r="C15" s="49" t="s">
        <v>69</v>
      </c>
      <c r="D15" s="49"/>
      <c r="E15" s="49">
        <v>184554</v>
      </c>
      <c r="F15" s="49" t="s">
        <v>81</v>
      </c>
      <c r="G15" s="49" t="s">
        <v>77</v>
      </c>
      <c r="H15" s="49" t="s">
        <v>82</v>
      </c>
      <c r="I15" s="49" t="s">
        <v>83</v>
      </c>
      <c r="J15" s="316">
        <v>45698</v>
      </c>
      <c r="K15" s="360">
        <v>45677</v>
      </c>
      <c r="L15" s="363" t="s">
        <v>28</v>
      </c>
      <c r="M15" s="317" t="s">
        <v>84</v>
      </c>
      <c r="N15" s="317">
        <v>1</v>
      </c>
      <c r="O15" s="366">
        <v>45700</v>
      </c>
      <c r="P15" s="365" t="s">
        <v>30</v>
      </c>
      <c r="Q15" s="364">
        <v>45700</v>
      </c>
      <c r="R15" s="364">
        <v>45700</v>
      </c>
      <c r="S15" s="348"/>
    </row>
    <row r="16" spans="1:19" ht="25.5" hidden="1" x14ac:dyDescent="0.25">
      <c r="A16" s="359">
        <v>0</v>
      </c>
      <c r="B16" s="49" t="s">
        <v>85</v>
      </c>
      <c r="C16" s="49" t="s">
        <v>69</v>
      </c>
      <c r="D16" s="49"/>
      <c r="E16" s="49">
        <v>184554</v>
      </c>
      <c r="F16" s="49" t="s">
        <v>86</v>
      </c>
      <c r="G16" s="49" t="s">
        <v>34</v>
      </c>
      <c r="H16" s="49" t="s">
        <v>87</v>
      </c>
      <c r="I16" s="49" t="s">
        <v>73</v>
      </c>
      <c r="J16" s="316">
        <v>45698</v>
      </c>
      <c r="K16" s="360"/>
      <c r="L16" s="363" t="s">
        <v>28</v>
      </c>
      <c r="M16" s="409">
        <v>45699</v>
      </c>
      <c r="N16" s="317">
        <v>1</v>
      </c>
      <c r="O16" s="366">
        <v>45700</v>
      </c>
      <c r="P16" s="365" t="s">
        <v>30</v>
      </c>
      <c r="Q16" s="364">
        <v>45700</v>
      </c>
      <c r="R16" s="364">
        <v>45700</v>
      </c>
      <c r="S16" s="348"/>
    </row>
    <row r="17" spans="1:19" ht="38.25" hidden="1" x14ac:dyDescent="0.25">
      <c r="A17" s="359">
        <v>0</v>
      </c>
      <c r="B17" s="49" t="s">
        <v>88</v>
      </c>
      <c r="C17" s="49" t="s">
        <v>69</v>
      </c>
      <c r="D17" s="49"/>
      <c r="E17" s="49">
        <v>184554</v>
      </c>
      <c r="F17" s="49" t="s">
        <v>89</v>
      </c>
      <c r="G17" s="49" t="s">
        <v>90</v>
      </c>
      <c r="H17" s="49" t="s">
        <v>91</v>
      </c>
      <c r="I17" s="49" t="s">
        <v>92</v>
      </c>
      <c r="J17" s="316">
        <v>45723</v>
      </c>
      <c r="K17" s="360">
        <v>45723</v>
      </c>
      <c r="L17" s="363" t="s">
        <v>47</v>
      </c>
      <c r="M17" s="317" t="s">
        <v>93</v>
      </c>
      <c r="N17" s="317">
        <v>20</v>
      </c>
      <c r="O17" s="366">
        <v>45726</v>
      </c>
      <c r="P17" s="365" t="s">
        <v>30</v>
      </c>
      <c r="Q17" s="364">
        <v>45726</v>
      </c>
      <c r="R17" s="364">
        <v>45726</v>
      </c>
      <c r="S17" s="348"/>
    </row>
    <row r="18" spans="1:19" hidden="1" x14ac:dyDescent="0.25">
      <c r="A18" s="359">
        <v>0</v>
      </c>
      <c r="B18" s="49" t="s">
        <v>94</v>
      </c>
      <c r="C18" s="49" t="s">
        <v>69</v>
      </c>
      <c r="D18" s="49"/>
      <c r="E18" s="49">
        <v>184554</v>
      </c>
      <c r="F18" s="49" t="s">
        <v>95</v>
      </c>
      <c r="G18" s="49" t="s">
        <v>96</v>
      </c>
      <c r="H18" s="49" t="s">
        <v>97</v>
      </c>
      <c r="I18" s="49" t="s">
        <v>73</v>
      </c>
      <c r="J18" s="316">
        <v>45723</v>
      </c>
      <c r="K18" s="360">
        <v>45723</v>
      </c>
      <c r="L18" s="363" t="s">
        <v>47</v>
      </c>
      <c r="M18" s="317" t="s">
        <v>98</v>
      </c>
      <c r="N18" s="317">
        <v>5</v>
      </c>
      <c r="O18" s="366">
        <v>45726</v>
      </c>
      <c r="P18" s="365" t="s">
        <v>30</v>
      </c>
      <c r="Q18" s="364">
        <v>45727</v>
      </c>
      <c r="R18" s="364">
        <v>45727</v>
      </c>
      <c r="S18" s="348"/>
    </row>
    <row r="19" spans="1:19" ht="14.25" hidden="1" x14ac:dyDescent="0.25">
      <c r="A19" s="359">
        <v>0</v>
      </c>
      <c r="B19" s="49" t="s">
        <v>99</v>
      </c>
      <c r="C19" s="49" t="s">
        <v>69</v>
      </c>
      <c r="D19" s="49"/>
      <c r="E19" s="49">
        <v>184554</v>
      </c>
      <c r="F19" s="49"/>
      <c r="G19" s="49"/>
      <c r="H19" s="49"/>
      <c r="I19" s="49"/>
      <c r="J19" s="316"/>
      <c r="K19" s="360"/>
      <c r="L19" s="363"/>
      <c r="M19" s="317"/>
      <c r="N19" s="317"/>
      <c r="O19" s="366"/>
      <c r="P19" s="365"/>
      <c r="Q19" s="364"/>
      <c r="R19" s="364"/>
      <c r="S19" s="348"/>
    </row>
    <row r="20" spans="1:19" ht="25.5" hidden="1" x14ac:dyDescent="0.25">
      <c r="A20" s="359">
        <v>0</v>
      </c>
      <c r="B20" s="49" t="s">
        <v>100</v>
      </c>
      <c r="C20" s="49" t="s">
        <v>69</v>
      </c>
      <c r="D20" s="49"/>
      <c r="E20" s="49">
        <v>184554</v>
      </c>
      <c r="F20" s="49" t="s">
        <v>101</v>
      </c>
      <c r="G20" s="316" t="s">
        <v>102</v>
      </c>
      <c r="H20" s="316" t="s">
        <v>103</v>
      </c>
      <c r="I20" s="49" t="s">
        <v>73</v>
      </c>
      <c r="J20" s="316">
        <v>45701</v>
      </c>
      <c r="K20" s="360">
        <v>45701</v>
      </c>
      <c r="L20" s="363" t="s">
        <v>47</v>
      </c>
      <c r="M20" s="366" t="s">
        <v>104</v>
      </c>
      <c r="N20" s="317">
        <v>2</v>
      </c>
      <c r="O20" s="366">
        <v>45702</v>
      </c>
      <c r="P20" s="364" t="s">
        <v>30</v>
      </c>
      <c r="Q20" s="364">
        <v>45705</v>
      </c>
      <c r="R20" s="364">
        <v>45705</v>
      </c>
      <c r="S20" s="348"/>
    </row>
    <row r="21" spans="1:19" hidden="1" x14ac:dyDescent="0.25">
      <c r="A21" s="359">
        <v>0</v>
      </c>
      <c r="B21" s="49" t="s">
        <v>105</v>
      </c>
      <c r="C21" s="49" t="s">
        <v>69</v>
      </c>
      <c r="D21" s="49"/>
      <c r="E21" s="49">
        <v>184554</v>
      </c>
      <c r="F21" s="49" t="s">
        <v>106</v>
      </c>
      <c r="G21" s="49" t="s">
        <v>107</v>
      </c>
      <c r="H21" s="49" t="s">
        <v>108</v>
      </c>
      <c r="I21" s="49" t="s">
        <v>73</v>
      </c>
      <c r="J21" s="316">
        <v>45701</v>
      </c>
      <c r="K21" s="360">
        <v>45701</v>
      </c>
      <c r="L21" s="363" t="s">
        <v>47</v>
      </c>
      <c r="M21" s="317" t="s">
        <v>109</v>
      </c>
      <c r="N21" s="317">
        <v>4</v>
      </c>
      <c r="O21" s="366">
        <v>45702</v>
      </c>
      <c r="P21" s="365" t="s">
        <v>30</v>
      </c>
      <c r="Q21" s="364">
        <v>45705</v>
      </c>
      <c r="R21" s="364">
        <v>45705</v>
      </c>
      <c r="S21" s="348"/>
    </row>
    <row r="22" spans="1:19" hidden="1" x14ac:dyDescent="0.25">
      <c r="A22" s="359">
        <v>0</v>
      </c>
      <c r="B22" s="49" t="s">
        <v>110</v>
      </c>
      <c r="C22" s="49" t="s">
        <v>69</v>
      </c>
      <c r="D22" s="49"/>
      <c r="E22" s="49">
        <v>184554</v>
      </c>
      <c r="F22" s="49" t="s">
        <v>111</v>
      </c>
      <c r="G22" s="49" t="s">
        <v>112</v>
      </c>
      <c r="H22" s="49" t="s">
        <v>113</v>
      </c>
      <c r="I22" s="49" t="s">
        <v>73</v>
      </c>
      <c r="J22" s="316">
        <v>45701</v>
      </c>
      <c r="K22" s="360">
        <v>45701</v>
      </c>
      <c r="L22" s="363" t="s">
        <v>47</v>
      </c>
      <c r="M22" s="317" t="s">
        <v>114</v>
      </c>
      <c r="N22" s="317">
        <v>2</v>
      </c>
      <c r="O22" s="366">
        <v>45702</v>
      </c>
      <c r="P22" s="365" t="s">
        <v>30</v>
      </c>
      <c r="Q22" s="364">
        <v>45705</v>
      </c>
      <c r="R22" s="364">
        <v>45705</v>
      </c>
      <c r="S22" s="348"/>
    </row>
    <row r="23" spans="1:19" ht="38.25" hidden="1" x14ac:dyDescent="0.25">
      <c r="A23" s="359">
        <v>0</v>
      </c>
      <c r="B23" s="49" t="s">
        <v>115</v>
      </c>
      <c r="C23" s="49" t="s">
        <v>116</v>
      </c>
      <c r="D23" s="49"/>
      <c r="E23" s="49">
        <v>184591</v>
      </c>
      <c r="F23" s="362" t="s">
        <v>117</v>
      </c>
      <c r="G23" s="49" t="s">
        <v>118</v>
      </c>
      <c r="H23" s="49" t="s">
        <v>119</v>
      </c>
      <c r="I23" s="49" t="s">
        <v>120</v>
      </c>
      <c r="J23" s="316">
        <v>45677</v>
      </c>
      <c r="K23" s="360"/>
      <c r="L23" s="363" t="s">
        <v>28</v>
      </c>
      <c r="M23" s="317" t="s">
        <v>121</v>
      </c>
      <c r="N23" s="317">
        <v>1</v>
      </c>
      <c r="O23" s="366">
        <v>45685</v>
      </c>
      <c r="P23" s="365" t="s">
        <v>30</v>
      </c>
      <c r="Q23" s="364">
        <v>45685</v>
      </c>
      <c r="R23" s="364">
        <v>45685</v>
      </c>
      <c r="S23" s="348"/>
    </row>
    <row r="24" spans="1:19" ht="38.25" hidden="1" x14ac:dyDescent="0.25">
      <c r="A24" s="359">
        <v>0</v>
      </c>
      <c r="B24" s="49" t="s">
        <v>122</v>
      </c>
      <c r="C24" s="49" t="s">
        <v>123</v>
      </c>
      <c r="D24" s="49"/>
      <c r="E24" s="49">
        <v>184600</v>
      </c>
      <c r="F24" s="49" t="s">
        <v>124</v>
      </c>
      <c r="G24" s="49" t="s">
        <v>125</v>
      </c>
      <c r="H24" s="49" t="s">
        <v>126</v>
      </c>
      <c r="I24" s="49" t="s">
        <v>127</v>
      </c>
      <c r="J24" s="316">
        <v>45678</v>
      </c>
      <c r="K24" s="360"/>
      <c r="L24" s="363" t="s">
        <v>28</v>
      </c>
      <c r="M24" s="317" t="s">
        <v>128</v>
      </c>
      <c r="N24" s="317">
        <v>2</v>
      </c>
      <c r="O24" s="366">
        <v>45684</v>
      </c>
      <c r="P24" s="365" t="s">
        <v>30</v>
      </c>
      <c r="Q24" s="364">
        <v>45685</v>
      </c>
      <c r="R24" s="364">
        <v>45685</v>
      </c>
      <c r="S24" s="348"/>
    </row>
    <row r="25" spans="1:19" ht="38.25" hidden="1" x14ac:dyDescent="0.25">
      <c r="A25" s="359">
        <v>0</v>
      </c>
      <c r="B25" s="49" t="s">
        <v>129</v>
      </c>
      <c r="C25" s="49" t="s">
        <v>130</v>
      </c>
      <c r="D25" s="49"/>
      <c r="E25" s="49">
        <v>184604</v>
      </c>
      <c r="F25" s="49"/>
      <c r="G25" s="49"/>
      <c r="H25" s="49"/>
      <c r="I25" s="49"/>
      <c r="J25" s="316"/>
      <c r="K25" s="360"/>
      <c r="L25" s="363"/>
      <c r="M25" s="317"/>
      <c r="N25" s="317"/>
      <c r="O25" s="366"/>
      <c r="P25" s="365"/>
      <c r="Q25" s="364"/>
      <c r="R25" s="364"/>
      <c r="S25" s="348"/>
    </row>
    <row r="26" spans="1:19" ht="25.5" hidden="1" x14ac:dyDescent="0.25">
      <c r="A26" s="359">
        <v>0</v>
      </c>
      <c r="B26" s="49" t="s">
        <v>131</v>
      </c>
      <c r="C26" s="49" t="s">
        <v>132</v>
      </c>
      <c r="D26" s="49"/>
      <c r="E26" s="49">
        <v>184613</v>
      </c>
      <c r="F26" s="49" t="s">
        <v>133</v>
      </c>
      <c r="G26" s="49" t="s">
        <v>134</v>
      </c>
      <c r="H26" s="49" t="s">
        <v>135</v>
      </c>
      <c r="I26" s="49" t="s">
        <v>136</v>
      </c>
      <c r="J26" s="316">
        <v>45684</v>
      </c>
      <c r="K26" s="316">
        <v>45684</v>
      </c>
      <c r="L26" s="363" t="s">
        <v>28</v>
      </c>
      <c r="M26" s="317" t="s">
        <v>137</v>
      </c>
      <c r="N26" s="317">
        <v>1</v>
      </c>
      <c r="O26" s="366">
        <v>45685</v>
      </c>
      <c r="P26" s="365" t="s">
        <v>30</v>
      </c>
      <c r="Q26" s="364">
        <v>45686</v>
      </c>
      <c r="R26" s="364">
        <v>45686</v>
      </c>
      <c r="S26" s="348"/>
    </row>
    <row r="27" spans="1:19" ht="25.5" hidden="1" x14ac:dyDescent="0.25">
      <c r="A27" s="359">
        <v>0</v>
      </c>
      <c r="B27" s="49" t="s">
        <v>138</v>
      </c>
      <c r="C27" s="49" t="s">
        <v>139</v>
      </c>
      <c r="D27" s="49"/>
      <c r="E27" s="49">
        <v>184608</v>
      </c>
      <c r="F27" s="362" t="s">
        <v>140</v>
      </c>
      <c r="G27" s="49" t="s">
        <v>141</v>
      </c>
      <c r="H27" s="49" t="s">
        <v>142</v>
      </c>
      <c r="I27" s="49" t="s">
        <v>143</v>
      </c>
      <c r="J27" s="316">
        <v>45672</v>
      </c>
      <c r="K27" s="316">
        <v>45681</v>
      </c>
      <c r="L27" s="363" t="s">
        <v>28</v>
      </c>
      <c r="M27" s="317" t="s">
        <v>144</v>
      </c>
      <c r="N27" s="317">
        <v>2</v>
      </c>
      <c r="O27" s="366">
        <v>45685</v>
      </c>
      <c r="P27" s="365" t="s">
        <v>30</v>
      </c>
      <c r="Q27" s="364">
        <v>45685</v>
      </c>
      <c r="R27" s="364">
        <v>45685</v>
      </c>
      <c r="S27" s="348"/>
    </row>
    <row r="28" spans="1:19" ht="38.25" hidden="1" x14ac:dyDescent="0.25">
      <c r="A28" s="359">
        <v>0</v>
      </c>
      <c r="B28" s="49" t="s">
        <v>145</v>
      </c>
      <c r="C28" s="49" t="s">
        <v>42</v>
      </c>
      <c r="D28" s="49"/>
      <c r="E28" s="49">
        <v>184611</v>
      </c>
      <c r="F28" s="362" t="s">
        <v>146</v>
      </c>
      <c r="G28" s="49" t="s">
        <v>147</v>
      </c>
      <c r="H28" s="49" t="s">
        <v>148</v>
      </c>
      <c r="I28" s="49" t="s">
        <v>149</v>
      </c>
      <c r="J28" s="316">
        <v>45733</v>
      </c>
      <c r="K28" s="316">
        <v>45733</v>
      </c>
      <c r="L28" s="363" t="s">
        <v>28</v>
      </c>
      <c r="M28" s="317" t="s">
        <v>150</v>
      </c>
      <c r="N28" s="317">
        <v>3</v>
      </c>
      <c r="O28" s="366">
        <v>45735</v>
      </c>
      <c r="P28" s="365" t="s">
        <v>30</v>
      </c>
      <c r="Q28" s="364">
        <v>45736</v>
      </c>
      <c r="R28" s="364">
        <v>45736</v>
      </c>
      <c r="S28" s="348"/>
    </row>
    <row r="29" spans="1:19" ht="25.5" hidden="1" x14ac:dyDescent="0.25">
      <c r="A29" s="359">
        <v>0</v>
      </c>
      <c r="B29" s="49" t="s">
        <v>151</v>
      </c>
      <c r="C29" s="49" t="s">
        <v>42</v>
      </c>
      <c r="D29" s="49"/>
      <c r="E29" s="49">
        <v>184610</v>
      </c>
      <c r="F29" s="362" t="s">
        <v>152</v>
      </c>
      <c r="G29" s="49" t="s">
        <v>147</v>
      </c>
      <c r="H29" s="49" t="s">
        <v>153</v>
      </c>
      <c r="I29" s="49" t="s">
        <v>46</v>
      </c>
      <c r="J29" s="316">
        <v>45683</v>
      </c>
      <c r="K29" s="316">
        <v>45683</v>
      </c>
      <c r="L29" s="363" t="s">
        <v>28</v>
      </c>
      <c r="M29" s="317" t="s">
        <v>154</v>
      </c>
      <c r="N29" s="317">
        <v>2</v>
      </c>
      <c r="O29" s="366">
        <v>45742</v>
      </c>
      <c r="P29" s="365" t="s">
        <v>30</v>
      </c>
      <c r="Q29" s="364">
        <v>45747</v>
      </c>
      <c r="R29" s="364">
        <v>45747</v>
      </c>
      <c r="S29" s="348"/>
    </row>
    <row r="30" spans="1:19" ht="25.5" hidden="1" x14ac:dyDescent="0.25">
      <c r="A30" s="359">
        <v>0</v>
      </c>
      <c r="B30" s="49" t="s">
        <v>155</v>
      </c>
      <c r="C30" s="49" t="s">
        <v>156</v>
      </c>
      <c r="D30" s="49"/>
      <c r="E30" s="49">
        <v>184607</v>
      </c>
      <c r="F30" s="362" t="s">
        <v>157</v>
      </c>
      <c r="G30" s="49" t="s">
        <v>158</v>
      </c>
      <c r="H30" s="49" t="s">
        <v>159</v>
      </c>
      <c r="I30" s="49" t="s">
        <v>160</v>
      </c>
      <c r="J30" s="316">
        <v>45679</v>
      </c>
      <c r="K30" s="316">
        <v>45679</v>
      </c>
      <c r="L30" s="363" t="s">
        <v>47</v>
      </c>
      <c r="M30" s="317" t="s">
        <v>161</v>
      </c>
      <c r="N30" s="317">
        <v>1</v>
      </c>
      <c r="O30" s="366">
        <v>45687</v>
      </c>
      <c r="P30" s="365" t="s">
        <v>30</v>
      </c>
      <c r="Q30" s="364">
        <v>45688</v>
      </c>
      <c r="R30" s="364">
        <v>45688</v>
      </c>
      <c r="S30" s="348"/>
    </row>
    <row r="31" spans="1:19" hidden="1" x14ac:dyDescent="0.25">
      <c r="A31" s="359">
        <v>0</v>
      </c>
      <c r="B31" s="49" t="s">
        <v>162</v>
      </c>
      <c r="C31" s="49" t="s">
        <v>163</v>
      </c>
      <c r="D31" s="49"/>
      <c r="E31" s="49">
        <v>184578</v>
      </c>
      <c r="F31" s="362" t="s">
        <v>164</v>
      </c>
      <c r="G31" s="49" t="s">
        <v>165</v>
      </c>
      <c r="H31" s="49">
        <v>1213</v>
      </c>
      <c r="I31" s="49" t="s">
        <v>166</v>
      </c>
      <c r="J31" s="316">
        <v>45681</v>
      </c>
      <c r="K31" s="316">
        <v>45685</v>
      </c>
      <c r="L31" s="363" t="s">
        <v>28</v>
      </c>
      <c r="M31" s="317" t="s">
        <v>167</v>
      </c>
      <c r="N31" s="317">
        <v>2</v>
      </c>
      <c r="O31" s="366">
        <v>45691</v>
      </c>
      <c r="P31" s="365" t="s">
        <v>30</v>
      </c>
      <c r="Q31" s="364">
        <v>45691</v>
      </c>
      <c r="R31" s="364">
        <v>45691</v>
      </c>
      <c r="S31" s="348"/>
    </row>
    <row r="32" spans="1:19" ht="51" hidden="1" x14ac:dyDescent="0.25">
      <c r="A32" s="359">
        <v>0</v>
      </c>
      <c r="B32" s="49" t="s">
        <v>168</v>
      </c>
      <c r="C32" s="49" t="s">
        <v>169</v>
      </c>
      <c r="D32" s="49"/>
      <c r="E32" s="49">
        <v>184628</v>
      </c>
      <c r="F32" s="362" t="s">
        <v>170</v>
      </c>
      <c r="G32" s="49" t="s">
        <v>171</v>
      </c>
      <c r="H32" s="49" t="s">
        <v>172</v>
      </c>
      <c r="I32" s="49" t="s">
        <v>173</v>
      </c>
      <c r="J32" s="316">
        <v>45684</v>
      </c>
      <c r="K32" s="360">
        <v>45684</v>
      </c>
      <c r="L32" s="363" t="s">
        <v>47</v>
      </c>
      <c r="M32" s="317" t="s">
        <v>174</v>
      </c>
      <c r="N32" s="317">
        <v>1</v>
      </c>
      <c r="O32" s="366">
        <v>45691</v>
      </c>
      <c r="P32" s="365" t="s">
        <v>30</v>
      </c>
      <c r="Q32" s="364">
        <v>45691</v>
      </c>
      <c r="R32" s="364">
        <v>45691</v>
      </c>
      <c r="S32" s="348"/>
    </row>
    <row r="33" spans="1:19" ht="38.25" hidden="1" x14ac:dyDescent="0.25">
      <c r="A33" s="359">
        <v>0</v>
      </c>
      <c r="B33" s="49" t="s">
        <v>175</v>
      </c>
      <c r="C33" s="49" t="s">
        <v>176</v>
      </c>
      <c r="D33" s="49"/>
      <c r="E33" s="49">
        <v>184310</v>
      </c>
      <c r="F33" s="362" t="s">
        <v>177</v>
      </c>
      <c r="G33" s="49" t="s">
        <v>178</v>
      </c>
      <c r="H33" s="49" t="s">
        <v>179</v>
      </c>
      <c r="I33" s="49" t="s">
        <v>180</v>
      </c>
      <c r="J33" s="316">
        <v>45686</v>
      </c>
      <c r="K33" s="360">
        <v>45686</v>
      </c>
      <c r="L33" s="399" t="s">
        <v>28</v>
      </c>
      <c r="M33" s="322" t="s">
        <v>181</v>
      </c>
      <c r="N33" s="317">
        <v>2</v>
      </c>
      <c r="O33" s="322">
        <v>45699</v>
      </c>
      <c r="P33" s="365" t="s">
        <v>30</v>
      </c>
      <c r="Q33" s="364">
        <v>45699</v>
      </c>
      <c r="R33" s="364">
        <v>45699</v>
      </c>
      <c r="S33" s="348"/>
    </row>
    <row r="34" spans="1:19" ht="25.5" hidden="1" x14ac:dyDescent="0.25">
      <c r="A34" s="359">
        <v>0</v>
      </c>
      <c r="B34" s="49" t="s">
        <v>182</v>
      </c>
      <c r="C34" s="49" t="s">
        <v>183</v>
      </c>
      <c r="D34" s="49"/>
      <c r="E34" s="49">
        <v>184599</v>
      </c>
      <c r="F34" s="362" t="s">
        <v>184</v>
      </c>
      <c r="G34" s="49" t="s">
        <v>185</v>
      </c>
      <c r="H34" s="49" t="s">
        <v>186</v>
      </c>
      <c r="I34" s="49" t="s">
        <v>187</v>
      </c>
      <c r="J34" s="316">
        <v>45685</v>
      </c>
      <c r="K34" s="360">
        <v>45685</v>
      </c>
      <c r="L34" s="363" t="s">
        <v>28</v>
      </c>
      <c r="M34" s="317">
        <v>13976</v>
      </c>
      <c r="N34" s="317">
        <v>9</v>
      </c>
      <c r="O34" s="366">
        <v>45707</v>
      </c>
      <c r="P34" s="365" t="s">
        <v>30</v>
      </c>
      <c r="Q34" s="364">
        <v>45707</v>
      </c>
      <c r="R34" s="364">
        <v>45707</v>
      </c>
      <c r="S34" s="348"/>
    </row>
    <row r="35" spans="1:19" ht="25.5" hidden="1" x14ac:dyDescent="0.25">
      <c r="A35" s="359">
        <v>0</v>
      </c>
      <c r="B35" s="49" t="s">
        <v>188</v>
      </c>
      <c r="C35" s="49" t="s">
        <v>50</v>
      </c>
      <c r="D35" s="49"/>
      <c r="E35" s="49">
        <v>184637</v>
      </c>
      <c r="F35" s="362" t="s">
        <v>189</v>
      </c>
      <c r="G35" s="49" t="s">
        <v>190</v>
      </c>
      <c r="H35" s="49" t="s">
        <v>191</v>
      </c>
      <c r="I35" s="49" t="s">
        <v>160</v>
      </c>
      <c r="J35" s="316">
        <v>45688</v>
      </c>
      <c r="K35" s="360">
        <v>45688</v>
      </c>
      <c r="L35" s="363" t="s">
        <v>28</v>
      </c>
      <c r="M35" s="317" t="s">
        <v>192</v>
      </c>
      <c r="N35" s="317">
        <v>3</v>
      </c>
      <c r="O35" s="366">
        <v>45701</v>
      </c>
      <c r="P35" s="365" t="s">
        <v>30</v>
      </c>
      <c r="Q35" s="364">
        <v>45701</v>
      </c>
      <c r="R35" s="364">
        <v>45701</v>
      </c>
      <c r="S35" s="348"/>
    </row>
    <row r="36" spans="1:19" ht="38.25" hidden="1" x14ac:dyDescent="0.25">
      <c r="A36" s="359">
        <v>0</v>
      </c>
      <c r="B36" s="49" t="s">
        <v>193</v>
      </c>
      <c r="C36" s="49" t="s">
        <v>194</v>
      </c>
      <c r="D36" s="49"/>
      <c r="E36" s="49">
        <v>184612</v>
      </c>
      <c r="F36" s="362" t="s">
        <v>195</v>
      </c>
      <c r="G36" s="49" t="s">
        <v>196</v>
      </c>
      <c r="H36" s="49" t="s">
        <v>197</v>
      </c>
      <c r="I36" s="49" t="s">
        <v>198</v>
      </c>
      <c r="J36" s="316">
        <v>45688</v>
      </c>
      <c r="K36" s="360">
        <v>45688</v>
      </c>
      <c r="L36" s="399" t="s">
        <v>28</v>
      </c>
      <c r="M36" s="317" t="s">
        <v>199</v>
      </c>
      <c r="N36" s="317">
        <v>3</v>
      </c>
      <c r="O36" s="322">
        <v>45701</v>
      </c>
      <c r="P36" s="365" t="s">
        <v>30</v>
      </c>
      <c r="Q36" s="364">
        <v>45701</v>
      </c>
      <c r="R36" s="364">
        <v>45701</v>
      </c>
      <c r="S36" s="348"/>
    </row>
    <row r="37" spans="1:19" ht="25.5" hidden="1" x14ac:dyDescent="0.25">
      <c r="A37" s="359">
        <v>0</v>
      </c>
      <c r="B37" s="49" t="s">
        <v>200</v>
      </c>
      <c r="C37" s="49" t="s">
        <v>201</v>
      </c>
      <c r="D37" s="49"/>
      <c r="E37" s="49">
        <v>184057</v>
      </c>
      <c r="F37" s="362" t="s">
        <v>202</v>
      </c>
      <c r="G37" s="49"/>
      <c r="H37" s="49"/>
      <c r="I37" s="49"/>
      <c r="J37" s="316"/>
      <c r="K37" s="360"/>
      <c r="L37" s="363"/>
      <c r="M37" s="317"/>
      <c r="N37" s="317"/>
      <c r="O37" s="366"/>
      <c r="P37" s="365"/>
      <c r="Q37" s="364"/>
      <c r="R37" s="364"/>
      <c r="S37" s="348"/>
    </row>
    <row r="38" spans="1:19" ht="25.5" hidden="1" x14ac:dyDescent="0.25">
      <c r="A38" s="359">
        <v>0</v>
      </c>
      <c r="B38" s="49" t="s">
        <v>203</v>
      </c>
      <c r="C38" s="49" t="s">
        <v>201</v>
      </c>
      <c r="D38" s="49"/>
      <c r="E38" s="49">
        <v>184641</v>
      </c>
      <c r="F38" s="362" t="s">
        <v>204</v>
      </c>
      <c r="G38" s="49" t="s">
        <v>205</v>
      </c>
      <c r="H38" s="49" t="s">
        <v>206</v>
      </c>
      <c r="I38" s="49" t="s">
        <v>207</v>
      </c>
      <c r="J38" s="316">
        <v>45822</v>
      </c>
      <c r="K38" s="360">
        <v>45853</v>
      </c>
      <c r="L38" s="363" t="s">
        <v>28</v>
      </c>
      <c r="M38" s="317" t="s">
        <v>208</v>
      </c>
      <c r="N38" s="317">
        <v>1</v>
      </c>
      <c r="O38" s="366">
        <v>45695</v>
      </c>
      <c r="P38" s="365" t="s">
        <v>30</v>
      </c>
      <c r="Q38" s="364">
        <v>45698</v>
      </c>
      <c r="R38" s="364">
        <v>45698</v>
      </c>
      <c r="S38" s="348"/>
    </row>
    <row r="39" spans="1:19" ht="25.5" hidden="1" x14ac:dyDescent="0.25">
      <c r="A39" s="359">
        <v>0</v>
      </c>
      <c r="B39" s="49" t="s">
        <v>209</v>
      </c>
      <c r="C39" s="49" t="s">
        <v>201</v>
      </c>
      <c r="D39" s="49"/>
      <c r="E39" s="49">
        <v>184642</v>
      </c>
      <c r="F39" s="362" t="s">
        <v>210</v>
      </c>
      <c r="G39" s="49" t="s">
        <v>211</v>
      </c>
      <c r="H39" s="49" t="s">
        <v>212</v>
      </c>
      <c r="I39" s="49" t="s">
        <v>213</v>
      </c>
      <c r="J39" s="316">
        <v>45687</v>
      </c>
      <c r="K39" s="316">
        <v>45692</v>
      </c>
      <c r="L39" s="363" t="s">
        <v>28</v>
      </c>
      <c r="M39" s="317" t="s">
        <v>214</v>
      </c>
      <c r="N39" s="317">
        <v>1</v>
      </c>
      <c r="O39" s="322">
        <v>45694</v>
      </c>
      <c r="P39" s="365" t="s">
        <v>30</v>
      </c>
      <c r="Q39" s="364">
        <v>45694</v>
      </c>
      <c r="R39" s="364">
        <v>45694</v>
      </c>
      <c r="S39" s="348"/>
    </row>
    <row r="40" spans="1:19" ht="25.5" hidden="1" x14ac:dyDescent="0.25">
      <c r="A40" s="359">
        <v>0</v>
      </c>
      <c r="B40" s="49" t="s">
        <v>215</v>
      </c>
      <c r="C40" s="49" t="s">
        <v>216</v>
      </c>
      <c r="D40" s="49"/>
      <c r="E40" s="49">
        <v>184692</v>
      </c>
      <c r="F40" s="362" t="s">
        <v>217</v>
      </c>
      <c r="G40" s="49"/>
      <c r="H40" s="49"/>
      <c r="I40" s="49"/>
      <c r="J40" s="316"/>
      <c r="K40" s="316"/>
      <c r="L40" s="363"/>
      <c r="M40" s="317"/>
      <c r="N40" s="317"/>
      <c r="O40" s="366"/>
      <c r="P40" s="365"/>
      <c r="Q40" s="364"/>
      <c r="R40" s="364"/>
      <c r="S40" s="348"/>
    </row>
    <row r="41" spans="1:19" ht="25.5" hidden="1" x14ac:dyDescent="0.25">
      <c r="A41" s="359">
        <v>0</v>
      </c>
      <c r="B41" s="49" t="s">
        <v>218</v>
      </c>
      <c r="C41" s="49" t="s">
        <v>219</v>
      </c>
      <c r="D41" s="49"/>
      <c r="E41" s="49">
        <v>184632</v>
      </c>
      <c r="F41" s="362" t="s">
        <v>220</v>
      </c>
      <c r="G41" s="49" t="s">
        <v>221</v>
      </c>
      <c r="H41" s="49" t="s">
        <v>222</v>
      </c>
      <c r="I41" s="49" t="s">
        <v>223</v>
      </c>
      <c r="J41" s="316">
        <v>45706</v>
      </c>
      <c r="K41" s="316">
        <v>45706</v>
      </c>
      <c r="L41" s="363" t="s">
        <v>28</v>
      </c>
      <c r="M41" s="317" t="s">
        <v>224</v>
      </c>
      <c r="N41" s="317">
        <v>1</v>
      </c>
      <c r="O41" s="366">
        <v>45706</v>
      </c>
      <c r="P41" s="365" t="s">
        <v>30</v>
      </c>
      <c r="Q41" s="364">
        <v>45708</v>
      </c>
      <c r="R41" s="364">
        <v>45708</v>
      </c>
      <c r="S41" s="348"/>
    </row>
    <row r="42" spans="1:19" ht="25.5" hidden="1" x14ac:dyDescent="0.25">
      <c r="A42" s="359">
        <v>0</v>
      </c>
      <c r="B42" s="49" t="s">
        <v>225</v>
      </c>
      <c r="C42" s="49" t="s">
        <v>226</v>
      </c>
      <c r="D42" s="49"/>
      <c r="E42" s="49">
        <v>184695</v>
      </c>
      <c r="F42" s="362" t="s">
        <v>227</v>
      </c>
      <c r="G42" s="49" t="s">
        <v>228</v>
      </c>
      <c r="H42" s="49" t="s">
        <v>229</v>
      </c>
      <c r="I42" s="316" t="s">
        <v>230</v>
      </c>
      <c r="J42" s="316">
        <v>45694</v>
      </c>
      <c r="K42" s="316">
        <v>45694</v>
      </c>
      <c r="L42" s="363" t="s">
        <v>47</v>
      </c>
      <c r="M42" s="317" t="s">
        <v>231</v>
      </c>
      <c r="N42" s="317">
        <v>8</v>
      </c>
      <c r="O42" s="366">
        <v>45698</v>
      </c>
      <c r="P42" s="365" t="s">
        <v>30</v>
      </c>
      <c r="Q42" s="364">
        <v>45707</v>
      </c>
      <c r="R42" s="364">
        <v>45707</v>
      </c>
      <c r="S42" s="348"/>
    </row>
    <row r="43" spans="1:19" ht="25.5" hidden="1" customHeight="1" x14ac:dyDescent="0.25">
      <c r="A43" s="359">
        <v>0</v>
      </c>
      <c r="B43" s="49" t="s">
        <v>232</v>
      </c>
      <c r="C43" s="49" t="s">
        <v>226</v>
      </c>
      <c r="D43" s="49"/>
      <c r="E43" s="49">
        <v>184696</v>
      </c>
      <c r="F43" s="362" t="s">
        <v>233</v>
      </c>
      <c r="G43" s="49" t="s">
        <v>228</v>
      </c>
      <c r="H43" s="49" t="s">
        <v>234</v>
      </c>
      <c r="I43" s="49" t="s">
        <v>230</v>
      </c>
      <c r="J43" s="316">
        <v>45694</v>
      </c>
      <c r="K43" s="316">
        <v>45694</v>
      </c>
      <c r="L43" s="363" t="s">
        <v>47</v>
      </c>
      <c r="M43" s="317" t="s">
        <v>235</v>
      </c>
      <c r="N43" s="317">
        <v>10</v>
      </c>
      <c r="O43" s="322">
        <v>45698</v>
      </c>
      <c r="P43" s="365" t="s">
        <v>30</v>
      </c>
      <c r="Q43" s="364">
        <v>45707</v>
      </c>
      <c r="R43" s="364">
        <v>45707</v>
      </c>
      <c r="S43" s="348"/>
    </row>
    <row r="44" spans="1:19" ht="38.25" hidden="1" x14ac:dyDescent="0.25">
      <c r="A44" s="359">
        <v>0</v>
      </c>
      <c r="B44" s="49" t="s">
        <v>236</v>
      </c>
      <c r="C44" s="49" t="s">
        <v>123</v>
      </c>
      <c r="D44" s="49"/>
      <c r="E44" s="49">
        <v>184697</v>
      </c>
      <c r="F44" s="362" t="s">
        <v>237</v>
      </c>
      <c r="G44" s="49" t="s">
        <v>238</v>
      </c>
      <c r="H44" s="49" t="s">
        <v>239</v>
      </c>
      <c r="I44" s="49" t="s">
        <v>240</v>
      </c>
      <c r="J44" s="316">
        <v>45690</v>
      </c>
      <c r="K44" s="316">
        <v>45694</v>
      </c>
      <c r="L44" s="363" t="s">
        <v>28</v>
      </c>
      <c r="M44" s="317" t="s">
        <v>241</v>
      </c>
      <c r="N44" s="317">
        <v>1</v>
      </c>
      <c r="O44" s="366">
        <v>45695</v>
      </c>
      <c r="P44" s="365" t="s">
        <v>30</v>
      </c>
      <c r="Q44" s="364">
        <v>45695</v>
      </c>
      <c r="R44" s="364">
        <v>45695</v>
      </c>
      <c r="S44" s="348"/>
    </row>
    <row r="45" spans="1:19" hidden="1" x14ac:dyDescent="0.25">
      <c r="A45" s="359">
        <v>0</v>
      </c>
      <c r="B45" s="49" t="s">
        <v>242</v>
      </c>
      <c r="C45" s="49" t="s">
        <v>243</v>
      </c>
      <c r="D45" s="49"/>
      <c r="E45" s="49">
        <v>184640</v>
      </c>
      <c r="F45" s="362" t="s">
        <v>244</v>
      </c>
      <c r="G45" s="49" t="s">
        <v>245</v>
      </c>
      <c r="H45" s="49" t="s">
        <v>246</v>
      </c>
      <c r="I45" s="49" t="s">
        <v>247</v>
      </c>
      <c r="J45" s="316">
        <v>45688</v>
      </c>
      <c r="K45" s="316">
        <v>45691</v>
      </c>
      <c r="L45" s="363" t="s">
        <v>28</v>
      </c>
      <c r="M45" s="317" t="s">
        <v>248</v>
      </c>
      <c r="N45" s="317">
        <v>1</v>
      </c>
      <c r="O45" s="366">
        <v>45701</v>
      </c>
      <c r="P45" s="365" t="s">
        <v>30</v>
      </c>
      <c r="Q45" s="364">
        <v>45701</v>
      </c>
      <c r="R45" s="364">
        <v>45701</v>
      </c>
      <c r="S45" s="348"/>
    </row>
    <row r="46" spans="1:19" hidden="1" x14ac:dyDescent="0.25">
      <c r="A46" s="359">
        <v>0</v>
      </c>
      <c r="B46" s="49" t="s">
        <v>249</v>
      </c>
      <c r="C46" s="49" t="s">
        <v>243</v>
      </c>
      <c r="D46" s="49"/>
      <c r="E46" s="49">
        <v>184640</v>
      </c>
      <c r="F46" s="362" t="s">
        <v>250</v>
      </c>
      <c r="G46" s="49" t="s">
        <v>245</v>
      </c>
      <c r="H46" s="49" t="s">
        <v>251</v>
      </c>
      <c r="I46" s="49" t="s">
        <v>247</v>
      </c>
      <c r="J46" s="316">
        <v>45688</v>
      </c>
      <c r="K46" s="316">
        <v>45691</v>
      </c>
      <c r="L46" s="363" t="s">
        <v>28</v>
      </c>
      <c r="M46" s="317" t="s">
        <v>248</v>
      </c>
      <c r="N46" s="317">
        <v>1</v>
      </c>
      <c r="O46" s="366">
        <v>45701</v>
      </c>
      <c r="P46" s="365" t="s">
        <v>30</v>
      </c>
      <c r="Q46" s="364">
        <v>45701</v>
      </c>
      <c r="R46" s="364">
        <v>45701</v>
      </c>
      <c r="S46" s="348"/>
    </row>
    <row r="47" spans="1:19" ht="25.5" hidden="1" x14ac:dyDescent="0.25">
      <c r="A47" s="359">
        <v>0</v>
      </c>
      <c r="B47" s="49" t="s">
        <v>252</v>
      </c>
      <c r="C47" s="49" t="s">
        <v>253</v>
      </c>
      <c r="D47" s="49"/>
      <c r="E47" s="49">
        <v>184699</v>
      </c>
      <c r="F47" s="362" t="s">
        <v>254</v>
      </c>
      <c r="G47" s="49" t="s">
        <v>255</v>
      </c>
      <c r="H47" s="49" t="s">
        <v>256</v>
      </c>
      <c r="I47" s="49" t="s">
        <v>257</v>
      </c>
      <c r="J47" s="316">
        <v>45674</v>
      </c>
      <c r="K47" s="316">
        <v>45699</v>
      </c>
      <c r="L47" s="363" t="s">
        <v>28</v>
      </c>
      <c r="M47" s="317" t="s">
        <v>258</v>
      </c>
      <c r="N47" s="317">
        <v>20</v>
      </c>
      <c r="O47" s="366">
        <v>45757</v>
      </c>
      <c r="P47" s="365" t="s">
        <v>30</v>
      </c>
      <c r="Q47" s="364">
        <v>45757</v>
      </c>
      <c r="R47" s="364">
        <v>45757</v>
      </c>
      <c r="S47" s="348"/>
    </row>
    <row r="48" spans="1:19" ht="25.5" hidden="1" x14ac:dyDescent="0.25">
      <c r="A48" s="359">
        <v>0</v>
      </c>
      <c r="B48" s="49" t="s">
        <v>259</v>
      </c>
      <c r="C48" s="49" t="s">
        <v>253</v>
      </c>
      <c r="D48" s="49"/>
      <c r="E48" s="49">
        <v>184670</v>
      </c>
      <c r="F48" s="362" t="s">
        <v>260</v>
      </c>
      <c r="G48" s="49" t="s">
        <v>261</v>
      </c>
      <c r="H48" s="49" t="s">
        <v>262</v>
      </c>
      <c r="I48" s="49" t="s">
        <v>257</v>
      </c>
      <c r="J48" s="316">
        <v>45699</v>
      </c>
      <c r="K48" s="316">
        <v>45699</v>
      </c>
      <c r="L48" s="363" t="s">
        <v>28</v>
      </c>
      <c r="M48" s="317" t="s">
        <v>263</v>
      </c>
      <c r="N48" s="317">
        <v>20</v>
      </c>
      <c r="O48" s="366">
        <v>45762</v>
      </c>
      <c r="P48" s="365" t="s">
        <v>264</v>
      </c>
      <c r="Q48" s="364">
        <v>45763</v>
      </c>
      <c r="R48" s="364">
        <v>45763</v>
      </c>
      <c r="S48" s="348"/>
    </row>
    <row r="49" spans="1:19" hidden="1" x14ac:dyDescent="0.25">
      <c r="A49" s="359">
        <v>0</v>
      </c>
      <c r="B49" s="49" t="s">
        <v>265</v>
      </c>
      <c r="C49" s="49" t="s">
        <v>139</v>
      </c>
      <c r="D49" s="49"/>
      <c r="E49" s="49">
        <v>184724</v>
      </c>
      <c r="F49" s="362" t="s">
        <v>266</v>
      </c>
      <c r="G49" s="49" t="s">
        <v>267</v>
      </c>
      <c r="H49" s="49" t="s">
        <v>268</v>
      </c>
      <c r="I49" s="49" t="s">
        <v>143</v>
      </c>
      <c r="J49" s="316">
        <v>45699</v>
      </c>
      <c r="K49" s="316">
        <v>45700</v>
      </c>
      <c r="L49" s="363" t="s">
        <v>28</v>
      </c>
      <c r="M49" s="317" t="s">
        <v>269</v>
      </c>
      <c r="N49" s="317">
        <v>1</v>
      </c>
      <c r="O49" s="366">
        <v>45702</v>
      </c>
      <c r="P49" s="365" t="s">
        <v>30</v>
      </c>
      <c r="Q49" s="364">
        <v>45705</v>
      </c>
      <c r="R49" s="364">
        <v>45705</v>
      </c>
      <c r="S49" s="348"/>
    </row>
    <row r="50" spans="1:19" ht="25.5" hidden="1" x14ac:dyDescent="0.25">
      <c r="A50" s="359">
        <v>0</v>
      </c>
      <c r="B50" s="49" t="s">
        <v>270</v>
      </c>
      <c r="C50" s="49" t="s">
        <v>50</v>
      </c>
      <c r="D50" s="49"/>
      <c r="E50" s="49">
        <v>184703</v>
      </c>
      <c r="F50" s="362" t="s">
        <v>271</v>
      </c>
      <c r="G50" s="49" t="s">
        <v>272</v>
      </c>
      <c r="H50" s="49" t="s">
        <v>273</v>
      </c>
      <c r="I50" s="49" t="s">
        <v>160</v>
      </c>
      <c r="J50" s="316">
        <v>45701</v>
      </c>
      <c r="K50" s="316">
        <v>45701</v>
      </c>
      <c r="L50" s="363" t="s">
        <v>28</v>
      </c>
      <c r="M50" s="317" t="s">
        <v>274</v>
      </c>
      <c r="N50" s="317">
        <v>6</v>
      </c>
      <c r="O50" s="366">
        <v>45735</v>
      </c>
      <c r="P50" s="365" t="s">
        <v>30</v>
      </c>
      <c r="Q50" s="364">
        <v>45736</v>
      </c>
      <c r="R50" s="364">
        <v>45736</v>
      </c>
      <c r="S50" s="348"/>
    </row>
    <row r="51" spans="1:19" ht="25.5" hidden="1" x14ac:dyDescent="0.25">
      <c r="A51" s="359">
        <v>0</v>
      </c>
      <c r="B51" s="49" t="s">
        <v>275</v>
      </c>
      <c r="C51" s="49" t="s">
        <v>201</v>
      </c>
      <c r="D51" s="49"/>
      <c r="E51" s="49">
        <v>184508</v>
      </c>
      <c r="F51" s="362" t="s">
        <v>276</v>
      </c>
      <c r="G51" s="49" t="s">
        <v>277</v>
      </c>
      <c r="H51" s="49" t="s">
        <v>278</v>
      </c>
      <c r="I51" s="49" t="s">
        <v>279</v>
      </c>
      <c r="J51" s="316">
        <v>45671</v>
      </c>
      <c r="K51" s="316">
        <v>45671</v>
      </c>
      <c r="L51" s="363" t="s">
        <v>28</v>
      </c>
      <c r="M51" s="317" t="s">
        <v>280</v>
      </c>
      <c r="N51" s="317">
        <v>2</v>
      </c>
      <c r="O51" s="366">
        <v>45708</v>
      </c>
      <c r="P51" s="365" t="s">
        <v>30</v>
      </c>
      <c r="Q51" s="364">
        <v>45709</v>
      </c>
      <c r="R51" s="364">
        <v>45709</v>
      </c>
      <c r="S51" s="348"/>
    </row>
    <row r="52" spans="1:19" hidden="1" x14ac:dyDescent="0.25">
      <c r="A52" s="359">
        <v>0</v>
      </c>
      <c r="B52" s="49" t="s">
        <v>281</v>
      </c>
      <c r="C52" s="49" t="s">
        <v>282</v>
      </c>
      <c r="D52" s="49"/>
      <c r="E52" s="49">
        <v>184726</v>
      </c>
      <c r="F52" s="362" t="s">
        <v>283</v>
      </c>
      <c r="G52" s="49" t="s">
        <v>284</v>
      </c>
      <c r="H52" s="49" t="s">
        <v>285</v>
      </c>
      <c r="I52" s="49" t="s">
        <v>286</v>
      </c>
      <c r="J52" s="316">
        <v>45705</v>
      </c>
      <c r="K52" s="316">
        <v>45705</v>
      </c>
      <c r="L52" s="363" t="s">
        <v>28</v>
      </c>
      <c r="M52" s="317" t="s">
        <v>287</v>
      </c>
      <c r="N52" s="317">
        <v>20</v>
      </c>
      <c r="O52" s="366">
        <v>45727</v>
      </c>
      <c r="P52" s="365" t="s">
        <v>30</v>
      </c>
      <c r="Q52" s="364">
        <v>45733</v>
      </c>
      <c r="R52" s="364">
        <v>45733</v>
      </c>
      <c r="S52" s="348"/>
    </row>
    <row r="53" spans="1:19" ht="25.5" hidden="1" x14ac:dyDescent="0.25">
      <c r="A53" s="359">
        <v>0</v>
      </c>
      <c r="B53" s="49" t="s">
        <v>288</v>
      </c>
      <c r="C53" s="49" t="s">
        <v>289</v>
      </c>
      <c r="D53" s="49"/>
      <c r="E53" s="49">
        <v>184732</v>
      </c>
      <c r="F53" s="362" t="s">
        <v>290</v>
      </c>
      <c r="G53" s="49" t="s">
        <v>291</v>
      </c>
      <c r="H53" s="49" t="s">
        <v>292</v>
      </c>
      <c r="I53" s="49" t="s">
        <v>73</v>
      </c>
      <c r="J53" s="316">
        <v>45706</v>
      </c>
      <c r="K53" s="316">
        <v>45706</v>
      </c>
      <c r="L53" s="363" t="s">
        <v>28</v>
      </c>
      <c r="M53" s="317" t="s">
        <v>293</v>
      </c>
      <c r="N53" s="317">
        <v>20</v>
      </c>
      <c r="O53" s="322">
        <v>45709</v>
      </c>
      <c r="P53" s="365" t="s">
        <v>30</v>
      </c>
      <c r="Q53" s="364">
        <v>45715</v>
      </c>
      <c r="R53" s="364">
        <v>45715</v>
      </c>
      <c r="S53" s="348"/>
    </row>
    <row r="54" spans="1:19" hidden="1" x14ac:dyDescent="0.25">
      <c r="A54" s="359">
        <v>0</v>
      </c>
      <c r="B54" s="49" t="s">
        <v>294</v>
      </c>
      <c r="C54" s="49" t="s">
        <v>69</v>
      </c>
      <c r="D54" s="49"/>
      <c r="E54" s="49">
        <v>184733</v>
      </c>
      <c r="F54" s="362" t="s">
        <v>295</v>
      </c>
      <c r="G54" s="49" t="s">
        <v>296</v>
      </c>
      <c r="H54" s="49" t="s">
        <v>297</v>
      </c>
      <c r="I54" s="49" t="s">
        <v>73</v>
      </c>
      <c r="J54" s="316">
        <v>45706</v>
      </c>
      <c r="K54" s="316">
        <v>45706</v>
      </c>
      <c r="L54" s="363" t="s">
        <v>28</v>
      </c>
      <c r="M54" s="317" t="s">
        <v>293</v>
      </c>
      <c r="N54" s="317">
        <v>15</v>
      </c>
      <c r="O54" s="366">
        <v>45709</v>
      </c>
      <c r="P54" s="365" t="s">
        <v>30</v>
      </c>
      <c r="Q54" s="364">
        <v>45715</v>
      </c>
      <c r="R54" s="364">
        <v>45715</v>
      </c>
      <c r="S54" s="348"/>
    </row>
    <row r="55" spans="1:19" hidden="1" x14ac:dyDescent="0.25">
      <c r="A55" s="359">
        <v>0</v>
      </c>
      <c r="B55" s="49" t="s">
        <v>298</v>
      </c>
      <c r="C55" s="49" t="s">
        <v>69</v>
      </c>
      <c r="D55" s="49"/>
      <c r="E55" s="49">
        <v>184734</v>
      </c>
      <c r="F55" s="362" t="s">
        <v>299</v>
      </c>
      <c r="G55" s="49" t="s">
        <v>296</v>
      </c>
      <c r="H55" s="49" t="s">
        <v>292</v>
      </c>
      <c r="I55" s="49" t="s">
        <v>73</v>
      </c>
      <c r="J55" s="316">
        <v>45706</v>
      </c>
      <c r="K55" s="316">
        <v>45706</v>
      </c>
      <c r="L55" s="363" t="s">
        <v>28</v>
      </c>
      <c r="M55" s="317" t="s">
        <v>293</v>
      </c>
      <c r="N55" s="317">
        <v>2</v>
      </c>
      <c r="O55" s="366">
        <v>45742</v>
      </c>
      <c r="P55" s="365" t="s">
        <v>30</v>
      </c>
      <c r="Q55" s="364">
        <v>45742</v>
      </c>
      <c r="R55" s="364">
        <v>45742</v>
      </c>
      <c r="S55" s="348"/>
    </row>
    <row r="56" spans="1:19" hidden="1" x14ac:dyDescent="0.25">
      <c r="A56" s="359">
        <v>0</v>
      </c>
      <c r="B56" s="49" t="s">
        <v>300</v>
      </c>
      <c r="C56" s="49" t="s">
        <v>69</v>
      </c>
      <c r="D56" s="49"/>
      <c r="E56" s="49">
        <v>184734</v>
      </c>
      <c r="F56" s="362" t="s">
        <v>301</v>
      </c>
      <c r="G56" s="49" t="s">
        <v>302</v>
      </c>
      <c r="H56" s="49"/>
      <c r="I56" s="49"/>
      <c r="J56" s="316"/>
      <c r="K56" s="316">
        <v>45706</v>
      </c>
      <c r="L56" s="363"/>
      <c r="M56" s="317"/>
      <c r="N56" s="317"/>
      <c r="O56" s="366"/>
      <c r="P56" s="365"/>
      <c r="Q56" s="364"/>
      <c r="R56" s="364"/>
      <c r="S56" s="348"/>
    </row>
    <row r="57" spans="1:19" hidden="1" x14ac:dyDescent="0.25">
      <c r="A57" s="359">
        <v>0</v>
      </c>
      <c r="B57" s="49" t="s">
        <v>303</v>
      </c>
      <c r="C57" s="49" t="s">
        <v>69</v>
      </c>
      <c r="D57" s="49"/>
      <c r="E57" s="49">
        <v>184734</v>
      </c>
      <c r="F57" s="362" t="s">
        <v>304</v>
      </c>
      <c r="G57" s="49" t="s">
        <v>302</v>
      </c>
      <c r="H57" s="49"/>
      <c r="I57" s="49"/>
      <c r="J57" s="316"/>
      <c r="K57" s="316">
        <v>45706</v>
      </c>
      <c r="L57" s="363"/>
      <c r="M57" s="317"/>
      <c r="N57" s="317"/>
      <c r="O57" s="366"/>
      <c r="P57" s="365"/>
      <c r="Q57" s="364"/>
      <c r="R57" s="364"/>
      <c r="S57" s="348"/>
    </row>
    <row r="58" spans="1:19" hidden="1" x14ac:dyDescent="0.25">
      <c r="A58" s="359">
        <v>0</v>
      </c>
      <c r="B58" s="49" t="s">
        <v>305</v>
      </c>
      <c r="C58" s="49" t="s">
        <v>69</v>
      </c>
      <c r="D58" s="49"/>
      <c r="E58" s="49">
        <v>184734</v>
      </c>
      <c r="F58" s="362" t="s">
        <v>306</v>
      </c>
      <c r="G58" s="49" t="s">
        <v>302</v>
      </c>
      <c r="H58" s="49"/>
      <c r="I58" s="49"/>
      <c r="J58" s="316"/>
      <c r="K58" s="316">
        <v>45706</v>
      </c>
      <c r="L58" s="363"/>
      <c r="M58" s="317"/>
      <c r="N58" s="317"/>
      <c r="O58" s="322"/>
      <c r="P58" s="365"/>
      <c r="Q58" s="364"/>
      <c r="R58" s="364"/>
      <c r="S58" s="348"/>
    </row>
    <row r="59" spans="1:19" hidden="1" x14ac:dyDescent="0.25">
      <c r="A59" s="359">
        <v>0</v>
      </c>
      <c r="B59" s="49" t="s">
        <v>307</v>
      </c>
      <c r="C59" s="49" t="s">
        <v>69</v>
      </c>
      <c r="D59" s="49"/>
      <c r="E59" s="49">
        <v>184734</v>
      </c>
      <c r="F59" s="362" t="s">
        <v>308</v>
      </c>
      <c r="G59" s="49" t="s">
        <v>302</v>
      </c>
      <c r="H59" s="49"/>
      <c r="I59" s="49"/>
      <c r="J59" s="316"/>
      <c r="K59" s="316">
        <v>45706</v>
      </c>
      <c r="L59" s="363"/>
      <c r="M59" s="317"/>
      <c r="N59" s="317"/>
      <c r="O59" s="366"/>
      <c r="P59" s="365"/>
      <c r="Q59" s="364"/>
      <c r="R59" s="364"/>
      <c r="S59" s="348"/>
    </row>
    <row r="60" spans="1:19" hidden="1" x14ac:dyDescent="0.25">
      <c r="A60" s="359">
        <v>0</v>
      </c>
      <c r="B60" s="49" t="s">
        <v>309</v>
      </c>
      <c r="C60" s="49" t="s">
        <v>69</v>
      </c>
      <c r="D60" s="49"/>
      <c r="E60" s="49">
        <v>184734</v>
      </c>
      <c r="F60" s="362" t="s">
        <v>310</v>
      </c>
      <c r="G60" s="49" t="s">
        <v>302</v>
      </c>
      <c r="H60" s="49"/>
      <c r="I60" s="49"/>
      <c r="J60" s="316"/>
      <c r="K60" s="316">
        <v>45706</v>
      </c>
      <c r="L60" s="363"/>
      <c r="M60" s="317"/>
      <c r="N60" s="317"/>
      <c r="O60" s="366"/>
      <c r="P60" s="365"/>
      <c r="Q60" s="364"/>
      <c r="R60" s="364"/>
      <c r="S60" s="348"/>
    </row>
    <row r="61" spans="1:19" hidden="1" x14ac:dyDescent="0.25">
      <c r="A61" s="359">
        <v>0</v>
      </c>
      <c r="B61" s="49" t="s">
        <v>311</v>
      </c>
      <c r="C61" s="49" t="s">
        <v>69</v>
      </c>
      <c r="D61" s="49"/>
      <c r="E61" s="49">
        <v>184734</v>
      </c>
      <c r="F61" s="362" t="s">
        <v>312</v>
      </c>
      <c r="G61" s="49" t="s">
        <v>302</v>
      </c>
      <c r="H61" s="49"/>
      <c r="I61" s="49"/>
      <c r="J61" s="316"/>
      <c r="K61" s="316">
        <v>45706</v>
      </c>
      <c r="L61" s="363"/>
      <c r="M61" s="317"/>
      <c r="N61" s="317"/>
      <c r="O61" s="366"/>
      <c r="P61" s="365"/>
      <c r="Q61" s="364"/>
      <c r="R61" s="364"/>
      <c r="S61" s="348"/>
    </row>
    <row r="62" spans="1:19" hidden="1" x14ac:dyDescent="0.25">
      <c r="A62" s="359">
        <v>0</v>
      </c>
      <c r="B62" s="49" t="s">
        <v>313</v>
      </c>
      <c r="C62" s="49" t="s">
        <v>69</v>
      </c>
      <c r="D62" s="49"/>
      <c r="E62" s="49">
        <v>184734</v>
      </c>
      <c r="F62" s="362" t="s">
        <v>314</v>
      </c>
      <c r="G62" s="49" t="s">
        <v>302</v>
      </c>
      <c r="H62" s="49"/>
      <c r="I62" s="49"/>
      <c r="J62" s="316"/>
      <c r="K62" s="316">
        <v>45706</v>
      </c>
      <c r="L62" s="363"/>
      <c r="M62" s="317"/>
      <c r="N62" s="317"/>
      <c r="O62" s="366"/>
      <c r="P62" s="365"/>
      <c r="Q62" s="364"/>
      <c r="R62" s="364"/>
      <c r="S62" s="348"/>
    </row>
    <row r="63" spans="1:19" hidden="1" x14ac:dyDescent="0.25">
      <c r="A63" s="359">
        <v>0</v>
      </c>
      <c r="B63" s="49" t="s">
        <v>315</v>
      </c>
      <c r="C63" s="49" t="s">
        <v>69</v>
      </c>
      <c r="D63" s="49"/>
      <c r="E63" s="49">
        <v>184734</v>
      </c>
      <c r="F63" s="362" t="s">
        <v>316</v>
      </c>
      <c r="G63" s="49" t="s">
        <v>302</v>
      </c>
      <c r="H63" s="49"/>
      <c r="I63" s="49"/>
      <c r="J63" s="316"/>
      <c r="K63" s="316">
        <v>45706</v>
      </c>
      <c r="L63" s="363"/>
      <c r="M63" s="317"/>
      <c r="N63" s="317"/>
      <c r="O63" s="366"/>
      <c r="P63" s="365"/>
      <c r="Q63" s="364"/>
      <c r="R63" s="364"/>
      <c r="S63" s="348"/>
    </row>
    <row r="64" spans="1:19" hidden="1" x14ac:dyDescent="0.25">
      <c r="A64" s="359">
        <v>0</v>
      </c>
      <c r="B64" s="49" t="s">
        <v>317</v>
      </c>
      <c r="C64" s="49" t="s">
        <v>69</v>
      </c>
      <c r="D64" s="49"/>
      <c r="E64" s="49">
        <v>184734</v>
      </c>
      <c r="F64" s="362" t="s">
        <v>318</v>
      </c>
      <c r="G64" s="49" t="s">
        <v>302</v>
      </c>
      <c r="H64" s="49"/>
      <c r="I64" s="49"/>
      <c r="J64" s="316"/>
      <c r="K64" s="316">
        <v>45706</v>
      </c>
      <c r="L64" s="363"/>
      <c r="M64" s="317"/>
      <c r="N64" s="317"/>
      <c r="O64" s="366"/>
      <c r="P64" s="365"/>
      <c r="Q64" s="364"/>
      <c r="R64" s="364"/>
      <c r="S64" s="348"/>
    </row>
    <row r="65" spans="1:19" ht="25.5" hidden="1" x14ac:dyDescent="0.25">
      <c r="A65" s="359">
        <v>0</v>
      </c>
      <c r="B65" s="49" t="s">
        <v>319</v>
      </c>
      <c r="C65" s="49" t="s">
        <v>132</v>
      </c>
      <c r="D65" s="49"/>
      <c r="E65" s="49">
        <v>184738</v>
      </c>
      <c r="F65" s="362" t="s">
        <v>320</v>
      </c>
      <c r="G65" s="49" t="s">
        <v>321</v>
      </c>
      <c r="H65" s="49" t="s">
        <v>322</v>
      </c>
      <c r="I65" s="49" t="s">
        <v>323</v>
      </c>
      <c r="J65" s="316">
        <v>45707</v>
      </c>
      <c r="K65" s="316">
        <v>45707</v>
      </c>
      <c r="L65" s="363" t="s">
        <v>28</v>
      </c>
      <c r="M65" s="317">
        <v>22354</v>
      </c>
      <c r="N65" s="317">
        <v>10</v>
      </c>
      <c r="O65" s="366">
        <v>45708</v>
      </c>
      <c r="P65" s="365" t="s">
        <v>30</v>
      </c>
      <c r="Q65" s="364">
        <v>45708</v>
      </c>
      <c r="R65" s="364">
        <v>45708</v>
      </c>
      <c r="S65" s="348"/>
    </row>
    <row r="66" spans="1:19" ht="25.5" hidden="1" x14ac:dyDescent="0.25">
      <c r="A66" s="359">
        <v>0</v>
      </c>
      <c r="B66" s="49" t="s">
        <v>324</v>
      </c>
      <c r="C66" s="49" t="s">
        <v>132</v>
      </c>
      <c r="D66" s="49"/>
      <c r="E66" s="49">
        <v>184739</v>
      </c>
      <c r="F66" s="362" t="s">
        <v>325</v>
      </c>
      <c r="G66" s="49" t="s">
        <v>326</v>
      </c>
      <c r="H66" s="49">
        <v>6120800</v>
      </c>
      <c r="I66" s="49" t="s">
        <v>327</v>
      </c>
      <c r="J66" s="316">
        <v>45707</v>
      </c>
      <c r="K66" s="316">
        <v>45707</v>
      </c>
      <c r="L66" s="363" t="s">
        <v>28</v>
      </c>
      <c r="M66" s="317" t="s">
        <v>328</v>
      </c>
      <c r="N66" s="317">
        <v>1</v>
      </c>
      <c r="O66" s="366">
        <v>45708</v>
      </c>
      <c r="P66" s="365" t="s">
        <v>30</v>
      </c>
      <c r="Q66" s="364">
        <v>45708</v>
      </c>
      <c r="R66" s="364">
        <v>45708</v>
      </c>
      <c r="S66" s="348"/>
    </row>
    <row r="67" spans="1:19" ht="76.5" hidden="1" x14ac:dyDescent="0.25">
      <c r="A67" s="359">
        <v>0</v>
      </c>
      <c r="B67" s="49" t="s">
        <v>329</v>
      </c>
      <c r="C67" s="49" t="s">
        <v>330</v>
      </c>
      <c r="D67" s="49"/>
      <c r="E67" s="49">
        <v>184747</v>
      </c>
      <c r="F67" s="362" t="s">
        <v>331</v>
      </c>
      <c r="G67" s="49" t="s">
        <v>332</v>
      </c>
      <c r="H67" s="49" t="s">
        <v>333</v>
      </c>
      <c r="I67" s="49" t="s">
        <v>334</v>
      </c>
      <c r="J67" s="316">
        <v>45708</v>
      </c>
      <c r="K67" s="316">
        <v>45708</v>
      </c>
      <c r="L67" s="363" t="s">
        <v>28</v>
      </c>
      <c r="M67" s="317" t="s">
        <v>335</v>
      </c>
      <c r="N67" s="317">
        <v>3</v>
      </c>
      <c r="O67" s="366">
        <v>45714</v>
      </c>
      <c r="P67" s="365" t="s">
        <v>30</v>
      </c>
      <c r="Q67" s="364">
        <v>45714</v>
      </c>
      <c r="R67" s="364">
        <v>45714</v>
      </c>
      <c r="S67" s="348"/>
    </row>
    <row r="68" spans="1:19" hidden="1" x14ac:dyDescent="0.25">
      <c r="A68" s="359">
        <v>0</v>
      </c>
      <c r="B68" s="49" t="s">
        <v>336</v>
      </c>
      <c r="C68" s="49" t="s">
        <v>337</v>
      </c>
      <c r="D68" s="49"/>
      <c r="E68" s="49">
        <v>184725</v>
      </c>
      <c r="F68" s="362" t="s">
        <v>338</v>
      </c>
      <c r="G68" s="49" t="s">
        <v>339</v>
      </c>
      <c r="H68" s="49" t="s">
        <v>340</v>
      </c>
      <c r="I68" s="49" t="s">
        <v>341</v>
      </c>
      <c r="J68" s="316">
        <v>45708</v>
      </c>
      <c r="K68" s="316">
        <v>45708</v>
      </c>
      <c r="L68" s="363" t="s">
        <v>28</v>
      </c>
      <c r="M68" s="317" t="s">
        <v>342</v>
      </c>
      <c r="N68" s="317">
        <v>4</v>
      </c>
      <c r="O68" s="322">
        <v>45714</v>
      </c>
      <c r="P68" s="365" t="s">
        <v>30</v>
      </c>
      <c r="Q68" s="364">
        <v>45715</v>
      </c>
      <c r="R68" s="364">
        <v>45715</v>
      </c>
      <c r="S68" s="348"/>
    </row>
    <row r="69" spans="1:19" ht="38.25" hidden="1" x14ac:dyDescent="0.25">
      <c r="A69" s="359">
        <v>0</v>
      </c>
      <c r="B69" s="49" t="s">
        <v>343</v>
      </c>
      <c r="C69" s="49" t="s">
        <v>330</v>
      </c>
      <c r="D69" s="49"/>
      <c r="E69" s="49">
        <v>184748</v>
      </c>
      <c r="F69" s="362" t="s">
        <v>344</v>
      </c>
      <c r="G69" s="49" t="s">
        <v>34</v>
      </c>
      <c r="H69" s="49" t="s">
        <v>345</v>
      </c>
      <c r="I69" s="49" t="s">
        <v>346</v>
      </c>
      <c r="J69" s="316">
        <v>45709</v>
      </c>
      <c r="K69" s="360">
        <v>45709</v>
      </c>
      <c r="L69" s="363" t="s">
        <v>28</v>
      </c>
      <c r="M69" s="317" t="s">
        <v>347</v>
      </c>
      <c r="N69" s="317">
        <v>2</v>
      </c>
      <c r="O69" s="366">
        <v>45734</v>
      </c>
      <c r="P69" s="365" t="s">
        <v>30</v>
      </c>
      <c r="Q69" s="364">
        <v>45734</v>
      </c>
      <c r="R69" s="364">
        <v>45734</v>
      </c>
      <c r="S69" s="348"/>
    </row>
    <row r="70" spans="1:19" ht="38.25" hidden="1" x14ac:dyDescent="0.25">
      <c r="A70" s="359">
        <v>0</v>
      </c>
      <c r="B70" s="49" t="s">
        <v>348</v>
      </c>
      <c r="C70" s="49" t="s">
        <v>330</v>
      </c>
      <c r="D70" s="49"/>
      <c r="E70" s="49">
        <v>184748</v>
      </c>
      <c r="F70" s="362" t="s">
        <v>349</v>
      </c>
      <c r="G70" s="316" t="s">
        <v>350</v>
      </c>
      <c r="H70" s="49"/>
      <c r="I70" s="316"/>
      <c r="J70" s="316"/>
      <c r="K70" s="360">
        <v>45709</v>
      </c>
      <c r="L70" s="363"/>
      <c r="M70" s="317"/>
      <c r="N70" s="317"/>
      <c r="O70" s="322"/>
      <c r="P70" s="365"/>
      <c r="Q70" s="364"/>
      <c r="R70" s="364"/>
      <c r="S70" s="348"/>
    </row>
    <row r="71" spans="1:19" ht="38.25" hidden="1" x14ac:dyDescent="0.25">
      <c r="A71" s="359">
        <v>0</v>
      </c>
      <c r="B71" s="49" t="s">
        <v>351</v>
      </c>
      <c r="C71" s="49" t="s">
        <v>330</v>
      </c>
      <c r="D71" s="49"/>
      <c r="E71" s="49">
        <v>184748</v>
      </c>
      <c r="F71" s="362" t="s">
        <v>352</v>
      </c>
      <c r="G71" s="49" t="s">
        <v>353</v>
      </c>
      <c r="H71" s="49" t="s">
        <v>354</v>
      </c>
      <c r="I71" s="49" t="s">
        <v>355</v>
      </c>
      <c r="J71" s="316">
        <v>45708</v>
      </c>
      <c r="K71" s="360">
        <v>45709</v>
      </c>
      <c r="L71" s="363" t="s">
        <v>28</v>
      </c>
      <c r="M71" s="317" t="s">
        <v>356</v>
      </c>
      <c r="N71" s="317">
        <v>1</v>
      </c>
      <c r="O71" s="322">
        <v>45741</v>
      </c>
      <c r="P71" s="365" t="s">
        <v>30</v>
      </c>
      <c r="Q71" s="364">
        <v>45741</v>
      </c>
      <c r="R71" s="364">
        <v>45741</v>
      </c>
      <c r="S71" s="348"/>
    </row>
    <row r="72" spans="1:19" ht="38.25" hidden="1" x14ac:dyDescent="0.25">
      <c r="A72" s="359">
        <v>0</v>
      </c>
      <c r="B72" s="49" t="s">
        <v>357</v>
      </c>
      <c r="C72" s="49" t="s">
        <v>330</v>
      </c>
      <c r="D72" s="49"/>
      <c r="E72" s="49">
        <v>184748</v>
      </c>
      <c r="F72" s="362" t="s">
        <v>358</v>
      </c>
      <c r="G72" s="49" t="s">
        <v>350</v>
      </c>
      <c r="H72" s="49"/>
      <c r="I72" s="49"/>
      <c r="J72" s="316"/>
      <c r="K72" s="360">
        <v>45709</v>
      </c>
      <c r="L72" s="363"/>
      <c r="M72" s="317"/>
      <c r="N72" s="317"/>
      <c r="O72" s="322"/>
      <c r="P72" s="365"/>
      <c r="Q72" s="364"/>
      <c r="R72" s="364"/>
      <c r="S72" s="348"/>
    </row>
    <row r="73" spans="1:19" ht="38.25" hidden="1" x14ac:dyDescent="0.25">
      <c r="A73" s="359">
        <v>0</v>
      </c>
      <c r="B73" s="49" t="s">
        <v>359</v>
      </c>
      <c r="C73" s="49" t="s">
        <v>330</v>
      </c>
      <c r="D73" s="49"/>
      <c r="E73" s="49">
        <v>184748</v>
      </c>
      <c r="F73" s="362" t="s">
        <v>360</v>
      </c>
      <c r="G73" s="49"/>
      <c r="H73" s="49"/>
      <c r="I73" s="49"/>
      <c r="J73" s="316"/>
      <c r="K73" s="316">
        <v>45709</v>
      </c>
      <c r="L73" s="363"/>
      <c r="M73" s="317"/>
      <c r="N73" s="317"/>
      <c r="O73" s="366"/>
      <c r="P73" s="365"/>
      <c r="Q73" s="364"/>
      <c r="R73" s="364"/>
      <c r="S73" s="348"/>
    </row>
    <row r="74" spans="1:19" ht="25.5" hidden="1" x14ac:dyDescent="0.25">
      <c r="A74" s="359">
        <v>0</v>
      </c>
      <c r="B74" s="49" t="s">
        <v>361</v>
      </c>
      <c r="C74" s="49" t="s">
        <v>50</v>
      </c>
      <c r="D74" s="49"/>
      <c r="E74" s="49">
        <v>184741</v>
      </c>
      <c r="F74" s="362" t="s">
        <v>362</v>
      </c>
      <c r="G74" s="49" t="s">
        <v>363</v>
      </c>
      <c r="H74" s="49" t="s">
        <v>364</v>
      </c>
      <c r="I74" s="49" t="s">
        <v>365</v>
      </c>
      <c r="J74" s="316">
        <v>45709</v>
      </c>
      <c r="K74" s="316">
        <v>45708</v>
      </c>
      <c r="L74" s="363" t="s">
        <v>47</v>
      </c>
      <c r="M74" s="317" t="s">
        <v>366</v>
      </c>
      <c r="N74" s="317">
        <v>9</v>
      </c>
      <c r="O74" s="366">
        <v>45728</v>
      </c>
      <c r="P74" s="365" t="s">
        <v>30</v>
      </c>
      <c r="Q74" s="364">
        <v>45730</v>
      </c>
      <c r="R74" s="364">
        <v>45730</v>
      </c>
      <c r="S74" s="348"/>
    </row>
    <row r="75" spans="1:19" ht="25.5" hidden="1" x14ac:dyDescent="0.25">
      <c r="A75" s="359">
        <v>0</v>
      </c>
      <c r="B75" s="49" t="s">
        <v>367</v>
      </c>
      <c r="C75" s="49" t="s">
        <v>50</v>
      </c>
      <c r="D75" s="49"/>
      <c r="E75" s="49">
        <v>184746</v>
      </c>
      <c r="F75" s="362" t="s">
        <v>368</v>
      </c>
      <c r="G75" s="49" t="s">
        <v>369</v>
      </c>
      <c r="H75" s="49" t="s">
        <v>370</v>
      </c>
      <c r="I75" s="49" t="s">
        <v>371</v>
      </c>
      <c r="J75" s="316">
        <v>45712</v>
      </c>
      <c r="K75" s="316">
        <v>45712</v>
      </c>
      <c r="L75" s="363" t="s">
        <v>47</v>
      </c>
      <c r="M75" s="317" t="s">
        <v>372</v>
      </c>
      <c r="N75" s="317">
        <v>5</v>
      </c>
      <c r="O75" s="366">
        <v>45728</v>
      </c>
      <c r="P75" s="365" t="s">
        <v>30</v>
      </c>
      <c r="Q75" s="364">
        <v>45729</v>
      </c>
      <c r="R75" s="364">
        <v>45729</v>
      </c>
      <c r="S75" s="348"/>
    </row>
    <row r="76" spans="1:19" ht="38.25" hidden="1" x14ac:dyDescent="0.25">
      <c r="A76" s="359">
        <v>0</v>
      </c>
      <c r="B76" s="49" t="s">
        <v>373</v>
      </c>
      <c r="C76" s="49" t="s">
        <v>69</v>
      </c>
      <c r="D76" s="49"/>
      <c r="E76" s="49">
        <v>184760</v>
      </c>
      <c r="F76" s="362" t="s">
        <v>374</v>
      </c>
      <c r="G76" s="49" t="s">
        <v>90</v>
      </c>
      <c r="H76" s="49" t="s">
        <v>375</v>
      </c>
      <c r="I76" s="49" t="s">
        <v>376</v>
      </c>
      <c r="J76" s="316">
        <v>45714</v>
      </c>
      <c r="K76" s="316">
        <v>45714</v>
      </c>
      <c r="L76" s="363" t="s">
        <v>28</v>
      </c>
      <c r="M76" s="317" t="s">
        <v>93</v>
      </c>
      <c r="N76" s="317">
        <v>20</v>
      </c>
      <c r="O76" s="366">
        <v>45715</v>
      </c>
      <c r="P76" s="365" t="s">
        <v>30</v>
      </c>
      <c r="Q76" s="364">
        <v>45716</v>
      </c>
      <c r="R76" s="364">
        <v>45716</v>
      </c>
      <c r="S76" s="348"/>
    </row>
    <row r="77" spans="1:19" ht="38.25" hidden="1" x14ac:dyDescent="0.25">
      <c r="A77" s="359">
        <v>0</v>
      </c>
      <c r="B77" s="49" t="s">
        <v>377</v>
      </c>
      <c r="C77" s="49" t="s">
        <v>378</v>
      </c>
      <c r="D77" s="49"/>
      <c r="E77" s="49">
        <v>184761</v>
      </c>
      <c r="F77" s="362" t="s">
        <v>379</v>
      </c>
      <c r="G77" s="49" t="s">
        <v>90</v>
      </c>
      <c r="H77" s="49" t="s">
        <v>375</v>
      </c>
      <c r="I77" s="49" t="s">
        <v>92</v>
      </c>
      <c r="J77" s="316">
        <v>45714</v>
      </c>
      <c r="K77" s="316">
        <v>45714</v>
      </c>
      <c r="L77" s="363" t="s">
        <v>28</v>
      </c>
      <c r="M77" s="317" t="s">
        <v>93</v>
      </c>
      <c r="N77" s="317">
        <v>20</v>
      </c>
      <c r="O77" s="366">
        <v>45715</v>
      </c>
      <c r="P77" s="365" t="s">
        <v>30</v>
      </c>
      <c r="Q77" s="364">
        <v>45716</v>
      </c>
      <c r="R77" s="364">
        <v>45716</v>
      </c>
      <c r="S77" s="348"/>
    </row>
    <row r="78" spans="1:19" ht="25.5" hidden="1" x14ac:dyDescent="0.25">
      <c r="A78" s="359">
        <v>0</v>
      </c>
      <c r="B78" s="49" t="s">
        <v>380</v>
      </c>
      <c r="C78" s="49" t="s">
        <v>42</v>
      </c>
      <c r="D78" s="49"/>
      <c r="E78" s="49">
        <v>184750</v>
      </c>
      <c r="F78" s="362" t="s">
        <v>381</v>
      </c>
      <c r="G78" s="49" t="s">
        <v>382</v>
      </c>
      <c r="H78" s="49" t="s">
        <v>383</v>
      </c>
      <c r="I78" s="49" t="s">
        <v>149</v>
      </c>
      <c r="J78" s="316">
        <v>45710</v>
      </c>
      <c r="K78" s="316">
        <v>45714</v>
      </c>
      <c r="L78" s="363" t="s">
        <v>28</v>
      </c>
      <c r="M78" s="317" t="s">
        <v>384</v>
      </c>
      <c r="N78" s="317">
        <v>3</v>
      </c>
      <c r="O78" s="366">
        <v>45749</v>
      </c>
      <c r="P78" s="365" t="s">
        <v>30</v>
      </c>
      <c r="Q78" s="364">
        <v>45750</v>
      </c>
      <c r="R78" s="364">
        <v>45750</v>
      </c>
      <c r="S78" s="348"/>
    </row>
    <row r="79" spans="1:19" ht="27.95" hidden="1" customHeight="1" x14ac:dyDescent="0.25">
      <c r="A79" s="359">
        <v>0</v>
      </c>
      <c r="B79" s="49" t="s">
        <v>385</v>
      </c>
      <c r="C79" s="49" t="s">
        <v>176</v>
      </c>
      <c r="D79" s="49"/>
      <c r="E79" s="49">
        <v>184766</v>
      </c>
      <c r="F79" s="49" t="s">
        <v>386</v>
      </c>
      <c r="G79" s="49" t="s">
        <v>387</v>
      </c>
      <c r="H79" s="49" t="s">
        <v>388</v>
      </c>
      <c r="I79" s="49" t="s">
        <v>389</v>
      </c>
      <c r="J79" s="316">
        <v>45716</v>
      </c>
      <c r="K79" s="316">
        <v>45716</v>
      </c>
      <c r="L79" s="363" t="s">
        <v>28</v>
      </c>
      <c r="M79" s="317" t="s">
        <v>181</v>
      </c>
      <c r="N79" s="317">
        <v>1</v>
      </c>
      <c r="O79" s="366">
        <v>45723</v>
      </c>
      <c r="P79" s="365" t="s">
        <v>30</v>
      </c>
      <c r="Q79" s="364">
        <v>45723</v>
      </c>
      <c r="R79" s="364">
        <v>45723</v>
      </c>
      <c r="S79" s="348"/>
    </row>
    <row r="80" spans="1:19" hidden="1" x14ac:dyDescent="0.25">
      <c r="A80" s="359">
        <v>0</v>
      </c>
      <c r="B80" s="49" t="s">
        <v>390</v>
      </c>
      <c r="C80" s="49" t="s">
        <v>69</v>
      </c>
      <c r="D80" s="49"/>
      <c r="E80" s="49">
        <v>183474</v>
      </c>
      <c r="F80" s="362" t="s">
        <v>391</v>
      </c>
      <c r="G80" s="49"/>
      <c r="H80" s="49"/>
      <c r="I80" s="49"/>
      <c r="J80" s="316"/>
      <c r="K80" s="360"/>
      <c r="L80" s="363"/>
      <c r="M80" s="317"/>
      <c r="N80" s="317"/>
      <c r="O80" s="366"/>
      <c r="P80" s="365"/>
      <c r="Q80" s="364"/>
      <c r="R80" s="364"/>
      <c r="S80" s="348"/>
    </row>
    <row r="81" spans="1:19" hidden="1" x14ac:dyDescent="0.25">
      <c r="A81" s="359">
        <v>0</v>
      </c>
      <c r="B81" s="49" t="s">
        <v>392</v>
      </c>
      <c r="C81" s="49" t="s">
        <v>69</v>
      </c>
      <c r="D81" s="49"/>
      <c r="E81" s="49">
        <v>183474</v>
      </c>
      <c r="F81" s="362" t="s">
        <v>393</v>
      </c>
      <c r="G81" s="49"/>
      <c r="H81" s="49"/>
      <c r="I81" s="49"/>
      <c r="J81" s="316"/>
      <c r="K81" s="316"/>
      <c r="L81" s="363"/>
      <c r="M81" s="317"/>
      <c r="N81" s="317"/>
      <c r="O81" s="322"/>
      <c r="P81" s="365"/>
      <c r="Q81" s="364"/>
      <c r="R81" s="364"/>
      <c r="S81" s="348"/>
    </row>
    <row r="82" spans="1:19" hidden="1" x14ac:dyDescent="0.25">
      <c r="A82" s="359">
        <v>0</v>
      </c>
      <c r="B82" s="49" t="s">
        <v>394</v>
      </c>
      <c r="C82" s="49" t="s">
        <v>69</v>
      </c>
      <c r="D82" s="49"/>
      <c r="E82" s="49">
        <v>183474</v>
      </c>
      <c r="F82" s="362" t="s">
        <v>395</v>
      </c>
      <c r="G82" s="49"/>
      <c r="H82" s="49"/>
      <c r="I82" s="49"/>
      <c r="J82" s="316"/>
      <c r="K82" s="316"/>
      <c r="L82" s="363"/>
      <c r="M82" s="317"/>
      <c r="N82" s="317"/>
      <c r="O82" s="366"/>
      <c r="P82" s="365"/>
      <c r="Q82" s="364"/>
      <c r="R82" s="364"/>
      <c r="S82" s="348"/>
    </row>
    <row r="83" spans="1:19" hidden="1" x14ac:dyDescent="0.25">
      <c r="A83" s="359">
        <v>0</v>
      </c>
      <c r="B83" s="49" t="s">
        <v>396</v>
      </c>
      <c r="C83" s="49" t="s">
        <v>69</v>
      </c>
      <c r="D83" s="49"/>
      <c r="E83" s="49">
        <v>183474</v>
      </c>
      <c r="F83" s="362" t="s">
        <v>397</v>
      </c>
      <c r="G83" s="49"/>
      <c r="H83" s="49"/>
      <c r="I83" s="49"/>
      <c r="J83" s="316"/>
      <c r="K83" s="360"/>
      <c r="L83" s="363"/>
      <c r="M83" s="317"/>
      <c r="N83" s="317"/>
      <c r="O83" s="366"/>
      <c r="P83" s="365"/>
      <c r="Q83" s="364"/>
      <c r="R83" s="364"/>
      <c r="S83" s="348"/>
    </row>
    <row r="84" spans="1:19" hidden="1" x14ac:dyDescent="0.25">
      <c r="A84" s="359">
        <v>0</v>
      </c>
      <c r="B84" s="49" t="s">
        <v>398</v>
      </c>
      <c r="C84" s="49" t="s">
        <v>69</v>
      </c>
      <c r="D84" s="49"/>
      <c r="E84" s="49">
        <v>183474</v>
      </c>
      <c r="F84" s="362" t="s">
        <v>399</v>
      </c>
      <c r="G84" s="49"/>
      <c r="H84" s="49"/>
      <c r="I84" s="316"/>
      <c r="J84" s="316"/>
      <c r="K84" s="316"/>
      <c r="L84" s="363"/>
      <c r="M84" s="317"/>
      <c r="N84" s="317"/>
      <c r="O84" s="366"/>
      <c r="P84" s="365"/>
      <c r="Q84" s="364"/>
      <c r="R84" s="364"/>
      <c r="S84" s="348"/>
    </row>
    <row r="85" spans="1:19" hidden="1" x14ac:dyDescent="0.25">
      <c r="A85" s="359">
        <v>0</v>
      </c>
      <c r="B85" s="49" t="s">
        <v>400</v>
      </c>
      <c r="C85" s="49" t="s">
        <v>69</v>
      </c>
      <c r="D85" s="49"/>
      <c r="E85" s="49">
        <v>183474</v>
      </c>
      <c r="F85" s="362" t="s">
        <v>401</v>
      </c>
      <c r="G85" s="49"/>
      <c r="H85" s="49"/>
      <c r="I85" s="49"/>
      <c r="J85" s="316"/>
      <c r="K85" s="316"/>
      <c r="L85" s="363"/>
      <c r="M85" s="317"/>
      <c r="N85" s="317"/>
      <c r="O85" s="366"/>
      <c r="P85" s="365"/>
      <c r="Q85" s="364"/>
      <c r="R85" s="364"/>
      <c r="S85" s="348"/>
    </row>
    <row r="86" spans="1:19" hidden="1" x14ac:dyDescent="0.25">
      <c r="A86" s="359">
        <v>0</v>
      </c>
      <c r="B86" s="49" t="s">
        <v>402</v>
      </c>
      <c r="C86" s="49" t="s">
        <v>69</v>
      </c>
      <c r="D86" s="49"/>
      <c r="E86" s="49">
        <v>183474</v>
      </c>
      <c r="F86" s="362" t="s">
        <v>403</v>
      </c>
      <c r="G86" s="49"/>
      <c r="H86" s="49"/>
      <c r="I86" s="49"/>
      <c r="J86" s="316"/>
      <c r="K86" s="316"/>
      <c r="L86" s="363"/>
      <c r="M86" s="317"/>
      <c r="N86" s="317"/>
      <c r="O86" s="366"/>
      <c r="P86" s="365"/>
      <c r="Q86" s="364"/>
      <c r="R86" s="364"/>
      <c r="S86" s="348"/>
    </row>
    <row r="87" spans="1:19" hidden="1" x14ac:dyDescent="0.25">
      <c r="A87" s="359">
        <v>0</v>
      </c>
      <c r="B87" s="49" t="s">
        <v>404</v>
      </c>
      <c r="C87" s="49" t="s">
        <v>69</v>
      </c>
      <c r="D87" s="49"/>
      <c r="E87" s="49">
        <v>183474</v>
      </c>
      <c r="F87" s="362" t="s">
        <v>405</v>
      </c>
      <c r="G87" s="49"/>
      <c r="H87" s="49"/>
      <c r="I87" s="49"/>
      <c r="J87" s="316"/>
      <c r="K87" s="316"/>
      <c r="L87" s="363"/>
      <c r="M87" s="317"/>
      <c r="N87" s="317"/>
      <c r="O87" s="366"/>
      <c r="P87" s="365"/>
      <c r="Q87" s="364"/>
      <c r="R87" s="364"/>
      <c r="S87" s="348"/>
    </row>
    <row r="88" spans="1:19" hidden="1" x14ac:dyDescent="0.25">
      <c r="A88" s="359">
        <v>0</v>
      </c>
      <c r="B88" s="49" t="s">
        <v>406</v>
      </c>
      <c r="C88" s="49" t="s">
        <v>69</v>
      </c>
      <c r="D88" s="49"/>
      <c r="E88" s="49">
        <v>183474</v>
      </c>
      <c r="F88" s="362" t="s">
        <v>407</v>
      </c>
      <c r="G88" s="49"/>
      <c r="H88" s="49"/>
      <c r="I88" s="49"/>
      <c r="J88" s="316"/>
      <c r="K88" s="316"/>
      <c r="L88" s="363"/>
      <c r="M88" s="317"/>
      <c r="N88" s="317"/>
      <c r="O88" s="366"/>
      <c r="P88" s="365"/>
      <c r="Q88" s="364"/>
      <c r="R88" s="364"/>
      <c r="S88" s="348"/>
    </row>
    <row r="89" spans="1:19" hidden="1" x14ac:dyDescent="0.25">
      <c r="A89" s="359">
        <v>0</v>
      </c>
      <c r="B89" s="49" t="s">
        <v>408</v>
      </c>
      <c r="C89" s="49" t="s">
        <v>69</v>
      </c>
      <c r="D89" s="49"/>
      <c r="E89" s="49">
        <v>183474</v>
      </c>
      <c r="F89" s="362" t="s">
        <v>409</v>
      </c>
      <c r="G89" s="49"/>
      <c r="H89" s="49"/>
      <c r="I89" s="49"/>
      <c r="J89" s="316"/>
      <c r="K89" s="316"/>
      <c r="L89" s="363"/>
      <c r="M89" s="317"/>
      <c r="N89" s="317"/>
      <c r="O89" s="366"/>
      <c r="P89" s="365"/>
      <c r="Q89" s="364"/>
      <c r="R89" s="364"/>
      <c r="S89" s="348"/>
    </row>
    <row r="90" spans="1:19" ht="38.25" hidden="1" x14ac:dyDescent="0.25">
      <c r="A90" s="359">
        <v>0</v>
      </c>
      <c r="B90" s="49" t="s">
        <v>410</v>
      </c>
      <c r="C90" s="49" t="s">
        <v>411</v>
      </c>
      <c r="D90" s="49"/>
      <c r="E90" s="49">
        <v>184791</v>
      </c>
      <c r="F90" s="362" t="s">
        <v>412</v>
      </c>
      <c r="G90" s="49" t="s">
        <v>413</v>
      </c>
      <c r="H90" s="49" t="s">
        <v>414</v>
      </c>
      <c r="I90" s="49" t="s">
        <v>27</v>
      </c>
      <c r="J90" s="316">
        <v>45726</v>
      </c>
      <c r="K90" s="316">
        <v>45726</v>
      </c>
      <c r="L90" s="363" t="s">
        <v>28</v>
      </c>
      <c r="M90" s="317" t="s">
        <v>415</v>
      </c>
      <c r="N90" s="317">
        <v>2</v>
      </c>
      <c r="O90" s="366">
        <v>45744</v>
      </c>
      <c r="P90" s="365" t="s">
        <v>30</v>
      </c>
      <c r="Q90" s="364">
        <v>45744</v>
      </c>
      <c r="R90" s="364">
        <v>45744</v>
      </c>
      <c r="S90" s="348"/>
    </row>
    <row r="91" spans="1:19" ht="51" hidden="1" x14ac:dyDescent="0.25">
      <c r="A91" s="359">
        <v>0</v>
      </c>
      <c r="B91" s="49" t="s">
        <v>416</v>
      </c>
      <c r="C91" s="49" t="s">
        <v>417</v>
      </c>
      <c r="D91" s="49"/>
      <c r="E91" s="49">
        <v>184798</v>
      </c>
      <c r="F91" s="362" t="s">
        <v>418</v>
      </c>
      <c r="G91" s="49" t="s">
        <v>419</v>
      </c>
      <c r="H91" s="49" t="s">
        <v>420</v>
      </c>
      <c r="I91" s="49" t="s">
        <v>67</v>
      </c>
      <c r="J91" s="316">
        <v>45728</v>
      </c>
      <c r="K91" s="316">
        <v>45728</v>
      </c>
      <c r="L91" s="363" t="s">
        <v>28</v>
      </c>
      <c r="M91" s="317" t="s">
        <v>421</v>
      </c>
      <c r="N91" s="317">
        <v>1</v>
      </c>
      <c r="O91" s="366">
        <v>45735</v>
      </c>
      <c r="P91" s="365" t="s">
        <v>30</v>
      </c>
      <c r="Q91" s="364">
        <v>45735</v>
      </c>
      <c r="R91" s="364">
        <v>45735</v>
      </c>
      <c r="S91" s="348"/>
    </row>
    <row r="92" spans="1:19" ht="25.5" hidden="1" x14ac:dyDescent="0.25">
      <c r="A92" s="359">
        <v>0</v>
      </c>
      <c r="B92" s="49" t="s">
        <v>422</v>
      </c>
      <c r="C92" s="49" t="s">
        <v>423</v>
      </c>
      <c r="D92" s="49"/>
      <c r="E92" s="49">
        <v>184803</v>
      </c>
      <c r="F92" s="362" t="s">
        <v>424</v>
      </c>
      <c r="G92" s="49" t="s">
        <v>34</v>
      </c>
      <c r="H92" s="49" t="s">
        <v>35</v>
      </c>
      <c r="I92" s="49" t="s">
        <v>36</v>
      </c>
      <c r="J92" s="316">
        <v>45728</v>
      </c>
      <c r="K92" s="316">
        <v>45728</v>
      </c>
      <c r="L92" s="363" t="s">
        <v>28</v>
      </c>
      <c r="M92" s="317" t="s">
        <v>37</v>
      </c>
      <c r="N92" s="317">
        <v>11</v>
      </c>
      <c r="O92" s="322">
        <v>45735</v>
      </c>
      <c r="P92" s="365" t="s">
        <v>30</v>
      </c>
      <c r="Q92" s="364">
        <v>45736</v>
      </c>
      <c r="R92" s="364">
        <v>45736</v>
      </c>
      <c r="S92" s="348"/>
    </row>
    <row r="93" spans="1:19" ht="38.25" hidden="1" x14ac:dyDescent="0.25">
      <c r="A93" s="359">
        <v>0</v>
      </c>
      <c r="B93" s="49" t="s">
        <v>425</v>
      </c>
      <c r="C93" s="49" t="s">
        <v>130</v>
      </c>
      <c r="D93" s="49"/>
      <c r="E93" s="49">
        <v>184806</v>
      </c>
      <c r="F93" s="362" t="s">
        <v>426</v>
      </c>
      <c r="G93" s="49" t="s">
        <v>427</v>
      </c>
      <c r="H93" s="49" t="s">
        <v>428</v>
      </c>
      <c r="I93" s="49" t="s">
        <v>429</v>
      </c>
      <c r="J93" s="316">
        <v>45730</v>
      </c>
      <c r="K93" s="360">
        <v>45730</v>
      </c>
      <c r="L93" s="363" t="s">
        <v>28</v>
      </c>
      <c r="M93" s="317" t="s">
        <v>430</v>
      </c>
      <c r="N93" s="317">
        <v>1</v>
      </c>
      <c r="O93" s="366">
        <v>45734</v>
      </c>
      <c r="P93" s="365" t="s">
        <v>30</v>
      </c>
      <c r="Q93" s="364">
        <v>45734</v>
      </c>
      <c r="R93" s="364">
        <v>45734</v>
      </c>
      <c r="S93" s="348"/>
    </row>
    <row r="94" spans="1:19" ht="38.25" hidden="1" x14ac:dyDescent="0.25">
      <c r="A94" s="359">
        <v>0</v>
      </c>
      <c r="B94" s="49" t="s">
        <v>431</v>
      </c>
      <c r="C94" s="49" t="s">
        <v>130</v>
      </c>
      <c r="D94" s="49"/>
      <c r="E94" s="49">
        <v>184805</v>
      </c>
      <c r="F94" s="362" t="s">
        <v>432</v>
      </c>
      <c r="G94" s="49" t="s">
        <v>433</v>
      </c>
      <c r="H94" s="49" t="s">
        <v>434</v>
      </c>
      <c r="I94" s="49" t="s">
        <v>429</v>
      </c>
      <c r="J94" s="316">
        <v>45730</v>
      </c>
      <c r="K94" s="316">
        <v>45730</v>
      </c>
      <c r="L94" s="363" t="s">
        <v>28</v>
      </c>
      <c r="M94" s="317" t="s">
        <v>435</v>
      </c>
      <c r="N94" s="317">
        <v>2</v>
      </c>
      <c r="O94" s="366">
        <v>45734</v>
      </c>
      <c r="P94" s="365" t="s">
        <v>30</v>
      </c>
      <c r="Q94" s="364">
        <v>45734</v>
      </c>
      <c r="R94" s="364">
        <v>45734</v>
      </c>
      <c r="S94" s="348"/>
    </row>
    <row r="95" spans="1:19" ht="38.25" hidden="1" x14ac:dyDescent="0.25">
      <c r="A95" s="359">
        <v>0</v>
      </c>
      <c r="B95" s="49" t="s">
        <v>436</v>
      </c>
      <c r="C95" s="49" t="s">
        <v>132</v>
      </c>
      <c r="D95" s="49"/>
      <c r="E95" s="49">
        <v>184813</v>
      </c>
      <c r="F95" s="362" t="s">
        <v>437</v>
      </c>
      <c r="G95" s="49" t="s">
        <v>438</v>
      </c>
      <c r="H95" s="49" t="s">
        <v>439</v>
      </c>
      <c r="I95" s="49" t="s">
        <v>440</v>
      </c>
      <c r="J95" s="316">
        <v>45733</v>
      </c>
      <c r="K95" s="316">
        <v>45733</v>
      </c>
      <c r="L95" s="363" t="s">
        <v>28</v>
      </c>
      <c r="M95" s="317" t="s">
        <v>441</v>
      </c>
      <c r="N95" s="317">
        <v>3</v>
      </c>
      <c r="O95" s="366">
        <v>45734</v>
      </c>
      <c r="P95" s="365" t="s">
        <v>30</v>
      </c>
      <c r="Q95" s="364">
        <v>45734</v>
      </c>
      <c r="R95" s="364">
        <v>45734</v>
      </c>
      <c r="S95" s="348"/>
    </row>
    <row r="96" spans="1:19" ht="25.5" hidden="1" x14ac:dyDescent="0.25">
      <c r="A96" s="359">
        <v>0</v>
      </c>
      <c r="B96" s="49" t="s">
        <v>442</v>
      </c>
      <c r="C96" s="49" t="s">
        <v>132</v>
      </c>
      <c r="D96" s="49"/>
      <c r="E96" s="49">
        <v>184812</v>
      </c>
      <c r="F96" s="362" t="s">
        <v>443</v>
      </c>
      <c r="G96" s="49" t="s">
        <v>321</v>
      </c>
      <c r="H96" s="49" t="s">
        <v>322</v>
      </c>
      <c r="I96" s="49" t="s">
        <v>444</v>
      </c>
      <c r="J96" s="316">
        <v>45729</v>
      </c>
      <c r="K96" s="360">
        <v>45729</v>
      </c>
      <c r="L96" s="322" t="s">
        <v>28</v>
      </c>
      <c r="M96" s="317">
        <v>22354</v>
      </c>
      <c r="N96" s="317">
        <v>7</v>
      </c>
      <c r="O96" s="366">
        <v>45733</v>
      </c>
      <c r="P96" s="365" t="s">
        <v>30</v>
      </c>
      <c r="Q96" s="364">
        <v>45734</v>
      </c>
      <c r="R96" s="364">
        <v>45734</v>
      </c>
      <c r="S96" s="348"/>
    </row>
    <row r="97" spans="1:19" ht="25.5" hidden="1" x14ac:dyDescent="0.25">
      <c r="A97" s="359">
        <v>0</v>
      </c>
      <c r="B97" s="49" t="s">
        <v>445</v>
      </c>
      <c r="C97" s="49" t="s">
        <v>132</v>
      </c>
      <c r="D97" s="49"/>
      <c r="E97" s="49">
        <v>184810</v>
      </c>
      <c r="F97" s="362" t="s">
        <v>446</v>
      </c>
      <c r="G97" s="49" t="s">
        <v>447</v>
      </c>
      <c r="H97" s="49" t="s">
        <v>448</v>
      </c>
      <c r="I97" s="49" t="s">
        <v>449</v>
      </c>
      <c r="J97" s="316">
        <v>45733</v>
      </c>
      <c r="K97" s="360">
        <v>45733</v>
      </c>
      <c r="L97" s="322" t="s">
        <v>28</v>
      </c>
      <c r="M97" s="317" t="s">
        <v>450</v>
      </c>
      <c r="N97" s="317">
        <v>3</v>
      </c>
      <c r="O97" s="366">
        <v>45735</v>
      </c>
      <c r="P97" s="365" t="s">
        <v>30</v>
      </c>
      <c r="Q97" s="364">
        <v>45735</v>
      </c>
      <c r="R97" s="364">
        <v>45735</v>
      </c>
      <c r="S97" s="348"/>
    </row>
    <row r="98" spans="1:19" ht="25.5" hidden="1" x14ac:dyDescent="0.25">
      <c r="A98" s="359">
        <v>0</v>
      </c>
      <c r="B98" s="49" t="s">
        <v>451</v>
      </c>
      <c r="C98" s="49" t="s">
        <v>132</v>
      </c>
      <c r="D98" s="49"/>
      <c r="E98" s="49">
        <v>184811</v>
      </c>
      <c r="F98" s="362" t="s">
        <v>452</v>
      </c>
      <c r="G98" s="49" t="s">
        <v>453</v>
      </c>
      <c r="H98" s="49" t="s">
        <v>454</v>
      </c>
      <c r="I98" s="49" t="s">
        <v>455</v>
      </c>
      <c r="J98" s="316">
        <v>45733</v>
      </c>
      <c r="K98" s="360">
        <v>45733</v>
      </c>
      <c r="L98" s="322" t="s">
        <v>28</v>
      </c>
      <c r="M98" s="409" t="s">
        <v>456</v>
      </c>
      <c r="N98" s="317">
        <v>2</v>
      </c>
      <c r="O98" s="366">
        <v>45735</v>
      </c>
      <c r="P98" s="365" t="s">
        <v>30</v>
      </c>
      <c r="Q98" s="364">
        <v>45735</v>
      </c>
      <c r="R98" s="364">
        <v>45735</v>
      </c>
      <c r="S98" s="348"/>
    </row>
    <row r="99" spans="1:19" ht="25.5" hidden="1" x14ac:dyDescent="0.25">
      <c r="A99" s="359">
        <v>0</v>
      </c>
      <c r="B99" s="49" t="s">
        <v>457</v>
      </c>
      <c r="C99" s="49" t="s">
        <v>139</v>
      </c>
      <c r="D99" s="49"/>
      <c r="E99" s="49">
        <v>184802</v>
      </c>
      <c r="F99" s="362" t="s">
        <v>458</v>
      </c>
      <c r="G99" s="49" t="s">
        <v>459</v>
      </c>
      <c r="H99" s="49" t="s">
        <v>268</v>
      </c>
      <c r="I99" s="49" t="s">
        <v>143</v>
      </c>
      <c r="J99" s="316">
        <v>45729</v>
      </c>
      <c r="K99" s="360">
        <v>45729</v>
      </c>
      <c r="L99" s="322" t="s">
        <v>28</v>
      </c>
      <c r="M99" s="317" t="s">
        <v>269</v>
      </c>
      <c r="N99" s="317">
        <v>6</v>
      </c>
      <c r="O99" s="366">
        <v>45735</v>
      </c>
      <c r="P99" s="365" t="s">
        <v>30</v>
      </c>
      <c r="Q99" s="364">
        <v>45735</v>
      </c>
      <c r="R99" s="364">
        <v>45735</v>
      </c>
      <c r="S99" s="348"/>
    </row>
    <row r="100" spans="1:19" ht="25.5" hidden="1" x14ac:dyDescent="0.25">
      <c r="A100" s="359">
        <v>0</v>
      </c>
      <c r="B100" s="49" t="s">
        <v>460</v>
      </c>
      <c r="C100" s="49" t="s">
        <v>42</v>
      </c>
      <c r="D100" s="49"/>
      <c r="E100" s="49">
        <v>184793</v>
      </c>
      <c r="F100" s="362" t="s">
        <v>461</v>
      </c>
      <c r="G100" s="49" t="s">
        <v>44</v>
      </c>
      <c r="H100" s="49" t="s">
        <v>462</v>
      </c>
      <c r="I100" s="49" t="s">
        <v>46</v>
      </c>
      <c r="J100" s="316">
        <v>45733</v>
      </c>
      <c r="K100" s="360">
        <v>45733</v>
      </c>
      <c r="L100" s="322" t="s">
        <v>47</v>
      </c>
      <c r="M100" s="317" t="s">
        <v>463</v>
      </c>
      <c r="N100" s="317">
        <v>1</v>
      </c>
      <c r="O100" s="366">
        <v>45764</v>
      </c>
      <c r="P100" s="365" t="s">
        <v>464</v>
      </c>
      <c r="Q100" s="364">
        <v>45764</v>
      </c>
      <c r="R100" s="364">
        <v>45764</v>
      </c>
      <c r="S100" s="348"/>
    </row>
    <row r="101" spans="1:19" ht="25.5" hidden="1" x14ac:dyDescent="0.25">
      <c r="A101" s="359">
        <v>0</v>
      </c>
      <c r="B101" s="49" t="s">
        <v>465</v>
      </c>
      <c r="C101" s="49" t="s">
        <v>466</v>
      </c>
      <c r="D101" s="49"/>
      <c r="E101" s="49">
        <v>184767</v>
      </c>
      <c r="F101" s="362" t="s">
        <v>467</v>
      </c>
      <c r="G101" s="49" t="s">
        <v>468</v>
      </c>
      <c r="H101" s="49" t="s">
        <v>469</v>
      </c>
      <c r="I101" s="49" t="s">
        <v>470</v>
      </c>
      <c r="J101" s="316">
        <v>45728</v>
      </c>
      <c r="K101" s="360">
        <v>45734</v>
      </c>
      <c r="L101" s="322" t="s">
        <v>28</v>
      </c>
      <c r="M101" s="317" t="s">
        <v>471</v>
      </c>
      <c r="N101" s="317">
        <v>2</v>
      </c>
      <c r="O101" s="366">
        <v>45740</v>
      </c>
      <c r="P101" s="365" t="s">
        <v>30</v>
      </c>
      <c r="Q101" s="364">
        <v>45744</v>
      </c>
      <c r="R101" s="364">
        <v>45744</v>
      </c>
      <c r="S101" s="348"/>
    </row>
    <row r="102" spans="1:19" ht="25.5" hidden="1" x14ac:dyDescent="0.25">
      <c r="A102" s="359">
        <v>0</v>
      </c>
      <c r="B102" s="49" t="s">
        <v>472</v>
      </c>
      <c r="C102" s="49" t="s">
        <v>466</v>
      </c>
      <c r="D102" s="49"/>
      <c r="E102" s="49">
        <v>184767</v>
      </c>
      <c r="F102" s="362" t="s">
        <v>473</v>
      </c>
      <c r="G102" s="49" t="s">
        <v>474</v>
      </c>
      <c r="H102" s="49"/>
      <c r="I102" s="49"/>
      <c r="J102" s="316">
        <v>45728</v>
      </c>
      <c r="K102" s="360">
        <v>45734</v>
      </c>
      <c r="L102" s="322"/>
      <c r="M102" s="317"/>
      <c r="N102" s="317"/>
      <c r="O102" s="366"/>
      <c r="P102" s="365"/>
      <c r="Q102" s="364"/>
      <c r="R102" s="364"/>
      <c r="S102" s="348"/>
    </row>
    <row r="103" spans="1:19" ht="25.5" hidden="1" x14ac:dyDescent="0.25">
      <c r="A103" s="359">
        <v>0</v>
      </c>
      <c r="B103" s="49" t="s">
        <v>475</v>
      </c>
      <c r="C103" s="49" t="s">
        <v>466</v>
      </c>
      <c r="D103" s="49"/>
      <c r="E103" s="49">
        <v>184768</v>
      </c>
      <c r="F103" s="362" t="s">
        <v>476</v>
      </c>
      <c r="G103" s="49" t="s">
        <v>477</v>
      </c>
      <c r="H103" s="49"/>
      <c r="I103" s="49"/>
      <c r="J103" s="316">
        <v>45728</v>
      </c>
      <c r="K103" s="360">
        <v>45734</v>
      </c>
      <c r="L103" s="322"/>
      <c r="M103" s="317"/>
      <c r="N103" s="317"/>
      <c r="O103" s="366"/>
      <c r="P103" s="365"/>
      <c r="Q103" s="364"/>
      <c r="R103" s="364"/>
      <c r="S103" s="348"/>
    </row>
    <row r="104" spans="1:19" ht="25.5" hidden="1" x14ac:dyDescent="0.25">
      <c r="A104" s="359">
        <v>0</v>
      </c>
      <c r="B104" s="49" t="s">
        <v>478</v>
      </c>
      <c r="C104" s="49" t="s">
        <v>466</v>
      </c>
      <c r="D104" s="49"/>
      <c r="E104" s="49">
        <v>184768</v>
      </c>
      <c r="F104" s="362" t="s">
        <v>479</v>
      </c>
      <c r="G104" s="49" t="s">
        <v>480</v>
      </c>
      <c r="H104" s="49"/>
      <c r="I104" s="49"/>
      <c r="J104" s="316">
        <v>45728</v>
      </c>
      <c r="K104" s="360">
        <v>45734</v>
      </c>
      <c r="L104" s="322"/>
      <c r="M104" s="317"/>
      <c r="N104" s="317"/>
      <c r="O104" s="366"/>
      <c r="P104" s="365"/>
      <c r="Q104" s="364"/>
      <c r="R104" s="364"/>
      <c r="S104" s="348"/>
    </row>
    <row r="105" spans="1:19" ht="25.5" hidden="1" x14ac:dyDescent="0.25">
      <c r="A105" s="359">
        <v>0</v>
      </c>
      <c r="B105" s="49" t="s">
        <v>481</v>
      </c>
      <c r="C105" s="49" t="s">
        <v>466</v>
      </c>
      <c r="D105" s="49"/>
      <c r="E105" s="49">
        <v>184769</v>
      </c>
      <c r="F105" s="362" t="s">
        <v>482</v>
      </c>
      <c r="G105" s="49" t="s">
        <v>483</v>
      </c>
      <c r="H105" s="49"/>
      <c r="I105" s="49"/>
      <c r="J105" s="316">
        <v>45728</v>
      </c>
      <c r="K105" s="360">
        <v>45734</v>
      </c>
      <c r="L105" s="322"/>
      <c r="M105" s="317"/>
      <c r="N105" s="317"/>
      <c r="O105" s="366"/>
      <c r="P105" s="365"/>
      <c r="Q105" s="364"/>
      <c r="R105" s="364"/>
      <c r="S105" s="348"/>
    </row>
    <row r="106" spans="1:19" ht="38.25" hidden="1" x14ac:dyDescent="0.25">
      <c r="A106" s="359">
        <v>0</v>
      </c>
      <c r="B106" s="49" t="s">
        <v>484</v>
      </c>
      <c r="C106" s="49" t="s">
        <v>485</v>
      </c>
      <c r="D106" s="49"/>
      <c r="E106" s="49">
        <v>184823</v>
      </c>
      <c r="F106" s="362" t="s">
        <v>486</v>
      </c>
      <c r="G106" s="49" t="s">
        <v>487</v>
      </c>
      <c r="H106" s="49" t="s">
        <v>488</v>
      </c>
      <c r="I106" s="49" t="s">
        <v>489</v>
      </c>
      <c r="J106" s="316">
        <v>45722</v>
      </c>
      <c r="K106" s="360">
        <v>45737</v>
      </c>
      <c r="L106" s="322" t="s">
        <v>28</v>
      </c>
      <c r="M106" s="409" t="s">
        <v>490</v>
      </c>
      <c r="N106" s="317">
        <v>20</v>
      </c>
      <c r="O106" s="366">
        <v>45744</v>
      </c>
      <c r="P106" s="365" t="s">
        <v>30</v>
      </c>
      <c r="Q106" s="364">
        <v>45748</v>
      </c>
      <c r="R106" s="364">
        <v>45748</v>
      </c>
      <c r="S106" s="348"/>
    </row>
    <row r="107" spans="1:19" ht="38.25" hidden="1" x14ac:dyDescent="0.25">
      <c r="A107" s="359">
        <v>0</v>
      </c>
      <c r="B107" s="49" t="s">
        <v>491</v>
      </c>
      <c r="C107" s="49" t="s">
        <v>492</v>
      </c>
      <c r="D107" s="49"/>
      <c r="E107" s="49">
        <v>184824</v>
      </c>
      <c r="F107" s="362" t="s">
        <v>493</v>
      </c>
      <c r="G107" s="49" t="s">
        <v>494</v>
      </c>
      <c r="H107" s="49" t="s">
        <v>495</v>
      </c>
      <c r="I107" s="49" t="s">
        <v>489</v>
      </c>
      <c r="J107" s="316">
        <v>45722</v>
      </c>
      <c r="K107" s="360">
        <v>45737</v>
      </c>
      <c r="L107" s="322" t="s">
        <v>28</v>
      </c>
      <c r="M107" s="317" t="s">
        <v>490</v>
      </c>
      <c r="N107" s="317">
        <v>20</v>
      </c>
      <c r="O107" s="366">
        <v>45744</v>
      </c>
      <c r="P107" s="365" t="s">
        <v>30</v>
      </c>
      <c r="Q107" s="364">
        <v>45744</v>
      </c>
      <c r="R107" s="364">
        <v>45744</v>
      </c>
      <c r="S107" s="348"/>
    </row>
    <row r="108" spans="1:19" ht="38.25" hidden="1" x14ac:dyDescent="0.25">
      <c r="A108" s="359">
        <v>0</v>
      </c>
      <c r="B108" s="49" t="s">
        <v>496</v>
      </c>
      <c r="C108" s="49" t="s">
        <v>497</v>
      </c>
      <c r="D108" s="49"/>
      <c r="E108" s="49">
        <v>184837</v>
      </c>
      <c r="F108" s="362" t="s">
        <v>498</v>
      </c>
      <c r="G108" s="49"/>
      <c r="H108" s="49"/>
      <c r="I108" s="49"/>
      <c r="J108" s="316"/>
      <c r="K108" s="360"/>
      <c r="L108" s="322"/>
      <c r="M108" s="317"/>
      <c r="N108" s="317"/>
      <c r="O108" s="366"/>
      <c r="P108" s="365"/>
      <c r="Q108" s="364"/>
      <c r="R108" s="364"/>
      <c r="S108" s="348"/>
    </row>
    <row r="109" spans="1:19" ht="51" hidden="1" x14ac:dyDescent="0.25">
      <c r="A109" s="359">
        <v>0</v>
      </c>
      <c r="B109" s="49" t="s">
        <v>499</v>
      </c>
      <c r="C109" s="49" t="s">
        <v>500</v>
      </c>
      <c r="D109" s="49"/>
      <c r="E109" s="49">
        <v>184829</v>
      </c>
      <c r="F109" s="362" t="s">
        <v>501</v>
      </c>
      <c r="G109" s="49" t="s">
        <v>502</v>
      </c>
      <c r="H109" s="49" t="s">
        <v>503</v>
      </c>
      <c r="I109" s="49" t="s">
        <v>504</v>
      </c>
      <c r="J109" s="316">
        <v>45740</v>
      </c>
      <c r="K109" s="360">
        <v>45740</v>
      </c>
      <c r="L109" s="322" t="s">
        <v>28</v>
      </c>
      <c r="M109" s="317" t="s">
        <v>505</v>
      </c>
      <c r="N109" s="317">
        <v>2</v>
      </c>
      <c r="O109" s="366">
        <v>45744</v>
      </c>
      <c r="P109" s="365" t="s">
        <v>30</v>
      </c>
      <c r="Q109" s="364">
        <v>45744</v>
      </c>
      <c r="R109" s="364">
        <v>45744</v>
      </c>
      <c r="S109" s="348"/>
    </row>
    <row r="110" spans="1:19" ht="38.25" hidden="1" x14ac:dyDescent="0.25">
      <c r="A110" s="359">
        <v>0</v>
      </c>
      <c r="B110" s="49" t="s">
        <v>506</v>
      </c>
      <c r="C110" s="49" t="s">
        <v>330</v>
      </c>
      <c r="D110" s="49"/>
      <c r="E110" s="49">
        <v>184820</v>
      </c>
      <c r="F110" s="362" t="s">
        <v>507</v>
      </c>
      <c r="G110" s="49" t="s">
        <v>508</v>
      </c>
      <c r="H110" s="423" t="s">
        <v>509</v>
      </c>
      <c r="I110" s="49"/>
      <c r="J110" s="316"/>
      <c r="K110" s="360"/>
      <c r="L110" s="363"/>
      <c r="M110" s="317"/>
      <c r="N110" s="317"/>
      <c r="O110" s="366"/>
      <c r="P110" s="365"/>
      <c r="Q110" s="364"/>
      <c r="R110" s="364"/>
      <c r="S110" s="348"/>
    </row>
    <row r="111" spans="1:19" ht="38.25" hidden="1" x14ac:dyDescent="0.25">
      <c r="A111" s="359">
        <v>0</v>
      </c>
      <c r="B111" s="49" t="s">
        <v>510</v>
      </c>
      <c r="C111" s="49" t="s">
        <v>511</v>
      </c>
      <c r="D111" s="49"/>
      <c r="E111" s="49">
        <v>184835</v>
      </c>
      <c r="F111" s="362" t="s">
        <v>512</v>
      </c>
      <c r="G111" s="49" t="s">
        <v>513</v>
      </c>
      <c r="H111" s="49" t="s">
        <v>514</v>
      </c>
      <c r="I111" s="49" t="s">
        <v>515</v>
      </c>
      <c r="J111" s="316">
        <v>45737</v>
      </c>
      <c r="K111" s="360">
        <v>45740</v>
      </c>
      <c r="L111" s="363" t="s">
        <v>28</v>
      </c>
      <c r="M111" s="317" t="s">
        <v>516</v>
      </c>
      <c r="N111" s="317">
        <v>3</v>
      </c>
      <c r="O111" s="366">
        <v>45749</v>
      </c>
      <c r="P111" s="365" t="s">
        <v>30</v>
      </c>
      <c r="Q111" s="364">
        <v>45751</v>
      </c>
      <c r="R111" s="364">
        <v>45751</v>
      </c>
      <c r="S111" s="348"/>
    </row>
    <row r="112" spans="1:19" ht="38.25" hidden="1" x14ac:dyDescent="0.25">
      <c r="A112" s="359">
        <v>0</v>
      </c>
      <c r="B112" s="49" t="s">
        <v>517</v>
      </c>
      <c r="C112" s="49" t="s">
        <v>511</v>
      </c>
      <c r="D112" s="49"/>
      <c r="E112" s="49">
        <v>184836</v>
      </c>
      <c r="F112" s="362" t="s">
        <v>518</v>
      </c>
      <c r="G112" s="49" t="s">
        <v>519</v>
      </c>
      <c r="H112" s="49" t="s">
        <v>520</v>
      </c>
      <c r="I112" s="49" t="s">
        <v>521</v>
      </c>
      <c r="J112" s="316">
        <v>45737</v>
      </c>
      <c r="K112" s="360">
        <v>45740</v>
      </c>
      <c r="L112" s="363" t="s">
        <v>28</v>
      </c>
      <c r="M112" s="317" t="s">
        <v>522</v>
      </c>
      <c r="N112" s="317">
        <v>1</v>
      </c>
      <c r="O112" s="366">
        <v>45756</v>
      </c>
      <c r="P112" s="365" t="s">
        <v>30</v>
      </c>
      <c r="Q112" s="364">
        <v>45756</v>
      </c>
      <c r="R112" s="364">
        <v>45756</v>
      </c>
      <c r="S112" s="348"/>
    </row>
    <row r="113" spans="1:19" ht="51" hidden="1" x14ac:dyDescent="0.25">
      <c r="A113" s="359">
        <v>0</v>
      </c>
      <c r="B113" s="49" t="s">
        <v>523</v>
      </c>
      <c r="C113" s="49" t="s">
        <v>169</v>
      </c>
      <c r="D113" s="49"/>
      <c r="E113" s="49">
        <v>184830</v>
      </c>
      <c r="F113" s="362" t="s">
        <v>524</v>
      </c>
      <c r="G113" s="49" t="s">
        <v>525</v>
      </c>
      <c r="H113" s="49" t="s">
        <v>526</v>
      </c>
      <c r="I113" s="49" t="s">
        <v>527</v>
      </c>
      <c r="J113" s="316">
        <v>45736</v>
      </c>
      <c r="K113" s="360">
        <v>45741</v>
      </c>
      <c r="L113" s="363" t="s">
        <v>28</v>
      </c>
      <c r="M113" s="317" t="s">
        <v>174</v>
      </c>
      <c r="N113" s="317">
        <v>2</v>
      </c>
      <c r="O113" s="322">
        <v>45744</v>
      </c>
      <c r="P113" s="364" t="s">
        <v>30</v>
      </c>
      <c r="Q113" s="364">
        <v>45744</v>
      </c>
      <c r="R113" s="364">
        <v>45744</v>
      </c>
      <c r="S113" s="348"/>
    </row>
    <row r="114" spans="1:19" ht="38.25" hidden="1" x14ac:dyDescent="0.25">
      <c r="A114" s="359">
        <v>0</v>
      </c>
      <c r="B114" s="49" t="s">
        <v>528</v>
      </c>
      <c r="C114" s="49" t="s">
        <v>529</v>
      </c>
      <c r="D114" s="49"/>
      <c r="E114" s="49">
        <v>184832</v>
      </c>
      <c r="F114" s="362" t="s">
        <v>530</v>
      </c>
      <c r="G114" s="49" t="s">
        <v>531</v>
      </c>
      <c r="H114" s="49" t="s">
        <v>532</v>
      </c>
      <c r="I114" s="49" t="s">
        <v>533</v>
      </c>
      <c r="J114" s="316">
        <v>45735</v>
      </c>
      <c r="K114" s="360">
        <v>45741</v>
      </c>
      <c r="L114" s="363" t="s">
        <v>28</v>
      </c>
      <c r="M114" s="317" t="s">
        <v>534</v>
      </c>
      <c r="N114" s="317">
        <v>2</v>
      </c>
      <c r="O114" s="322">
        <v>45756</v>
      </c>
      <c r="P114" s="364" t="s">
        <v>30</v>
      </c>
      <c r="Q114" s="364">
        <v>45756</v>
      </c>
      <c r="R114" s="364">
        <v>45756</v>
      </c>
      <c r="S114" s="348"/>
    </row>
    <row r="115" spans="1:19" ht="25.5" hidden="1" x14ac:dyDescent="0.25">
      <c r="A115" s="359">
        <v>0</v>
      </c>
      <c r="B115" s="49" t="s">
        <v>535</v>
      </c>
      <c r="C115" s="49" t="s">
        <v>536</v>
      </c>
      <c r="D115" s="49"/>
      <c r="E115" s="49">
        <v>184841</v>
      </c>
      <c r="F115" s="362" t="s">
        <v>537</v>
      </c>
      <c r="G115" s="49" t="s">
        <v>538</v>
      </c>
      <c r="H115" s="49"/>
      <c r="I115" s="49"/>
      <c r="J115" s="316">
        <v>45741</v>
      </c>
      <c r="K115" s="360">
        <v>45742</v>
      </c>
      <c r="L115" s="363"/>
      <c r="M115" s="317"/>
      <c r="N115" s="317"/>
      <c r="O115" s="322"/>
      <c r="P115" s="365"/>
      <c r="Q115" s="364"/>
      <c r="R115" s="364"/>
      <c r="S115" s="348"/>
    </row>
    <row r="116" spans="1:19" ht="25.5" hidden="1" x14ac:dyDescent="0.25">
      <c r="A116" s="359">
        <v>0</v>
      </c>
      <c r="B116" s="49" t="s">
        <v>539</v>
      </c>
      <c r="C116" s="49" t="s">
        <v>540</v>
      </c>
      <c r="D116" s="49"/>
      <c r="E116" s="49">
        <v>184839</v>
      </c>
      <c r="F116" s="362" t="s">
        <v>541</v>
      </c>
      <c r="G116" s="49" t="s">
        <v>542</v>
      </c>
      <c r="H116" s="49" t="s">
        <v>370</v>
      </c>
      <c r="I116" s="49" t="s">
        <v>543</v>
      </c>
      <c r="J116" s="316">
        <v>45740</v>
      </c>
      <c r="K116" s="360">
        <v>45741</v>
      </c>
      <c r="L116" s="363" t="s">
        <v>28</v>
      </c>
      <c r="M116" s="317" t="s">
        <v>372</v>
      </c>
      <c r="N116" s="317">
        <v>20</v>
      </c>
      <c r="O116" s="322">
        <v>45749</v>
      </c>
      <c r="P116" s="365" t="s">
        <v>30</v>
      </c>
      <c r="Q116" s="364">
        <v>45749</v>
      </c>
      <c r="R116" s="364">
        <v>45749</v>
      </c>
      <c r="S116" s="348"/>
    </row>
    <row r="117" spans="1:19" ht="38.25" hidden="1" x14ac:dyDescent="0.25">
      <c r="A117" s="359">
        <v>0</v>
      </c>
      <c r="B117" s="49" t="s">
        <v>544</v>
      </c>
      <c r="C117" s="49" t="s">
        <v>545</v>
      </c>
      <c r="D117" s="49"/>
      <c r="E117" s="49">
        <v>184828</v>
      </c>
      <c r="F117" s="362" t="s">
        <v>546</v>
      </c>
      <c r="G117" s="49" t="s">
        <v>547</v>
      </c>
      <c r="H117" s="49" t="s">
        <v>548</v>
      </c>
      <c r="I117" s="49" t="s">
        <v>548</v>
      </c>
      <c r="J117" s="316">
        <v>45743</v>
      </c>
      <c r="K117" s="360">
        <v>45743</v>
      </c>
      <c r="L117" s="363" t="s">
        <v>28</v>
      </c>
      <c r="M117" s="317" t="s">
        <v>549</v>
      </c>
      <c r="N117" s="317">
        <v>1</v>
      </c>
      <c r="O117" s="322">
        <v>45748</v>
      </c>
      <c r="P117" s="365" t="s">
        <v>30</v>
      </c>
      <c r="Q117" s="364">
        <v>45749</v>
      </c>
      <c r="R117" s="364">
        <v>45749</v>
      </c>
      <c r="S117" s="348"/>
    </row>
    <row r="118" spans="1:19" ht="38.25" hidden="1" x14ac:dyDescent="0.25">
      <c r="A118" s="359">
        <v>0</v>
      </c>
      <c r="B118" s="49" t="s">
        <v>550</v>
      </c>
      <c r="C118" s="49" t="s">
        <v>551</v>
      </c>
      <c r="D118" s="49"/>
      <c r="E118" s="49">
        <v>184847</v>
      </c>
      <c r="F118" s="362" t="s">
        <v>552</v>
      </c>
      <c r="G118" s="49" t="s">
        <v>553</v>
      </c>
      <c r="H118" s="49" t="s">
        <v>554</v>
      </c>
      <c r="I118" s="49" t="s">
        <v>555</v>
      </c>
      <c r="J118" s="316">
        <v>45743</v>
      </c>
      <c r="K118" s="360">
        <v>45743</v>
      </c>
      <c r="L118" s="363" t="s">
        <v>28</v>
      </c>
      <c r="M118" s="317" t="s">
        <v>556</v>
      </c>
      <c r="N118" s="317">
        <v>4</v>
      </c>
      <c r="O118" s="322">
        <v>45751</v>
      </c>
      <c r="P118" s="365" t="s">
        <v>30</v>
      </c>
      <c r="Q118" s="364">
        <v>45751</v>
      </c>
      <c r="R118" s="364">
        <v>45751</v>
      </c>
      <c r="S118" s="348"/>
    </row>
    <row r="119" spans="1:19" ht="25.5" hidden="1" x14ac:dyDescent="0.25">
      <c r="A119" s="359">
        <v>0</v>
      </c>
      <c r="B119" s="49" t="s">
        <v>557</v>
      </c>
      <c r="C119" s="49" t="s">
        <v>558</v>
      </c>
      <c r="D119" s="49"/>
      <c r="E119" s="49">
        <v>184849</v>
      </c>
      <c r="F119" s="362" t="s">
        <v>559</v>
      </c>
      <c r="G119" s="49" t="s">
        <v>547</v>
      </c>
      <c r="H119" s="49" t="s">
        <v>560</v>
      </c>
      <c r="I119" s="49" t="s">
        <v>36</v>
      </c>
      <c r="J119" s="316">
        <v>45748</v>
      </c>
      <c r="K119" s="360">
        <v>45748</v>
      </c>
      <c r="L119" s="363" t="s">
        <v>28</v>
      </c>
      <c r="M119" s="317" t="s">
        <v>37</v>
      </c>
      <c r="N119" s="317">
        <v>6</v>
      </c>
      <c r="O119" s="322">
        <v>45751</v>
      </c>
      <c r="P119" s="365" t="s">
        <v>30</v>
      </c>
      <c r="Q119" s="364">
        <v>45751</v>
      </c>
      <c r="R119" s="364">
        <v>45751</v>
      </c>
      <c r="S119" s="348"/>
    </row>
    <row r="120" spans="1:19" ht="38.25" hidden="1" x14ac:dyDescent="0.25">
      <c r="A120" s="359">
        <v>0</v>
      </c>
      <c r="B120" s="49" t="s">
        <v>561</v>
      </c>
      <c r="C120" s="49" t="s">
        <v>562</v>
      </c>
      <c r="D120" s="49"/>
      <c r="E120" s="49">
        <v>184855</v>
      </c>
      <c r="F120" s="362" t="s">
        <v>563</v>
      </c>
      <c r="G120" s="49" t="s">
        <v>564</v>
      </c>
      <c r="H120" s="49" t="s">
        <v>565</v>
      </c>
      <c r="I120" s="49" t="s">
        <v>566</v>
      </c>
      <c r="J120" s="316">
        <v>45751</v>
      </c>
      <c r="K120" s="360">
        <v>45751</v>
      </c>
      <c r="L120" s="363" t="s">
        <v>28</v>
      </c>
      <c r="M120" s="317" t="s">
        <v>567</v>
      </c>
      <c r="N120" s="317">
        <v>3</v>
      </c>
      <c r="O120" s="322">
        <v>45758</v>
      </c>
      <c r="P120" s="365" t="s">
        <v>30</v>
      </c>
      <c r="Q120" s="364">
        <v>45758</v>
      </c>
      <c r="R120" s="364">
        <v>45758</v>
      </c>
      <c r="S120" s="348"/>
    </row>
    <row r="121" spans="1:19" hidden="1" x14ac:dyDescent="0.25">
      <c r="A121" s="359">
        <v>0</v>
      </c>
      <c r="B121" s="49" t="s">
        <v>568</v>
      </c>
      <c r="C121" s="49" t="s">
        <v>69</v>
      </c>
      <c r="D121" s="49"/>
      <c r="E121" s="49">
        <v>184814</v>
      </c>
      <c r="F121" s="362" t="s">
        <v>569</v>
      </c>
      <c r="G121" s="49"/>
      <c r="H121" s="49"/>
      <c r="I121" s="49"/>
      <c r="J121" s="316">
        <v>45750</v>
      </c>
      <c r="K121" s="360">
        <v>45750</v>
      </c>
      <c r="L121" s="363"/>
      <c r="M121" s="317"/>
      <c r="N121" s="317"/>
      <c r="O121" s="366"/>
      <c r="P121" s="365"/>
      <c r="Q121" s="364"/>
      <c r="R121" s="364"/>
      <c r="S121" s="348"/>
    </row>
    <row r="122" spans="1:19" hidden="1" x14ac:dyDescent="0.25">
      <c r="A122" s="359">
        <v>0</v>
      </c>
      <c r="B122" s="49" t="s">
        <v>570</v>
      </c>
      <c r="C122" s="49" t="s">
        <v>69</v>
      </c>
      <c r="D122" s="49"/>
      <c r="E122" s="49">
        <v>184814</v>
      </c>
      <c r="F122" s="362" t="s">
        <v>571</v>
      </c>
      <c r="G122" s="49"/>
      <c r="H122" s="49"/>
      <c r="I122" s="49"/>
      <c r="J122" s="316">
        <v>45750</v>
      </c>
      <c r="K122" s="360">
        <v>45750</v>
      </c>
      <c r="L122" s="363"/>
      <c r="M122" s="317"/>
      <c r="N122" s="317"/>
      <c r="O122" s="366"/>
      <c r="P122" s="365"/>
      <c r="Q122" s="364"/>
      <c r="R122" s="364"/>
      <c r="S122" s="348"/>
    </row>
    <row r="123" spans="1:19" hidden="1" x14ac:dyDescent="0.25">
      <c r="A123" s="359">
        <v>0</v>
      </c>
      <c r="B123" s="49" t="s">
        <v>572</v>
      </c>
      <c r="C123" s="49" t="s">
        <v>69</v>
      </c>
      <c r="D123" s="49"/>
      <c r="E123" s="49">
        <v>184814</v>
      </c>
      <c r="F123" s="362" t="s">
        <v>573</v>
      </c>
      <c r="G123" s="49"/>
      <c r="H123" s="49"/>
      <c r="I123" s="49"/>
      <c r="J123" s="316">
        <v>45750</v>
      </c>
      <c r="K123" s="360">
        <v>45750</v>
      </c>
      <c r="L123" s="363"/>
      <c r="M123" s="317"/>
      <c r="N123" s="317"/>
      <c r="O123" s="322"/>
      <c r="P123" s="365"/>
      <c r="Q123" s="364"/>
      <c r="R123" s="364"/>
      <c r="S123" s="348"/>
    </row>
    <row r="124" spans="1:19" ht="25.5" hidden="1" x14ac:dyDescent="0.25">
      <c r="A124" s="359">
        <v>0</v>
      </c>
      <c r="B124" s="49" t="s">
        <v>574</v>
      </c>
      <c r="C124" s="49" t="s">
        <v>575</v>
      </c>
      <c r="D124" s="49"/>
      <c r="E124" s="49">
        <v>184864</v>
      </c>
      <c r="F124" s="362" t="s">
        <v>576</v>
      </c>
      <c r="G124" s="49" t="s">
        <v>494</v>
      </c>
      <c r="H124" s="49" t="s">
        <v>495</v>
      </c>
      <c r="I124" s="49" t="s">
        <v>489</v>
      </c>
      <c r="J124" s="316">
        <v>45742</v>
      </c>
      <c r="K124" s="360">
        <v>45754</v>
      </c>
      <c r="L124" s="363" t="s">
        <v>28</v>
      </c>
      <c r="M124" s="317" t="s">
        <v>490</v>
      </c>
      <c r="N124" s="317">
        <v>20</v>
      </c>
      <c r="O124" s="366">
        <v>45758</v>
      </c>
      <c r="P124" s="365" t="s">
        <v>30</v>
      </c>
      <c r="Q124" s="364">
        <v>45761</v>
      </c>
      <c r="R124" s="364">
        <v>45761</v>
      </c>
      <c r="S124" s="348"/>
    </row>
    <row r="125" spans="1:19" ht="51" hidden="1" x14ac:dyDescent="0.25">
      <c r="A125" s="359">
        <v>0</v>
      </c>
      <c r="B125" s="49" t="s">
        <v>577</v>
      </c>
      <c r="C125" s="49" t="s">
        <v>130</v>
      </c>
      <c r="D125" s="49"/>
      <c r="E125" s="49">
        <v>184758</v>
      </c>
      <c r="F125" s="362" t="s">
        <v>578</v>
      </c>
      <c r="G125" s="49" t="s">
        <v>579</v>
      </c>
      <c r="H125" s="49" t="s">
        <v>580</v>
      </c>
      <c r="I125" s="49" t="s">
        <v>581</v>
      </c>
      <c r="J125" s="316">
        <v>45733</v>
      </c>
      <c r="K125" s="360">
        <v>45733</v>
      </c>
      <c r="L125" s="363" t="s">
        <v>28</v>
      </c>
      <c r="M125" s="317" t="s">
        <v>582</v>
      </c>
      <c r="N125" s="317" t="s">
        <v>583</v>
      </c>
      <c r="O125" s="366">
        <v>45761</v>
      </c>
      <c r="P125" s="365" t="s">
        <v>30</v>
      </c>
      <c r="Q125" s="364">
        <v>45761</v>
      </c>
      <c r="R125" s="364">
        <v>45761</v>
      </c>
      <c r="S125" s="348"/>
    </row>
    <row r="126" spans="1:19" ht="38.25" hidden="1" x14ac:dyDescent="0.25">
      <c r="A126" s="359">
        <v>0</v>
      </c>
      <c r="B126" s="49" t="s">
        <v>584</v>
      </c>
      <c r="C126" s="49" t="s">
        <v>130</v>
      </c>
      <c r="D126" s="49"/>
      <c r="E126" s="49">
        <v>184881</v>
      </c>
      <c r="F126" s="362" t="s">
        <v>585</v>
      </c>
      <c r="G126" s="49" t="s">
        <v>586</v>
      </c>
      <c r="H126" s="49" t="s">
        <v>587</v>
      </c>
      <c r="I126" s="49" t="s">
        <v>588</v>
      </c>
      <c r="J126" s="316">
        <v>45755</v>
      </c>
      <c r="K126" s="360">
        <v>45756</v>
      </c>
      <c r="L126" s="363" t="s">
        <v>28</v>
      </c>
      <c r="M126" s="317" t="s">
        <v>435</v>
      </c>
      <c r="N126" s="317">
        <v>2</v>
      </c>
      <c r="O126" s="366">
        <v>45758</v>
      </c>
      <c r="P126" s="365" t="s">
        <v>30</v>
      </c>
      <c r="Q126" s="364">
        <v>45761</v>
      </c>
      <c r="R126" s="364">
        <v>45761</v>
      </c>
      <c r="S126" s="348"/>
    </row>
    <row r="127" spans="1:19" ht="38.25" hidden="1" x14ac:dyDescent="0.25">
      <c r="A127" s="359">
        <v>0</v>
      </c>
      <c r="B127" s="49" t="s">
        <v>589</v>
      </c>
      <c r="C127" s="49" t="s">
        <v>590</v>
      </c>
      <c r="D127" s="49"/>
      <c r="E127" s="49">
        <v>184885</v>
      </c>
      <c r="F127" s="362" t="s">
        <v>591</v>
      </c>
      <c r="G127" s="49" t="s">
        <v>592</v>
      </c>
      <c r="H127" s="49" t="s">
        <v>593</v>
      </c>
      <c r="I127" s="49" t="s">
        <v>594</v>
      </c>
      <c r="J127" s="316">
        <v>45756</v>
      </c>
      <c r="K127" s="360">
        <v>45756</v>
      </c>
      <c r="L127" s="363" t="s">
        <v>47</v>
      </c>
      <c r="M127" s="317" t="s">
        <v>595</v>
      </c>
      <c r="N127" s="317">
        <v>3</v>
      </c>
      <c r="O127" s="322">
        <v>45763</v>
      </c>
      <c r="P127" s="365" t="s">
        <v>464</v>
      </c>
      <c r="Q127" s="364">
        <v>45764</v>
      </c>
      <c r="R127" s="364">
        <v>45764</v>
      </c>
      <c r="S127" s="348"/>
    </row>
    <row r="128" spans="1:19" ht="25.5" hidden="1" x14ac:dyDescent="0.25">
      <c r="A128" s="359">
        <v>0</v>
      </c>
      <c r="B128" s="49" t="s">
        <v>596</v>
      </c>
      <c r="C128" s="49" t="s">
        <v>50</v>
      </c>
      <c r="D128" s="49" t="s">
        <v>597</v>
      </c>
      <c r="E128" s="49">
        <v>184892</v>
      </c>
      <c r="F128" s="362" t="s">
        <v>598</v>
      </c>
      <c r="G128" s="49" t="s">
        <v>542</v>
      </c>
      <c r="H128" s="49" t="s">
        <v>370</v>
      </c>
      <c r="I128" s="49" t="s">
        <v>599</v>
      </c>
      <c r="J128" s="316">
        <v>45757</v>
      </c>
      <c r="K128" s="360">
        <v>45758</v>
      </c>
      <c r="L128" s="363" t="s">
        <v>28</v>
      </c>
      <c r="M128" s="317" t="s">
        <v>372</v>
      </c>
      <c r="N128" s="317">
        <v>5</v>
      </c>
      <c r="O128" s="366">
        <v>45770</v>
      </c>
      <c r="P128" s="365" t="s">
        <v>464</v>
      </c>
      <c r="Q128" s="364">
        <v>45771</v>
      </c>
      <c r="R128" s="364">
        <v>45771</v>
      </c>
      <c r="S128" s="348"/>
    </row>
    <row r="129" spans="1:19" ht="38.25" hidden="1" x14ac:dyDescent="0.25">
      <c r="A129" s="359">
        <v>0</v>
      </c>
      <c r="B129" s="49" t="s">
        <v>600</v>
      </c>
      <c r="C129" s="49" t="s">
        <v>130</v>
      </c>
      <c r="D129" s="49" t="s">
        <v>601</v>
      </c>
      <c r="E129" s="49">
        <v>184893</v>
      </c>
      <c r="F129" s="362" t="s">
        <v>602</v>
      </c>
      <c r="G129" s="49" t="s">
        <v>603</v>
      </c>
      <c r="H129" s="49" t="s">
        <v>604</v>
      </c>
      <c r="I129" s="49" t="s">
        <v>605</v>
      </c>
      <c r="J129" s="316">
        <v>45762</v>
      </c>
      <c r="K129" s="360">
        <v>45762</v>
      </c>
      <c r="L129" s="363" t="s">
        <v>28</v>
      </c>
      <c r="M129" s="317" t="s">
        <v>606</v>
      </c>
      <c r="N129" s="317">
        <v>18</v>
      </c>
      <c r="O129" s="366">
        <v>45764</v>
      </c>
      <c r="P129" s="365" t="s">
        <v>464</v>
      </c>
      <c r="Q129" s="364">
        <v>45769</v>
      </c>
      <c r="R129" s="364">
        <v>45860</v>
      </c>
      <c r="S129" s="348"/>
    </row>
    <row r="130" spans="1:19" hidden="1" x14ac:dyDescent="0.25">
      <c r="A130" s="359">
        <v>0</v>
      </c>
      <c r="B130" s="49" t="s">
        <v>607</v>
      </c>
      <c r="C130" s="49" t="s">
        <v>608</v>
      </c>
      <c r="D130" s="49"/>
      <c r="E130" s="49">
        <v>184804</v>
      </c>
      <c r="F130" s="362" t="s">
        <v>609</v>
      </c>
      <c r="G130" s="49" t="s">
        <v>610</v>
      </c>
      <c r="H130" s="49"/>
      <c r="I130" s="49"/>
      <c r="J130" s="316">
        <v>45761</v>
      </c>
      <c r="K130" s="360">
        <v>45762</v>
      </c>
      <c r="L130" s="363"/>
      <c r="M130" s="317"/>
      <c r="N130" s="317"/>
      <c r="O130" s="322"/>
      <c r="P130" s="365"/>
      <c r="Q130" s="364"/>
      <c r="R130" s="364"/>
      <c r="S130" s="348"/>
    </row>
    <row r="131" spans="1:19" ht="25.5" hidden="1" x14ac:dyDescent="0.25">
      <c r="A131" s="359">
        <v>0</v>
      </c>
      <c r="B131" s="49" t="s">
        <v>611</v>
      </c>
      <c r="C131" s="49" t="s">
        <v>612</v>
      </c>
      <c r="D131" s="49"/>
      <c r="E131" s="49">
        <v>184903</v>
      </c>
      <c r="F131" s="362" t="s">
        <v>613</v>
      </c>
      <c r="G131" s="49" t="s">
        <v>614</v>
      </c>
      <c r="H131" s="49"/>
      <c r="I131" s="49"/>
      <c r="J131" s="316">
        <v>45761</v>
      </c>
      <c r="K131" s="360">
        <v>45762</v>
      </c>
      <c r="L131" s="363"/>
      <c r="M131" s="317"/>
      <c r="N131" s="317"/>
      <c r="O131" s="322"/>
      <c r="P131" s="365"/>
      <c r="Q131" s="364"/>
      <c r="R131" s="364"/>
      <c r="S131" s="348"/>
    </row>
    <row r="132" spans="1:19" ht="25.5" hidden="1" x14ac:dyDescent="0.25">
      <c r="A132" s="359">
        <v>0</v>
      </c>
      <c r="B132" s="49" t="s">
        <v>615</v>
      </c>
      <c r="C132" s="49" t="s">
        <v>616</v>
      </c>
      <c r="D132" s="49"/>
      <c r="E132" s="49">
        <v>183620</v>
      </c>
      <c r="F132" s="362" t="s">
        <v>617</v>
      </c>
      <c r="G132" s="49" t="s">
        <v>618</v>
      </c>
      <c r="H132" s="49"/>
      <c r="I132" s="49"/>
      <c r="J132" s="316">
        <v>45764</v>
      </c>
      <c r="K132" s="360">
        <v>45764</v>
      </c>
      <c r="L132" s="363"/>
      <c r="M132" s="317"/>
      <c r="N132" s="317"/>
      <c r="O132" s="366"/>
      <c r="P132" s="365"/>
      <c r="Q132" s="364"/>
      <c r="R132" s="364"/>
      <c r="S132" s="348"/>
    </row>
    <row r="133" spans="1:19" ht="38.25" hidden="1" x14ac:dyDescent="0.25">
      <c r="A133" s="359">
        <v>0</v>
      </c>
      <c r="B133" s="49" t="s">
        <v>619</v>
      </c>
      <c r="C133" s="49" t="s">
        <v>620</v>
      </c>
      <c r="D133" s="49"/>
      <c r="E133" s="49">
        <v>184890</v>
      </c>
      <c r="F133" s="362" t="s">
        <v>621</v>
      </c>
      <c r="G133" s="49" t="s">
        <v>622</v>
      </c>
      <c r="H133" s="49"/>
      <c r="I133" s="49"/>
      <c r="J133" s="316">
        <v>45766</v>
      </c>
      <c r="K133" s="360">
        <v>45762</v>
      </c>
      <c r="L133" s="363"/>
      <c r="M133" s="317"/>
      <c r="N133" s="317"/>
      <c r="O133" s="322"/>
      <c r="P133" s="365"/>
      <c r="Q133" s="364"/>
      <c r="R133" s="364"/>
      <c r="S133" s="348"/>
    </row>
    <row r="134" spans="1:19" ht="38.25" hidden="1" x14ac:dyDescent="0.25">
      <c r="A134" s="359">
        <v>0</v>
      </c>
      <c r="B134" s="49" t="s">
        <v>623</v>
      </c>
      <c r="C134" s="49" t="s">
        <v>130</v>
      </c>
      <c r="D134" s="49"/>
      <c r="E134" s="49">
        <v>184908</v>
      </c>
      <c r="F134" s="362" t="s">
        <v>624</v>
      </c>
      <c r="G134" s="49" t="s">
        <v>625</v>
      </c>
      <c r="H134" s="49"/>
      <c r="I134" s="49"/>
      <c r="J134" s="316">
        <v>45762</v>
      </c>
      <c r="K134" s="360">
        <v>45763</v>
      </c>
      <c r="L134" s="363"/>
      <c r="M134" s="317"/>
      <c r="N134" s="317"/>
      <c r="O134" s="322"/>
      <c r="P134" s="365"/>
      <c r="Q134" s="364"/>
      <c r="R134" s="364"/>
      <c r="S134" s="348"/>
    </row>
    <row r="135" spans="1:19" ht="25.5" hidden="1" x14ac:dyDescent="0.25">
      <c r="A135" s="359">
        <v>0</v>
      </c>
      <c r="B135" s="49" t="s">
        <v>626</v>
      </c>
      <c r="C135" s="49" t="s">
        <v>627</v>
      </c>
      <c r="D135" s="49"/>
      <c r="E135" s="49">
        <v>184940</v>
      </c>
      <c r="F135" s="362" t="s">
        <v>628</v>
      </c>
      <c r="G135" s="49"/>
      <c r="H135" s="49"/>
      <c r="I135" s="49"/>
      <c r="J135" s="316"/>
      <c r="K135" s="360"/>
      <c r="L135" s="363"/>
      <c r="M135" s="317"/>
      <c r="N135" s="317"/>
      <c r="O135" s="322"/>
      <c r="P135" s="365"/>
      <c r="Q135" s="364"/>
      <c r="R135" s="364"/>
      <c r="S135" s="348"/>
    </row>
    <row r="136" spans="1:19" ht="25.5" hidden="1" x14ac:dyDescent="0.25">
      <c r="A136" s="359">
        <v>0</v>
      </c>
      <c r="B136" s="49" t="s">
        <v>629</v>
      </c>
      <c r="C136" s="49" t="s">
        <v>132</v>
      </c>
      <c r="D136" s="49"/>
      <c r="E136" s="49">
        <v>184949</v>
      </c>
      <c r="F136" s="362" t="s">
        <v>630</v>
      </c>
      <c r="G136" s="49"/>
      <c r="H136" s="49"/>
      <c r="I136" s="49"/>
      <c r="J136" s="316">
        <v>45771</v>
      </c>
      <c r="K136" s="360">
        <v>45771</v>
      </c>
      <c r="L136" s="363"/>
      <c r="M136" s="317"/>
      <c r="N136" s="317"/>
      <c r="O136" s="322"/>
      <c r="P136" s="365"/>
      <c r="Q136" s="364"/>
      <c r="R136" s="364"/>
      <c r="S136" s="348"/>
    </row>
    <row r="137" spans="1:19" ht="25.5" hidden="1" x14ac:dyDescent="0.25">
      <c r="A137" s="359">
        <v>0</v>
      </c>
      <c r="B137" s="49" t="s">
        <v>631</v>
      </c>
      <c r="C137" s="49" t="s">
        <v>132</v>
      </c>
      <c r="D137" s="49"/>
      <c r="E137" s="49">
        <v>184950</v>
      </c>
      <c r="F137" s="362" t="s">
        <v>632</v>
      </c>
      <c r="G137" s="49" t="s">
        <v>633</v>
      </c>
      <c r="H137" s="49"/>
      <c r="I137" s="49"/>
      <c r="J137" s="316">
        <v>45771</v>
      </c>
      <c r="K137" s="360">
        <v>45771</v>
      </c>
      <c r="L137" s="363"/>
      <c r="M137" s="317"/>
      <c r="N137" s="317"/>
      <c r="O137" s="322"/>
      <c r="P137" s="365"/>
      <c r="Q137" s="364"/>
      <c r="R137" s="364"/>
      <c r="S137" s="348"/>
    </row>
    <row r="138" spans="1:19" ht="25.5" hidden="1" x14ac:dyDescent="0.25">
      <c r="A138" s="359">
        <v>0</v>
      </c>
      <c r="B138" s="49" t="s">
        <v>634</v>
      </c>
      <c r="C138" s="49" t="s">
        <v>8113</v>
      </c>
      <c r="D138" s="49"/>
      <c r="E138" s="49">
        <v>184937</v>
      </c>
      <c r="F138" s="362" t="s">
        <v>13234</v>
      </c>
      <c r="G138" s="49" t="s">
        <v>159</v>
      </c>
      <c r="H138" s="49"/>
      <c r="I138" s="49"/>
      <c r="J138" s="316">
        <v>45772</v>
      </c>
      <c r="K138" s="360">
        <v>45772</v>
      </c>
      <c r="L138" s="363"/>
      <c r="M138" s="317"/>
      <c r="N138" s="317"/>
      <c r="O138" s="322"/>
      <c r="P138" s="365"/>
      <c r="Q138" s="364"/>
      <c r="R138" s="364"/>
      <c r="S138" s="348"/>
    </row>
    <row r="139" spans="1:19" hidden="1" x14ac:dyDescent="0.25">
      <c r="A139" s="359">
        <v>0</v>
      </c>
      <c r="B139" s="49" t="s">
        <v>635</v>
      </c>
      <c r="C139" s="49"/>
      <c r="D139" s="49"/>
      <c r="E139" s="49"/>
      <c r="F139" s="362"/>
      <c r="G139" s="49"/>
      <c r="H139" s="49"/>
      <c r="I139" s="49"/>
      <c r="J139" s="316"/>
      <c r="K139" s="360"/>
      <c r="L139" s="363"/>
      <c r="M139" s="317"/>
      <c r="N139" s="317"/>
      <c r="O139" s="322"/>
      <c r="P139" s="365"/>
      <c r="Q139" s="364"/>
      <c r="R139" s="364"/>
      <c r="S139" s="348"/>
    </row>
    <row r="140" spans="1:19" hidden="1" x14ac:dyDescent="0.25">
      <c r="A140" s="359">
        <v>0</v>
      </c>
      <c r="B140" s="49" t="s">
        <v>636</v>
      </c>
      <c r="C140" s="49"/>
      <c r="D140" s="49"/>
      <c r="E140" s="49"/>
      <c r="F140" s="362"/>
      <c r="G140" s="49"/>
      <c r="H140" s="49"/>
      <c r="I140" s="49"/>
      <c r="J140" s="316"/>
      <c r="K140" s="360"/>
      <c r="L140" s="363"/>
      <c r="M140" s="317"/>
      <c r="N140" s="317"/>
      <c r="O140" s="322"/>
      <c r="P140" s="365"/>
      <c r="Q140" s="364"/>
      <c r="R140" s="364"/>
      <c r="S140" s="348"/>
    </row>
    <row r="141" spans="1:19" hidden="1" x14ac:dyDescent="0.25">
      <c r="A141" s="359">
        <v>0</v>
      </c>
      <c r="B141" s="49" t="s">
        <v>637</v>
      </c>
      <c r="C141" s="49"/>
      <c r="D141" s="49"/>
      <c r="E141" s="49"/>
      <c r="F141" s="362"/>
      <c r="G141" s="49"/>
      <c r="H141" s="49"/>
      <c r="I141" s="49"/>
      <c r="J141" s="316"/>
      <c r="K141" s="360"/>
      <c r="L141" s="363"/>
      <c r="M141" s="317"/>
      <c r="N141" s="317"/>
      <c r="O141" s="322"/>
      <c r="P141" s="365"/>
      <c r="Q141" s="364"/>
      <c r="R141" s="364"/>
      <c r="S141" s="348"/>
    </row>
    <row r="142" spans="1:19" hidden="1" x14ac:dyDescent="0.25">
      <c r="A142" s="359">
        <v>0</v>
      </c>
      <c r="B142" s="49" t="s">
        <v>638</v>
      </c>
      <c r="C142" s="49"/>
      <c r="D142" s="49"/>
      <c r="E142" s="49"/>
      <c r="F142" s="362"/>
      <c r="G142" s="49"/>
      <c r="H142" s="49"/>
      <c r="I142" s="49"/>
      <c r="J142" s="316"/>
      <c r="K142" s="360"/>
      <c r="L142" s="363"/>
      <c r="M142" s="317"/>
      <c r="N142" s="317"/>
      <c r="O142" s="366"/>
      <c r="P142" s="365"/>
      <c r="Q142" s="364"/>
      <c r="R142" s="364"/>
      <c r="S142" s="348"/>
    </row>
    <row r="143" spans="1:19" hidden="1" x14ac:dyDescent="0.25">
      <c r="A143" s="359">
        <v>0</v>
      </c>
      <c r="B143" s="49" t="s">
        <v>639</v>
      </c>
      <c r="C143" s="49"/>
      <c r="D143" s="49"/>
      <c r="E143" s="49"/>
      <c r="F143" s="362"/>
      <c r="G143" s="49"/>
      <c r="H143" s="49"/>
      <c r="I143" s="49"/>
      <c r="J143" s="316"/>
      <c r="K143" s="360"/>
      <c r="L143" s="363"/>
      <c r="M143" s="317"/>
      <c r="N143" s="317"/>
      <c r="O143" s="366"/>
      <c r="P143" s="365"/>
      <c r="Q143" s="364"/>
      <c r="R143" s="364"/>
      <c r="S143" s="348"/>
    </row>
    <row r="144" spans="1:19" hidden="1" x14ac:dyDescent="0.25">
      <c r="A144" s="359">
        <v>0</v>
      </c>
      <c r="B144" s="49" t="s">
        <v>640</v>
      </c>
      <c r="C144" s="49"/>
      <c r="D144" s="49"/>
      <c r="E144" s="49"/>
      <c r="F144" s="362"/>
      <c r="G144" s="49"/>
      <c r="H144" s="49"/>
      <c r="I144" s="49"/>
      <c r="J144" s="316"/>
      <c r="K144" s="360"/>
      <c r="L144" s="363"/>
      <c r="M144" s="317"/>
      <c r="N144" s="317"/>
      <c r="O144" s="322"/>
      <c r="P144" s="365"/>
      <c r="Q144" s="364"/>
      <c r="R144" s="364"/>
      <c r="S144" s="348"/>
    </row>
    <row r="145" spans="1:19" hidden="1" x14ac:dyDescent="0.25">
      <c r="A145" s="359">
        <v>0</v>
      </c>
      <c r="B145" s="49" t="s">
        <v>641</v>
      </c>
      <c r="C145" s="49"/>
      <c r="D145" s="49"/>
      <c r="E145" s="49"/>
      <c r="F145" s="362"/>
      <c r="G145" s="49"/>
      <c r="H145" s="49"/>
      <c r="I145" s="49"/>
      <c r="J145" s="316"/>
      <c r="K145" s="360"/>
      <c r="L145" s="363"/>
      <c r="M145" s="317"/>
      <c r="N145" s="317"/>
      <c r="O145" s="322"/>
      <c r="P145" s="365"/>
      <c r="Q145" s="364"/>
      <c r="R145" s="364"/>
      <c r="S145" s="348"/>
    </row>
    <row r="146" spans="1:19" hidden="1" x14ac:dyDescent="0.25">
      <c r="A146" s="359">
        <v>0</v>
      </c>
      <c r="B146" s="49" t="s">
        <v>642</v>
      </c>
      <c r="C146" s="49"/>
      <c r="D146" s="49"/>
      <c r="E146" s="49"/>
      <c r="F146" s="362"/>
      <c r="G146" s="49"/>
      <c r="H146" s="49"/>
      <c r="I146" s="49"/>
      <c r="J146" s="316"/>
      <c r="K146" s="360"/>
      <c r="L146" s="363"/>
      <c r="M146" s="317"/>
      <c r="N146" s="317"/>
      <c r="O146" s="322"/>
      <c r="P146" s="365"/>
      <c r="Q146" s="364"/>
      <c r="R146" s="364"/>
      <c r="S146" s="348"/>
    </row>
    <row r="147" spans="1:19" hidden="1" x14ac:dyDescent="0.25">
      <c r="A147" s="359">
        <v>0</v>
      </c>
      <c r="B147" s="49" t="s">
        <v>643</v>
      </c>
      <c r="C147" s="49"/>
      <c r="D147" s="49"/>
      <c r="E147" s="49"/>
      <c r="F147" s="362"/>
      <c r="G147" s="49"/>
      <c r="H147" s="49"/>
      <c r="I147" s="49"/>
      <c r="J147" s="316"/>
      <c r="K147" s="360"/>
      <c r="L147" s="363"/>
      <c r="M147" s="317"/>
      <c r="N147" s="317"/>
      <c r="O147" s="322"/>
      <c r="P147" s="365"/>
      <c r="Q147" s="364"/>
      <c r="R147" s="364"/>
      <c r="S147" s="348"/>
    </row>
    <row r="148" spans="1:19" hidden="1" x14ac:dyDescent="0.25">
      <c r="A148" s="359">
        <v>0</v>
      </c>
      <c r="B148" s="49" t="s">
        <v>644</v>
      </c>
      <c r="C148" s="49"/>
      <c r="D148" s="49"/>
      <c r="E148" s="49"/>
      <c r="F148" s="362"/>
      <c r="G148" s="49"/>
      <c r="H148" s="49"/>
      <c r="I148" s="49"/>
      <c r="J148" s="316"/>
      <c r="K148" s="360"/>
      <c r="L148" s="317"/>
      <c r="M148" s="317"/>
      <c r="N148" s="317"/>
      <c r="O148" s="366"/>
      <c r="P148" s="365"/>
      <c r="Q148" s="364"/>
      <c r="R148" s="364"/>
      <c r="S148" s="348"/>
    </row>
    <row r="149" spans="1:19" hidden="1" x14ac:dyDescent="0.25">
      <c r="A149" s="359">
        <v>0</v>
      </c>
      <c r="B149" s="49" t="s">
        <v>645</v>
      </c>
      <c r="C149" s="49"/>
      <c r="D149" s="49"/>
      <c r="E149" s="49"/>
      <c r="F149" s="362"/>
      <c r="G149" s="49"/>
      <c r="H149" s="49"/>
      <c r="I149" s="49"/>
      <c r="J149" s="316"/>
      <c r="K149" s="360"/>
      <c r="L149" s="317"/>
      <c r="M149" s="317"/>
      <c r="N149" s="317"/>
      <c r="O149" s="366"/>
      <c r="P149" s="365"/>
      <c r="Q149" s="364"/>
      <c r="R149" s="364"/>
      <c r="S149" s="348"/>
    </row>
    <row r="150" spans="1:19" hidden="1" x14ac:dyDescent="0.25">
      <c r="A150" s="359">
        <v>0</v>
      </c>
      <c r="B150" s="49" t="s">
        <v>646</v>
      </c>
      <c r="C150" s="49"/>
      <c r="D150" s="49"/>
      <c r="E150" s="49"/>
      <c r="F150" s="362"/>
      <c r="G150" s="49"/>
      <c r="H150" s="49"/>
      <c r="I150" s="49"/>
      <c r="J150" s="316"/>
      <c r="K150" s="360"/>
      <c r="L150" s="317"/>
      <c r="M150" s="317"/>
      <c r="N150" s="317"/>
      <c r="O150" s="366"/>
      <c r="P150" s="365"/>
      <c r="Q150" s="364"/>
      <c r="R150" s="364"/>
      <c r="S150" s="348"/>
    </row>
    <row r="151" spans="1:19" hidden="1" x14ac:dyDescent="0.25">
      <c r="A151" s="359">
        <v>0</v>
      </c>
      <c r="B151" s="49" t="s">
        <v>647</v>
      </c>
      <c r="C151" s="49"/>
      <c r="D151" s="49"/>
      <c r="E151" s="49"/>
      <c r="F151" s="362"/>
      <c r="G151" s="49"/>
      <c r="H151" s="49"/>
      <c r="I151" s="49"/>
      <c r="J151" s="316"/>
      <c r="K151" s="360"/>
      <c r="L151" s="317"/>
      <c r="M151" s="317"/>
      <c r="N151" s="317"/>
      <c r="O151" s="366"/>
      <c r="P151" s="365"/>
      <c r="Q151" s="364"/>
      <c r="R151" s="364"/>
      <c r="S151" s="348"/>
    </row>
    <row r="152" spans="1:19" hidden="1" x14ac:dyDescent="0.25">
      <c r="A152" s="359">
        <v>0</v>
      </c>
      <c r="B152" s="49" t="s">
        <v>648</v>
      </c>
      <c r="C152" s="49"/>
      <c r="D152" s="49"/>
      <c r="E152" s="49"/>
      <c r="F152" s="362"/>
      <c r="G152" s="49"/>
      <c r="H152" s="49"/>
      <c r="I152" s="49"/>
      <c r="J152" s="316"/>
      <c r="K152" s="360"/>
      <c r="L152" s="363"/>
      <c r="M152" s="317"/>
      <c r="N152" s="317"/>
      <c r="O152" s="366"/>
      <c r="P152" s="365"/>
      <c r="Q152" s="364"/>
      <c r="R152" s="364"/>
      <c r="S152" s="348"/>
    </row>
    <row r="153" spans="1:19" hidden="1" x14ac:dyDescent="0.25">
      <c r="A153" s="359">
        <v>0</v>
      </c>
      <c r="B153" s="49" t="s">
        <v>649</v>
      </c>
      <c r="C153" s="49"/>
      <c r="D153" s="49"/>
      <c r="E153" s="49"/>
      <c r="F153" s="362"/>
      <c r="G153" s="49"/>
      <c r="H153" s="49"/>
      <c r="I153" s="49"/>
      <c r="J153" s="316"/>
      <c r="K153" s="360"/>
      <c r="L153" s="363"/>
      <c r="M153" s="317"/>
      <c r="N153" s="317"/>
      <c r="O153" s="366"/>
      <c r="P153" s="365"/>
      <c r="Q153" s="364"/>
      <c r="R153" s="364"/>
      <c r="S153" s="348"/>
    </row>
    <row r="154" spans="1:19" hidden="1" x14ac:dyDescent="0.25">
      <c r="A154" s="359">
        <v>0</v>
      </c>
      <c r="B154" s="49" t="s">
        <v>650</v>
      </c>
      <c r="C154" s="49"/>
      <c r="D154" s="49"/>
      <c r="E154" s="49"/>
      <c r="F154" s="362"/>
      <c r="G154" s="49"/>
      <c r="H154" s="49"/>
      <c r="I154" s="49"/>
      <c r="J154" s="316"/>
      <c r="K154" s="360"/>
      <c r="L154" s="363"/>
      <c r="M154" s="317"/>
      <c r="N154" s="317"/>
      <c r="O154" s="322"/>
      <c r="P154" s="365"/>
      <c r="Q154" s="364"/>
      <c r="R154" s="364"/>
      <c r="S154" s="348"/>
    </row>
    <row r="155" spans="1:19" hidden="1" x14ac:dyDescent="0.25">
      <c r="A155" s="359">
        <v>0</v>
      </c>
      <c r="B155" s="49" t="s">
        <v>651</v>
      </c>
      <c r="C155" s="49"/>
      <c r="D155" s="49"/>
      <c r="E155" s="49"/>
      <c r="F155" s="362"/>
      <c r="G155" s="49"/>
      <c r="H155" s="49"/>
      <c r="I155" s="49"/>
      <c r="J155" s="316"/>
      <c r="K155" s="360"/>
      <c r="L155" s="363"/>
      <c r="M155" s="317"/>
      <c r="N155" s="317"/>
      <c r="O155" s="322"/>
      <c r="P155" s="365"/>
      <c r="Q155" s="364"/>
      <c r="R155" s="364"/>
      <c r="S155" s="348"/>
    </row>
    <row r="156" spans="1:19" hidden="1" x14ac:dyDescent="0.25">
      <c r="A156" s="359">
        <v>0</v>
      </c>
      <c r="B156" s="49" t="s">
        <v>652</v>
      </c>
      <c r="C156" s="49"/>
      <c r="D156" s="49"/>
      <c r="E156" s="49"/>
      <c r="F156" s="362"/>
      <c r="G156" s="49"/>
      <c r="H156" s="49"/>
      <c r="I156" s="49"/>
      <c r="J156" s="316"/>
      <c r="K156" s="360"/>
      <c r="L156" s="363"/>
      <c r="M156" s="317"/>
      <c r="N156" s="317"/>
      <c r="O156" s="322"/>
      <c r="P156" s="365"/>
      <c r="Q156" s="364"/>
      <c r="R156" s="364"/>
      <c r="S156" s="348"/>
    </row>
    <row r="157" spans="1:19" hidden="1" x14ac:dyDescent="0.25">
      <c r="A157" s="359">
        <v>0</v>
      </c>
      <c r="B157" s="49" t="s">
        <v>653</v>
      </c>
      <c r="C157" s="49"/>
      <c r="D157" s="49"/>
      <c r="E157" s="49"/>
      <c r="F157" s="362"/>
      <c r="G157" s="49"/>
      <c r="H157" s="49"/>
      <c r="I157" s="49"/>
      <c r="J157" s="316"/>
      <c r="K157" s="360"/>
      <c r="L157" s="363"/>
      <c r="M157" s="317"/>
      <c r="N157" s="317"/>
      <c r="O157" s="322"/>
      <c r="P157" s="365"/>
      <c r="Q157" s="364"/>
      <c r="R157" s="364"/>
      <c r="S157" s="348"/>
    </row>
    <row r="158" spans="1:19" hidden="1" x14ac:dyDescent="0.25">
      <c r="A158" s="359">
        <v>0</v>
      </c>
      <c r="B158" s="49" t="s">
        <v>654</v>
      </c>
      <c r="C158" s="49"/>
      <c r="D158" s="49"/>
      <c r="E158" s="49"/>
      <c r="F158" s="362"/>
      <c r="G158" s="49"/>
      <c r="H158" s="49"/>
      <c r="I158" s="49"/>
      <c r="J158" s="316"/>
      <c r="K158" s="360"/>
      <c r="L158" s="363"/>
      <c r="M158" s="317"/>
      <c r="N158" s="317"/>
      <c r="O158" s="322"/>
      <c r="P158" s="365"/>
      <c r="Q158" s="364"/>
      <c r="R158" s="364"/>
      <c r="S158" s="348"/>
    </row>
    <row r="159" spans="1:19" hidden="1" x14ac:dyDescent="0.25">
      <c r="A159" s="359">
        <v>0</v>
      </c>
      <c r="B159" s="49" t="s">
        <v>655</v>
      </c>
      <c r="C159" s="49"/>
      <c r="D159" s="49"/>
      <c r="E159" s="49"/>
      <c r="F159" s="362"/>
      <c r="G159" s="49"/>
      <c r="H159" s="49"/>
      <c r="I159" s="49"/>
      <c r="J159" s="316"/>
      <c r="K159" s="360"/>
      <c r="L159" s="363"/>
      <c r="M159" s="317"/>
      <c r="N159" s="317"/>
      <c r="O159" s="322"/>
      <c r="P159" s="365"/>
      <c r="Q159" s="364"/>
      <c r="R159" s="364"/>
      <c r="S159" s="348"/>
    </row>
    <row r="160" spans="1:19" hidden="1" x14ac:dyDescent="0.25">
      <c r="A160" s="359">
        <v>0</v>
      </c>
      <c r="B160" s="49" t="s">
        <v>656</v>
      </c>
      <c r="C160" s="49"/>
      <c r="D160" s="49"/>
      <c r="E160" s="49"/>
      <c r="F160" s="362"/>
      <c r="G160" s="49"/>
      <c r="H160" s="49"/>
      <c r="I160" s="49"/>
      <c r="J160" s="316"/>
      <c r="K160" s="360"/>
      <c r="L160" s="363"/>
      <c r="M160" s="317"/>
      <c r="N160" s="317"/>
      <c r="O160" s="322"/>
      <c r="P160" s="365"/>
      <c r="Q160" s="364"/>
      <c r="R160" s="364"/>
      <c r="S160" s="348"/>
    </row>
    <row r="161" spans="1:19" hidden="1" x14ac:dyDescent="0.25">
      <c r="A161" s="359">
        <v>0</v>
      </c>
      <c r="B161" s="49" t="s">
        <v>657</v>
      </c>
      <c r="C161" s="49"/>
      <c r="D161" s="49"/>
      <c r="E161" s="49"/>
      <c r="F161" s="362"/>
      <c r="G161" s="49"/>
      <c r="H161" s="49"/>
      <c r="I161" s="49"/>
      <c r="J161" s="316"/>
      <c r="K161" s="360"/>
      <c r="L161" s="363"/>
      <c r="M161" s="317"/>
      <c r="N161" s="317"/>
      <c r="O161" s="322"/>
      <c r="P161" s="365"/>
      <c r="Q161" s="364"/>
      <c r="R161" s="364"/>
      <c r="S161" s="348"/>
    </row>
    <row r="162" spans="1:19" hidden="1" x14ac:dyDescent="0.25">
      <c r="A162" s="359">
        <v>0</v>
      </c>
      <c r="B162" s="49" t="s">
        <v>658</v>
      </c>
      <c r="C162" s="49"/>
      <c r="D162" s="49"/>
      <c r="E162" s="49"/>
      <c r="F162" s="362"/>
      <c r="G162" s="49"/>
      <c r="H162" s="49"/>
      <c r="I162" s="49"/>
      <c r="J162" s="316"/>
      <c r="K162" s="360"/>
      <c r="L162" s="363"/>
      <c r="M162" s="317"/>
      <c r="N162" s="317"/>
      <c r="O162" s="322"/>
      <c r="P162" s="365"/>
      <c r="Q162" s="364"/>
      <c r="R162" s="364"/>
      <c r="S162" s="348"/>
    </row>
    <row r="163" spans="1:19" hidden="1" x14ac:dyDescent="0.25">
      <c r="A163" s="359">
        <v>0</v>
      </c>
      <c r="B163" s="49" t="s">
        <v>659</v>
      </c>
      <c r="C163" s="49"/>
      <c r="D163" s="49"/>
      <c r="E163" s="49"/>
      <c r="F163" s="362"/>
      <c r="G163" s="49"/>
      <c r="H163" s="49"/>
      <c r="I163" s="49"/>
      <c r="J163" s="316"/>
      <c r="K163" s="360"/>
      <c r="L163" s="363"/>
      <c r="M163" s="317"/>
      <c r="N163" s="317"/>
      <c r="O163" s="322"/>
      <c r="P163" s="365"/>
      <c r="Q163" s="364"/>
      <c r="R163" s="364"/>
      <c r="S163" s="348"/>
    </row>
    <row r="164" spans="1:19" hidden="1" x14ac:dyDescent="0.25">
      <c r="A164" s="359">
        <v>0</v>
      </c>
      <c r="B164" s="49" t="s">
        <v>660</v>
      </c>
      <c r="C164" s="49"/>
      <c r="D164" s="49"/>
      <c r="E164" s="49"/>
      <c r="F164" s="362"/>
      <c r="G164" s="49"/>
      <c r="H164" s="49"/>
      <c r="I164" s="49"/>
      <c r="J164" s="316"/>
      <c r="K164" s="360"/>
      <c r="L164" s="363"/>
      <c r="M164" s="317"/>
      <c r="N164" s="317"/>
      <c r="O164" s="322"/>
      <c r="P164" s="365"/>
      <c r="Q164" s="364"/>
      <c r="R164" s="364"/>
      <c r="S164" s="348"/>
    </row>
    <row r="165" spans="1:19" hidden="1" x14ac:dyDescent="0.25">
      <c r="A165" s="359">
        <v>0</v>
      </c>
      <c r="B165" s="49" t="s">
        <v>661</v>
      </c>
      <c r="C165" s="49"/>
      <c r="D165" s="49"/>
      <c r="E165" s="49"/>
      <c r="F165" s="362"/>
      <c r="G165" s="49"/>
      <c r="H165" s="368"/>
      <c r="I165" s="49"/>
      <c r="J165" s="316"/>
      <c r="K165" s="360"/>
      <c r="L165" s="363"/>
      <c r="M165" s="317"/>
      <c r="N165" s="317"/>
      <c r="O165" s="322"/>
      <c r="P165" s="365"/>
      <c r="Q165" s="364"/>
      <c r="R165" s="364"/>
      <c r="S165" s="348"/>
    </row>
    <row r="166" spans="1:19" hidden="1" x14ac:dyDescent="0.25">
      <c r="A166" s="359">
        <v>0</v>
      </c>
      <c r="B166" s="49" t="s">
        <v>662</v>
      </c>
      <c r="C166" s="49"/>
      <c r="D166" s="49"/>
      <c r="E166" s="49"/>
      <c r="F166" s="362"/>
      <c r="G166" s="49"/>
      <c r="H166" s="316"/>
      <c r="I166" s="49"/>
      <c r="J166" s="316"/>
      <c r="K166" s="360"/>
      <c r="L166" s="363"/>
      <c r="M166" s="317"/>
      <c r="N166" s="317"/>
      <c r="O166" s="366"/>
      <c r="P166" s="365"/>
      <c r="Q166" s="364"/>
      <c r="R166" s="364"/>
      <c r="S166" s="348"/>
    </row>
    <row r="167" spans="1:19" hidden="1" x14ac:dyDescent="0.25">
      <c r="A167" s="359">
        <v>0</v>
      </c>
      <c r="B167" s="49" t="s">
        <v>663</v>
      </c>
      <c r="C167" s="49"/>
      <c r="D167" s="49"/>
      <c r="E167" s="49"/>
      <c r="F167" s="362"/>
      <c r="G167" s="49"/>
      <c r="H167" s="49"/>
      <c r="I167" s="49"/>
      <c r="J167" s="316"/>
      <c r="K167" s="360"/>
      <c r="L167" s="363"/>
      <c r="M167" s="317"/>
      <c r="N167" s="317"/>
      <c r="O167" s="366"/>
      <c r="P167" s="365"/>
      <c r="Q167" s="364"/>
      <c r="R167" s="364"/>
      <c r="S167" s="377"/>
    </row>
    <row r="168" spans="1:19" hidden="1" x14ac:dyDescent="0.25">
      <c r="A168" s="359">
        <v>0</v>
      </c>
      <c r="B168" s="49" t="s">
        <v>664</v>
      </c>
      <c r="C168" s="49"/>
      <c r="D168" s="49"/>
      <c r="E168" s="49"/>
      <c r="F168" s="362"/>
      <c r="G168" s="49"/>
      <c r="H168" s="49"/>
      <c r="I168" s="49"/>
      <c r="J168" s="316"/>
      <c r="K168" s="360"/>
      <c r="L168" s="363"/>
      <c r="M168" s="317"/>
      <c r="N168" s="317"/>
      <c r="O168" s="366"/>
      <c r="P168" s="365"/>
      <c r="Q168" s="364"/>
      <c r="R168" s="364"/>
      <c r="S168" s="348"/>
    </row>
    <row r="169" spans="1:19" hidden="1" x14ac:dyDescent="0.25">
      <c r="A169" s="359">
        <v>0</v>
      </c>
      <c r="B169" s="49" t="s">
        <v>665</v>
      </c>
      <c r="C169" s="49"/>
      <c r="D169" s="49"/>
      <c r="E169" s="49"/>
      <c r="F169" s="362"/>
      <c r="G169" s="49"/>
      <c r="H169" s="49"/>
      <c r="I169" s="49"/>
      <c r="J169" s="316"/>
      <c r="K169" s="360"/>
      <c r="L169" s="363"/>
      <c r="M169" s="317"/>
      <c r="N169" s="317"/>
      <c r="O169" s="366"/>
      <c r="P169" s="365"/>
      <c r="Q169" s="364"/>
      <c r="R169" s="364"/>
      <c r="S169" s="348"/>
    </row>
    <row r="170" spans="1:19" hidden="1" x14ac:dyDescent="0.25">
      <c r="A170" s="359">
        <v>0</v>
      </c>
      <c r="B170" s="49" t="s">
        <v>666</v>
      </c>
      <c r="C170" s="49"/>
      <c r="D170" s="49"/>
      <c r="E170" s="49"/>
      <c r="F170" s="362"/>
      <c r="G170" s="49"/>
      <c r="H170" s="49"/>
      <c r="I170" s="49"/>
      <c r="J170" s="316"/>
      <c r="K170" s="360"/>
      <c r="L170" s="363"/>
      <c r="M170" s="317"/>
      <c r="N170" s="317"/>
      <c r="O170" s="366"/>
      <c r="P170" s="365"/>
      <c r="Q170" s="364"/>
      <c r="R170" s="364"/>
      <c r="S170" s="348"/>
    </row>
    <row r="171" spans="1:19" hidden="1" x14ac:dyDescent="0.25">
      <c r="A171" s="359">
        <v>0</v>
      </c>
      <c r="B171" s="49" t="s">
        <v>667</v>
      </c>
      <c r="C171" s="49"/>
      <c r="D171" s="49"/>
      <c r="E171" s="49"/>
      <c r="F171" s="362"/>
      <c r="G171" s="49"/>
      <c r="H171" s="49"/>
      <c r="I171" s="49"/>
      <c r="J171" s="316"/>
      <c r="K171" s="360"/>
      <c r="L171" s="363"/>
      <c r="M171" s="317"/>
      <c r="N171" s="317"/>
      <c r="O171" s="366"/>
      <c r="P171" s="365"/>
      <c r="Q171" s="364"/>
      <c r="R171" s="364"/>
      <c r="S171" s="348"/>
    </row>
    <row r="172" spans="1:19" hidden="1" x14ac:dyDescent="0.25">
      <c r="A172" s="359">
        <v>0</v>
      </c>
      <c r="B172" s="49" t="s">
        <v>668</v>
      </c>
      <c r="C172" s="49"/>
      <c r="D172" s="49"/>
      <c r="E172" s="49"/>
      <c r="F172" s="362"/>
      <c r="G172" s="49"/>
      <c r="H172" s="49"/>
      <c r="I172" s="49"/>
      <c r="J172" s="316"/>
      <c r="K172" s="360"/>
      <c r="L172" s="363"/>
      <c r="M172" s="317"/>
      <c r="N172" s="317"/>
      <c r="O172" s="366"/>
      <c r="P172" s="365"/>
      <c r="Q172" s="364"/>
      <c r="R172" s="364"/>
      <c r="S172" s="348"/>
    </row>
    <row r="173" spans="1:19" hidden="1" x14ac:dyDescent="0.25">
      <c r="A173" s="359">
        <v>0</v>
      </c>
      <c r="B173" s="49" t="s">
        <v>669</v>
      </c>
      <c r="C173" s="49"/>
      <c r="D173" s="49"/>
      <c r="E173" s="49"/>
      <c r="F173" s="362"/>
      <c r="G173" s="49"/>
      <c r="H173" s="49"/>
      <c r="I173" s="49"/>
      <c r="J173" s="316"/>
      <c r="K173" s="360"/>
      <c r="L173" s="363"/>
      <c r="M173" s="317"/>
      <c r="N173" s="317"/>
      <c r="O173" s="366"/>
      <c r="P173" s="365"/>
      <c r="Q173" s="364"/>
      <c r="R173" s="364"/>
      <c r="S173" s="348"/>
    </row>
    <row r="174" spans="1:19" hidden="1" x14ac:dyDescent="0.25">
      <c r="A174" s="359">
        <v>0</v>
      </c>
      <c r="B174" s="49" t="s">
        <v>670</v>
      </c>
      <c r="C174" s="49"/>
      <c r="D174" s="49"/>
      <c r="E174" s="49"/>
      <c r="F174" s="378"/>
      <c r="G174" s="49"/>
      <c r="H174" s="49"/>
      <c r="I174" s="49"/>
      <c r="J174" s="316"/>
      <c r="K174" s="360"/>
      <c r="L174" s="363"/>
      <c r="M174" s="317"/>
      <c r="N174" s="317"/>
      <c r="O174" s="366"/>
      <c r="P174" s="365"/>
      <c r="Q174" s="364"/>
      <c r="R174" s="364"/>
      <c r="S174" s="348"/>
    </row>
    <row r="175" spans="1:19" hidden="1" x14ac:dyDescent="0.25">
      <c r="A175" s="359">
        <v>0</v>
      </c>
      <c r="B175" s="49" t="s">
        <v>671</v>
      </c>
      <c r="C175" s="49"/>
      <c r="D175" s="49"/>
      <c r="E175" s="49"/>
      <c r="F175" s="378"/>
      <c r="G175" s="49"/>
      <c r="H175" s="49"/>
      <c r="I175" s="49"/>
      <c r="J175" s="316"/>
      <c r="K175" s="360"/>
      <c r="L175" s="363"/>
      <c r="M175" s="317"/>
      <c r="N175" s="317"/>
      <c r="O175" s="366"/>
      <c r="P175" s="365"/>
      <c r="Q175" s="364"/>
      <c r="R175" s="364"/>
      <c r="S175" s="348"/>
    </row>
    <row r="176" spans="1:19" hidden="1" x14ac:dyDescent="0.25">
      <c r="A176" s="359">
        <v>0</v>
      </c>
      <c r="B176" s="49" t="s">
        <v>672</v>
      </c>
      <c r="C176" s="49"/>
      <c r="D176" s="49"/>
      <c r="E176" s="49"/>
      <c r="F176" s="378"/>
      <c r="G176" s="49"/>
      <c r="H176" s="49"/>
      <c r="I176" s="49"/>
      <c r="J176" s="316"/>
      <c r="K176" s="360"/>
      <c r="L176" s="317"/>
      <c r="M176" s="317"/>
      <c r="N176" s="317"/>
      <c r="O176" s="366"/>
      <c r="P176" s="365"/>
      <c r="Q176" s="364"/>
      <c r="R176" s="364"/>
      <c r="S176" s="348"/>
    </row>
    <row r="177" spans="1:19" hidden="1" x14ac:dyDescent="0.25">
      <c r="A177" s="359">
        <v>0</v>
      </c>
      <c r="B177" s="49" t="s">
        <v>673</v>
      </c>
      <c r="C177" s="49"/>
      <c r="D177" s="49"/>
      <c r="E177" s="49"/>
      <c r="F177" s="49"/>
      <c r="G177" s="49"/>
      <c r="H177" s="49"/>
      <c r="I177" s="49"/>
      <c r="J177" s="316"/>
      <c r="K177" s="360"/>
      <c r="L177" s="363"/>
      <c r="M177" s="317"/>
      <c r="N177" s="317"/>
      <c r="O177" s="366"/>
      <c r="P177" s="365"/>
      <c r="Q177" s="364"/>
      <c r="R177" s="364"/>
      <c r="S177" s="348"/>
    </row>
    <row r="178" spans="1:19" hidden="1" x14ac:dyDescent="0.25">
      <c r="A178" s="359">
        <v>0</v>
      </c>
      <c r="B178" s="49" t="s">
        <v>674</v>
      </c>
      <c r="C178" s="49"/>
      <c r="D178" s="49"/>
      <c r="E178" s="49"/>
      <c r="F178" s="362"/>
      <c r="G178" s="49"/>
      <c r="H178" s="49"/>
      <c r="I178" s="49"/>
      <c r="J178" s="316"/>
      <c r="K178" s="360"/>
      <c r="L178" s="363"/>
      <c r="M178" s="317"/>
      <c r="N178" s="317"/>
      <c r="O178" s="366"/>
      <c r="P178" s="365"/>
      <c r="Q178" s="364"/>
      <c r="R178" s="364"/>
      <c r="S178" s="348"/>
    </row>
    <row r="179" spans="1:19" hidden="1" x14ac:dyDescent="0.25">
      <c r="A179" s="359">
        <v>0</v>
      </c>
      <c r="B179" s="49" t="s">
        <v>675</v>
      </c>
      <c r="C179" s="49"/>
      <c r="D179" s="49"/>
      <c r="E179" s="49"/>
      <c r="F179" s="378"/>
      <c r="G179" s="49"/>
      <c r="H179" s="49"/>
      <c r="I179" s="49"/>
      <c r="J179" s="316"/>
      <c r="K179" s="360"/>
      <c r="L179" s="322"/>
      <c r="M179" s="322"/>
      <c r="N179" s="317"/>
      <c r="O179" s="322"/>
      <c r="P179" s="364"/>
      <c r="Q179" s="364"/>
      <c r="R179" s="364"/>
      <c r="S179" s="377"/>
    </row>
    <row r="180" spans="1:19" hidden="1" x14ac:dyDescent="0.25">
      <c r="A180" s="359">
        <v>0</v>
      </c>
      <c r="B180" s="49" t="s">
        <v>676</v>
      </c>
      <c r="C180" s="49"/>
      <c r="D180" s="49"/>
      <c r="E180" s="49"/>
      <c r="F180" s="378"/>
      <c r="G180" s="49"/>
      <c r="H180" s="49"/>
      <c r="I180" s="49"/>
      <c r="J180" s="316"/>
      <c r="K180" s="360"/>
      <c r="L180" s="363"/>
      <c r="M180" s="317"/>
      <c r="N180" s="317"/>
      <c r="O180" s="366"/>
      <c r="P180" s="365"/>
      <c r="Q180" s="364"/>
      <c r="R180" s="364"/>
      <c r="S180" s="348"/>
    </row>
    <row r="181" spans="1:19" hidden="1" x14ac:dyDescent="0.25">
      <c r="A181" s="359">
        <v>0</v>
      </c>
      <c r="B181" s="49" t="s">
        <v>677</v>
      </c>
      <c r="C181" s="49"/>
      <c r="D181" s="49"/>
      <c r="E181" s="49"/>
      <c r="F181" s="378"/>
      <c r="G181" s="49"/>
      <c r="H181" s="49"/>
      <c r="I181" s="49"/>
      <c r="J181" s="316"/>
      <c r="K181" s="360"/>
      <c r="L181" s="363"/>
      <c r="M181" s="317"/>
      <c r="N181" s="317"/>
      <c r="O181" s="366"/>
      <c r="P181" s="365"/>
      <c r="Q181" s="364"/>
      <c r="R181" s="364"/>
      <c r="S181" s="348"/>
    </row>
    <row r="182" spans="1:19" hidden="1" x14ac:dyDescent="0.25">
      <c r="A182" s="359">
        <v>0</v>
      </c>
      <c r="B182" s="49" t="s">
        <v>678</v>
      </c>
      <c r="C182" s="49"/>
      <c r="D182" s="49"/>
      <c r="E182" s="49"/>
      <c r="F182" s="378"/>
      <c r="G182" s="49"/>
      <c r="H182" s="49"/>
      <c r="I182" s="49"/>
      <c r="J182" s="316"/>
      <c r="K182" s="360"/>
      <c r="L182" s="363"/>
      <c r="M182" s="317"/>
      <c r="N182" s="317"/>
      <c r="O182" s="366"/>
      <c r="P182" s="365"/>
      <c r="Q182" s="364"/>
      <c r="R182" s="364"/>
      <c r="S182" s="348"/>
    </row>
    <row r="183" spans="1:19" hidden="1" x14ac:dyDescent="0.25">
      <c r="A183" s="359">
        <v>0</v>
      </c>
      <c r="B183" s="49" t="s">
        <v>679</v>
      </c>
      <c r="C183" s="49"/>
      <c r="D183" s="49"/>
      <c r="E183" s="49"/>
      <c r="F183" s="378"/>
      <c r="G183" s="49"/>
      <c r="H183" s="49"/>
      <c r="I183" s="49"/>
      <c r="J183" s="316"/>
      <c r="K183" s="360"/>
      <c r="L183" s="363"/>
      <c r="M183" s="317"/>
      <c r="N183" s="317"/>
      <c r="O183" s="366"/>
      <c r="P183" s="365"/>
      <c r="Q183" s="364"/>
      <c r="R183" s="364"/>
      <c r="S183" s="348"/>
    </row>
    <row r="184" spans="1:19" hidden="1" x14ac:dyDescent="0.25">
      <c r="A184" s="359">
        <v>0</v>
      </c>
      <c r="B184" s="49" t="s">
        <v>680</v>
      </c>
      <c r="C184" s="49"/>
      <c r="D184" s="49"/>
      <c r="E184" s="49"/>
      <c r="F184" s="378"/>
      <c r="G184" s="49"/>
      <c r="H184" s="49"/>
      <c r="I184" s="49"/>
      <c r="J184" s="316"/>
      <c r="K184" s="360"/>
      <c r="L184" s="363"/>
      <c r="M184" s="317"/>
      <c r="N184" s="317"/>
      <c r="O184" s="366"/>
      <c r="P184" s="365"/>
      <c r="Q184" s="364"/>
      <c r="R184" s="364"/>
      <c r="S184" s="348"/>
    </row>
    <row r="185" spans="1:19" hidden="1" x14ac:dyDescent="0.25">
      <c r="A185" s="359">
        <v>0</v>
      </c>
      <c r="B185" s="49" t="s">
        <v>681</v>
      </c>
      <c r="C185" s="49"/>
      <c r="D185" s="49"/>
      <c r="E185" s="49"/>
      <c r="F185" s="378"/>
      <c r="G185" s="49"/>
      <c r="H185" s="49"/>
      <c r="I185" s="49"/>
      <c r="J185" s="316"/>
      <c r="K185" s="360"/>
      <c r="L185" s="363"/>
      <c r="M185" s="317"/>
      <c r="N185" s="317"/>
      <c r="O185" s="322"/>
      <c r="P185" s="365"/>
      <c r="Q185" s="364"/>
      <c r="R185" s="364"/>
      <c r="S185" s="348"/>
    </row>
    <row r="186" spans="1:19" hidden="1" x14ac:dyDescent="0.25">
      <c r="A186" s="359">
        <v>0</v>
      </c>
      <c r="B186" s="49" t="s">
        <v>682</v>
      </c>
      <c r="C186" s="49"/>
      <c r="D186" s="49"/>
      <c r="E186" s="49"/>
      <c r="F186" s="378"/>
      <c r="G186" s="49"/>
      <c r="H186" s="49"/>
      <c r="I186" s="49"/>
      <c r="J186" s="316"/>
      <c r="K186" s="360"/>
      <c r="L186" s="363"/>
      <c r="M186" s="317"/>
      <c r="N186" s="317"/>
      <c r="O186" s="366"/>
      <c r="P186" s="365"/>
      <c r="Q186" s="364"/>
      <c r="R186" s="364"/>
      <c r="S186" s="348"/>
    </row>
    <row r="187" spans="1:19" hidden="1" x14ac:dyDescent="0.25">
      <c r="A187" s="359">
        <v>0</v>
      </c>
      <c r="B187" s="49" t="s">
        <v>683</v>
      </c>
      <c r="C187" s="49"/>
      <c r="D187" s="49"/>
      <c r="E187" s="49"/>
      <c r="F187" s="378"/>
      <c r="G187" s="49"/>
      <c r="H187" s="49"/>
      <c r="I187" s="49"/>
      <c r="J187" s="316"/>
      <c r="K187" s="360"/>
      <c r="L187" s="363"/>
      <c r="M187" s="317"/>
      <c r="N187" s="317"/>
      <c r="O187" s="366"/>
      <c r="P187" s="365"/>
      <c r="Q187" s="364"/>
      <c r="R187" s="364"/>
      <c r="S187" s="348"/>
    </row>
    <row r="188" spans="1:19" hidden="1" x14ac:dyDescent="0.25">
      <c r="A188" s="359">
        <v>0</v>
      </c>
      <c r="B188" s="49" t="s">
        <v>684</v>
      </c>
      <c r="C188" s="49"/>
      <c r="D188" s="49"/>
      <c r="E188" s="49"/>
      <c r="F188" s="378"/>
      <c r="G188" s="49"/>
      <c r="H188" s="49"/>
      <c r="I188" s="49"/>
      <c r="J188" s="316"/>
      <c r="K188" s="360"/>
      <c r="L188" s="363"/>
      <c r="M188" s="317"/>
      <c r="N188" s="317"/>
      <c r="O188" s="366"/>
      <c r="P188" s="365"/>
      <c r="Q188" s="364"/>
      <c r="R188" s="364"/>
      <c r="S188" s="348"/>
    </row>
    <row r="189" spans="1:19" hidden="1" x14ac:dyDescent="0.25">
      <c r="A189" s="359">
        <v>0</v>
      </c>
      <c r="B189" s="49" t="s">
        <v>685</v>
      </c>
      <c r="C189" s="49"/>
      <c r="D189" s="49"/>
      <c r="E189" s="49"/>
      <c r="F189" s="378"/>
      <c r="G189" s="49"/>
      <c r="H189" s="49"/>
      <c r="I189" s="49"/>
      <c r="J189" s="316"/>
      <c r="K189" s="360"/>
      <c r="L189" s="363"/>
      <c r="M189" s="317"/>
      <c r="N189" s="317"/>
      <c r="O189" s="366"/>
      <c r="P189" s="365"/>
      <c r="Q189" s="364"/>
      <c r="R189" s="364"/>
      <c r="S189" s="348"/>
    </row>
    <row r="190" spans="1:19" hidden="1" x14ac:dyDescent="0.25">
      <c r="A190" s="359">
        <v>0</v>
      </c>
      <c r="B190" s="49" t="s">
        <v>686</v>
      </c>
      <c r="C190" s="49"/>
      <c r="D190" s="49"/>
      <c r="E190" s="49"/>
      <c r="F190" s="378"/>
      <c r="G190" s="49"/>
      <c r="H190" s="49"/>
      <c r="I190" s="49"/>
      <c r="J190" s="316"/>
      <c r="K190" s="360"/>
      <c r="L190" s="363"/>
      <c r="M190" s="317"/>
      <c r="N190" s="317"/>
      <c r="O190" s="366"/>
      <c r="P190" s="365"/>
      <c r="Q190" s="364"/>
      <c r="R190" s="364"/>
      <c r="S190" s="348"/>
    </row>
    <row r="191" spans="1:19" hidden="1" x14ac:dyDescent="0.25">
      <c r="A191" s="359">
        <v>0</v>
      </c>
      <c r="B191" s="49" t="s">
        <v>687</v>
      </c>
      <c r="C191" s="49"/>
      <c r="D191" s="49"/>
      <c r="E191" s="49"/>
      <c r="F191" s="378"/>
      <c r="G191" s="49"/>
      <c r="H191" s="49"/>
      <c r="I191" s="49"/>
      <c r="J191" s="316"/>
      <c r="K191" s="360"/>
      <c r="L191" s="363"/>
      <c r="M191" s="317"/>
      <c r="N191" s="317"/>
      <c r="O191" s="366"/>
      <c r="P191" s="365"/>
      <c r="Q191" s="364"/>
      <c r="R191" s="364"/>
      <c r="S191" s="348"/>
    </row>
    <row r="192" spans="1:19" hidden="1" x14ac:dyDescent="0.25">
      <c r="A192" s="359">
        <v>0</v>
      </c>
      <c r="B192" s="49" t="s">
        <v>688</v>
      </c>
      <c r="C192" s="49"/>
      <c r="D192" s="49"/>
      <c r="E192" s="49"/>
      <c r="F192" s="378"/>
      <c r="G192" s="49"/>
      <c r="H192" s="49"/>
      <c r="I192" s="49"/>
      <c r="J192" s="316"/>
      <c r="K192" s="360"/>
      <c r="L192" s="363"/>
      <c r="M192" s="317"/>
      <c r="N192" s="317"/>
      <c r="O192" s="366"/>
      <c r="P192" s="365"/>
      <c r="Q192" s="364"/>
      <c r="R192" s="364"/>
      <c r="S192" s="348"/>
    </row>
    <row r="193" spans="1:19" hidden="1" x14ac:dyDescent="0.25">
      <c r="A193" s="359">
        <v>0</v>
      </c>
      <c r="B193" s="49" t="s">
        <v>689</v>
      </c>
      <c r="C193" s="49"/>
      <c r="D193" s="49"/>
      <c r="E193" s="49"/>
      <c r="F193" s="378"/>
      <c r="G193" s="49"/>
      <c r="H193" s="49"/>
      <c r="I193" s="49"/>
      <c r="J193" s="316"/>
      <c r="K193" s="360"/>
      <c r="L193" s="363"/>
      <c r="M193" s="317"/>
      <c r="N193" s="317"/>
      <c r="O193" s="366"/>
      <c r="P193" s="365"/>
      <c r="Q193" s="364"/>
      <c r="R193" s="364"/>
      <c r="S193" s="348"/>
    </row>
    <row r="194" spans="1:19" hidden="1" x14ac:dyDescent="0.25">
      <c r="A194" s="359">
        <v>0</v>
      </c>
      <c r="B194" s="49" t="s">
        <v>690</v>
      </c>
      <c r="C194" s="49"/>
      <c r="D194" s="49"/>
      <c r="E194" s="49"/>
      <c r="F194" s="378"/>
      <c r="G194" s="49"/>
      <c r="H194" s="49"/>
      <c r="I194" s="49"/>
      <c r="J194" s="316"/>
      <c r="K194" s="360"/>
      <c r="L194" s="363"/>
      <c r="M194" s="317"/>
      <c r="N194" s="317"/>
      <c r="O194" s="366"/>
      <c r="P194" s="365"/>
      <c r="Q194" s="364"/>
      <c r="R194" s="364"/>
      <c r="S194" s="348"/>
    </row>
    <row r="195" spans="1:19" hidden="1" x14ac:dyDescent="0.25">
      <c r="A195" s="359">
        <v>0</v>
      </c>
      <c r="B195" s="49" t="s">
        <v>691</v>
      </c>
      <c r="C195" s="49"/>
      <c r="D195" s="49"/>
      <c r="E195" s="49"/>
      <c r="F195" s="378"/>
      <c r="G195" s="49"/>
      <c r="H195" s="49"/>
      <c r="I195" s="49"/>
      <c r="J195" s="316"/>
      <c r="K195" s="360"/>
      <c r="L195" s="363"/>
      <c r="M195" s="317"/>
      <c r="N195" s="317"/>
      <c r="O195" s="366"/>
      <c r="P195" s="365"/>
      <c r="Q195" s="364"/>
      <c r="R195" s="364"/>
      <c r="S195" s="348"/>
    </row>
    <row r="196" spans="1:19" hidden="1" x14ac:dyDescent="0.25">
      <c r="A196" s="359">
        <v>0</v>
      </c>
      <c r="B196" s="49" t="s">
        <v>692</v>
      </c>
      <c r="C196" s="49"/>
      <c r="D196" s="49"/>
      <c r="E196" s="49"/>
      <c r="F196" s="378"/>
      <c r="G196" s="49"/>
      <c r="H196" s="49"/>
      <c r="I196" s="49"/>
      <c r="J196" s="316"/>
      <c r="K196" s="360"/>
      <c r="L196" s="363"/>
      <c r="M196" s="317"/>
      <c r="N196" s="317"/>
      <c r="O196" s="366"/>
      <c r="P196" s="365"/>
      <c r="Q196" s="364"/>
      <c r="R196" s="364"/>
      <c r="S196" s="348"/>
    </row>
    <row r="197" spans="1:19" hidden="1" x14ac:dyDescent="0.25">
      <c r="A197" s="359">
        <v>0</v>
      </c>
      <c r="B197" s="49" t="s">
        <v>693</v>
      </c>
      <c r="C197" s="49"/>
      <c r="D197" s="49"/>
      <c r="E197" s="49"/>
      <c r="F197" s="378"/>
      <c r="G197" s="49"/>
      <c r="H197" s="49"/>
      <c r="I197" s="49"/>
      <c r="J197" s="316"/>
      <c r="K197" s="360"/>
      <c r="L197" s="363"/>
      <c r="M197" s="317"/>
      <c r="N197" s="317"/>
      <c r="O197" s="366"/>
      <c r="P197" s="365"/>
      <c r="Q197" s="364"/>
      <c r="R197" s="364"/>
      <c r="S197" s="348"/>
    </row>
    <row r="198" spans="1:19" hidden="1" x14ac:dyDescent="0.25">
      <c r="A198" s="359">
        <v>0</v>
      </c>
      <c r="B198" s="49" t="s">
        <v>694</v>
      </c>
      <c r="C198" s="49"/>
      <c r="D198" s="49"/>
      <c r="E198" s="49"/>
      <c r="F198" s="378"/>
      <c r="G198" s="49"/>
      <c r="H198" s="49"/>
      <c r="I198" s="49"/>
      <c r="J198" s="316"/>
      <c r="K198" s="360"/>
      <c r="L198" s="363"/>
      <c r="M198" s="317"/>
      <c r="N198" s="317"/>
      <c r="O198" s="366"/>
      <c r="P198" s="365"/>
      <c r="Q198" s="364"/>
      <c r="R198" s="364"/>
      <c r="S198" s="348"/>
    </row>
    <row r="199" spans="1:19" hidden="1" x14ac:dyDescent="0.25">
      <c r="A199" s="359">
        <v>0</v>
      </c>
      <c r="B199" s="49" t="s">
        <v>695</v>
      </c>
      <c r="C199" s="49"/>
      <c r="D199" s="49"/>
      <c r="E199" s="49"/>
      <c r="F199" s="378"/>
      <c r="G199" s="49"/>
      <c r="H199" s="49"/>
      <c r="I199" s="49"/>
      <c r="J199" s="316"/>
      <c r="K199" s="360"/>
      <c r="L199" s="363"/>
      <c r="M199" s="317"/>
      <c r="N199" s="317"/>
      <c r="O199" s="366"/>
      <c r="P199" s="365"/>
      <c r="Q199" s="364"/>
      <c r="R199" s="364"/>
      <c r="S199" s="377"/>
    </row>
    <row r="200" spans="1:19" hidden="1" x14ac:dyDescent="0.25">
      <c r="A200" s="359">
        <v>0</v>
      </c>
      <c r="B200" s="49" t="s">
        <v>696</v>
      </c>
      <c r="C200" s="49"/>
      <c r="D200" s="49"/>
      <c r="E200" s="49"/>
      <c r="F200" s="378"/>
      <c r="G200" s="49"/>
      <c r="H200" s="49"/>
      <c r="I200" s="49"/>
      <c r="J200" s="316"/>
      <c r="K200" s="360"/>
      <c r="L200" s="363"/>
      <c r="M200" s="317"/>
      <c r="N200" s="317"/>
      <c r="O200" s="366"/>
      <c r="P200" s="365"/>
      <c r="Q200" s="364"/>
      <c r="R200" s="364"/>
      <c r="S200" s="348"/>
    </row>
    <row r="201" spans="1:19" hidden="1" x14ac:dyDescent="0.25">
      <c r="A201" s="359">
        <v>0</v>
      </c>
      <c r="B201" s="49" t="s">
        <v>697</v>
      </c>
      <c r="C201" s="49"/>
      <c r="D201" s="49"/>
      <c r="E201" s="49"/>
      <c r="F201" s="378"/>
      <c r="G201" s="49"/>
      <c r="H201" s="49"/>
      <c r="I201" s="49"/>
      <c r="J201" s="316"/>
      <c r="K201" s="360"/>
      <c r="L201" s="363"/>
      <c r="M201" s="317"/>
      <c r="N201" s="317"/>
      <c r="O201" s="366"/>
      <c r="P201" s="365"/>
      <c r="Q201" s="364"/>
      <c r="R201" s="364"/>
      <c r="S201" s="348"/>
    </row>
    <row r="202" spans="1:19" hidden="1" x14ac:dyDescent="0.25">
      <c r="A202" s="359">
        <v>0</v>
      </c>
      <c r="B202" s="49" t="s">
        <v>698</v>
      </c>
      <c r="C202" s="49"/>
      <c r="D202" s="49"/>
      <c r="E202" s="49"/>
      <c r="F202" s="378"/>
      <c r="G202" s="49"/>
      <c r="H202" s="49"/>
      <c r="I202" s="49"/>
      <c r="J202" s="316"/>
      <c r="K202" s="360"/>
      <c r="L202" s="363"/>
      <c r="M202" s="317"/>
      <c r="N202" s="317"/>
      <c r="O202" s="366"/>
      <c r="P202" s="365"/>
      <c r="Q202" s="364"/>
      <c r="R202" s="364"/>
      <c r="S202" s="348"/>
    </row>
    <row r="203" spans="1:19" hidden="1" x14ac:dyDescent="0.25">
      <c r="A203" s="359">
        <v>0</v>
      </c>
      <c r="B203" s="49" t="s">
        <v>699</v>
      </c>
      <c r="C203" s="49"/>
      <c r="D203" s="49"/>
      <c r="E203" s="49"/>
      <c r="F203" s="378"/>
      <c r="G203" s="49"/>
      <c r="H203" s="49"/>
      <c r="I203" s="49"/>
      <c r="J203" s="316"/>
      <c r="K203" s="360"/>
      <c r="L203" s="363"/>
      <c r="M203" s="317"/>
      <c r="N203" s="317"/>
      <c r="O203" s="366"/>
      <c r="P203" s="365"/>
      <c r="Q203" s="364"/>
      <c r="R203" s="364"/>
      <c r="S203" s="348"/>
    </row>
    <row r="204" spans="1:19" hidden="1" x14ac:dyDescent="0.25">
      <c r="A204" s="359">
        <v>0</v>
      </c>
      <c r="B204" s="49" t="s">
        <v>700</v>
      </c>
      <c r="C204" s="49"/>
      <c r="D204" s="49"/>
      <c r="E204" s="49"/>
      <c r="F204" s="378"/>
      <c r="G204" s="49"/>
      <c r="H204" s="49"/>
      <c r="I204" s="49"/>
      <c r="J204" s="316"/>
      <c r="K204" s="360"/>
      <c r="L204" s="363"/>
      <c r="M204" s="317"/>
      <c r="N204" s="317"/>
      <c r="O204" s="366"/>
      <c r="P204" s="365"/>
      <c r="Q204" s="364"/>
      <c r="R204" s="364"/>
      <c r="S204" s="348"/>
    </row>
    <row r="205" spans="1:19" hidden="1" x14ac:dyDescent="0.25">
      <c r="A205" s="359">
        <v>0</v>
      </c>
      <c r="B205" s="49" t="s">
        <v>701</v>
      </c>
      <c r="C205" s="49"/>
      <c r="D205" s="49"/>
      <c r="E205" s="49"/>
      <c r="F205" s="49"/>
      <c r="G205" s="49"/>
      <c r="H205" s="49"/>
      <c r="I205" s="316"/>
      <c r="J205" s="316"/>
      <c r="K205" s="360"/>
      <c r="L205" s="363"/>
      <c r="M205" s="317"/>
      <c r="N205" s="317"/>
      <c r="O205" s="366"/>
      <c r="P205" s="365"/>
      <c r="Q205" s="364"/>
      <c r="R205" s="364"/>
      <c r="S205" s="348"/>
    </row>
    <row r="206" spans="1:19" hidden="1" x14ac:dyDescent="0.25">
      <c r="A206" s="359">
        <v>0</v>
      </c>
      <c r="B206" s="49" t="s">
        <v>702</v>
      </c>
      <c r="C206" s="49"/>
      <c r="D206" s="49"/>
      <c r="E206" s="49"/>
      <c r="F206" s="49"/>
      <c r="G206" s="49"/>
      <c r="H206" s="49"/>
      <c r="I206" s="316"/>
      <c r="J206" s="316"/>
      <c r="K206" s="316"/>
      <c r="L206" s="363"/>
      <c r="M206" s="317"/>
      <c r="N206" s="317"/>
      <c r="O206" s="366"/>
      <c r="P206" s="365"/>
      <c r="Q206" s="364"/>
      <c r="R206" s="364"/>
      <c r="S206" s="348"/>
    </row>
    <row r="207" spans="1:19" hidden="1" x14ac:dyDescent="0.25">
      <c r="A207" s="359">
        <v>0</v>
      </c>
      <c r="B207" s="49" t="s">
        <v>703</v>
      </c>
      <c r="C207" s="49"/>
      <c r="D207" s="49"/>
      <c r="E207" s="49"/>
      <c r="F207" s="49"/>
      <c r="G207" s="49"/>
      <c r="H207" s="49"/>
      <c r="I207" s="49"/>
      <c r="J207" s="316"/>
      <c r="K207" s="360"/>
      <c r="L207" s="363"/>
      <c r="M207" s="317"/>
      <c r="N207" s="317"/>
      <c r="O207" s="366"/>
      <c r="P207" s="365"/>
      <c r="Q207" s="364"/>
      <c r="R207" s="364"/>
      <c r="S207" s="348"/>
    </row>
    <row r="208" spans="1:19" hidden="1" x14ac:dyDescent="0.25">
      <c r="A208" s="359">
        <v>0</v>
      </c>
      <c r="B208" s="49" t="s">
        <v>704</v>
      </c>
      <c r="C208" s="49"/>
      <c r="D208" s="49"/>
      <c r="E208" s="49"/>
      <c r="F208" s="49"/>
      <c r="G208" s="49"/>
      <c r="H208" s="49"/>
      <c r="I208" s="49"/>
      <c r="J208" s="316"/>
      <c r="K208" s="360"/>
      <c r="L208" s="363"/>
      <c r="M208" s="317"/>
      <c r="N208" s="317"/>
      <c r="O208" s="366"/>
      <c r="P208" s="365"/>
      <c r="Q208" s="364"/>
      <c r="R208" s="364"/>
      <c r="S208" s="348"/>
    </row>
    <row r="209" spans="1:20" hidden="1" x14ac:dyDescent="0.25">
      <c r="A209" s="359">
        <v>0</v>
      </c>
      <c r="B209" s="49" t="s">
        <v>705</v>
      </c>
      <c r="C209" s="49"/>
      <c r="D209" s="49"/>
      <c r="E209" s="49"/>
      <c r="F209" s="49"/>
      <c r="G209" s="49"/>
      <c r="H209" s="49"/>
      <c r="I209" s="49"/>
      <c r="J209" s="316"/>
      <c r="K209" s="316"/>
      <c r="L209" s="363"/>
      <c r="M209" s="317"/>
      <c r="N209" s="317"/>
      <c r="O209" s="366"/>
      <c r="P209" s="365"/>
      <c r="Q209" s="364"/>
      <c r="R209" s="364"/>
      <c r="S209" s="348"/>
    </row>
    <row r="210" spans="1:20" hidden="1" x14ac:dyDescent="0.25">
      <c r="A210" s="359">
        <v>0</v>
      </c>
      <c r="B210" s="49" t="s">
        <v>706</v>
      </c>
      <c r="C210" s="49"/>
      <c r="D210" s="49"/>
      <c r="E210" s="49"/>
      <c r="F210" s="362"/>
      <c r="G210" s="49"/>
      <c r="H210" s="49"/>
      <c r="I210" s="49"/>
      <c r="J210" s="316"/>
      <c r="K210" s="360"/>
      <c r="L210" s="363"/>
      <c r="M210" s="317"/>
      <c r="N210" s="317"/>
      <c r="O210" s="366"/>
      <c r="P210" s="365"/>
      <c r="Q210" s="364"/>
      <c r="R210" s="364"/>
      <c r="S210" s="348"/>
    </row>
    <row r="211" spans="1:20" hidden="1" x14ac:dyDescent="0.25">
      <c r="A211" s="359">
        <v>0</v>
      </c>
      <c r="B211" s="49" t="s">
        <v>707</v>
      </c>
      <c r="C211" s="49"/>
      <c r="D211" s="49"/>
      <c r="E211" s="49"/>
      <c r="F211" s="49"/>
      <c r="G211" s="49"/>
      <c r="H211" s="49"/>
      <c r="I211" s="49"/>
      <c r="J211" s="316"/>
      <c r="K211" s="360"/>
      <c r="L211" s="363"/>
      <c r="M211" s="317"/>
      <c r="N211" s="317"/>
      <c r="O211" s="322"/>
      <c r="P211" s="365"/>
      <c r="Q211" s="364"/>
      <c r="R211" s="364"/>
      <c r="S211" s="348"/>
    </row>
    <row r="212" spans="1:20" hidden="1" x14ac:dyDescent="0.25">
      <c r="A212" s="359">
        <v>0</v>
      </c>
      <c r="B212" s="49" t="s">
        <v>708</v>
      </c>
      <c r="C212" s="49"/>
      <c r="D212" s="49"/>
      <c r="E212" s="49"/>
      <c r="F212" s="49"/>
      <c r="G212" s="49"/>
      <c r="H212" s="49"/>
      <c r="I212" s="49"/>
      <c r="J212" s="316"/>
      <c r="K212" s="360"/>
      <c r="L212" s="363"/>
      <c r="M212" s="317"/>
      <c r="N212" s="317"/>
      <c r="O212" s="322"/>
      <c r="P212" s="365"/>
      <c r="Q212" s="364"/>
      <c r="R212" s="364"/>
      <c r="S212" s="348"/>
    </row>
    <row r="213" spans="1:20" hidden="1" x14ac:dyDescent="0.25">
      <c r="A213" s="359">
        <v>0</v>
      </c>
      <c r="B213" s="49" t="s">
        <v>709</v>
      </c>
      <c r="C213" s="49"/>
      <c r="D213" s="49"/>
      <c r="E213" s="49"/>
      <c r="F213" s="49"/>
      <c r="G213" s="49"/>
      <c r="H213" s="49"/>
      <c r="I213" s="49"/>
      <c r="J213" s="316"/>
      <c r="K213" s="360"/>
      <c r="L213" s="363"/>
      <c r="M213" s="317"/>
      <c r="N213" s="317"/>
      <c r="O213" s="366"/>
      <c r="P213" s="365"/>
      <c r="Q213" s="364"/>
      <c r="R213" s="364"/>
      <c r="S213" s="348"/>
    </row>
    <row r="214" spans="1:20" hidden="1" x14ac:dyDescent="0.25">
      <c r="A214" s="359">
        <v>0</v>
      </c>
      <c r="B214" s="49" t="s">
        <v>710</v>
      </c>
      <c r="C214" s="49"/>
      <c r="D214" s="49"/>
      <c r="E214" s="49"/>
      <c r="F214" s="49"/>
      <c r="G214" s="49"/>
      <c r="H214" s="49"/>
      <c r="I214" s="49"/>
      <c r="J214" s="316"/>
      <c r="K214" s="360"/>
      <c r="L214" s="363"/>
      <c r="M214" s="317"/>
      <c r="N214" s="317"/>
      <c r="O214" s="322"/>
      <c r="P214" s="365"/>
      <c r="Q214" s="364"/>
      <c r="R214" s="364"/>
      <c r="S214" s="348"/>
    </row>
    <row r="215" spans="1:20" hidden="1" x14ac:dyDescent="0.25">
      <c r="A215" s="359">
        <v>0</v>
      </c>
      <c r="B215" s="49" t="s">
        <v>711</v>
      </c>
      <c r="C215" s="49"/>
      <c r="D215" s="49"/>
      <c r="E215" s="49"/>
      <c r="F215" s="49"/>
      <c r="G215" s="49"/>
      <c r="H215" s="49"/>
      <c r="I215" s="49"/>
      <c r="J215" s="316"/>
      <c r="K215" s="360"/>
      <c r="L215" s="363"/>
      <c r="M215" s="317"/>
      <c r="N215" s="317"/>
      <c r="O215" s="366"/>
      <c r="P215" s="365"/>
      <c r="Q215" s="364"/>
      <c r="R215" s="364"/>
      <c r="S215" s="348"/>
    </row>
    <row r="216" spans="1:20" hidden="1" x14ac:dyDescent="0.25">
      <c r="A216" s="359">
        <v>0</v>
      </c>
      <c r="B216" s="49" t="s">
        <v>712</v>
      </c>
      <c r="C216" s="49"/>
      <c r="D216" s="49"/>
      <c r="E216" s="49"/>
      <c r="F216" s="49"/>
      <c r="G216" s="49"/>
      <c r="H216" s="49"/>
      <c r="I216" s="49"/>
      <c r="J216" s="316"/>
      <c r="K216" s="360"/>
      <c r="L216" s="322"/>
      <c r="M216" s="366"/>
      <c r="N216" s="317"/>
      <c r="O216" s="366"/>
      <c r="P216" s="365"/>
      <c r="Q216" s="364"/>
      <c r="R216" s="364"/>
      <c r="S216" s="348"/>
      <c r="T216" s="386"/>
    </row>
    <row r="217" spans="1:20" hidden="1" x14ac:dyDescent="0.25">
      <c r="A217" s="359">
        <v>0</v>
      </c>
      <c r="B217" s="49" t="s">
        <v>713</v>
      </c>
      <c r="C217" s="49"/>
      <c r="D217" s="49"/>
      <c r="E217" s="49"/>
      <c r="F217" s="49"/>
      <c r="G217" s="49"/>
      <c r="H217" s="49"/>
      <c r="I217" s="49"/>
      <c r="J217" s="316"/>
      <c r="K217" s="360"/>
      <c r="L217" s="322"/>
      <c r="M217" s="366"/>
      <c r="N217" s="317"/>
      <c r="O217" s="366"/>
      <c r="P217" s="365"/>
      <c r="Q217" s="364"/>
      <c r="R217" s="364"/>
      <c r="S217" s="348"/>
      <c r="T217" s="386"/>
    </row>
    <row r="218" spans="1:20" hidden="1" x14ac:dyDescent="0.25">
      <c r="A218" s="359">
        <v>0</v>
      </c>
      <c r="B218" s="49" t="s">
        <v>714</v>
      </c>
      <c r="C218" s="49"/>
      <c r="D218" s="49"/>
      <c r="E218" s="49"/>
      <c r="F218" s="49"/>
      <c r="G218" s="49"/>
      <c r="H218" s="49"/>
      <c r="I218" s="49"/>
      <c r="J218" s="316"/>
      <c r="K218" s="316"/>
      <c r="L218" s="363"/>
      <c r="M218" s="317"/>
      <c r="N218" s="317"/>
      <c r="O218" s="322"/>
      <c r="P218" s="365"/>
      <c r="Q218" s="364"/>
      <c r="R218" s="364"/>
      <c r="S218" s="348"/>
    </row>
    <row r="219" spans="1:20" hidden="1" x14ac:dyDescent="0.25">
      <c r="A219" s="359">
        <v>0</v>
      </c>
      <c r="B219" s="49" t="s">
        <v>715</v>
      </c>
      <c r="C219" s="49"/>
      <c r="D219" s="49"/>
      <c r="E219" s="49"/>
      <c r="F219" s="49"/>
      <c r="G219" s="49"/>
      <c r="H219" s="49"/>
      <c r="I219" s="49"/>
      <c r="J219" s="316"/>
      <c r="K219" s="360"/>
      <c r="L219" s="363"/>
      <c r="M219" s="317"/>
      <c r="N219" s="391"/>
      <c r="O219" s="366"/>
      <c r="P219" s="365"/>
      <c r="Q219" s="364"/>
      <c r="R219" s="364"/>
      <c r="S219" s="348"/>
    </row>
    <row r="220" spans="1:20" hidden="1" x14ac:dyDescent="0.25">
      <c r="A220" s="359">
        <v>0</v>
      </c>
      <c r="B220" s="49" t="s">
        <v>716</v>
      </c>
      <c r="C220" s="49"/>
      <c r="D220" s="49"/>
      <c r="E220" s="49"/>
      <c r="F220" s="49"/>
      <c r="G220" s="49"/>
      <c r="H220" s="49"/>
      <c r="I220" s="49"/>
      <c r="J220" s="316"/>
      <c r="K220" s="360"/>
      <c r="L220" s="363"/>
      <c r="M220" s="317"/>
      <c r="N220" s="317"/>
      <c r="O220" s="366"/>
      <c r="P220" s="365"/>
      <c r="Q220" s="364"/>
      <c r="R220" s="364"/>
      <c r="S220" s="348"/>
    </row>
    <row r="221" spans="1:20" hidden="1" x14ac:dyDescent="0.25">
      <c r="A221" s="359">
        <v>0</v>
      </c>
      <c r="B221" s="49" t="s">
        <v>717</v>
      </c>
      <c r="C221" s="49"/>
      <c r="D221" s="49"/>
      <c r="E221" s="49"/>
      <c r="F221" s="49"/>
      <c r="G221" s="49"/>
      <c r="H221" s="49"/>
      <c r="I221" s="49"/>
      <c r="J221" s="316"/>
      <c r="K221" s="316"/>
      <c r="L221" s="363"/>
      <c r="M221" s="317"/>
      <c r="N221" s="317"/>
      <c r="O221" s="366"/>
      <c r="P221" s="365"/>
      <c r="Q221" s="364"/>
      <c r="R221" s="364"/>
      <c r="S221" s="348"/>
    </row>
    <row r="222" spans="1:20" hidden="1" x14ac:dyDescent="0.25">
      <c r="A222" s="359">
        <v>0</v>
      </c>
      <c r="B222" s="49" t="s">
        <v>718</v>
      </c>
      <c r="C222" s="49"/>
      <c r="D222" s="49"/>
      <c r="E222" s="49"/>
      <c r="F222" s="49"/>
      <c r="G222" s="49"/>
      <c r="H222" s="49"/>
      <c r="I222" s="49"/>
      <c r="J222" s="316"/>
      <c r="K222" s="316"/>
      <c r="L222" s="363"/>
      <c r="M222" s="317"/>
      <c r="N222" s="317"/>
      <c r="O222" s="366"/>
      <c r="P222" s="365"/>
      <c r="Q222" s="364"/>
      <c r="R222" s="364"/>
      <c r="S222" s="348"/>
    </row>
    <row r="223" spans="1:20" hidden="1" x14ac:dyDescent="0.25">
      <c r="A223" s="359">
        <v>0</v>
      </c>
      <c r="B223" s="49" t="s">
        <v>719</v>
      </c>
      <c r="C223" s="49"/>
      <c r="D223" s="49"/>
      <c r="E223" s="49"/>
      <c r="F223" s="49"/>
      <c r="G223" s="49"/>
      <c r="H223" s="49"/>
      <c r="I223" s="49"/>
      <c r="J223" s="316"/>
      <c r="K223" s="360"/>
      <c r="L223" s="363"/>
      <c r="M223" s="317"/>
      <c r="N223" s="317"/>
      <c r="O223" s="322"/>
      <c r="P223" s="365"/>
      <c r="Q223" s="364"/>
      <c r="R223" s="364"/>
      <c r="S223" s="348"/>
    </row>
    <row r="224" spans="1:20" hidden="1" x14ac:dyDescent="0.25">
      <c r="A224" s="359">
        <v>0</v>
      </c>
      <c r="B224" s="49" t="s">
        <v>720</v>
      </c>
      <c r="C224" s="49"/>
      <c r="D224" s="49"/>
      <c r="E224" s="49"/>
      <c r="F224" s="49"/>
      <c r="G224" s="49"/>
      <c r="H224" s="49"/>
      <c r="I224" s="49"/>
      <c r="J224" s="316"/>
      <c r="K224" s="360"/>
      <c r="L224" s="363"/>
      <c r="M224" s="317"/>
      <c r="N224" s="317"/>
      <c r="O224" s="366"/>
      <c r="P224" s="365"/>
      <c r="Q224" s="364"/>
      <c r="R224" s="364"/>
      <c r="S224" s="348"/>
    </row>
    <row r="225" spans="1:19" hidden="1" x14ac:dyDescent="0.25">
      <c r="A225" s="359">
        <v>0</v>
      </c>
      <c r="B225" s="49" t="s">
        <v>721</v>
      </c>
      <c r="C225" s="49"/>
      <c r="D225" s="49"/>
      <c r="E225" s="49"/>
      <c r="F225" s="49"/>
      <c r="G225" s="49"/>
      <c r="H225" s="49"/>
      <c r="I225" s="49"/>
      <c r="J225" s="316"/>
      <c r="K225" s="402"/>
      <c r="L225" s="363"/>
      <c r="M225" s="317"/>
      <c r="N225" s="317"/>
      <c r="O225" s="366"/>
      <c r="P225" s="365"/>
      <c r="Q225" s="364"/>
      <c r="R225" s="364"/>
      <c r="S225" s="348"/>
    </row>
    <row r="226" spans="1:19" hidden="1" x14ac:dyDescent="0.25">
      <c r="A226" s="359">
        <v>0</v>
      </c>
      <c r="B226" s="49" t="s">
        <v>722</v>
      </c>
      <c r="C226" s="49"/>
      <c r="D226" s="49"/>
      <c r="E226" s="49"/>
      <c r="F226" s="49"/>
      <c r="G226" s="49"/>
      <c r="H226" s="49"/>
      <c r="I226" s="49"/>
      <c r="J226" s="316"/>
      <c r="K226" s="360"/>
      <c r="L226" s="363"/>
      <c r="M226" s="317"/>
      <c r="N226" s="317"/>
      <c r="O226" s="366"/>
      <c r="P226" s="365"/>
      <c r="Q226" s="364"/>
      <c r="R226" s="364"/>
      <c r="S226" s="348"/>
    </row>
    <row r="227" spans="1:19" hidden="1" x14ac:dyDescent="0.25">
      <c r="A227" s="359">
        <v>0</v>
      </c>
      <c r="B227" s="49" t="s">
        <v>723</v>
      </c>
      <c r="C227" s="49"/>
      <c r="D227" s="49"/>
      <c r="E227" s="49"/>
      <c r="F227" s="49"/>
      <c r="G227" s="49"/>
      <c r="H227" s="49"/>
      <c r="I227" s="49"/>
      <c r="J227" s="316"/>
      <c r="K227" s="360"/>
      <c r="L227" s="317"/>
      <c r="M227" s="317"/>
      <c r="N227" s="317"/>
      <c r="O227" s="366"/>
      <c r="P227" s="365"/>
      <c r="Q227" s="364"/>
      <c r="R227" s="364"/>
      <c r="S227" s="348"/>
    </row>
    <row r="228" spans="1:19" hidden="1" x14ac:dyDescent="0.25">
      <c r="A228" s="359">
        <v>0</v>
      </c>
      <c r="B228" s="49" t="s">
        <v>724</v>
      </c>
      <c r="C228" s="49"/>
      <c r="D228" s="49"/>
      <c r="E228" s="49"/>
      <c r="F228" s="49"/>
      <c r="G228" s="49"/>
      <c r="H228" s="49"/>
      <c r="I228" s="49"/>
      <c r="J228" s="316"/>
      <c r="K228" s="360"/>
      <c r="L228" s="317"/>
      <c r="M228" s="317"/>
      <c r="N228" s="367"/>
      <c r="O228" s="366"/>
      <c r="P228" s="365"/>
      <c r="Q228" s="364"/>
      <c r="R228" s="364"/>
      <c r="S228" s="348"/>
    </row>
    <row r="229" spans="1:19" hidden="1" x14ac:dyDescent="0.25">
      <c r="A229" s="359">
        <v>0</v>
      </c>
      <c r="B229" s="49" t="s">
        <v>725</v>
      </c>
      <c r="C229" s="49"/>
      <c r="D229" s="49"/>
      <c r="E229" s="49"/>
      <c r="F229" s="49"/>
      <c r="G229" s="49"/>
      <c r="H229" s="49"/>
      <c r="I229" s="49"/>
      <c r="J229" s="316"/>
      <c r="K229" s="360"/>
      <c r="L229" s="363"/>
      <c r="M229" s="317"/>
      <c r="N229" s="367"/>
      <c r="O229" s="366"/>
      <c r="P229" s="365"/>
      <c r="Q229" s="364"/>
      <c r="R229" s="364"/>
      <c r="S229" s="348"/>
    </row>
    <row r="230" spans="1:19" hidden="1" x14ac:dyDescent="0.25">
      <c r="A230" s="359">
        <v>0</v>
      </c>
      <c r="B230" s="49" t="s">
        <v>726</v>
      </c>
      <c r="C230" s="49"/>
      <c r="D230" s="49"/>
      <c r="E230" s="49"/>
      <c r="F230" s="49"/>
      <c r="G230" s="316"/>
      <c r="H230" s="316"/>
      <c r="I230" s="316"/>
      <c r="J230" s="316"/>
      <c r="K230" s="360"/>
      <c r="L230" s="322"/>
      <c r="M230" s="367"/>
      <c r="N230" s="367"/>
      <c r="O230" s="366"/>
      <c r="P230" s="365"/>
      <c r="Q230" s="364"/>
      <c r="R230" s="364"/>
      <c r="S230" s="348"/>
    </row>
    <row r="231" spans="1:19" hidden="1" x14ac:dyDescent="0.25">
      <c r="A231" s="359">
        <v>0</v>
      </c>
      <c r="B231" s="49" t="s">
        <v>727</v>
      </c>
      <c r="C231" s="49"/>
      <c r="D231" s="49"/>
      <c r="E231" s="49"/>
      <c r="F231" s="49"/>
      <c r="G231" s="316"/>
      <c r="H231" s="316"/>
      <c r="I231" s="316"/>
      <c r="J231" s="316"/>
      <c r="K231" s="360"/>
      <c r="L231" s="363"/>
      <c r="M231" s="367"/>
      <c r="N231" s="367"/>
      <c r="O231" s="366"/>
      <c r="P231" s="364"/>
      <c r="Q231" s="364"/>
      <c r="R231" s="364"/>
      <c r="S231" s="348"/>
    </row>
    <row r="232" spans="1:19" hidden="1" x14ac:dyDescent="0.25">
      <c r="A232" s="359">
        <v>0</v>
      </c>
      <c r="B232" s="49" t="s">
        <v>728</v>
      </c>
      <c r="C232" s="49"/>
      <c r="D232" s="49"/>
      <c r="E232" s="49"/>
      <c r="F232" s="49"/>
      <c r="G232" s="49"/>
      <c r="H232" s="49"/>
      <c r="I232" s="49"/>
      <c r="J232" s="316"/>
      <c r="K232" s="360"/>
      <c r="L232" s="363"/>
      <c r="M232" s="317"/>
      <c r="N232" s="317"/>
      <c r="O232" s="366"/>
      <c r="P232" s="365"/>
      <c r="Q232" s="364"/>
      <c r="R232" s="364"/>
      <c r="S232" s="348"/>
    </row>
    <row r="233" spans="1:19" hidden="1" x14ac:dyDescent="0.25">
      <c r="A233" s="359">
        <v>0</v>
      </c>
      <c r="B233" s="49" t="s">
        <v>729</v>
      </c>
      <c r="C233" s="49"/>
      <c r="D233" s="49"/>
      <c r="E233" s="49"/>
      <c r="F233" s="49"/>
      <c r="G233" s="49"/>
      <c r="H233" s="49"/>
      <c r="I233" s="49"/>
      <c r="J233" s="316"/>
      <c r="K233" s="360"/>
      <c r="L233" s="322"/>
      <c r="M233" s="317"/>
      <c r="N233" s="317"/>
      <c r="O233" s="366"/>
      <c r="P233" s="365"/>
      <c r="Q233" s="364"/>
      <c r="R233" s="364"/>
      <c r="S233" s="348"/>
    </row>
    <row r="234" spans="1:19" hidden="1" x14ac:dyDescent="0.25">
      <c r="A234" s="359">
        <v>0</v>
      </c>
      <c r="B234" s="49" t="s">
        <v>730</v>
      </c>
      <c r="C234" s="49"/>
      <c r="D234" s="49"/>
      <c r="E234" s="49"/>
      <c r="F234" s="49"/>
      <c r="G234" s="49"/>
      <c r="H234" s="49"/>
      <c r="I234" s="49"/>
      <c r="J234" s="316"/>
      <c r="K234" s="360"/>
      <c r="L234" s="322"/>
      <c r="M234" s="317"/>
      <c r="N234" s="317"/>
      <c r="O234" s="366"/>
      <c r="P234" s="365"/>
      <c r="Q234" s="364"/>
      <c r="R234" s="364"/>
      <c r="S234" s="348"/>
    </row>
    <row r="235" spans="1:19" hidden="1" x14ac:dyDescent="0.25">
      <c r="A235" s="359">
        <v>0</v>
      </c>
      <c r="B235" s="49" t="s">
        <v>731</v>
      </c>
      <c r="C235" s="49"/>
      <c r="D235" s="49"/>
      <c r="E235" s="49"/>
      <c r="F235" s="49"/>
      <c r="G235" s="49"/>
      <c r="H235" s="49"/>
      <c r="I235" s="49"/>
      <c r="J235" s="316"/>
      <c r="K235" s="360"/>
      <c r="L235" s="322"/>
      <c r="M235" s="317"/>
      <c r="N235" s="317"/>
      <c r="O235" s="366"/>
      <c r="P235" s="365"/>
      <c r="Q235" s="364"/>
      <c r="R235" s="364"/>
      <c r="S235" s="348"/>
    </row>
    <row r="236" spans="1:19" hidden="1" x14ac:dyDescent="0.25">
      <c r="A236" s="359">
        <v>0</v>
      </c>
      <c r="B236" s="49" t="s">
        <v>732</v>
      </c>
      <c r="C236" s="49"/>
      <c r="D236" s="49"/>
      <c r="E236" s="49"/>
      <c r="F236" s="49"/>
      <c r="G236" s="49"/>
      <c r="H236" s="49"/>
      <c r="I236" s="49"/>
      <c r="J236" s="316"/>
      <c r="K236" s="360"/>
      <c r="L236" s="363"/>
      <c r="M236" s="317"/>
      <c r="N236" s="317"/>
      <c r="O236" s="366"/>
      <c r="P236" s="365"/>
      <c r="Q236" s="364"/>
      <c r="R236" s="364"/>
      <c r="S236" s="348"/>
    </row>
    <row r="237" spans="1:19" hidden="1" x14ac:dyDescent="0.25">
      <c r="A237" s="359">
        <v>0</v>
      </c>
      <c r="B237" s="49" t="s">
        <v>733</v>
      </c>
      <c r="C237" s="49"/>
      <c r="D237" s="49"/>
      <c r="E237" s="49"/>
      <c r="F237" s="49"/>
      <c r="G237" s="49"/>
      <c r="H237" s="49"/>
      <c r="I237" s="49"/>
      <c r="J237" s="316"/>
      <c r="K237" s="360"/>
      <c r="L237" s="322"/>
      <c r="M237" s="317"/>
      <c r="N237" s="317"/>
      <c r="O237" s="366"/>
      <c r="P237" s="365"/>
      <c r="Q237" s="364"/>
      <c r="R237" s="364"/>
      <c r="S237" s="348"/>
    </row>
    <row r="238" spans="1:19" hidden="1" x14ac:dyDescent="0.25">
      <c r="A238" s="359">
        <v>0</v>
      </c>
      <c r="B238" s="49" t="s">
        <v>734</v>
      </c>
      <c r="C238" s="49"/>
      <c r="D238" s="49"/>
      <c r="E238" s="49"/>
      <c r="F238" s="49"/>
      <c r="G238" s="49"/>
      <c r="H238" s="49"/>
      <c r="I238" s="49"/>
      <c r="J238" s="316"/>
      <c r="K238" s="360"/>
      <c r="L238" s="363"/>
      <c r="M238" s="317"/>
      <c r="N238" s="317"/>
      <c r="O238" s="366"/>
      <c r="P238" s="365"/>
      <c r="Q238" s="364"/>
      <c r="R238" s="364"/>
      <c r="S238" s="348"/>
    </row>
    <row r="239" spans="1:19" hidden="1" x14ac:dyDescent="0.25">
      <c r="A239" s="359">
        <v>0</v>
      </c>
      <c r="B239" s="49" t="s">
        <v>735</v>
      </c>
      <c r="C239" s="49"/>
      <c r="D239" s="49"/>
      <c r="E239" s="49"/>
      <c r="F239" s="49"/>
      <c r="G239" s="49"/>
      <c r="H239" s="49"/>
      <c r="I239" s="49"/>
      <c r="J239" s="316"/>
      <c r="K239" s="316"/>
      <c r="L239" s="363"/>
      <c r="M239" s="317"/>
      <c r="N239" s="317"/>
      <c r="O239" s="366"/>
      <c r="P239" s="365"/>
      <c r="Q239" s="364"/>
      <c r="R239" s="364"/>
      <c r="S239" s="348"/>
    </row>
    <row r="240" spans="1:19" hidden="1" x14ac:dyDescent="0.25">
      <c r="A240" s="359">
        <v>0</v>
      </c>
      <c r="B240" s="49" t="s">
        <v>736</v>
      </c>
      <c r="C240" s="49"/>
      <c r="D240" s="49"/>
      <c r="E240" s="49"/>
      <c r="F240" s="49"/>
      <c r="G240" s="49"/>
      <c r="H240" s="49"/>
      <c r="I240" s="49"/>
      <c r="J240" s="316"/>
      <c r="K240" s="360"/>
      <c r="L240" s="363"/>
      <c r="M240" s="317"/>
      <c r="N240" s="317"/>
      <c r="O240" s="366"/>
      <c r="P240" s="365"/>
      <c r="Q240" s="364"/>
      <c r="R240" s="364"/>
      <c r="S240" s="348"/>
    </row>
    <row r="241" spans="1:19" hidden="1" x14ac:dyDescent="0.25">
      <c r="A241" s="359">
        <v>0</v>
      </c>
      <c r="B241" s="49" t="s">
        <v>737</v>
      </c>
      <c r="C241" s="49"/>
      <c r="D241" s="49"/>
      <c r="E241" s="49"/>
      <c r="F241" s="49"/>
      <c r="G241" s="49"/>
      <c r="H241" s="49"/>
      <c r="I241" s="49"/>
      <c r="J241" s="316"/>
      <c r="K241" s="360"/>
      <c r="L241" s="363"/>
      <c r="M241" s="317"/>
      <c r="N241" s="317"/>
      <c r="O241" s="366"/>
      <c r="P241" s="365"/>
      <c r="Q241" s="364"/>
      <c r="R241" s="364"/>
      <c r="S241" s="348"/>
    </row>
    <row r="242" spans="1:19" hidden="1" x14ac:dyDescent="0.25">
      <c r="A242" s="359">
        <v>0</v>
      </c>
      <c r="B242" s="49" t="s">
        <v>738</v>
      </c>
      <c r="C242" s="49"/>
      <c r="D242" s="49"/>
      <c r="E242" s="49"/>
      <c r="F242" s="49"/>
      <c r="G242" s="49"/>
      <c r="H242" s="49"/>
      <c r="I242" s="49"/>
      <c r="J242" s="316"/>
      <c r="K242" s="360"/>
      <c r="L242" s="363"/>
      <c r="M242" s="317"/>
      <c r="N242" s="317"/>
      <c r="O242" s="366"/>
      <c r="P242" s="365"/>
      <c r="Q242" s="364"/>
      <c r="R242" s="364"/>
      <c r="S242" s="348"/>
    </row>
    <row r="243" spans="1:19" hidden="1" x14ac:dyDescent="0.25">
      <c r="A243" s="359">
        <v>0</v>
      </c>
      <c r="B243" s="49" t="s">
        <v>739</v>
      </c>
      <c r="C243" s="49"/>
      <c r="D243" s="49"/>
      <c r="E243" s="49"/>
      <c r="F243" s="372"/>
      <c r="G243" s="49"/>
      <c r="H243" s="49"/>
      <c r="I243" s="404"/>
      <c r="J243" s="316"/>
      <c r="K243" s="316"/>
      <c r="L243" s="403"/>
      <c r="M243" s="317"/>
      <c r="N243" s="317"/>
      <c r="O243" s="366"/>
      <c r="P243" s="365"/>
      <c r="Q243" s="364"/>
      <c r="R243" s="364"/>
      <c r="S243" s="348"/>
    </row>
    <row r="244" spans="1:19" hidden="1" x14ac:dyDescent="0.25">
      <c r="A244" s="359">
        <v>0</v>
      </c>
      <c r="B244" s="49" t="s">
        <v>740</v>
      </c>
      <c r="C244" s="49"/>
      <c r="D244" s="49"/>
      <c r="E244" s="49"/>
      <c r="F244" s="49"/>
      <c r="G244" s="49"/>
      <c r="H244" s="49"/>
      <c r="I244" s="404"/>
      <c r="J244" s="316"/>
      <c r="K244" s="360"/>
      <c r="L244" s="363"/>
      <c r="M244" s="317"/>
      <c r="N244" s="317"/>
      <c r="O244" s="366"/>
      <c r="P244" s="365"/>
      <c r="Q244" s="364"/>
      <c r="R244" s="364"/>
      <c r="S244" s="348"/>
    </row>
    <row r="245" spans="1:19" hidden="1" x14ac:dyDescent="0.25">
      <c r="A245" s="359">
        <v>0</v>
      </c>
      <c r="B245" s="49" t="s">
        <v>741</v>
      </c>
      <c r="C245" s="49"/>
      <c r="D245" s="49"/>
      <c r="E245" s="49"/>
      <c r="F245" s="49"/>
      <c r="G245" s="49"/>
      <c r="H245" s="49"/>
      <c r="I245" s="404"/>
      <c r="J245" s="316"/>
      <c r="K245" s="360"/>
      <c r="L245" s="322"/>
      <c r="M245" s="317"/>
      <c r="N245" s="317"/>
      <c r="O245" s="366"/>
      <c r="P245" s="365"/>
      <c r="Q245" s="364"/>
      <c r="R245" s="364"/>
      <c r="S245" s="348"/>
    </row>
    <row r="246" spans="1:19" hidden="1" x14ac:dyDescent="0.25">
      <c r="A246" s="359">
        <v>0</v>
      </c>
      <c r="B246" s="49" t="s">
        <v>742</v>
      </c>
      <c r="C246" s="49"/>
      <c r="D246" s="49"/>
      <c r="E246" s="49"/>
      <c r="F246" s="49"/>
      <c r="G246" s="49"/>
      <c r="H246" s="49"/>
      <c r="I246" s="49"/>
      <c r="J246" s="316"/>
      <c r="K246" s="316"/>
      <c r="L246" s="363"/>
      <c r="M246" s="317"/>
      <c r="N246" s="317"/>
      <c r="O246" s="366"/>
      <c r="P246" s="365"/>
      <c r="Q246" s="364"/>
      <c r="R246" s="364"/>
      <c r="S246" s="348"/>
    </row>
    <row r="247" spans="1:19" hidden="1" x14ac:dyDescent="0.25">
      <c r="A247" s="359">
        <v>0</v>
      </c>
      <c r="B247" s="49" t="s">
        <v>743</v>
      </c>
      <c r="C247" s="49"/>
      <c r="D247" s="49"/>
      <c r="E247" s="49"/>
      <c r="F247" s="49"/>
      <c r="G247" s="49"/>
      <c r="H247" s="49"/>
      <c r="I247" s="49"/>
      <c r="J247" s="316"/>
      <c r="K247" s="360"/>
      <c r="L247" s="322"/>
      <c r="M247" s="317"/>
      <c r="N247" s="317"/>
      <c r="O247" s="366"/>
      <c r="P247" s="365"/>
      <c r="Q247" s="364"/>
      <c r="R247" s="364"/>
      <c r="S247" s="348"/>
    </row>
    <row r="248" spans="1:19" hidden="1" x14ac:dyDescent="0.25">
      <c r="A248" s="359">
        <v>0</v>
      </c>
      <c r="B248" s="49" t="s">
        <v>744</v>
      </c>
      <c r="C248" s="49"/>
      <c r="D248" s="49"/>
      <c r="E248" s="49"/>
      <c r="F248" s="49"/>
      <c r="G248" s="49"/>
      <c r="H248" s="49"/>
      <c r="I248" s="49"/>
      <c r="J248" s="316"/>
      <c r="K248" s="360"/>
      <c r="L248" s="363"/>
      <c r="M248" s="317"/>
      <c r="N248" s="317"/>
      <c r="O248" s="366"/>
      <c r="P248" s="365"/>
      <c r="Q248" s="364"/>
      <c r="R248" s="364"/>
      <c r="S248" s="348"/>
    </row>
    <row r="249" spans="1:19" hidden="1" x14ac:dyDescent="0.25">
      <c r="A249" s="359">
        <v>0</v>
      </c>
      <c r="B249" s="49" t="s">
        <v>745</v>
      </c>
      <c r="C249" s="49"/>
      <c r="D249" s="49"/>
      <c r="E249" s="49"/>
      <c r="F249" s="49"/>
      <c r="G249" s="29"/>
      <c r="H249" s="49"/>
      <c r="I249" s="49"/>
      <c r="J249" s="316"/>
      <c r="K249" s="360"/>
      <c r="L249" s="363"/>
      <c r="M249" s="317"/>
      <c r="N249" s="317"/>
      <c r="O249" s="366"/>
      <c r="P249" s="365"/>
      <c r="Q249" s="364"/>
      <c r="R249" s="364"/>
      <c r="S249" s="348"/>
    </row>
    <row r="250" spans="1:19" hidden="1" x14ac:dyDescent="0.25">
      <c r="A250" s="359">
        <v>0</v>
      </c>
      <c r="B250" s="49" t="s">
        <v>746</v>
      </c>
      <c r="C250" s="49"/>
      <c r="D250" s="49"/>
      <c r="E250" s="49"/>
      <c r="F250" s="49"/>
      <c r="G250" s="49"/>
      <c r="H250" s="49"/>
      <c r="I250" s="49"/>
      <c r="J250" s="316"/>
      <c r="K250" s="360"/>
      <c r="L250" s="363"/>
      <c r="M250" s="317"/>
      <c r="N250" s="317"/>
      <c r="O250" s="366"/>
      <c r="P250" s="365"/>
      <c r="Q250" s="364"/>
      <c r="R250" s="364"/>
      <c r="S250" s="348"/>
    </row>
    <row r="251" spans="1:19" hidden="1" x14ac:dyDescent="0.25">
      <c r="A251" s="359">
        <v>0</v>
      </c>
      <c r="B251" s="49" t="s">
        <v>747</v>
      </c>
      <c r="C251" s="49"/>
      <c r="D251" s="49"/>
      <c r="E251" s="49"/>
      <c r="F251" s="49"/>
      <c r="G251" s="49"/>
      <c r="H251" s="49"/>
      <c r="I251" s="49"/>
      <c r="J251" s="316"/>
      <c r="K251" s="360"/>
      <c r="L251" s="363"/>
      <c r="M251" s="317"/>
      <c r="N251" s="317"/>
      <c r="O251" s="366"/>
      <c r="P251" s="365"/>
      <c r="Q251" s="364"/>
      <c r="R251" s="364"/>
      <c r="S251" s="348"/>
    </row>
    <row r="252" spans="1:19" hidden="1" x14ac:dyDescent="0.25">
      <c r="A252" s="359">
        <v>0</v>
      </c>
      <c r="B252" s="49" t="s">
        <v>748</v>
      </c>
      <c r="C252" s="49"/>
      <c r="D252" s="49"/>
      <c r="E252" s="49"/>
      <c r="F252" s="49"/>
      <c r="G252" s="49"/>
      <c r="H252" s="49"/>
      <c r="I252" s="49"/>
      <c r="J252" s="316"/>
      <c r="K252" s="360"/>
      <c r="L252" s="363"/>
      <c r="M252" s="317"/>
      <c r="N252" s="317"/>
      <c r="O252" s="366"/>
      <c r="P252" s="365"/>
      <c r="Q252" s="364"/>
      <c r="R252" s="364"/>
      <c r="S252" s="348"/>
    </row>
    <row r="253" spans="1:19" hidden="1" x14ac:dyDescent="0.25">
      <c r="A253" s="359">
        <v>0</v>
      </c>
      <c r="B253" s="49" t="s">
        <v>749</v>
      </c>
      <c r="C253" s="49"/>
      <c r="D253" s="49"/>
      <c r="E253" s="49"/>
      <c r="F253" s="49"/>
      <c r="G253" s="49"/>
      <c r="H253" s="49"/>
      <c r="I253" s="49"/>
      <c r="J253" s="316"/>
      <c r="K253" s="360"/>
      <c r="L253" s="363"/>
      <c r="M253" s="317"/>
      <c r="N253" s="317"/>
      <c r="O253" s="366"/>
      <c r="P253" s="365"/>
      <c r="Q253" s="364"/>
      <c r="R253" s="364"/>
      <c r="S253" s="348"/>
    </row>
    <row r="254" spans="1:19" hidden="1" x14ac:dyDescent="0.25">
      <c r="A254" s="359">
        <v>0</v>
      </c>
      <c r="B254" s="49" t="s">
        <v>750</v>
      </c>
      <c r="C254" s="49"/>
      <c r="D254" s="49"/>
      <c r="E254" s="49"/>
      <c r="F254" s="49"/>
      <c r="G254" s="49"/>
      <c r="H254" s="49"/>
      <c r="I254" s="49"/>
      <c r="J254" s="316"/>
      <c r="K254" s="360"/>
      <c r="L254" s="363"/>
      <c r="M254" s="317"/>
      <c r="N254" s="317"/>
      <c r="O254" s="322"/>
      <c r="P254" s="365"/>
      <c r="Q254" s="364"/>
      <c r="R254" s="364"/>
      <c r="S254" s="348"/>
    </row>
    <row r="255" spans="1:19" hidden="1" x14ac:dyDescent="0.25">
      <c r="A255" s="359">
        <v>0</v>
      </c>
      <c r="B255" s="49" t="s">
        <v>751</v>
      </c>
      <c r="C255" s="49"/>
      <c r="D255" s="49"/>
      <c r="E255" s="49"/>
      <c r="F255" s="49"/>
      <c r="G255" s="49"/>
      <c r="H255" s="49"/>
      <c r="I255" s="49"/>
      <c r="J255" s="316"/>
      <c r="K255" s="360"/>
      <c r="L255" s="399"/>
      <c r="M255" s="317"/>
      <c r="N255" s="317"/>
      <c r="O255" s="366"/>
      <c r="P255" s="365"/>
      <c r="Q255" s="364"/>
      <c r="R255" s="364"/>
      <c r="S255" s="348"/>
    </row>
    <row r="256" spans="1:19" hidden="1" x14ac:dyDescent="0.25">
      <c r="A256" s="359">
        <v>0</v>
      </c>
      <c r="B256" s="49" t="s">
        <v>752</v>
      </c>
      <c r="C256" s="49"/>
      <c r="D256" s="49"/>
      <c r="E256" s="49"/>
      <c r="F256" s="49"/>
      <c r="G256" s="49"/>
      <c r="H256" s="49"/>
      <c r="I256" s="49"/>
      <c r="J256" s="316"/>
      <c r="K256" s="360"/>
      <c r="L256" s="399"/>
      <c r="M256" s="317"/>
      <c r="N256" s="317"/>
      <c r="O256" s="366"/>
      <c r="P256" s="365"/>
      <c r="Q256" s="364"/>
      <c r="R256" s="364"/>
      <c r="S256" s="348"/>
    </row>
    <row r="257" spans="1:19" hidden="1" x14ac:dyDescent="0.25">
      <c r="A257" s="359">
        <v>0</v>
      </c>
      <c r="B257" s="49" t="s">
        <v>753</v>
      </c>
      <c r="C257" s="49"/>
      <c r="D257" s="49"/>
      <c r="E257" s="49"/>
      <c r="F257" s="49"/>
      <c r="G257" s="49"/>
      <c r="H257" s="49"/>
      <c r="I257" s="49"/>
      <c r="J257" s="316"/>
      <c r="K257" s="360"/>
      <c r="L257" s="322"/>
      <c r="M257" s="317"/>
      <c r="N257" s="317"/>
      <c r="O257" s="366"/>
      <c r="P257" s="365"/>
      <c r="Q257" s="364"/>
      <c r="R257" s="364"/>
      <c r="S257" s="348"/>
    </row>
    <row r="258" spans="1:19" hidden="1" x14ac:dyDescent="0.25">
      <c r="A258" s="359">
        <v>0</v>
      </c>
      <c r="B258" s="49" t="s">
        <v>754</v>
      </c>
      <c r="C258" s="49"/>
      <c r="D258" s="49"/>
      <c r="E258" s="49"/>
      <c r="F258" s="49"/>
      <c r="G258" s="49"/>
      <c r="H258" s="49"/>
      <c r="I258" s="49"/>
      <c r="J258" s="316"/>
      <c r="K258" s="360"/>
      <c r="L258" s="322"/>
      <c r="M258" s="317"/>
      <c r="N258" s="317"/>
      <c r="O258" s="366"/>
      <c r="P258" s="365"/>
      <c r="Q258" s="364"/>
      <c r="R258" s="364"/>
      <c r="S258" s="348"/>
    </row>
    <row r="259" spans="1:19" hidden="1" x14ac:dyDescent="0.25">
      <c r="A259" s="359">
        <v>0</v>
      </c>
      <c r="B259" s="49" t="s">
        <v>755</v>
      </c>
      <c r="C259" s="49"/>
      <c r="D259" s="49"/>
      <c r="E259" s="49"/>
      <c r="F259" s="49"/>
      <c r="G259" s="49"/>
      <c r="H259" s="49"/>
      <c r="I259" s="49"/>
      <c r="J259" s="316"/>
      <c r="K259" s="360"/>
      <c r="L259" s="322"/>
      <c r="M259" s="317"/>
      <c r="N259" s="317"/>
      <c r="O259" s="366"/>
      <c r="P259" s="365"/>
      <c r="Q259" s="364"/>
      <c r="R259" s="364"/>
      <c r="S259" s="348"/>
    </row>
    <row r="260" spans="1:19" hidden="1" x14ac:dyDescent="0.25">
      <c r="A260" s="359">
        <v>0</v>
      </c>
      <c r="B260" s="49" t="s">
        <v>756</v>
      </c>
      <c r="C260" s="49"/>
      <c r="D260" s="49"/>
      <c r="E260" s="49"/>
      <c r="F260" s="49"/>
      <c r="G260" s="49"/>
      <c r="H260" s="49"/>
      <c r="I260" s="49"/>
      <c r="J260" s="316"/>
      <c r="K260" s="360"/>
      <c r="L260" s="322"/>
      <c r="M260" s="317"/>
      <c r="N260" s="317"/>
      <c r="O260" s="366"/>
      <c r="P260" s="365"/>
      <c r="Q260" s="364"/>
      <c r="R260" s="364"/>
      <c r="S260" s="348"/>
    </row>
    <row r="261" spans="1:19" hidden="1" x14ac:dyDescent="0.25">
      <c r="A261" s="359">
        <v>0</v>
      </c>
      <c r="B261" s="49" t="s">
        <v>757</v>
      </c>
      <c r="C261" s="49"/>
      <c r="D261" s="49"/>
      <c r="E261" s="49"/>
      <c r="F261" s="49"/>
      <c r="G261" s="49"/>
      <c r="H261" s="49"/>
      <c r="I261" s="49"/>
      <c r="J261" s="316"/>
      <c r="K261" s="360"/>
      <c r="L261" s="363"/>
      <c r="M261" s="317"/>
      <c r="N261" s="317"/>
      <c r="O261" s="366"/>
      <c r="P261" s="365"/>
      <c r="Q261" s="364"/>
      <c r="R261" s="364"/>
      <c r="S261" s="348"/>
    </row>
    <row r="262" spans="1:19" hidden="1" x14ac:dyDescent="0.25">
      <c r="A262" s="359">
        <v>0</v>
      </c>
      <c r="B262" s="49" t="s">
        <v>758</v>
      </c>
      <c r="C262" s="49"/>
      <c r="D262" s="49"/>
      <c r="E262" s="49"/>
      <c r="F262" s="49"/>
      <c r="G262" s="49"/>
      <c r="H262" s="49"/>
      <c r="I262" s="49"/>
      <c r="J262" s="316"/>
      <c r="K262" s="360"/>
      <c r="L262" s="322"/>
      <c r="M262" s="317"/>
      <c r="N262" s="317"/>
      <c r="O262" s="366"/>
      <c r="P262" s="365"/>
      <c r="Q262" s="364"/>
      <c r="R262" s="364"/>
      <c r="S262" s="348"/>
    </row>
    <row r="263" spans="1:19" hidden="1" x14ac:dyDescent="0.25">
      <c r="A263" s="359">
        <v>0</v>
      </c>
      <c r="B263" s="49" t="s">
        <v>759</v>
      </c>
      <c r="C263" s="49"/>
      <c r="D263" s="49"/>
      <c r="E263" s="49"/>
      <c r="F263" s="49"/>
      <c r="G263" s="49"/>
      <c r="H263" s="49"/>
      <c r="I263" s="49"/>
      <c r="J263" s="316"/>
      <c r="K263" s="360"/>
      <c r="L263" s="363"/>
      <c r="M263" s="317"/>
      <c r="N263" s="317"/>
      <c r="O263" s="366"/>
      <c r="P263" s="365"/>
      <c r="Q263" s="364"/>
      <c r="R263" s="364"/>
      <c r="S263" s="348"/>
    </row>
    <row r="264" spans="1:19" hidden="1" x14ac:dyDescent="0.25">
      <c r="A264" s="359">
        <v>0</v>
      </c>
      <c r="B264" s="49" t="s">
        <v>760</v>
      </c>
      <c r="C264" s="49"/>
      <c r="D264" s="49"/>
      <c r="E264" s="49"/>
      <c r="F264" s="49"/>
      <c r="G264" s="49"/>
      <c r="H264" s="49"/>
      <c r="I264" s="49"/>
      <c r="J264" s="316"/>
      <c r="K264" s="360"/>
      <c r="L264" s="363"/>
      <c r="M264" s="317"/>
      <c r="N264" s="317"/>
      <c r="O264" s="366"/>
      <c r="P264" s="365"/>
      <c r="Q264" s="364"/>
      <c r="R264" s="364"/>
      <c r="S264" s="348"/>
    </row>
    <row r="265" spans="1:19" hidden="1" x14ac:dyDescent="0.25">
      <c r="A265" s="359">
        <v>0</v>
      </c>
      <c r="B265" s="49" t="s">
        <v>761</v>
      </c>
      <c r="C265" s="49"/>
      <c r="D265" s="49"/>
      <c r="E265" s="49"/>
      <c r="F265" s="49"/>
      <c r="G265" s="49"/>
      <c r="H265" s="49"/>
      <c r="I265" s="49"/>
      <c r="J265" s="316"/>
      <c r="K265" s="360"/>
      <c r="L265" s="363"/>
      <c r="M265" s="317"/>
      <c r="N265" s="317"/>
      <c r="O265" s="366"/>
      <c r="P265" s="365"/>
      <c r="Q265" s="364"/>
      <c r="R265" s="364"/>
      <c r="S265" s="348"/>
    </row>
    <row r="266" spans="1:19" hidden="1" x14ac:dyDescent="0.25">
      <c r="A266" s="359">
        <v>0</v>
      </c>
      <c r="B266" s="49" t="s">
        <v>762</v>
      </c>
      <c r="C266" s="49"/>
      <c r="D266" s="49"/>
      <c r="E266" s="49"/>
      <c r="F266" s="49"/>
      <c r="G266" s="49"/>
      <c r="H266" s="49"/>
      <c r="I266" s="49"/>
      <c r="J266" s="316"/>
      <c r="K266" s="360"/>
      <c r="L266" s="363"/>
      <c r="M266" s="317"/>
      <c r="N266" s="317"/>
      <c r="O266" s="366"/>
      <c r="P266" s="365"/>
      <c r="Q266" s="364"/>
      <c r="R266" s="364"/>
      <c r="S266" s="348"/>
    </row>
    <row r="267" spans="1:19" hidden="1" x14ac:dyDescent="0.25">
      <c r="A267" s="359">
        <v>0</v>
      </c>
      <c r="B267" s="49" t="s">
        <v>763</v>
      </c>
      <c r="C267" s="49"/>
      <c r="D267" s="49"/>
      <c r="E267" s="49"/>
      <c r="F267" s="49"/>
      <c r="G267" s="49"/>
      <c r="H267" s="49"/>
      <c r="I267" s="49"/>
      <c r="J267" s="316"/>
      <c r="K267" s="360"/>
      <c r="L267" s="322"/>
      <c r="M267" s="317"/>
      <c r="N267" s="317"/>
      <c r="O267" s="366"/>
      <c r="P267" s="365"/>
      <c r="Q267" s="364"/>
      <c r="R267" s="364"/>
      <c r="S267" s="348"/>
    </row>
    <row r="268" spans="1:19" hidden="1" x14ac:dyDescent="0.25">
      <c r="A268" s="359">
        <v>0</v>
      </c>
      <c r="B268" s="49" t="s">
        <v>764</v>
      </c>
      <c r="C268" s="49"/>
      <c r="D268" s="49"/>
      <c r="E268" s="49"/>
      <c r="F268" s="49"/>
      <c r="G268" s="49"/>
      <c r="H268" s="49"/>
      <c r="I268" s="49"/>
      <c r="J268" s="316"/>
      <c r="K268" s="360"/>
      <c r="L268" s="322"/>
      <c r="M268" s="317"/>
      <c r="N268" s="317"/>
      <c r="O268" s="366"/>
      <c r="P268" s="365"/>
      <c r="Q268" s="364"/>
      <c r="R268" s="364"/>
      <c r="S268" s="348"/>
    </row>
    <row r="269" spans="1:19" hidden="1" x14ac:dyDescent="0.25">
      <c r="A269" s="359">
        <v>0</v>
      </c>
      <c r="B269" s="49" t="s">
        <v>765</v>
      </c>
      <c r="C269" s="49"/>
      <c r="D269" s="49"/>
      <c r="E269" s="49"/>
      <c r="F269" s="49"/>
      <c r="G269" s="49"/>
      <c r="H269" s="49"/>
      <c r="I269" s="49"/>
      <c r="J269" s="316"/>
      <c r="K269" s="360"/>
      <c r="L269" s="363"/>
      <c r="M269" s="317"/>
      <c r="N269" s="317"/>
      <c r="O269" s="366"/>
      <c r="P269" s="365"/>
      <c r="Q269" s="364"/>
      <c r="R269" s="364"/>
      <c r="S269" s="348"/>
    </row>
    <row r="270" spans="1:19" hidden="1" x14ac:dyDescent="0.25">
      <c r="A270" s="359">
        <v>0</v>
      </c>
      <c r="B270" s="49" t="s">
        <v>766</v>
      </c>
      <c r="C270" s="49"/>
      <c r="D270" s="49"/>
      <c r="E270" s="49"/>
      <c r="F270" s="49"/>
      <c r="G270" s="49"/>
      <c r="H270" s="49"/>
      <c r="I270" s="49"/>
      <c r="J270" s="316"/>
      <c r="K270" s="360"/>
      <c r="L270" s="363"/>
      <c r="M270" s="317"/>
      <c r="N270" s="317"/>
      <c r="O270" s="366"/>
      <c r="P270" s="365"/>
      <c r="Q270" s="364"/>
      <c r="R270" s="364"/>
      <c r="S270" s="348"/>
    </row>
    <row r="271" spans="1:19" hidden="1" x14ac:dyDescent="0.25">
      <c r="A271" s="359">
        <v>0</v>
      </c>
      <c r="B271" s="49" t="s">
        <v>767</v>
      </c>
      <c r="C271" s="49"/>
      <c r="D271" s="49"/>
      <c r="E271" s="49"/>
      <c r="F271" s="49"/>
      <c r="G271" s="49"/>
      <c r="H271" s="49"/>
      <c r="I271" s="49"/>
      <c r="J271" s="316"/>
      <c r="K271" s="360"/>
      <c r="L271" s="363"/>
      <c r="M271" s="317"/>
      <c r="N271" s="317"/>
      <c r="O271" s="366"/>
      <c r="P271" s="365"/>
      <c r="Q271" s="364"/>
      <c r="R271" s="364"/>
      <c r="S271" s="348"/>
    </row>
    <row r="272" spans="1:19" hidden="1" x14ac:dyDescent="0.25">
      <c r="A272" s="359">
        <v>0</v>
      </c>
      <c r="B272" s="49" t="s">
        <v>768</v>
      </c>
      <c r="C272" s="49"/>
      <c r="D272" s="49"/>
      <c r="E272" s="49"/>
      <c r="F272" s="49"/>
      <c r="G272" s="49"/>
      <c r="H272" s="49"/>
      <c r="I272" s="49"/>
      <c r="J272" s="316"/>
      <c r="K272" s="360"/>
      <c r="L272" s="363"/>
      <c r="M272" s="317"/>
      <c r="N272" s="317"/>
      <c r="O272" s="366"/>
      <c r="P272" s="365"/>
      <c r="Q272" s="364"/>
      <c r="R272" s="364"/>
      <c r="S272" s="348"/>
    </row>
    <row r="273" spans="1:19" hidden="1" x14ac:dyDescent="0.25">
      <c r="A273" s="359">
        <v>0</v>
      </c>
      <c r="B273" s="49" t="s">
        <v>769</v>
      </c>
      <c r="C273" s="49"/>
      <c r="D273" s="49"/>
      <c r="E273" s="49"/>
      <c r="F273" s="49"/>
      <c r="G273" s="49"/>
      <c r="H273" s="49"/>
      <c r="I273" s="49"/>
      <c r="J273" s="316"/>
      <c r="K273" s="360"/>
      <c r="L273" s="363"/>
      <c r="M273" s="317"/>
      <c r="N273" s="317"/>
      <c r="O273" s="366"/>
      <c r="P273" s="365"/>
      <c r="Q273" s="364"/>
      <c r="R273" s="364"/>
      <c r="S273" s="348"/>
    </row>
    <row r="274" spans="1:19" hidden="1" x14ac:dyDescent="0.25">
      <c r="A274" s="359">
        <v>0</v>
      </c>
      <c r="B274" s="49" t="s">
        <v>770</v>
      </c>
      <c r="C274" s="49"/>
      <c r="D274" s="49"/>
      <c r="E274" s="49"/>
      <c r="F274" s="49"/>
      <c r="G274" s="49"/>
      <c r="H274" s="49"/>
      <c r="I274" s="49"/>
      <c r="J274" s="316"/>
      <c r="K274" s="360"/>
      <c r="L274" s="322"/>
      <c r="M274" s="317"/>
      <c r="N274" s="317"/>
      <c r="O274" s="366"/>
      <c r="P274" s="365"/>
      <c r="Q274" s="364"/>
      <c r="R274" s="364"/>
      <c r="S274" s="348"/>
    </row>
    <row r="275" spans="1:19" hidden="1" x14ac:dyDescent="0.25">
      <c r="A275" s="359">
        <v>0</v>
      </c>
      <c r="B275" s="49" t="s">
        <v>771</v>
      </c>
      <c r="C275" s="49"/>
      <c r="D275" s="49"/>
      <c r="E275" s="49"/>
      <c r="F275" s="49"/>
      <c r="G275" s="49"/>
      <c r="H275" s="49"/>
      <c r="I275" s="49"/>
      <c r="J275" s="316"/>
      <c r="K275" s="360"/>
      <c r="L275" s="322"/>
      <c r="M275" s="317"/>
      <c r="N275" s="317"/>
      <c r="O275" s="366"/>
      <c r="P275" s="365"/>
      <c r="Q275" s="364"/>
      <c r="R275" s="364"/>
      <c r="S275" s="348"/>
    </row>
    <row r="276" spans="1:19" hidden="1" x14ac:dyDescent="0.25">
      <c r="A276" s="359">
        <v>0</v>
      </c>
      <c r="B276" s="49" t="s">
        <v>772</v>
      </c>
      <c r="C276" s="49"/>
      <c r="D276" s="49"/>
      <c r="E276" s="49"/>
      <c r="F276" s="49"/>
      <c r="G276" s="49"/>
      <c r="H276" s="49"/>
      <c r="I276" s="49"/>
      <c r="J276" s="316"/>
      <c r="K276" s="360"/>
      <c r="L276" s="322"/>
      <c r="M276" s="317"/>
      <c r="N276" s="317"/>
      <c r="O276" s="322"/>
      <c r="P276" s="365"/>
      <c r="Q276" s="364"/>
      <c r="R276" s="364"/>
      <c r="S276" s="348"/>
    </row>
    <row r="277" spans="1:19" hidden="1" x14ac:dyDescent="0.25">
      <c r="A277" s="359">
        <v>0</v>
      </c>
      <c r="B277" s="49" t="s">
        <v>773</v>
      </c>
      <c r="C277" s="49"/>
      <c r="D277" s="49"/>
      <c r="E277" s="49"/>
      <c r="F277" s="49"/>
      <c r="G277" s="49"/>
      <c r="H277" s="49"/>
      <c r="I277" s="49"/>
      <c r="J277" s="316"/>
      <c r="K277" s="360"/>
      <c r="L277" s="317"/>
      <c r="M277" s="317"/>
      <c r="N277" s="317"/>
      <c r="O277" s="366"/>
      <c r="P277" s="365"/>
      <c r="Q277" s="364"/>
      <c r="R277" s="364"/>
      <c r="S277" s="348"/>
    </row>
    <row r="278" spans="1:19" hidden="1" x14ac:dyDescent="0.25">
      <c r="A278" s="359">
        <v>0</v>
      </c>
      <c r="B278" s="49" t="s">
        <v>774</v>
      </c>
      <c r="C278" s="49"/>
      <c r="D278" s="49"/>
      <c r="E278" s="49"/>
      <c r="F278" s="49"/>
      <c r="G278" s="49"/>
      <c r="H278" s="49"/>
      <c r="I278" s="49"/>
      <c r="J278" s="316"/>
      <c r="K278" s="360"/>
      <c r="L278" s="317"/>
      <c r="M278" s="317"/>
      <c r="N278" s="317"/>
      <c r="O278" s="366"/>
      <c r="P278" s="365"/>
      <c r="Q278" s="364"/>
      <c r="R278" s="364"/>
      <c r="S278" s="348"/>
    </row>
    <row r="279" spans="1:19" hidden="1" x14ac:dyDescent="0.25">
      <c r="A279" s="359">
        <v>0</v>
      </c>
      <c r="B279" s="49" t="s">
        <v>775</v>
      </c>
      <c r="C279" s="49"/>
      <c r="D279" s="49"/>
      <c r="E279" s="49"/>
      <c r="F279" s="49"/>
      <c r="G279" s="49"/>
      <c r="H279" s="49"/>
      <c r="I279" s="49"/>
      <c r="J279" s="316"/>
      <c r="K279" s="360"/>
      <c r="L279" s="317"/>
      <c r="M279" s="317"/>
      <c r="N279" s="317"/>
      <c r="O279" s="366"/>
      <c r="P279" s="365"/>
      <c r="Q279" s="364"/>
      <c r="R279" s="364"/>
      <c r="S279" s="348"/>
    </row>
    <row r="280" spans="1:19" hidden="1" x14ac:dyDescent="0.25">
      <c r="A280" s="359">
        <v>0</v>
      </c>
      <c r="B280" s="49" t="s">
        <v>776</v>
      </c>
      <c r="C280" s="49"/>
      <c r="D280" s="49"/>
      <c r="E280" s="49"/>
      <c r="F280" s="49"/>
      <c r="G280" s="49"/>
      <c r="H280" s="49"/>
      <c r="I280" s="49"/>
      <c r="J280" s="316"/>
      <c r="K280" s="360"/>
      <c r="L280" s="317"/>
      <c r="M280" s="317"/>
      <c r="N280" s="317"/>
      <c r="O280" s="366"/>
      <c r="P280" s="365"/>
      <c r="Q280" s="364"/>
      <c r="R280" s="364"/>
      <c r="S280" s="348"/>
    </row>
    <row r="281" spans="1:19" hidden="1" x14ac:dyDescent="0.25">
      <c r="A281" s="359">
        <v>0</v>
      </c>
      <c r="B281" s="49" t="s">
        <v>777</v>
      </c>
      <c r="C281" s="49"/>
      <c r="D281" s="49"/>
      <c r="E281" s="49"/>
      <c r="F281" s="49"/>
      <c r="G281" s="49"/>
      <c r="H281" s="49"/>
      <c r="I281" s="49"/>
      <c r="J281" s="316"/>
      <c r="K281" s="360"/>
      <c r="L281" s="317"/>
      <c r="M281" s="317"/>
      <c r="N281" s="317"/>
      <c r="O281" s="366"/>
      <c r="P281" s="365"/>
      <c r="Q281" s="364"/>
      <c r="R281" s="364"/>
      <c r="S281" s="348"/>
    </row>
    <row r="282" spans="1:19" hidden="1" x14ac:dyDescent="0.25">
      <c r="A282" s="359">
        <v>0</v>
      </c>
      <c r="B282" s="49" t="s">
        <v>778</v>
      </c>
      <c r="C282" s="49"/>
      <c r="D282" s="49"/>
      <c r="E282" s="49"/>
      <c r="F282" s="49"/>
      <c r="G282" s="49"/>
      <c r="H282" s="49"/>
      <c r="I282" s="49"/>
      <c r="J282" s="316"/>
      <c r="K282" s="360"/>
      <c r="L282" s="317"/>
      <c r="M282" s="317"/>
      <c r="N282" s="317"/>
      <c r="O282" s="366"/>
      <c r="P282" s="365"/>
      <c r="Q282" s="364"/>
      <c r="R282" s="364"/>
      <c r="S282" s="348"/>
    </row>
    <row r="283" spans="1:19" hidden="1" x14ac:dyDescent="0.25">
      <c r="A283" s="359">
        <v>0</v>
      </c>
      <c r="B283" s="49" t="s">
        <v>779</v>
      </c>
      <c r="C283" s="49"/>
      <c r="D283" s="49"/>
      <c r="E283" s="49"/>
      <c r="F283" s="49"/>
      <c r="G283" s="49"/>
      <c r="H283" s="49"/>
      <c r="I283" s="49"/>
      <c r="J283" s="316"/>
      <c r="K283" s="360"/>
      <c r="L283" s="363"/>
      <c r="M283" s="317"/>
      <c r="N283" s="317"/>
      <c r="O283" s="366"/>
      <c r="P283" s="365"/>
      <c r="Q283" s="364"/>
      <c r="R283" s="364"/>
      <c r="S283" s="348"/>
    </row>
    <row r="284" spans="1:19" hidden="1" x14ac:dyDescent="0.25">
      <c r="A284" s="359">
        <v>0</v>
      </c>
      <c r="B284" s="49" t="s">
        <v>780</v>
      </c>
      <c r="C284" s="49"/>
      <c r="D284" s="49"/>
      <c r="E284" s="49"/>
      <c r="F284" s="49"/>
      <c r="G284" s="49"/>
      <c r="H284" s="49"/>
      <c r="I284" s="49"/>
      <c r="J284" s="316"/>
      <c r="K284" s="360"/>
      <c r="L284" s="363"/>
      <c r="M284" s="317"/>
      <c r="N284" s="317"/>
      <c r="O284" s="366"/>
      <c r="P284" s="365"/>
      <c r="Q284" s="364"/>
      <c r="R284" s="364"/>
      <c r="S284" s="348"/>
    </row>
    <row r="285" spans="1:19" hidden="1" x14ac:dyDescent="0.25">
      <c r="A285" s="359">
        <v>0</v>
      </c>
      <c r="B285" s="49" t="s">
        <v>781</v>
      </c>
      <c r="C285" s="49"/>
      <c r="D285" s="49"/>
      <c r="E285" s="49"/>
      <c r="F285" s="49"/>
      <c r="G285" s="49"/>
      <c r="H285" s="49"/>
      <c r="I285" s="49"/>
      <c r="J285" s="316"/>
      <c r="K285" s="360"/>
      <c r="L285" s="363"/>
      <c r="M285" s="317"/>
      <c r="N285" s="317"/>
      <c r="O285" s="366"/>
      <c r="P285" s="365"/>
      <c r="Q285" s="364"/>
      <c r="R285" s="364"/>
      <c r="S285" s="348"/>
    </row>
    <row r="286" spans="1:19" hidden="1" x14ac:dyDescent="0.25">
      <c r="A286" s="359">
        <v>0</v>
      </c>
      <c r="B286" s="49" t="s">
        <v>782</v>
      </c>
      <c r="C286" s="49"/>
      <c r="D286" s="49"/>
      <c r="E286" s="49"/>
      <c r="F286" s="49"/>
      <c r="G286" s="49"/>
      <c r="H286" s="49"/>
      <c r="I286" s="316"/>
      <c r="J286" s="316"/>
      <c r="K286" s="360"/>
      <c r="L286" s="363"/>
      <c r="M286" s="317"/>
      <c r="N286" s="317"/>
      <c r="O286" s="366"/>
      <c r="P286" s="365"/>
      <c r="Q286" s="364"/>
      <c r="R286" s="364"/>
      <c r="S286" s="348"/>
    </row>
    <row r="287" spans="1:19" hidden="1" x14ac:dyDescent="0.25">
      <c r="A287" s="359">
        <v>0</v>
      </c>
      <c r="B287" s="49" t="s">
        <v>783</v>
      </c>
      <c r="C287" s="49"/>
      <c r="D287" s="49"/>
      <c r="E287" s="49"/>
      <c r="F287" s="49"/>
      <c r="G287" s="49"/>
      <c r="H287" s="49"/>
      <c r="I287" s="316"/>
      <c r="J287" s="316"/>
      <c r="K287" s="360"/>
      <c r="L287" s="363"/>
      <c r="M287" s="317"/>
      <c r="N287" s="317"/>
      <c r="O287" s="366"/>
      <c r="P287" s="365"/>
      <c r="Q287" s="364"/>
      <c r="R287" s="364"/>
      <c r="S287" s="348"/>
    </row>
    <row r="288" spans="1:19" hidden="1" x14ac:dyDescent="0.25">
      <c r="A288" s="359">
        <v>0</v>
      </c>
      <c r="B288" s="49" t="s">
        <v>784</v>
      </c>
      <c r="C288" s="49"/>
      <c r="D288" s="49"/>
      <c r="E288" s="49"/>
      <c r="F288" s="49"/>
      <c r="G288" s="49"/>
      <c r="H288" s="49"/>
      <c r="I288" s="49"/>
      <c r="J288" s="360"/>
      <c r="K288" s="360"/>
      <c r="L288" s="363"/>
      <c r="M288" s="317"/>
      <c r="N288" s="317"/>
      <c r="O288" s="366"/>
      <c r="P288" s="365"/>
      <c r="Q288" s="364"/>
      <c r="R288" s="364"/>
      <c r="S288" s="348"/>
    </row>
    <row r="289" spans="1:19" hidden="1" x14ac:dyDescent="0.25">
      <c r="A289" s="359">
        <v>0</v>
      </c>
      <c r="B289" s="49" t="s">
        <v>785</v>
      </c>
      <c r="C289" s="49"/>
      <c r="D289" s="49"/>
      <c r="E289" s="49"/>
      <c r="F289" s="49"/>
      <c r="G289" s="49"/>
      <c r="H289" s="49"/>
      <c r="I289" s="49"/>
      <c r="J289" s="316"/>
      <c r="K289" s="360"/>
      <c r="L289" s="363"/>
      <c r="M289" s="317"/>
      <c r="N289" s="317"/>
      <c r="O289" s="366"/>
      <c r="P289" s="365"/>
      <c r="Q289" s="364"/>
      <c r="R289" s="364"/>
      <c r="S289" s="348"/>
    </row>
    <row r="290" spans="1:19" hidden="1" x14ac:dyDescent="0.25">
      <c r="A290" s="359">
        <v>0</v>
      </c>
      <c r="B290" s="49" t="s">
        <v>786</v>
      </c>
      <c r="C290" s="49"/>
      <c r="D290" s="49"/>
      <c r="E290" s="49"/>
      <c r="F290" s="49"/>
      <c r="G290" s="49"/>
      <c r="H290" s="49"/>
      <c r="I290" s="49"/>
      <c r="J290" s="316"/>
      <c r="K290" s="360"/>
      <c r="L290" s="363"/>
      <c r="M290" s="317"/>
      <c r="N290" s="317"/>
      <c r="O290" s="366"/>
      <c r="P290" s="365"/>
      <c r="Q290" s="364"/>
      <c r="R290" s="364"/>
      <c r="S290" s="348"/>
    </row>
    <row r="291" spans="1:19" hidden="1" x14ac:dyDescent="0.25">
      <c r="A291" s="359">
        <v>0</v>
      </c>
      <c r="B291" s="49" t="s">
        <v>787</v>
      </c>
      <c r="C291" s="49"/>
      <c r="D291" s="49"/>
      <c r="E291" s="49"/>
      <c r="F291" s="49"/>
      <c r="G291" s="49"/>
      <c r="H291" s="49"/>
      <c r="I291" s="49"/>
      <c r="J291" s="316"/>
      <c r="K291" s="360"/>
      <c r="L291" s="363"/>
      <c r="M291" s="317"/>
      <c r="N291" s="317"/>
      <c r="O291" s="366"/>
      <c r="P291" s="365"/>
      <c r="Q291" s="364"/>
      <c r="R291" s="364"/>
      <c r="S291" s="348"/>
    </row>
    <row r="292" spans="1:19" hidden="1" x14ac:dyDescent="0.25">
      <c r="A292" s="359">
        <v>0</v>
      </c>
      <c r="B292" s="49" t="s">
        <v>788</v>
      </c>
      <c r="C292" s="49"/>
      <c r="D292" s="49"/>
      <c r="E292" s="49"/>
      <c r="F292" s="49"/>
      <c r="G292" s="49"/>
      <c r="H292" s="49"/>
      <c r="I292" s="49"/>
      <c r="J292" s="316"/>
      <c r="K292" s="360"/>
      <c r="L292" s="363"/>
      <c r="M292" s="317"/>
      <c r="N292" s="317"/>
      <c r="O292" s="366"/>
      <c r="P292" s="365"/>
      <c r="Q292" s="364"/>
      <c r="R292" s="364"/>
      <c r="S292" s="348"/>
    </row>
    <row r="293" spans="1:19" hidden="1" x14ac:dyDescent="0.25">
      <c r="A293" s="359">
        <v>0</v>
      </c>
      <c r="B293" s="49" t="s">
        <v>789</v>
      </c>
      <c r="C293" s="49"/>
      <c r="D293" s="49"/>
      <c r="E293" s="49"/>
      <c r="F293" s="49"/>
      <c r="G293" s="49"/>
      <c r="H293" s="49"/>
      <c r="I293" s="49"/>
      <c r="J293" s="316"/>
      <c r="K293" s="360"/>
      <c r="L293" s="363"/>
      <c r="M293" s="317"/>
      <c r="N293" s="317"/>
      <c r="O293" s="366"/>
      <c r="P293" s="365"/>
      <c r="Q293" s="364"/>
      <c r="R293" s="364"/>
      <c r="S293" s="348"/>
    </row>
    <row r="294" spans="1:19" hidden="1" x14ac:dyDescent="0.25">
      <c r="A294" s="359">
        <v>0</v>
      </c>
      <c r="B294" s="49" t="s">
        <v>790</v>
      </c>
      <c r="C294" s="49"/>
      <c r="D294" s="49"/>
      <c r="E294" s="49"/>
      <c r="F294" s="49"/>
      <c r="G294" s="49"/>
      <c r="H294" s="49"/>
      <c r="I294" s="49"/>
      <c r="J294" s="316"/>
      <c r="K294" s="316"/>
      <c r="L294" s="363"/>
      <c r="M294" s="317"/>
      <c r="N294" s="317"/>
      <c r="O294" s="322"/>
      <c r="P294" s="365"/>
      <c r="Q294" s="364"/>
      <c r="R294" s="364"/>
      <c r="S294" s="348"/>
    </row>
    <row r="295" spans="1:19" hidden="1" x14ac:dyDescent="0.25">
      <c r="A295" s="359">
        <v>0</v>
      </c>
      <c r="B295" s="49" t="s">
        <v>791</v>
      </c>
      <c r="C295" s="49"/>
      <c r="D295" s="49"/>
      <c r="E295" s="49"/>
      <c r="F295" s="49"/>
      <c r="G295" s="49"/>
      <c r="H295" s="49"/>
      <c r="I295" s="49"/>
      <c r="J295" s="316"/>
      <c r="K295" s="360"/>
      <c r="L295" s="363"/>
      <c r="M295" s="317"/>
      <c r="N295" s="317"/>
      <c r="O295" s="366"/>
      <c r="P295" s="365"/>
      <c r="Q295" s="364"/>
      <c r="R295" s="364"/>
      <c r="S295" s="348"/>
    </row>
    <row r="296" spans="1:19" hidden="1" x14ac:dyDescent="0.25">
      <c r="A296" s="359">
        <v>0</v>
      </c>
      <c r="B296" s="49" t="s">
        <v>792</v>
      </c>
      <c r="C296" s="49"/>
      <c r="D296" s="49"/>
      <c r="E296" s="49"/>
      <c r="F296" s="49"/>
      <c r="G296" s="49"/>
      <c r="H296" s="49"/>
      <c r="I296" s="49"/>
      <c r="J296" s="316"/>
      <c r="K296" s="360"/>
      <c r="L296" s="363"/>
      <c r="M296" s="317"/>
      <c r="N296" s="317"/>
      <c r="O296" s="366"/>
      <c r="P296" s="365"/>
      <c r="Q296" s="364"/>
      <c r="R296" s="364"/>
      <c r="S296" s="348"/>
    </row>
    <row r="297" spans="1:19" hidden="1" x14ac:dyDescent="0.25">
      <c r="A297" s="359">
        <v>0</v>
      </c>
      <c r="B297" s="49" t="s">
        <v>793</v>
      </c>
      <c r="C297" s="49"/>
      <c r="D297" s="49"/>
      <c r="E297" s="49"/>
      <c r="F297" s="49"/>
      <c r="G297" s="49"/>
      <c r="H297" s="49"/>
      <c r="I297" s="49"/>
      <c r="J297" s="316"/>
      <c r="K297" s="360"/>
      <c r="L297" s="363"/>
      <c r="M297" s="317"/>
      <c r="N297" s="317"/>
      <c r="O297" s="366"/>
      <c r="P297" s="365"/>
      <c r="Q297" s="364"/>
      <c r="R297" s="364"/>
      <c r="S297" s="348"/>
    </row>
    <row r="298" spans="1:19" hidden="1" x14ac:dyDescent="0.25">
      <c r="A298" s="359">
        <v>0</v>
      </c>
      <c r="B298" s="49" t="s">
        <v>794</v>
      </c>
      <c r="C298" s="49"/>
      <c r="D298" s="49"/>
      <c r="E298" s="49"/>
      <c r="F298" s="49"/>
      <c r="G298" s="49"/>
      <c r="H298" s="49"/>
      <c r="I298" s="49"/>
      <c r="J298" s="316"/>
      <c r="K298" s="360"/>
      <c r="L298" s="363"/>
      <c r="M298" s="317"/>
      <c r="N298" s="317"/>
      <c r="O298" s="366"/>
      <c r="P298" s="365"/>
      <c r="Q298" s="364"/>
      <c r="R298" s="364"/>
      <c r="S298" s="348"/>
    </row>
    <row r="299" spans="1:19" hidden="1" x14ac:dyDescent="0.25">
      <c r="A299" s="359">
        <v>0</v>
      </c>
      <c r="B299" s="49" t="s">
        <v>795</v>
      </c>
      <c r="C299" s="49"/>
      <c r="D299" s="49"/>
      <c r="E299" s="49"/>
      <c r="F299" s="49"/>
      <c r="G299" s="49"/>
      <c r="H299" s="49"/>
      <c r="I299" s="49"/>
      <c r="J299" s="316"/>
      <c r="K299" s="360"/>
      <c r="L299" s="363"/>
      <c r="M299" s="317"/>
      <c r="N299" s="317"/>
      <c r="O299" s="366"/>
      <c r="P299" s="365"/>
      <c r="Q299" s="364"/>
      <c r="R299" s="364"/>
      <c r="S299" s="348"/>
    </row>
    <row r="300" spans="1:19" hidden="1" x14ac:dyDescent="0.25">
      <c r="A300" s="359">
        <v>0</v>
      </c>
      <c r="B300" s="49" t="s">
        <v>796</v>
      </c>
      <c r="C300" s="49"/>
      <c r="D300" s="49"/>
      <c r="E300" s="49"/>
      <c r="F300" s="49"/>
      <c r="G300" s="49"/>
      <c r="H300" s="49"/>
      <c r="I300" s="49"/>
      <c r="J300" s="316"/>
      <c r="K300" s="360"/>
      <c r="L300" s="363"/>
      <c r="M300" s="317"/>
      <c r="N300" s="317"/>
      <c r="O300" s="366"/>
      <c r="P300" s="365"/>
      <c r="Q300" s="364"/>
      <c r="R300" s="364"/>
      <c r="S300" s="348"/>
    </row>
    <row r="301" spans="1:19" hidden="1" x14ac:dyDescent="0.25">
      <c r="A301" s="359">
        <v>0</v>
      </c>
      <c r="B301" s="49" t="s">
        <v>797</v>
      </c>
      <c r="C301" s="49"/>
      <c r="D301" s="49"/>
      <c r="E301" s="362"/>
      <c r="F301" s="378"/>
      <c r="G301" s="49"/>
      <c r="H301" s="49"/>
      <c r="I301" s="49"/>
      <c r="J301" s="316"/>
      <c r="K301" s="360"/>
      <c r="L301" s="363"/>
      <c r="M301" s="317"/>
      <c r="N301" s="317"/>
      <c r="O301" s="366"/>
      <c r="P301" s="365"/>
      <c r="Q301" s="364"/>
      <c r="R301" s="364"/>
      <c r="S301" s="348"/>
    </row>
    <row r="302" spans="1:19" hidden="1" x14ac:dyDescent="0.25">
      <c r="A302" s="359">
        <v>0</v>
      </c>
      <c r="B302" s="49" t="s">
        <v>798</v>
      </c>
      <c r="C302" s="49"/>
      <c r="D302" s="49"/>
      <c r="E302" s="362"/>
      <c r="F302" s="362"/>
      <c r="G302" s="49"/>
      <c r="H302" s="49"/>
      <c r="I302" s="49"/>
      <c r="J302" s="316"/>
      <c r="K302" s="360"/>
      <c r="L302" s="363"/>
      <c r="M302" s="317"/>
      <c r="N302" s="317"/>
      <c r="O302" s="366"/>
      <c r="P302" s="365"/>
      <c r="Q302" s="364"/>
      <c r="R302" s="364"/>
      <c r="S302" s="348"/>
    </row>
    <row r="303" spans="1:19" hidden="1" x14ac:dyDescent="0.25">
      <c r="A303" s="359">
        <v>0</v>
      </c>
      <c r="B303" s="49" t="s">
        <v>799</v>
      </c>
      <c r="C303" s="49"/>
      <c r="D303" s="49"/>
      <c r="E303" s="362"/>
      <c r="F303" s="362"/>
      <c r="G303" s="49"/>
      <c r="H303" s="49"/>
      <c r="I303" s="49"/>
      <c r="J303" s="316"/>
      <c r="K303" s="360"/>
      <c r="L303" s="363"/>
      <c r="M303" s="317"/>
      <c r="N303" s="317"/>
      <c r="O303" s="366"/>
      <c r="P303" s="365"/>
      <c r="Q303" s="364"/>
      <c r="R303" s="364"/>
      <c r="S303" s="348"/>
    </row>
    <row r="304" spans="1:19" hidden="1" x14ac:dyDescent="0.25">
      <c r="A304" s="359">
        <v>0</v>
      </c>
      <c r="B304" s="49" t="s">
        <v>800</v>
      </c>
      <c r="C304" s="49"/>
      <c r="D304" s="49"/>
      <c r="E304" s="362"/>
      <c r="F304" s="362"/>
      <c r="G304" s="49"/>
      <c r="H304" s="49"/>
      <c r="I304" s="49"/>
      <c r="J304" s="316"/>
      <c r="K304" s="360"/>
      <c r="L304" s="363"/>
      <c r="M304" s="317"/>
      <c r="N304" s="317"/>
      <c r="O304" s="366"/>
      <c r="P304" s="365"/>
      <c r="Q304" s="364"/>
      <c r="R304" s="364"/>
      <c r="S304" s="348"/>
    </row>
    <row r="305" spans="1:19" hidden="1" x14ac:dyDescent="0.25">
      <c r="A305" s="359">
        <v>0</v>
      </c>
      <c r="B305" s="49" t="s">
        <v>801</v>
      </c>
      <c r="C305" s="49"/>
      <c r="D305" s="49"/>
      <c r="E305" s="362"/>
      <c r="F305" s="378"/>
      <c r="G305" s="49"/>
      <c r="H305" s="49"/>
      <c r="I305" s="49"/>
      <c r="J305" s="316"/>
      <c r="K305" s="360"/>
      <c r="L305" s="363"/>
      <c r="M305" s="317"/>
      <c r="N305" s="317"/>
      <c r="O305" s="366"/>
      <c r="P305" s="365"/>
      <c r="Q305" s="364"/>
      <c r="R305" s="364"/>
      <c r="S305" s="348"/>
    </row>
    <row r="306" spans="1:19" hidden="1" x14ac:dyDescent="0.25">
      <c r="A306" s="359">
        <v>0</v>
      </c>
      <c r="B306" s="49" t="s">
        <v>802</v>
      </c>
      <c r="C306" s="49"/>
      <c r="D306" s="49"/>
      <c r="E306" s="362"/>
      <c r="F306" s="378"/>
      <c r="G306" s="49"/>
      <c r="H306" s="49"/>
      <c r="I306" s="49"/>
      <c r="J306" s="316"/>
      <c r="K306" s="360"/>
      <c r="L306" s="363"/>
      <c r="M306" s="317"/>
      <c r="N306" s="317"/>
      <c r="O306" s="366"/>
      <c r="P306" s="365"/>
      <c r="Q306" s="364"/>
      <c r="R306" s="364"/>
      <c r="S306" s="348"/>
    </row>
    <row r="307" spans="1:19" hidden="1" x14ac:dyDescent="0.25">
      <c r="A307" s="359">
        <v>0</v>
      </c>
      <c r="B307" s="49" t="s">
        <v>803</v>
      </c>
      <c r="C307" s="49"/>
      <c r="D307" s="49"/>
      <c r="E307" s="362"/>
      <c r="F307" s="378"/>
      <c r="G307" s="49"/>
      <c r="H307" s="49"/>
      <c r="I307" s="49"/>
      <c r="J307" s="316"/>
      <c r="K307" s="360"/>
      <c r="L307" s="363"/>
      <c r="M307" s="317"/>
      <c r="N307" s="317"/>
      <c r="O307" s="366"/>
      <c r="P307" s="365"/>
      <c r="Q307" s="364"/>
      <c r="R307" s="364"/>
      <c r="S307" s="348"/>
    </row>
    <row r="308" spans="1:19" hidden="1" x14ac:dyDescent="0.25">
      <c r="A308" s="359">
        <v>0</v>
      </c>
      <c r="B308" s="49" t="s">
        <v>804</v>
      </c>
      <c r="C308" s="49"/>
      <c r="D308" s="49"/>
      <c r="E308" s="362"/>
      <c r="F308" s="378"/>
      <c r="G308" s="49"/>
      <c r="H308" s="49"/>
      <c r="I308" s="49"/>
      <c r="J308" s="316"/>
      <c r="K308" s="360"/>
      <c r="L308" s="363"/>
      <c r="M308" s="317"/>
      <c r="N308" s="317"/>
      <c r="O308" s="366"/>
      <c r="P308" s="365"/>
      <c r="Q308" s="364"/>
      <c r="R308" s="364"/>
      <c r="S308" s="348"/>
    </row>
    <row r="309" spans="1:19" hidden="1" x14ac:dyDescent="0.25">
      <c r="A309" s="359">
        <v>0</v>
      </c>
      <c r="B309" s="49" t="s">
        <v>805</v>
      </c>
      <c r="C309" s="49"/>
      <c r="D309" s="49"/>
      <c r="E309" s="362"/>
      <c r="F309" s="378"/>
      <c r="G309" s="49"/>
      <c r="H309" s="49"/>
      <c r="I309" s="49"/>
      <c r="J309" s="316"/>
      <c r="K309" s="360"/>
      <c r="L309" s="363"/>
      <c r="M309" s="317"/>
      <c r="N309" s="317"/>
      <c r="O309" s="366"/>
      <c r="P309" s="365"/>
      <c r="Q309" s="364"/>
      <c r="R309" s="364"/>
      <c r="S309" s="348"/>
    </row>
    <row r="310" spans="1:19" hidden="1" x14ac:dyDescent="0.25">
      <c r="A310" s="359">
        <v>0</v>
      </c>
      <c r="B310" s="49" t="s">
        <v>806</v>
      </c>
      <c r="C310" s="49"/>
      <c r="D310" s="49"/>
      <c r="E310" s="362"/>
      <c r="F310" s="378"/>
      <c r="G310" s="49"/>
      <c r="H310" s="49"/>
      <c r="I310" s="49"/>
      <c r="J310" s="316"/>
      <c r="K310" s="360"/>
      <c r="L310" s="363"/>
      <c r="M310" s="317"/>
      <c r="N310" s="317"/>
      <c r="O310" s="366"/>
      <c r="P310" s="365"/>
      <c r="Q310" s="364"/>
      <c r="R310" s="364"/>
      <c r="S310" s="348"/>
    </row>
    <row r="311" spans="1:19" hidden="1" x14ac:dyDescent="0.25">
      <c r="A311" s="359">
        <v>0</v>
      </c>
      <c r="B311" s="49" t="s">
        <v>807</v>
      </c>
      <c r="C311" s="49"/>
      <c r="D311" s="49"/>
      <c r="E311" s="362"/>
      <c r="F311" s="378"/>
      <c r="G311" s="49"/>
      <c r="H311" s="49"/>
      <c r="I311" s="49"/>
      <c r="J311" s="316"/>
      <c r="K311" s="360"/>
      <c r="L311" s="363"/>
      <c r="M311" s="317"/>
      <c r="N311" s="317"/>
      <c r="O311" s="366"/>
      <c r="P311" s="365"/>
      <c r="Q311" s="364"/>
      <c r="R311" s="364"/>
      <c r="S311" s="348"/>
    </row>
    <row r="312" spans="1:19" hidden="1" x14ac:dyDescent="0.25">
      <c r="A312" s="359">
        <v>0</v>
      </c>
      <c r="B312" s="49" t="s">
        <v>808</v>
      </c>
      <c r="C312" s="49"/>
      <c r="D312" s="49"/>
      <c r="E312" s="362"/>
      <c r="F312" s="378"/>
      <c r="G312" s="49"/>
      <c r="H312" s="49"/>
      <c r="I312" s="49"/>
      <c r="J312" s="316"/>
      <c r="K312" s="360"/>
      <c r="L312" s="363"/>
      <c r="M312" s="317"/>
      <c r="N312" s="317"/>
      <c r="O312" s="366"/>
      <c r="P312" s="365"/>
      <c r="Q312" s="364"/>
      <c r="R312" s="364"/>
      <c r="S312" s="348"/>
    </row>
    <row r="313" spans="1:19" hidden="1" x14ac:dyDescent="0.25">
      <c r="A313" s="359">
        <v>0</v>
      </c>
      <c r="B313" s="49" t="s">
        <v>809</v>
      </c>
      <c r="C313" s="49"/>
      <c r="D313" s="49"/>
      <c r="E313" s="362"/>
      <c r="F313" s="378"/>
      <c r="G313" s="49"/>
      <c r="H313" s="49"/>
      <c r="I313" s="49"/>
      <c r="J313" s="316"/>
      <c r="K313" s="360"/>
      <c r="L313" s="363"/>
      <c r="M313" s="317"/>
      <c r="N313" s="317"/>
      <c r="O313" s="366"/>
      <c r="P313" s="365"/>
      <c r="Q313" s="364"/>
      <c r="R313" s="364"/>
      <c r="S313" s="348"/>
    </row>
    <row r="314" spans="1:19" hidden="1" x14ac:dyDescent="0.25">
      <c r="A314" s="359">
        <v>0</v>
      </c>
      <c r="B314" s="49" t="s">
        <v>810</v>
      </c>
      <c r="C314" s="49"/>
      <c r="D314" s="49"/>
      <c r="E314" s="362"/>
      <c r="F314" s="378"/>
      <c r="G314" s="49"/>
      <c r="H314" s="49"/>
      <c r="I314" s="49"/>
      <c r="J314" s="316"/>
      <c r="K314" s="360"/>
      <c r="L314" s="363"/>
      <c r="M314" s="317"/>
      <c r="N314" s="317"/>
      <c r="O314" s="366"/>
      <c r="P314" s="365"/>
      <c r="Q314" s="364"/>
      <c r="R314" s="364"/>
      <c r="S314" s="348"/>
    </row>
    <row r="315" spans="1:19" hidden="1" x14ac:dyDescent="0.25">
      <c r="A315" s="359">
        <v>0</v>
      </c>
      <c r="B315" s="49" t="s">
        <v>811</v>
      </c>
      <c r="C315" s="49"/>
      <c r="D315" s="49"/>
      <c r="E315" s="362"/>
      <c r="F315" s="378"/>
      <c r="G315" s="49"/>
      <c r="H315" s="49"/>
      <c r="I315" s="49"/>
      <c r="J315" s="316"/>
      <c r="K315" s="360"/>
      <c r="L315" s="363"/>
      <c r="M315" s="317"/>
      <c r="N315" s="317"/>
      <c r="O315" s="366"/>
      <c r="P315" s="365"/>
      <c r="Q315" s="364"/>
      <c r="R315" s="364"/>
      <c r="S315" s="348"/>
    </row>
    <row r="316" spans="1:19" hidden="1" x14ac:dyDescent="0.25">
      <c r="A316" s="359">
        <v>0</v>
      </c>
      <c r="B316" s="49" t="s">
        <v>812</v>
      </c>
      <c r="C316" s="49"/>
      <c r="D316" s="49"/>
      <c r="E316" s="362"/>
      <c r="F316" s="378"/>
      <c r="G316" s="49"/>
      <c r="H316" s="49"/>
      <c r="I316" s="49"/>
      <c r="J316" s="316"/>
      <c r="K316" s="360"/>
      <c r="L316" s="363"/>
      <c r="M316" s="317"/>
      <c r="N316" s="317"/>
      <c r="O316" s="366"/>
      <c r="P316" s="365"/>
      <c r="Q316" s="364"/>
      <c r="R316" s="364"/>
      <c r="S316" s="348"/>
    </row>
    <row r="317" spans="1:19" hidden="1" x14ac:dyDescent="0.25">
      <c r="A317" s="359">
        <v>0</v>
      </c>
      <c r="B317" s="49" t="s">
        <v>813</v>
      </c>
      <c r="C317" s="49"/>
      <c r="D317" s="49"/>
      <c r="E317" s="362"/>
      <c r="F317" s="378"/>
      <c r="G317" s="49"/>
      <c r="H317" s="49"/>
      <c r="I317" s="49"/>
      <c r="J317" s="316"/>
      <c r="K317" s="360"/>
      <c r="L317" s="363"/>
      <c r="M317" s="317"/>
      <c r="N317" s="317"/>
      <c r="O317" s="366"/>
      <c r="P317" s="365"/>
      <c r="Q317" s="364"/>
      <c r="R317" s="364"/>
      <c r="S317" s="348"/>
    </row>
    <row r="318" spans="1:19" hidden="1" x14ac:dyDescent="0.25">
      <c r="A318" s="359">
        <v>0</v>
      </c>
      <c r="B318" s="49" t="s">
        <v>814</v>
      </c>
      <c r="C318" s="49"/>
      <c r="D318" s="49"/>
      <c r="E318" s="362"/>
      <c r="F318" s="378"/>
      <c r="G318" s="49"/>
      <c r="H318" s="49"/>
      <c r="I318" s="49"/>
      <c r="J318" s="316"/>
      <c r="K318" s="360"/>
      <c r="L318" s="363"/>
      <c r="M318" s="317"/>
      <c r="N318" s="317"/>
      <c r="O318" s="366"/>
      <c r="P318" s="365"/>
      <c r="Q318" s="364"/>
      <c r="R318" s="364"/>
      <c r="S318" s="348"/>
    </row>
    <row r="319" spans="1:19" hidden="1" x14ac:dyDescent="0.25">
      <c r="A319" s="359">
        <v>0</v>
      </c>
      <c r="B319" s="49" t="s">
        <v>815</v>
      </c>
      <c r="C319" s="49"/>
      <c r="D319" s="49"/>
      <c r="E319" s="362"/>
      <c r="F319" s="378"/>
      <c r="G319" s="49"/>
      <c r="H319" s="49"/>
      <c r="I319" s="49"/>
      <c r="J319" s="316"/>
      <c r="K319" s="360"/>
      <c r="L319" s="363"/>
      <c r="M319" s="317"/>
      <c r="N319" s="317"/>
      <c r="O319" s="366"/>
      <c r="P319" s="365"/>
      <c r="Q319" s="364"/>
      <c r="R319" s="364"/>
      <c r="S319" s="348"/>
    </row>
    <row r="320" spans="1:19" hidden="1" x14ac:dyDescent="0.25">
      <c r="A320" s="359">
        <v>0</v>
      </c>
      <c r="B320" s="49" t="s">
        <v>816</v>
      </c>
      <c r="C320" s="49"/>
      <c r="D320" s="49"/>
      <c r="E320" s="362"/>
      <c r="F320" s="378"/>
      <c r="G320" s="49"/>
      <c r="H320" s="49"/>
      <c r="I320" s="49"/>
      <c r="J320" s="316"/>
      <c r="K320" s="360"/>
      <c r="L320" s="363"/>
      <c r="M320" s="317"/>
      <c r="N320" s="317"/>
      <c r="O320" s="366"/>
      <c r="P320" s="365"/>
      <c r="Q320" s="364"/>
      <c r="R320" s="364"/>
      <c r="S320" s="348"/>
    </row>
    <row r="321" spans="1:19" hidden="1" x14ac:dyDescent="0.25">
      <c r="A321" s="359">
        <v>0</v>
      </c>
      <c r="B321" s="49" t="s">
        <v>817</v>
      </c>
      <c r="C321" s="49"/>
      <c r="D321" s="49"/>
      <c r="E321" s="362"/>
      <c r="F321" s="378"/>
      <c r="G321" s="49"/>
      <c r="H321" s="49"/>
      <c r="I321" s="49"/>
      <c r="J321" s="316"/>
      <c r="K321" s="360"/>
      <c r="L321" s="322"/>
      <c r="M321" s="317"/>
      <c r="N321" s="317"/>
      <c r="O321" s="366"/>
      <c r="P321" s="365"/>
      <c r="Q321" s="364"/>
      <c r="R321" s="364"/>
      <c r="S321" s="348"/>
    </row>
    <row r="322" spans="1:19" hidden="1" x14ac:dyDescent="0.25">
      <c r="A322" s="359">
        <v>0</v>
      </c>
      <c r="B322" s="49" t="s">
        <v>818</v>
      </c>
      <c r="C322" s="49"/>
      <c r="D322" s="49"/>
      <c r="E322" s="362"/>
      <c r="F322" s="378"/>
      <c r="G322" s="49"/>
      <c r="H322" s="49"/>
      <c r="I322" s="49"/>
      <c r="J322" s="316"/>
      <c r="K322" s="360"/>
      <c r="L322" s="363"/>
      <c r="M322" s="317"/>
      <c r="N322" s="317"/>
      <c r="O322" s="366"/>
      <c r="P322" s="365"/>
      <c r="Q322" s="364"/>
      <c r="R322" s="364"/>
      <c r="S322" s="348"/>
    </row>
    <row r="323" spans="1:19" hidden="1" x14ac:dyDescent="0.25">
      <c r="A323" s="359">
        <v>0</v>
      </c>
      <c r="B323" s="49" t="s">
        <v>819</v>
      </c>
      <c r="C323" s="49"/>
      <c r="D323" s="49"/>
      <c r="E323" s="362"/>
      <c r="F323" s="378"/>
      <c r="G323" s="49"/>
      <c r="H323" s="49"/>
      <c r="I323" s="49"/>
      <c r="J323" s="316"/>
      <c r="K323" s="360"/>
      <c r="L323" s="363"/>
      <c r="M323" s="317"/>
      <c r="N323" s="317"/>
      <c r="O323" s="366"/>
      <c r="P323" s="365"/>
      <c r="Q323" s="364"/>
      <c r="R323" s="364"/>
      <c r="S323" s="348"/>
    </row>
    <row r="324" spans="1:19" hidden="1" x14ac:dyDescent="0.25">
      <c r="A324" s="359">
        <v>0</v>
      </c>
      <c r="B324" s="49" t="s">
        <v>820</v>
      </c>
      <c r="C324" s="49"/>
      <c r="D324" s="49"/>
      <c r="E324" s="362"/>
      <c r="F324" s="378"/>
      <c r="G324" s="49"/>
      <c r="H324" s="49"/>
      <c r="I324" s="49"/>
      <c r="J324" s="316"/>
      <c r="K324" s="360"/>
      <c r="L324" s="363"/>
      <c r="M324" s="317"/>
      <c r="N324" s="317"/>
      <c r="O324" s="366"/>
      <c r="P324" s="365"/>
      <c r="Q324" s="364"/>
      <c r="R324" s="364"/>
      <c r="S324" s="348"/>
    </row>
    <row r="325" spans="1:19" hidden="1" x14ac:dyDescent="0.25">
      <c r="A325" s="359">
        <v>0</v>
      </c>
      <c r="B325" s="49" t="s">
        <v>821</v>
      </c>
      <c r="C325" s="49"/>
      <c r="D325" s="49"/>
      <c r="E325" s="362"/>
      <c r="F325" s="378"/>
      <c r="G325" s="49"/>
      <c r="H325" s="49"/>
      <c r="I325" s="49"/>
      <c r="J325" s="316"/>
      <c r="K325" s="360"/>
      <c r="L325" s="363"/>
      <c r="M325" s="317"/>
      <c r="N325" s="317"/>
      <c r="O325" s="366"/>
      <c r="P325" s="365"/>
      <c r="Q325" s="364"/>
      <c r="R325" s="364"/>
      <c r="S325" s="348"/>
    </row>
    <row r="326" spans="1:19" hidden="1" x14ac:dyDescent="0.25">
      <c r="A326" s="359">
        <v>0</v>
      </c>
      <c r="B326" s="49" t="s">
        <v>822</v>
      </c>
      <c r="C326" s="49"/>
      <c r="D326" s="49"/>
      <c r="E326" s="362"/>
      <c r="F326" s="378"/>
      <c r="G326" s="49"/>
      <c r="H326" s="49"/>
      <c r="I326" s="49"/>
      <c r="J326" s="316"/>
      <c r="K326" s="360"/>
      <c r="L326" s="363"/>
      <c r="M326" s="317"/>
      <c r="N326" s="317"/>
      <c r="O326" s="366"/>
      <c r="P326" s="365"/>
      <c r="Q326" s="364"/>
      <c r="R326" s="364"/>
      <c r="S326" s="348"/>
    </row>
    <row r="327" spans="1:19" hidden="1" x14ac:dyDescent="0.25">
      <c r="A327" s="359">
        <v>0</v>
      </c>
      <c r="B327" s="49" t="s">
        <v>823</v>
      </c>
      <c r="C327" s="49"/>
      <c r="D327" s="49"/>
      <c r="E327" s="362"/>
      <c r="F327" s="378"/>
      <c r="G327" s="49"/>
      <c r="H327" s="49"/>
      <c r="I327" s="49"/>
      <c r="J327" s="316"/>
      <c r="K327" s="360"/>
      <c r="L327" s="363"/>
      <c r="M327" s="317"/>
      <c r="N327" s="317"/>
      <c r="O327" s="366"/>
      <c r="P327" s="365"/>
      <c r="Q327" s="364"/>
      <c r="R327" s="364"/>
      <c r="S327" s="348"/>
    </row>
    <row r="328" spans="1:19" hidden="1" x14ac:dyDescent="0.25">
      <c r="A328" s="359">
        <v>0</v>
      </c>
      <c r="B328" s="49" t="s">
        <v>824</v>
      </c>
      <c r="C328" s="49"/>
      <c r="D328" s="49"/>
      <c r="E328" s="362"/>
      <c r="F328" s="378"/>
      <c r="G328" s="49"/>
      <c r="H328" s="49"/>
      <c r="I328" s="49"/>
      <c r="J328" s="316"/>
      <c r="K328" s="360"/>
      <c r="L328" s="363"/>
      <c r="M328" s="317"/>
      <c r="N328" s="317"/>
      <c r="O328" s="366"/>
      <c r="P328" s="365"/>
      <c r="Q328" s="364"/>
      <c r="R328" s="364"/>
      <c r="S328" s="348"/>
    </row>
    <row r="329" spans="1:19" hidden="1" x14ac:dyDescent="0.25">
      <c r="A329" s="359">
        <v>0</v>
      </c>
      <c r="B329" s="49" t="s">
        <v>825</v>
      </c>
      <c r="C329" s="49"/>
      <c r="D329" s="49"/>
      <c r="E329" s="362"/>
      <c r="F329" s="378"/>
      <c r="G329" s="49"/>
      <c r="H329" s="49"/>
      <c r="I329" s="49"/>
      <c r="J329" s="316"/>
      <c r="K329" s="360"/>
      <c r="L329" s="363"/>
      <c r="M329" s="317"/>
      <c r="N329" s="317"/>
      <c r="O329" s="366"/>
      <c r="P329" s="365"/>
      <c r="Q329" s="364"/>
      <c r="R329" s="364"/>
      <c r="S329" s="348"/>
    </row>
    <row r="330" spans="1:19" hidden="1" x14ac:dyDescent="0.25">
      <c r="A330" s="359">
        <v>0</v>
      </c>
      <c r="B330" s="49" t="s">
        <v>826</v>
      </c>
      <c r="C330" s="49"/>
      <c r="D330" s="49"/>
      <c r="E330" s="362"/>
      <c r="F330" s="378"/>
      <c r="G330" s="49"/>
      <c r="H330" s="49"/>
      <c r="I330" s="49"/>
      <c r="J330" s="316"/>
      <c r="K330" s="360"/>
      <c r="L330" s="363"/>
      <c r="M330" s="317"/>
      <c r="N330" s="317"/>
      <c r="O330" s="366"/>
      <c r="P330" s="365"/>
      <c r="Q330" s="364"/>
      <c r="R330" s="364"/>
      <c r="S330" s="348"/>
    </row>
    <row r="331" spans="1:19" hidden="1" x14ac:dyDescent="0.25">
      <c r="A331" s="359">
        <v>0</v>
      </c>
      <c r="B331" s="49" t="s">
        <v>827</v>
      </c>
      <c r="C331" s="49"/>
      <c r="D331" s="49"/>
      <c r="E331" s="362"/>
      <c r="F331" s="378"/>
      <c r="G331" s="49"/>
      <c r="H331" s="49"/>
      <c r="I331" s="49"/>
      <c r="J331" s="316"/>
      <c r="K331" s="360"/>
      <c r="L331" s="363"/>
      <c r="M331" s="317"/>
      <c r="N331" s="317"/>
      <c r="O331" s="366"/>
      <c r="P331" s="365"/>
      <c r="Q331" s="364"/>
      <c r="R331" s="364"/>
      <c r="S331" s="348"/>
    </row>
    <row r="332" spans="1:19" hidden="1" x14ac:dyDescent="0.25">
      <c r="A332" s="359">
        <v>0</v>
      </c>
      <c r="B332" s="49" t="s">
        <v>828</v>
      </c>
      <c r="C332" s="49"/>
      <c r="D332" s="49"/>
      <c r="E332" s="362"/>
      <c r="F332" s="378"/>
      <c r="G332" s="49"/>
      <c r="H332" s="49"/>
      <c r="I332" s="49"/>
      <c r="J332" s="316"/>
      <c r="K332" s="360"/>
      <c r="L332" s="363"/>
      <c r="M332" s="317"/>
      <c r="N332" s="317"/>
      <c r="O332" s="366"/>
      <c r="P332" s="365"/>
      <c r="Q332" s="364"/>
      <c r="R332" s="364"/>
      <c r="S332" s="348"/>
    </row>
    <row r="333" spans="1:19" hidden="1" x14ac:dyDescent="0.25">
      <c r="A333" s="359">
        <v>0</v>
      </c>
      <c r="B333" s="49" t="s">
        <v>829</v>
      </c>
      <c r="C333" s="49"/>
      <c r="D333" s="49"/>
      <c r="E333" s="362"/>
      <c r="F333" s="378"/>
      <c r="G333" s="49"/>
      <c r="H333" s="49"/>
      <c r="I333" s="49"/>
      <c r="J333" s="316"/>
      <c r="K333" s="360"/>
      <c r="L333" s="363"/>
      <c r="M333" s="317"/>
      <c r="N333" s="317"/>
      <c r="O333" s="366"/>
      <c r="P333" s="365"/>
      <c r="Q333" s="364"/>
      <c r="R333" s="364"/>
      <c r="S333" s="348"/>
    </row>
    <row r="334" spans="1:19" hidden="1" x14ac:dyDescent="0.25">
      <c r="A334" s="359">
        <v>0</v>
      </c>
      <c r="B334" s="49" t="s">
        <v>830</v>
      </c>
      <c r="C334" s="49"/>
      <c r="D334" s="49"/>
      <c r="E334" s="49"/>
      <c r="F334" s="378"/>
      <c r="G334" s="49"/>
      <c r="H334" s="49"/>
      <c r="I334" s="49"/>
      <c r="J334" s="316"/>
      <c r="K334" s="360"/>
      <c r="L334" s="363"/>
      <c r="M334" s="317"/>
      <c r="N334" s="317"/>
      <c r="O334" s="366"/>
      <c r="P334" s="365"/>
      <c r="Q334" s="364"/>
      <c r="R334" s="364"/>
      <c r="S334" s="348"/>
    </row>
    <row r="335" spans="1:19" hidden="1" x14ac:dyDescent="0.25">
      <c r="A335" s="359">
        <v>0</v>
      </c>
      <c r="B335" s="49" t="s">
        <v>831</v>
      </c>
      <c r="C335" s="49"/>
      <c r="D335" s="49"/>
      <c r="E335" s="362"/>
      <c r="F335" s="378"/>
      <c r="G335" s="49"/>
      <c r="H335" s="49"/>
      <c r="I335" s="49"/>
      <c r="J335" s="316"/>
      <c r="K335" s="360"/>
      <c r="L335" s="363"/>
      <c r="M335" s="317"/>
      <c r="N335" s="317"/>
      <c r="O335" s="366"/>
      <c r="P335" s="365"/>
      <c r="Q335" s="364"/>
      <c r="R335" s="364"/>
      <c r="S335" s="348"/>
    </row>
    <row r="336" spans="1:19" hidden="1" x14ac:dyDescent="0.25">
      <c r="A336" s="359">
        <v>0</v>
      </c>
      <c r="B336" s="49" t="s">
        <v>832</v>
      </c>
      <c r="C336" s="49"/>
      <c r="D336" s="49"/>
      <c r="E336" s="362"/>
      <c r="F336" s="378"/>
      <c r="G336" s="49"/>
      <c r="H336" s="49"/>
      <c r="I336" s="49"/>
      <c r="J336" s="316"/>
      <c r="K336" s="360"/>
      <c r="L336" s="363"/>
      <c r="M336" s="317"/>
      <c r="N336" s="317"/>
      <c r="O336" s="366"/>
      <c r="P336" s="365"/>
      <c r="Q336" s="364"/>
      <c r="R336" s="364"/>
      <c r="S336" s="348"/>
    </row>
    <row r="337" spans="1:19" hidden="1" x14ac:dyDescent="0.25">
      <c r="A337" s="359">
        <v>0</v>
      </c>
      <c r="B337" s="49" t="s">
        <v>833</v>
      </c>
      <c r="C337" s="49"/>
      <c r="D337" s="49"/>
      <c r="E337" s="49"/>
      <c r="F337" s="378"/>
      <c r="G337" s="49"/>
      <c r="H337" s="49"/>
      <c r="I337" s="49"/>
      <c r="J337" s="316"/>
      <c r="K337" s="360"/>
      <c r="L337" s="363"/>
      <c r="M337" s="317"/>
      <c r="N337" s="317"/>
      <c r="O337" s="366"/>
      <c r="P337" s="365"/>
      <c r="Q337" s="364"/>
      <c r="R337" s="364"/>
      <c r="S337" s="348"/>
    </row>
    <row r="338" spans="1:19" hidden="1" x14ac:dyDescent="0.25">
      <c r="A338" s="359">
        <v>0</v>
      </c>
      <c r="B338" s="49" t="s">
        <v>834</v>
      </c>
      <c r="C338" s="49"/>
      <c r="D338" s="49"/>
      <c r="E338" s="362"/>
      <c r="F338" s="378"/>
      <c r="G338" s="49"/>
      <c r="H338" s="49"/>
      <c r="I338" s="49"/>
      <c r="J338" s="316"/>
      <c r="K338" s="360"/>
      <c r="L338" s="363"/>
      <c r="M338" s="317"/>
      <c r="N338" s="317"/>
      <c r="O338" s="366"/>
      <c r="P338" s="365"/>
      <c r="Q338" s="364"/>
      <c r="R338" s="364"/>
      <c r="S338" s="348"/>
    </row>
    <row r="339" spans="1:19" hidden="1" x14ac:dyDescent="0.25">
      <c r="A339" s="359">
        <v>0</v>
      </c>
      <c r="B339" s="49" t="s">
        <v>835</v>
      </c>
      <c r="C339" s="49"/>
      <c r="D339" s="49"/>
      <c r="E339" s="362"/>
      <c r="F339" s="378"/>
      <c r="G339" s="49"/>
      <c r="H339" s="49"/>
      <c r="I339" s="49"/>
      <c r="J339" s="316"/>
      <c r="K339" s="360"/>
      <c r="L339" s="363"/>
      <c r="M339" s="317"/>
      <c r="N339" s="317"/>
      <c r="O339" s="366"/>
      <c r="P339" s="365"/>
      <c r="Q339" s="364"/>
      <c r="R339" s="364"/>
      <c r="S339" s="348"/>
    </row>
    <row r="340" spans="1:19" hidden="1" x14ac:dyDescent="0.25">
      <c r="A340" s="359">
        <v>0</v>
      </c>
      <c r="B340" s="49" t="s">
        <v>836</v>
      </c>
      <c r="C340" s="49"/>
      <c r="D340" s="49"/>
      <c r="E340" s="49"/>
      <c r="F340" s="378"/>
      <c r="G340" s="49"/>
      <c r="H340" s="49"/>
      <c r="I340" s="49"/>
      <c r="J340" s="316"/>
      <c r="K340" s="360"/>
      <c r="L340" s="363"/>
      <c r="M340" s="317"/>
      <c r="N340" s="317"/>
      <c r="O340" s="366"/>
      <c r="P340" s="365"/>
      <c r="Q340" s="364"/>
      <c r="R340" s="364"/>
      <c r="S340" s="348"/>
    </row>
    <row r="341" spans="1:19" hidden="1" x14ac:dyDescent="0.25">
      <c r="A341" s="359">
        <v>0</v>
      </c>
      <c r="B341" s="49" t="s">
        <v>837</v>
      </c>
      <c r="C341" s="49"/>
      <c r="D341" s="49"/>
      <c r="E341" s="362"/>
      <c r="F341" s="378"/>
      <c r="G341" s="49"/>
      <c r="H341" s="49"/>
      <c r="I341" s="49"/>
      <c r="J341" s="316"/>
      <c r="K341" s="360"/>
      <c r="L341" s="363"/>
      <c r="M341" s="317"/>
      <c r="N341" s="317"/>
      <c r="O341" s="366"/>
      <c r="P341" s="365"/>
      <c r="Q341" s="364"/>
      <c r="R341" s="364"/>
      <c r="S341" s="348"/>
    </row>
    <row r="342" spans="1:19" hidden="1" x14ac:dyDescent="0.25">
      <c r="A342" s="359">
        <v>0</v>
      </c>
      <c r="B342" s="49" t="s">
        <v>838</v>
      </c>
      <c r="C342" s="49"/>
      <c r="D342" s="49"/>
      <c r="E342" s="362"/>
      <c r="F342" s="378"/>
      <c r="G342" s="49"/>
      <c r="H342" s="49"/>
      <c r="I342" s="49"/>
      <c r="J342" s="316"/>
      <c r="K342" s="360"/>
      <c r="L342" s="363"/>
      <c r="M342" s="317"/>
      <c r="N342" s="317"/>
      <c r="O342" s="366"/>
      <c r="P342" s="365"/>
      <c r="Q342" s="364"/>
      <c r="R342" s="364"/>
      <c r="S342" s="348"/>
    </row>
    <row r="343" spans="1:19" hidden="1" x14ac:dyDescent="0.25">
      <c r="A343" s="359">
        <v>0</v>
      </c>
      <c r="B343" s="49" t="s">
        <v>839</v>
      </c>
      <c r="C343" s="49"/>
      <c r="D343" s="49"/>
      <c r="E343" s="362"/>
      <c r="F343" s="378"/>
      <c r="G343" s="49"/>
      <c r="H343" s="49"/>
      <c r="I343" s="49"/>
      <c r="J343" s="316"/>
      <c r="K343" s="360"/>
      <c r="L343" s="363"/>
      <c r="M343" s="317"/>
      <c r="N343" s="317"/>
      <c r="O343" s="366"/>
      <c r="P343" s="365"/>
      <c r="Q343" s="364"/>
      <c r="R343" s="364"/>
      <c r="S343" s="348"/>
    </row>
    <row r="344" spans="1:19" hidden="1" x14ac:dyDescent="0.25">
      <c r="A344" s="359">
        <v>0</v>
      </c>
      <c r="B344" s="49" t="s">
        <v>840</v>
      </c>
      <c r="C344" s="49"/>
      <c r="D344" s="49"/>
      <c r="E344" s="362"/>
      <c r="F344" s="378"/>
      <c r="G344" s="49"/>
      <c r="H344" s="49"/>
      <c r="I344" s="49"/>
      <c r="J344" s="316"/>
      <c r="K344" s="360"/>
      <c r="L344" s="363"/>
      <c r="M344" s="317"/>
      <c r="N344" s="317"/>
      <c r="O344" s="366"/>
      <c r="P344" s="365"/>
      <c r="Q344" s="364"/>
      <c r="R344" s="364"/>
      <c r="S344" s="348"/>
    </row>
    <row r="345" spans="1:19" hidden="1" x14ac:dyDescent="0.25">
      <c r="A345" s="359">
        <v>0</v>
      </c>
      <c r="B345" s="49" t="s">
        <v>841</v>
      </c>
      <c r="C345" s="49"/>
      <c r="D345" s="49"/>
      <c r="E345" s="362"/>
      <c r="F345" s="378"/>
      <c r="G345" s="49"/>
      <c r="H345" s="49"/>
      <c r="I345" s="49"/>
      <c r="J345" s="316"/>
      <c r="K345" s="360"/>
      <c r="L345" s="363"/>
      <c r="M345" s="317"/>
      <c r="N345" s="317"/>
      <c r="O345" s="322"/>
      <c r="P345" s="365"/>
      <c r="Q345" s="364"/>
      <c r="R345" s="364"/>
      <c r="S345" s="348"/>
    </row>
    <row r="346" spans="1:19" hidden="1" x14ac:dyDescent="0.25">
      <c r="A346" s="359">
        <v>0</v>
      </c>
      <c r="B346" s="49" t="s">
        <v>842</v>
      </c>
      <c r="C346" s="49"/>
      <c r="D346" s="49"/>
      <c r="E346" s="362"/>
      <c r="F346" s="378"/>
      <c r="G346" s="49"/>
      <c r="H346" s="49"/>
      <c r="I346" s="49"/>
      <c r="J346" s="316"/>
      <c r="K346" s="360"/>
      <c r="L346" s="363"/>
      <c r="M346" s="317"/>
      <c r="N346" s="317"/>
      <c r="O346" s="322"/>
      <c r="P346" s="365"/>
      <c r="Q346" s="364"/>
      <c r="R346" s="364"/>
      <c r="S346" s="348"/>
    </row>
    <row r="347" spans="1:19" hidden="1" x14ac:dyDescent="0.25">
      <c r="A347" s="359">
        <v>0</v>
      </c>
      <c r="B347" s="49" t="s">
        <v>843</v>
      </c>
      <c r="C347" s="49"/>
      <c r="D347" s="49"/>
      <c r="E347" s="362"/>
      <c r="F347" s="378"/>
      <c r="G347" s="49"/>
      <c r="H347" s="49"/>
      <c r="I347" s="49"/>
      <c r="J347" s="316"/>
      <c r="K347" s="360"/>
      <c r="L347" s="363"/>
      <c r="M347" s="317"/>
      <c r="N347" s="317"/>
      <c r="O347" s="322"/>
      <c r="P347" s="365"/>
      <c r="Q347" s="364"/>
      <c r="R347" s="364"/>
      <c r="S347" s="348"/>
    </row>
    <row r="348" spans="1:19" hidden="1" x14ac:dyDescent="0.25">
      <c r="A348" s="359">
        <v>0</v>
      </c>
      <c r="B348" s="49" t="s">
        <v>844</v>
      </c>
      <c r="C348" s="49"/>
      <c r="D348" s="49"/>
      <c r="E348" s="362"/>
      <c r="F348" s="378"/>
      <c r="G348" s="49"/>
      <c r="H348" s="49"/>
      <c r="I348" s="316"/>
      <c r="J348" s="316"/>
      <c r="K348" s="360"/>
      <c r="L348" s="363"/>
      <c r="M348" s="317"/>
      <c r="N348" s="317"/>
      <c r="O348" s="322"/>
      <c r="P348" s="365"/>
      <c r="Q348" s="364"/>
      <c r="R348" s="364"/>
      <c r="S348" s="348"/>
    </row>
    <row r="349" spans="1:19" hidden="1" x14ac:dyDescent="0.25">
      <c r="A349" s="359">
        <v>0</v>
      </c>
      <c r="B349" s="49" t="s">
        <v>845</v>
      </c>
      <c r="C349" s="49"/>
      <c r="D349" s="49"/>
      <c r="E349" s="362"/>
      <c r="F349" s="378"/>
      <c r="G349" s="49"/>
      <c r="H349" s="49"/>
      <c r="I349" s="49"/>
      <c r="J349" s="316"/>
      <c r="K349" s="360"/>
      <c r="L349" s="363"/>
      <c r="M349" s="317"/>
      <c r="N349" s="317"/>
      <c r="O349" s="322"/>
      <c r="P349" s="365"/>
      <c r="Q349" s="364"/>
      <c r="R349" s="364"/>
      <c r="S349" s="348"/>
    </row>
    <row r="350" spans="1:19" hidden="1" x14ac:dyDescent="0.25">
      <c r="A350" s="359">
        <v>0</v>
      </c>
      <c r="B350" s="49" t="s">
        <v>846</v>
      </c>
      <c r="C350" s="49"/>
      <c r="D350" s="49"/>
      <c r="E350" s="362"/>
      <c r="F350" s="378"/>
      <c r="G350" s="49"/>
      <c r="H350" s="49"/>
      <c r="I350" s="49"/>
      <c r="J350" s="316"/>
      <c r="K350" s="360"/>
      <c r="L350" s="363"/>
      <c r="M350" s="317"/>
      <c r="N350" s="317"/>
      <c r="O350" s="366"/>
      <c r="P350" s="365"/>
      <c r="Q350" s="364"/>
      <c r="R350" s="364"/>
      <c r="S350" s="348"/>
    </row>
    <row r="351" spans="1:19" hidden="1" x14ac:dyDescent="0.25">
      <c r="A351" s="359">
        <v>0</v>
      </c>
      <c r="B351" s="49" t="s">
        <v>847</v>
      </c>
      <c r="C351" s="49"/>
      <c r="D351" s="49"/>
      <c r="E351" s="362"/>
      <c r="F351" s="378"/>
      <c r="G351" s="49"/>
      <c r="H351" s="49"/>
      <c r="I351" s="49"/>
      <c r="J351" s="316"/>
      <c r="K351" s="360"/>
      <c r="L351" s="363"/>
      <c r="M351" s="317"/>
      <c r="N351" s="317"/>
      <c r="O351" s="366"/>
      <c r="P351" s="365"/>
      <c r="Q351" s="364"/>
      <c r="R351" s="364"/>
      <c r="S351" s="348"/>
    </row>
    <row r="352" spans="1:19" hidden="1" x14ac:dyDescent="0.25">
      <c r="A352" s="359">
        <v>0</v>
      </c>
      <c r="B352" s="49" t="s">
        <v>848</v>
      </c>
      <c r="C352" s="49"/>
      <c r="D352" s="49"/>
      <c r="E352" s="362"/>
      <c r="F352" s="378"/>
      <c r="G352" s="49"/>
      <c r="H352" s="49"/>
      <c r="I352" s="49"/>
      <c r="J352" s="316"/>
      <c r="K352" s="360"/>
      <c r="L352" s="363"/>
      <c r="M352" s="317"/>
      <c r="N352" s="317"/>
      <c r="O352" s="366"/>
      <c r="P352" s="365"/>
      <c r="Q352" s="364"/>
      <c r="R352" s="364"/>
      <c r="S352" s="348"/>
    </row>
    <row r="353" spans="1:19" ht="26.25" hidden="1" customHeight="1" x14ac:dyDescent="0.25">
      <c r="A353" s="359">
        <v>0</v>
      </c>
      <c r="B353" s="49" t="s">
        <v>849</v>
      </c>
      <c r="C353" s="49"/>
      <c r="D353" s="49"/>
      <c r="E353" s="362"/>
      <c r="F353" s="378"/>
      <c r="G353" s="49"/>
      <c r="H353" s="49"/>
      <c r="I353" s="49"/>
      <c r="J353" s="316"/>
      <c r="K353" s="360"/>
      <c r="L353" s="363"/>
      <c r="M353" s="317"/>
      <c r="N353" s="317"/>
      <c r="O353" s="366"/>
      <c r="P353" s="365"/>
      <c r="Q353" s="364"/>
      <c r="R353" s="364"/>
      <c r="S353" s="348"/>
    </row>
    <row r="354" spans="1:19" hidden="1" x14ac:dyDescent="0.25">
      <c r="A354" s="359">
        <v>0</v>
      </c>
      <c r="B354" s="49" t="s">
        <v>850</v>
      </c>
      <c r="C354" s="49"/>
      <c r="D354" s="49"/>
      <c r="E354" s="362"/>
      <c r="F354" s="378"/>
      <c r="G354" s="49"/>
      <c r="H354" s="49"/>
      <c r="I354" s="49"/>
      <c r="J354" s="316"/>
      <c r="K354" s="360"/>
      <c r="L354" s="363"/>
      <c r="M354" s="317"/>
      <c r="N354" s="317"/>
      <c r="O354" s="366"/>
      <c r="P354" s="365"/>
      <c r="Q354" s="364"/>
      <c r="R354" s="364"/>
      <c r="S354" s="348"/>
    </row>
    <row r="355" spans="1:19" hidden="1" x14ac:dyDescent="0.25">
      <c r="A355" s="359">
        <v>0</v>
      </c>
      <c r="B355" s="49" t="s">
        <v>851</v>
      </c>
      <c r="C355" s="49"/>
      <c r="D355" s="49"/>
      <c r="E355" s="362"/>
      <c r="F355" s="378"/>
      <c r="G355" s="49"/>
      <c r="H355" s="49"/>
      <c r="I355" s="49"/>
      <c r="J355" s="316"/>
      <c r="K355" s="360"/>
      <c r="L355" s="363"/>
      <c r="M355" s="317"/>
      <c r="N355" s="317"/>
      <c r="O355" s="366"/>
      <c r="P355" s="365"/>
      <c r="Q355" s="364"/>
      <c r="R355" s="364"/>
      <c r="S355" s="348"/>
    </row>
    <row r="356" spans="1:19" hidden="1" x14ac:dyDescent="0.25">
      <c r="A356" s="359">
        <v>0</v>
      </c>
      <c r="B356" s="49" t="s">
        <v>852</v>
      </c>
      <c r="C356" s="49"/>
      <c r="D356" s="49"/>
      <c r="E356" s="362"/>
      <c r="F356" s="378"/>
      <c r="G356" s="49"/>
      <c r="H356" s="49"/>
      <c r="I356" s="49"/>
      <c r="J356" s="316"/>
      <c r="K356" s="402"/>
      <c r="L356" s="363"/>
      <c r="M356" s="317"/>
      <c r="N356" s="317"/>
      <c r="O356" s="366"/>
      <c r="P356" s="365"/>
      <c r="Q356" s="364"/>
      <c r="R356" s="364"/>
      <c r="S356" s="348"/>
    </row>
    <row r="357" spans="1:19" hidden="1" x14ac:dyDescent="0.25">
      <c r="A357" s="359">
        <v>0</v>
      </c>
      <c r="B357" s="49" t="s">
        <v>853</v>
      </c>
      <c r="C357" s="49"/>
      <c r="D357" s="49"/>
      <c r="E357" s="362"/>
      <c r="F357" s="378"/>
      <c r="G357" s="49"/>
      <c r="H357" s="49"/>
      <c r="I357" s="49"/>
      <c r="J357" s="316"/>
      <c r="K357" s="360"/>
      <c r="L357" s="363"/>
      <c r="M357" s="317"/>
      <c r="N357" s="317"/>
      <c r="O357" s="366"/>
      <c r="P357" s="365"/>
      <c r="Q357" s="364"/>
      <c r="R357" s="364"/>
      <c r="S357" s="348"/>
    </row>
    <row r="358" spans="1:19" hidden="1" x14ac:dyDescent="0.25">
      <c r="A358" s="359">
        <v>0</v>
      </c>
      <c r="B358" s="49" t="s">
        <v>854</v>
      </c>
      <c r="C358" s="49"/>
      <c r="D358" s="49"/>
      <c r="E358" s="49"/>
      <c r="F358" s="49"/>
      <c r="G358" s="49"/>
      <c r="H358" s="49"/>
      <c r="I358" s="49"/>
      <c r="J358" s="316"/>
      <c r="K358" s="360"/>
      <c r="L358" s="363"/>
      <c r="M358" s="317"/>
      <c r="N358" s="317"/>
      <c r="O358" s="366"/>
      <c r="P358" s="365"/>
      <c r="Q358" s="364"/>
      <c r="R358" s="364"/>
      <c r="S358" s="348"/>
    </row>
    <row r="359" spans="1:19" hidden="1" x14ac:dyDescent="0.25">
      <c r="A359" s="359">
        <v>0</v>
      </c>
      <c r="B359" s="49" t="s">
        <v>855</v>
      </c>
      <c r="C359" s="49"/>
      <c r="D359" s="49"/>
      <c r="E359" s="49"/>
      <c r="F359" s="49"/>
      <c r="G359" s="49"/>
      <c r="H359" s="49"/>
      <c r="I359" s="49"/>
      <c r="J359" s="316"/>
      <c r="K359" s="360"/>
      <c r="L359" s="363"/>
      <c r="M359" s="317"/>
      <c r="N359" s="317"/>
      <c r="O359" s="366"/>
      <c r="P359" s="365"/>
      <c r="Q359" s="364"/>
      <c r="R359" s="364"/>
      <c r="S359" s="348"/>
    </row>
    <row r="360" spans="1:19" hidden="1" x14ac:dyDescent="0.25">
      <c r="A360" s="359">
        <v>0</v>
      </c>
      <c r="B360" s="49" t="s">
        <v>856</v>
      </c>
      <c r="C360" s="49"/>
      <c r="D360" s="49"/>
      <c r="E360" s="49"/>
      <c r="F360" s="49"/>
      <c r="G360" s="49"/>
      <c r="H360" s="49"/>
      <c r="I360" s="49"/>
      <c r="J360" s="316"/>
      <c r="K360" s="360"/>
      <c r="L360" s="363"/>
      <c r="M360" s="317"/>
      <c r="N360" s="317"/>
      <c r="O360" s="366"/>
      <c r="P360" s="365"/>
      <c r="Q360" s="364"/>
      <c r="R360" s="364"/>
      <c r="S360" s="348"/>
    </row>
    <row r="361" spans="1:19" hidden="1" x14ac:dyDescent="0.25">
      <c r="A361" s="359">
        <v>0</v>
      </c>
      <c r="B361" s="49" t="s">
        <v>857</v>
      </c>
      <c r="C361" s="49"/>
      <c r="D361" s="49"/>
      <c r="E361" s="49"/>
      <c r="F361" s="49"/>
      <c r="G361" s="49"/>
      <c r="H361" s="49"/>
      <c r="I361" s="49"/>
      <c r="J361" s="316"/>
      <c r="K361" s="360"/>
      <c r="L361" s="363"/>
      <c r="M361" s="317"/>
      <c r="N361" s="317"/>
      <c r="O361" s="366"/>
      <c r="P361" s="365"/>
      <c r="Q361" s="364"/>
      <c r="R361" s="364"/>
      <c r="S361" s="348"/>
    </row>
    <row r="362" spans="1:19" hidden="1" x14ac:dyDescent="0.25">
      <c r="A362" s="359">
        <v>0</v>
      </c>
      <c r="B362" s="49" t="s">
        <v>858</v>
      </c>
      <c r="C362" s="49"/>
      <c r="D362" s="49"/>
      <c r="E362" s="49"/>
      <c r="F362" s="49"/>
      <c r="G362" s="49"/>
      <c r="H362" s="49"/>
      <c r="I362" s="49"/>
      <c r="J362" s="316"/>
      <c r="K362" s="360"/>
      <c r="L362" s="363"/>
      <c r="M362" s="317"/>
      <c r="N362" s="317"/>
      <c r="O362" s="366"/>
      <c r="P362" s="365"/>
      <c r="Q362" s="364"/>
      <c r="R362" s="364"/>
      <c r="S362" s="348"/>
    </row>
    <row r="363" spans="1:19" hidden="1" x14ac:dyDescent="0.25">
      <c r="A363" s="359">
        <v>0</v>
      </c>
      <c r="B363" s="49" t="s">
        <v>859</v>
      </c>
      <c r="C363" s="49"/>
      <c r="D363" s="49"/>
      <c r="E363" s="49"/>
      <c r="F363" s="49"/>
      <c r="G363" s="49"/>
      <c r="H363" s="49"/>
      <c r="I363" s="49"/>
      <c r="J363" s="316"/>
      <c r="K363" s="360"/>
      <c r="L363" s="363"/>
      <c r="M363" s="317"/>
      <c r="N363" s="317"/>
      <c r="O363" s="366"/>
      <c r="P363" s="365"/>
      <c r="Q363" s="364"/>
      <c r="R363" s="364"/>
      <c r="S363" s="348"/>
    </row>
    <row r="364" spans="1:19" hidden="1" x14ac:dyDescent="0.25">
      <c r="A364" s="359">
        <v>0</v>
      </c>
      <c r="B364" s="49" t="s">
        <v>860</v>
      </c>
      <c r="C364" s="49"/>
      <c r="D364" s="49"/>
      <c r="E364" s="49"/>
      <c r="F364" s="49"/>
      <c r="G364" s="49"/>
      <c r="H364" s="49"/>
      <c r="I364" s="49"/>
      <c r="J364" s="316"/>
      <c r="K364" s="360"/>
      <c r="L364" s="363"/>
      <c r="M364" s="317"/>
      <c r="N364" s="317"/>
      <c r="O364" s="366"/>
      <c r="P364" s="365"/>
      <c r="Q364" s="364"/>
      <c r="R364" s="364"/>
      <c r="S364" s="348"/>
    </row>
    <row r="365" spans="1:19" hidden="1" x14ac:dyDescent="0.25">
      <c r="A365" s="359">
        <v>0</v>
      </c>
      <c r="B365" s="49" t="s">
        <v>861</v>
      </c>
      <c r="C365" s="49"/>
      <c r="D365" s="49"/>
      <c r="E365" s="49"/>
      <c r="F365" s="49"/>
      <c r="G365" s="49"/>
      <c r="H365" s="49"/>
      <c r="I365" s="49"/>
      <c r="J365" s="316"/>
      <c r="K365" s="360"/>
      <c r="L365" s="363"/>
      <c r="M365" s="317"/>
      <c r="N365" s="317"/>
      <c r="O365" s="366"/>
      <c r="P365" s="365"/>
      <c r="Q365" s="364"/>
      <c r="R365" s="364"/>
      <c r="S365" s="348"/>
    </row>
    <row r="366" spans="1:19" hidden="1" x14ac:dyDescent="0.25">
      <c r="A366" s="359">
        <v>0</v>
      </c>
      <c r="B366" s="49" t="s">
        <v>862</v>
      </c>
      <c r="C366" s="49"/>
      <c r="D366" s="49"/>
      <c r="E366" s="49"/>
      <c r="F366" s="49"/>
      <c r="G366" s="49"/>
      <c r="H366" s="49"/>
      <c r="I366" s="49"/>
      <c r="J366" s="316"/>
      <c r="K366" s="360"/>
      <c r="L366" s="363"/>
      <c r="M366" s="317"/>
      <c r="N366" s="317"/>
      <c r="O366" s="366"/>
      <c r="P366" s="365"/>
      <c r="Q366" s="364"/>
      <c r="R366" s="364"/>
      <c r="S366" s="348"/>
    </row>
    <row r="367" spans="1:19" hidden="1" x14ac:dyDescent="0.25">
      <c r="A367" s="359">
        <v>0</v>
      </c>
      <c r="B367" s="49" t="s">
        <v>863</v>
      </c>
      <c r="C367" s="49"/>
      <c r="D367" s="49"/>
      <c r="E367" s="49"/>
      <c r="F367" s="49"/>
      <c r="G367" s="49"/>
      <c r="H367" s="49"/>
      <c r="I367" s="49"/>
      <c r="J367" s="316"/>
      <c r="K367" s="360"/>
      <c r="L367" s="363"/>
      <c r="M367" s="317"/>
      <c r="N367" s="317"/>
      <c r="O367" s="366"/>
      <c r="P367" s="365"/>
      <c r="Q367" s="364"/>
      <c r="R367" s="364"/>
      <c r="S367" s="348"/>
    </row>
    <row r="368" spans="1:19" hidden="1" x14ac:dyDescent="0.25">
      <c r="A368" s="359">
        <v>0</v>
      </c>
      <c r="B368" s="49" t="s">
        <v>864</v>
      </c>
      <c r="C368" s="49"/>
      <c r="D368" s="49"/>
      <c r="E368" s="49"/>
      <c r="F368" s="49"/>
      <c r="G368" s="49"/>
      <c r="H368" s="49"/>
      <c r="I368" s="49"/>
      <c r="J368" s="316"/>
      <c r="K368" s="360"/>
      <c r="L368" s="363"/>
      <c r="M368" s="317"/>
      <c r="N368" s="317"/>
      <c r="O368" s="366"/>
      <c r="P368" s="365"/>
      <c r="Q368" s="364"/>
      <c r="R368" s="364"/>
      <c r="S368" s="348"/>
    </row>
    <row r="369" spans="1:19" hidden="1" x14ac:dyDescent="0.25">
      <c r="A369" s="359">
        <v>0</v>
      </c>
      <c r="B369" s="49" t="s">
        <v>865</v>
      </c>
      <c r="C369" s="49"/>
      <c r="D369" s="49"/>
      <c r="E369" s="49"/>
      <c r="F369" s="49"/>
      <c r="G369" s="49"/>
      <c r="H369" s="49"/>
      <c r="I369" s="49"/>
      <c r="J369" s="316"/>
      <c r="K369" s="360"/>
      <c r="L369" s="363"/>
      <c r="M369" s="317"/>
      <c r="N369" s="317"/>
      <c r="O369" s="366"/>
      <c r="P369" s="365"/>
      <c r="Q369" s="364"/>
      <c r="R369" s="364"/>
      <c r="S369" s="348"/>
    </row>
    <row r="370" spans="1:19" hidden="1" x14ac:dyDescent="0.25">
      <c r="A370" s="359">
        <v>0</v>
      </c>
      <c r="B370" s="49" t="s">
        <v>866</v>
      </c>
      <c r="C370" s="49"/>
      <c r="D370" s="49"/>
      <c r="E370" s="49"/>
      <c r="F370" s="49"/>
      <c r="G370" s="49"/>
      <c r="H370" s="49"/>
      <c r="I370" s="49"/>
      <c r="J370" s="316"/>
      <c r="K370" s="360"/>
      <c r="L370" s="363"/>
      <c r="M370" s="317"/>
      <c r="N370" s="317"/>
      <c r="O370" s="366"/>
      <c r="P370" s="365"/>
      <c r="Q370" s="364"/>
      <c r="R370" s="364"/>
      <c r="S370" s="348"/>
    </row>
    <row r="371" spans="1:19" hidden="1" x14ac:dyDescent="0.25">
      <c r="A371" s="359">
        <v>0</v>
      </c>
      <c r="B371" s="49" t="s">
        <v>867</v>
      </c>
      <c r="C371" s="49"/>
      <c r="D371" s="49"/>
      <c r="E371" s="49"/>
      <c r="F371" s="49"/>
      <c r="G371" s="49"/>
      <c r="H371" s="49"/>
      <c r="I371" s="49"/>
      <c r="J371" s="316"/>
      <c r="K371" s="402"/>
      <c r="L371" s="363"/>
      <c r="M371" s="317"/>
      <c r="N371" s="317"/>
      <c r="O371" s="366"/>
      <c r="P371" s="365"/>
      <c r="Q371" s="364"/>
      <c r="R371" s="364"/>
      <c r="S371" s="348"/>
    </row>
    <row r="372" spans="1:19" hidden="1" x14ac:dyDescent="0.25">
      <c r="A372" s="359">
        <v>0</v>
      </c>
      <c r="B372" s="49" t="s">
        <v>868</v>
      </c>
      <c r="C372" s="49"/>
      <c r="D372" s="49"/>
      <c r="E372" s="49"/>
      <c r="F372" s="49"/>
      <c r="G372" s="49"/>
      <c r="H372" s="49"/>
      <c r="I372" s="49"/>
      <c r="J372" s="316"/>
      <c r="K372" s="360"/>
      <c r="L372" s="363"/>
      <c r="M372" s="317"/>
      <c r="N372" s="317"/>
      <c r="O372" s="366"/>
      <c r="P372" s="365"/>
      <c r="Q372" s="364"/>
      <c r="R372" s="364"/>
      <c r="S372" s="348"/>
    </row>
    <row r="373" spans="1:19" hidden="1" x14ac:dyDescent="0.25">
      <c r="A373" s="359">
        <v>0</v>
      </c>
      <c r="B373" s="49" t="s">
        <v>869</v>
      </c>
      <c r="C373" s="49"/>
      <c r="D373" s="49"/>
      <c r="E373" s="49"/>
      <c r="F373" s="49"/>
      <c r="G373" s="49"/>
      <c r="H373" s="49"/>
      <c r="I373" s="49"/>
      <c r="J373" s="316"/>
      <c r="K373" s="360"/>
      <c r="L373" s="363"/>
      <c r="M373" s="317"/>
      <c r="N373" s="317"/>
      <c r="O373" s="366"/>
      <c r="P373" s="365"/>
      <c r="Q373" s="364"/>
      <c r="R373" s="364"/>
      <c r="S373" s="348"/>
    </row>
    <row r="374" spans="1:19" hidden="1" x14ac:dyDescent="0.25">
      <c r="A374" s="359">
        <v>0</v>
      </c>
      <c r="B374" s="49" t="s">
        <v>870</v>
      </c>
      <c r="C374" s="49"/>
      <c r="D374" s="49"/>
      <c r="E374" s="49"/>
      <c r="F374" s="49"/>
      <c r="G374" s="49"/>
      <c r="H374" s="49"/>
      <c r="I374" s="49"/>
      <c r="J374" s="316"/>
      <c r="K374" s="360"/>
      <c r="L374" s="363"/>
      <c r="M374" s="317"/>
      <c r="N374" s="317"/>
      <c r="O374" s="366"/>
      <c r="P374" s="365"/>
      <c r="Q374" s="364"/>
      <c r="R374" s="364"/>
      <c r="S374" s="348"/>
    </row>
    <row r="375" spans="1:19" hidden="1" x14ac:dyDescent="0.25">
      <c r="A375" s="359">
        <v>0</v>
      </c>
      <c r="B375" s="49" t="s">
        <v>871</v>
      </c>
      <c r="C375" s="49"/>
      <c r="D375" s="49"/>
      <c r="E375" s="49"/>
      <c r="F375" s="49"/>
      <c r="G375" s="49"/>
      <c r="H375" s="49"/>
      <c r="I375" s="49"/>
      <c r="J375" s="316"/>
      <c r="K375" s="360"/>
      <c r="L375" s="363"/>
      <c r="M375" s="317"/>
      <c r="N375" s="317"/>
      <c r="O375" s="366"/>
      <c r="P375" s="365"/>
      <c r="Q375" s="364"/>
      <c r="R375" s="364"/>
      <c r="S375" s="348"/>
    </row>
    <row r="376" spans="1:19" hidden="1" x14ac:dyDescent="0.25">
      <c r="A376" s="359">
        <v>0</v>
      </c>
      <c r="B376" s="49" t="s">
        <v>872</v>
      </c>
      <c r="C376" s="49"/>
      <c r="D376" s="49"/>
      <c r="E376" s="49"/>
      <c r="F376" s="49"/>
      <c r="G376" s="49"/>
      <c r="H376" s="49"/>
      <c r="I376" s="49"/>
      <c r="J376" s="316"/>
      <c r="K376" s="360"/>
      <c r="L376" s="363"/>
      <c r="M376" s="317"/>
      <c r="N376" s="317"/>
      <c r="O376" s="366"/>
      <c r="P376" s="365"/>
      <c r="Q376" s="364"/>
      <c r="R376" s="364"/>
      <c r="S376" s="348"/>
    </row>
    <row r="377" spans="1:19" hidden="1" x14ac:dyDescent="0.25">
      <c r="A377" s="359">
        <v>0</v>
      </c>
      <c r="B377" s="49" t="s">
        <v>873</v>
      </c>
      <c r="C377" s="49"/>
      <c r="D377" s="49"/>
      <c r="E377" s="49"/>
      <c r="F377" s="49"/>
      <c r="G377" s="49"/>
      <c r="H377" s="49"/>
      <c r="I377" s="49"/>
      <c r="J377" s="316"/>
      <c r="K377" s="360"/>
      <c r="L377" s="363"/>
      <c r="M377" s="317"/>
      <c r="N377" s="317"/>
      <c r="O377" s="366"/>
      <c r="P377" s="365"/>
      <c r="Q377" s="364"/>
      <c r="R377" s="364"/>
      <c r="S377" s="348"/>
    </row>
    <row r="378" spans="1:19" hidden="1" x14ac:dyDescent="0.25">
      <c r="A378" s="359">
        <v>0</v>
      </c>
      <c r="B378" s="49" t="s">
        <v>874</v>
      </c>
      <c r="C378" s="49"/>
      <c r="D378" s="49"/>
      <c r="E378" s="49"/>
      <c r="F378" s="49"/>
      <c r="G378" s="49"/>
      <c r="H378" s="49"/>
      <c r="I378" s="49"/>
      <c r="J378" s="316"/>
      <c r="K378" s="360"/>
      <c r="L378" s="363"/>
      <c r="M378" s="317"/>
      <c r="N378" s="317"/>
      <c r="O378" s="366"/>
      <c r="P378" s="365"/>
      <c r="Q378" s="364"/>
      <c r="R378" s="364"/>
      <c r="S378" s="348"/>
    </row>
    <row r="379" spans="1:19" hidden="1" x14ac:dyDescent="0.25">
      <c r="A379" s="359">
        <v>0</v>
      </c>
      <c r="B379" s="49" t="s">
        <v>875</v>
      </c>
      <c r="C379" s="49"/>
      <c r="D379" s="49"/>
      <c r="E379" s="49"/>
      <c r="F379" s="49"/>
      <c r="G379" s="49"/>
      <c r="H379" s="49"/>
      <c r="I379" s="49"/>
      <c r="J379" s="316"/>
      <c r="K379" s="360"/>
      <c r="L379" s="363"/>
      <c r="M379" s="317"/>
      <c r="N379" s="317"/>
      <c r="O379" s="366"/>
      <c r="P379" s="365"/>
      <c r="Q379" s="364"/>
      <c r="R379" s="364"/>
      <c r="S379" s="348"/>
    </row>
    <row r="380" spans="1:19" hidden="1" x14ac:dyDescent="0.25">
      <c r="A380" s="359">
        <v>0</v>
      </c>
      <c r="B380" s="49" t="s">
        <v>876</v>
      </c>
      <c r="C380" s="49"/>
      <c r="D380" s="49"/>
      <c r="E380" s="49"/>
      <c r="F380" s="49"/>
      <c r="G380" s="49"/>
      <c r="H380" s="49"/>
      <c r="I380" s="49"/>
      <c r="J380" s="316"/>
      <c r="K380" s="360"/>
      <c r="L380" s="363"/>
      <c r="M380" s="317"/>
      <c r="N380" s="317"/>
      <c r="O380" s="366"/>
      <c r="P380" s="365"/>
      <c r="Q380" s="364"/>
      <c r="R380" s="364"/>
      <c r="S380" s="348"/>
    </row>
    <row r="381" spans="1:19" hidden="1" x14ac:dyDescent="0.25">
      <c r="A381" s="359">
        <v>0</v>
      </c>
      <c r="B381" s="49" t="s">
        <v>877</v>
      </c>
      <c r="C381" s="49"/>
      <c r="D381" s="49"/>
      <c r="E381" s="49"/>
      <c r="F381" s="49"/>
      <c r="G381" s="49"/>
      <c r="H381" s="49"/>
      <c r="I381" s="49"/>
      <c r="J381" s="316"/>
      <c r="K381" s="360"/>
      <c r="L381" s="363"/>
      <c r="M381" s="317"/>
      <c r="N381" s="317"/>
      <c r="O381" s="366"/>
      <c r="P381" s="365"/>
      <c r="Q381" s="364"/>
      <c r="R381" s="364"/>
      <c r="S381" s="348"/>
    </row>
    <row r="382" spans="1:19" hidden="1" x14ac:dyDescent="0.25">
      <c r="A382" s="359">
        <v>0</v>
      </c>
      <c r="B382" s="49" t="s">
        <v>878</v>
      </c>
      <c r="C382" s="49"/>
      <c r="D382" s="49"/>
      <c r="E382" s="49"/>
      <c r="F382" s="49"/>
      <c r="G382" s="49"/>
      <c r="H382" s="49"/>
      <c r="I382" s="49"/>
      <c r="J382" s="316"/>
      <c r="K382" s="360"/>
      <c r="L382" s="363"/>
      <c r="M382" s="317"/>
      <c r="N382" s="317"/>
      <c r="O382" s="366"/>
      <c r="P382" s="365"/>
      <c r="Q382" s="364"/>
      <c r="R382" s="364"/>
      <c r="S382" s="348"/>
    </row>
    <row r="383" spans="1:19" hidden="1" x14ac:dyDescent="0.25">
      <c r="A383" s="359">
        <v>0</v>
      </c>
      <c r="B383" s="49" t="s">
        <v>879</v>
      </c>
      <c r="C383" s="49"/>
      <c r="D383" s="49"/>
      <c r="E383" s="49"/>
      <c r="F383" s="49"/>
      <c r="G383" s="49"/>
      <c r="H383" s="49"/>
      <c r="I383" s="49"/>
      <c r="J383" s="316"/>
      <c r="K383" s="360"/>
      <c r="L383" s="363"/>
      <c r="M383" s="317"/>
      <c r="N383" s="317"/>
      <c r="O383" s="366"/>
      <c r="P383" s="365"/>
      <c r="Q383" s="364"/>
      <c r="R383" s="364"/>
      <c r="S383" s="348"/>
    </row>
    <row r="384" spans="1:19" hidden="1" x14ac:dyDescent="0.25">
      <c r="A384" s="359">
        <v>0</v>
      </c>
      <c r="B384" s="49" t="s">
        <v>880</v>
      </c>
      <c r="C384" s="49"/>
      <c r="D384" s="49"/>
      <c r="E384" s="49"/>
      <c r="F384" s="49"/>
      <c r="G384" s="49"/>
      <c r="H384" s="49"/>
      <c r="I384" s="49"/>
      <c r="J384" s="316"/>
      <c r="K384" s="360"/>
      <c r="L384" s="363"/>
      <c r="M384" s="317"/>
      <c r="N384" s="317"/>
      <c r="O384" s="366"/>
      <c r="P384" s="365"/>
      <c r="Q384" s="364"/>
      <c r="R384" s="364"/>
      <c r="S384" s="348"/>
    </row>
    <row r="385" spans="1:19" hidden="1" x14ac:dyDescent="0.25">
      <c r="A385" s="359">
        <v>0</v>
      </c>
      <c r="B385" s="49" t="s">
        <v>881</v>
      </c>
      <c r="C385" s="49"/>
      <c r="D385" s="49"/>
      <c r="E385" s="49"/>
      <c r="F385" s="49"/>
      <c r="G385" s="49"/>
      <c r="H385" s="49"/>
      <c r="I385" s="49"/>
      <c r="J385" s="316"/>
      <c r="K385" s="360"/>
      <c r="L385" s="363"/>
      <c r="M385" s="317"/>
      <c r="N385" s="317"/>
      <c r="O385" s="366"/>
      <c r="P385" s="365"/>
      <c r="Q385" s="364"/>
      <c r="R385" s="364"/>
      <c r="S385" s="348"/>
    </row>
    <row r="386" spans="1:19" hidden="1" x14ac:dyDescent="0.25">
      <c r="A386" s="359">
        <v>0</v>
      </c>
      <c r="B386" s="49" t="s">
        <v>882</v>
      </c>
      <c r="C386" s="49"/>
      <c r="D386" s="49"/>
      <c r="E386" s="49"/>
      <c r="F386" s="49"/>
      <c r="G386" s="49"/>
      <c r="H386" s="49"/>
      <c r="I386" s="49"/>
      <c r="J386" s="316"/>
      <c r="K386" s="360"/>
      <c r="L386" s="363"/>
      <c r="M386" s="317"/>
      <c r="N386" s="317"/>
      <c r="O386" s="366"/>
      <c r="P386" s="365"/>
      <c r="Q386" s="364"/>
      <c r="R386" s="364"/>
      <c r="S386" s="348"/>
    </row>
    <row r="387" spans="1:19" hidden="1" x14ac:dyDescent="0.25">
      <c r="A387" s="359">
        <v>0</v>
      </c>
      <c r="B387" s="49" t="s">
        <v>883</v>
      </c>
      <c r="C387" s="49"/>
      <c r="D387" s="49"/>
      <c r="E387" s="49"/>
      <c r="F387" s="49"/>
      <c r="G387" s="49"/>
      <c r="H387" s="49"/>
      <c r="I387" s="49"/>
      <c r="J387" s="316"/>
      <c r="K387" s="360"/>
      <c r="L387" s="363"/>
      <c r="M387" s="317"/>
      <c r="N387" s="317"/>
      <c r="O387" s="366"/>
      <c r="P387" s="365"/>
      <c r="Q387" s="364"/>
      <c r="R387" s="364"/>
      <c r="S387" s="348"/>
    </row>
    <row r="388" spans="1:19" hidden="1" x14ac:dyDescent="0.25">
      <c r="A388" s="359">
        <v>0</v>
      </c>
      <c r="B388" s="49" t="s">
        <v>884</v>
      </c>
      <c r="C388" s="49"/>
      <c r="D388" s="49"/>
      <c r="E388" s="49"/>
      <c r="F388" s="49"/>
      <c r="G388" s="49"/>
      <c r="H388" s="49"/>
      <c r="I388" s="49"/>
      <c r="J388" s="316"/>
      <c r="K388" s="360"/>
      <c r="L388" s="363"/>
      <c r="M388" s="317"/>
      <c r="N388" s="317"/>
      <c r="O388" s="366"/>
      <c r="P388" s="365"/>
      <c r="Q388" s="364"/>
      <c r="R388" s="364"/>
      <c r="S388" s="348"/>
    </row>
    <row r="389" spans="1:19" hidden="1" x14ac:dyDescent="0.25">
      <c r="A389" s="359">
        <v>0</v>
      </c>
      <c r="B389" s="49" t="s">
        <v>885</v>
      </c>
      <c r="C389" s="49"/>
      <c r="D389" s="49"/>
      <c r="E389" s="49"/>
      <c r="F389" s="49"/>
      <c r="G389" s="49"/>
      <c r="H389" s="49"/>
      <c r="I389" s="49"/>
      <c r="J389" s="316"/>
      <c r="K389" s="360"/>
      <c r="L389" s="363"/>
      <c r="M389" s="317"/>
      <c r="N389" s="317"/>
      <c r="O389" s="366"/>
      <c r="P389" s="365"/>
      <c r="Q389" s="364"/>
      <c r="R389" s="364"/>
      <c r="S389" s="348"/>
    </row>
    <row r="390" spans="1:19" hidden="1" x14ac:dyDescent="0.25">
      <c r="A390" s="359">
        <v>0</v>
      </c>
      <c r="B390" s="49" t="s">
        <v>886</v>
      </c>
      <c r="C390" s="49"/>
      <c r="D390" s="49"/>
      <c r="E390" s="49"/>
      <c r="F390" s="49"/>
      <c r="G390" s="49"/>
      <c r="H390" s="49"/>
      <c r="I390" s="49"/>
      <c r="J390" s="316"/>
      <c r="K390" s="360"/>
      <c r="L390" s="363"/>
      <c r="M390" s="317"/>
      <c r="N390" s="317"/>
      <c r="O390" s="366"/>
      <c r="P390" s="365"/>
      <c r="Q390" s="364"/>
      <c r="R390" s="364"/>
      <c r="S390" s="348"/>
    </row>
    <row r="391" spans="1:19" hidden="1" x14ac:dyDescent="0.25">
      <c r="A391" s="359">
        <v>0</v>
      </c>
      <c r="B391" s="49" t="s">
        <v>887</v>
      </c>
      <c r="C391" s="49"/>
      <c r="D391" s="49"/>
      <c r="E391" s="49"/>
      <c r="F391" s="49"/>
      <c r="G391" s="49"/>
      <c r="H391" s="49"/>
      <c r="I391" s="49"/>
      <c r="J391" s="316"/>
      <c r="K391" s="360"/>
      <c r="L391" s="363"/>
      <c r="M391" s="317"/>
      <c r="N391" s="317"/>
      <c r="O391" s="366"/>
      <c r="P391" s="365"/>
      <c r="Q391" s="364"/>
      <c r="R391" s="364"/>
      <c r="S391" s="348"/>
    </row>
    <row r="392" spans="1:19" hidden="1" x14ac:dyDescent="0.25">
      <c r="A392" s="359">
        <v>0</v>
      </c>
      <c r="B392" s="49" t="s">
        <v>888</v>
      </c>
      <c r="C392" s="49"/>
      <c r="D392" s="49"/>
      <c r="E392" s="49"/>
      <c r="F392" s="49"/>
      <c r="G392" s="49"/>
      <c r="H392" s="49"/>
      <c r="I392" s="49"/>
      <c r="J392" s="316"/>
      <c r="K392" s="360"/>
      <c r="L392" s="363"/>
      <c r="M392" s="317"/>
      <c r="N392" s="317"/>
      <c r="O392" s="366"/>
      <c r="P392" s="365"/>
      <c r="Q392" s="364"/>
      <c r="R392" s="364"/>
      <c r="S392" s="348"/>
    </row>
    <row r="393" spans="1:19" hidden="1" x14ac:dyDescent="0.25">
      <c r="A393" s="359">
        <v>0</v>
      </c>
      <c r="B393" s="49" t="s">
        <v>889</v>
      </c>
      <c r="C393" s="49"/>
      <c r="D393" s="49"/>
      <c r="E393" s="49"/>
      <c r="F393" s="49"/>
      <c r="G393" s="49"/>
      <c r="H393" s="49"/>
      <c r="I393" s="49"/>
      <c r="J393" s="316"/>
      <c r="K393" s="360"/>
      <c r="L393" s="363"/>
      <c r="M393" s="317"/>
      <c r="N393" s="317"/>
      <c r="O393" s="366"/>
      <c r="P393" s="365"/>
      <c r="Q393" s="364"/>
      <c r="R393" s="364"/>
      <c r="S393" s="348"/>
    </row>
    <row r="394" spans="1:19" hidden="1" x14ac:dyDescent="0.25">
      <c r="A394" s="359">
        <v>0</v>
      </c>
      <c r="B394" s="49" t="s">
        <v>890</v>
      </c>
      <c r="C394" s="49"/>
      <c r="D394" s="49"/>
      <c r="E394" s="49"/>
      <c r="F394" s="49"/>
      <c r="G394" s="49"/>
      <c r="H394" s="49"/>
      <c r="I394" s="49"/>
      <c r="J394" s="316"/>
      <c r="K394" s="360"/>
      <c r="L394" s="363"/>
      <c r="M394" s="317"/>
      <c r="N394" s="317"/>
      <c r="O394" s="366"/>
      <c r="P394" s="365"/>
      <c r="Q394" s="364"/>
      <c r="R394" s="364"/>
      <c r="S394" s="348"/>
    </row>
    <row r="395" spans="1:19" hidden="1" x14ac:dyDescent="0.25">
      <c r="A395" s="359">
        <v>0</v>
      </c>
      <c r="B395" s="49" t="s">
        <v>891</v>
      </c>
      <c r="C395" s="49"/>
      <c r="D395" s="49"/>
      <c r="E395" s="49"/>
      <c r="F395" s="49"/>
      <c r="G395" s="49"/>
      <c r="H395" s="49"/>
      <c r="I395" s="49"/>
      <c r="J395" s="316"/>
      <c r="K395" s="360"/>
      <c r="L395" s="363"/>
      <c r="M395" s="317"/>
      <c r="N395" s="317"/>
      <c r="O395" s="366"/>
      <c r="P395" s="365"/>
      <c r="Q395" s="364"/>
      <c r="R395" s="364"/>
      <c r="S395" s="348"/>
    </row>
    <row r="396" spans="1:19" hidden="1" x14ac:dyDescent="0.25">
      <c r="A396" s="359">
        <v>0</v>
      </c>
      <c r="B396" s="49" t="s">
        <v>892</v>
      </c>
      <c r="C396" s="49"/>
      <c r="D396" s="49"/>
      <c r="E396" s="49"/>
      <c r="F396" s="49"/>
      <c r="G396" s="49"/>
      <c r="H396" s="49"/>
      <c r="I396" s="49"/>
      <c r="J396" s="316"/>
      <c r="K396" s="360"/>
      <c r="L396" s="363"/>
      <c r="M396" s="317"/>
      <c r="N396" s="317"/>
      <c r="O396" s="366"/>
      <c r="P396" s="365"/>
      <c r="Q396" s="364"/>
      <c r="R396" s="364"/>
      <c r="S396" s="348"/>
    </row>
    <row r="397" spans="1:19" hidden="1" x14ac:dyDescent="0.25">
      <c r="A397" s="359">
        <v>0</v>
      </c>
      <c r="B397" s="49" t="s">
        <v>893</v>
      </c>
      <c r="C397" s="49"/>
      <c r="D397" s="49"/>
      <c r="E397" s="49"/>
      <c r="F397" s="49"/>
      <c r="G397" s="49"/>
      <c r="H397" s="49"/>
      <c r="I397" s="49"/>
      <c r="J397" s="316"/>
      <c r="K397" s="360"/>
      <c r="L397" s="363"/>
      <c r="M397" s="317"/>
      <c r="N397" s="317"/>
      <c r="O397" s="366"/>
      <c r="P397" s="365"/>
      <c r="Q397" s="364"/>
      <c r="R397" s="364"/>
      <c r="S397" s="348"/>
    </row>
    <row r="398" spans="1:19" hidden="1" x14ac:dyDescent="0.25">
      <c r="A398" s="359">
        <v>0</v>
      </c>
      <c r="B398" s="49" t="s">
        <v>894</v>
      </c>
      <c r="C398" s="49"/>
      <c r="D398" s="49"/>
      <c r="E398" s="49"/>
      <c r="F398" s="49"/>
      <c r="G398" s="49"/>
      <c r="H398" s="49"/>
      <c r="I398" s="49"/>
      <c r="J398" s="316"/>
      <c r="K398" s="360"/>
      <c r="L398" s="363"/>
      <c r="M398" s="317"/>
      <c r="N398" s="317"/>
      <c r="O398" s="366"/>
      <c r="P398" s="365"/>
      <c r="Q398" s="364"/>
      <c r="R398" s="364"/>
      <c r="S398" s="348"/>
    </row>
    <row r="399" spans="1:19" hidden="1" x14ac:dyDescent="0.25">
      <c r="A399" s="359">
        <v>0</v>
      </c>
      <c r="B399" s="49" t="s">
        <v>895</v>
      </c>
      <c r="C399" s="49"/>
      <c r="D399" s="49"/>
      <c r="E399" s="49"/>
      <c r="F399" s="49"/>
      <c r="G399" s="49"/>
      <c r="H399" s="49"/>
      <c r="I399" s="49"/>
      <c r="J399" s="316"/>
      <c r="K399" s="360"/>
      <c r="L399" s="363"/>
      <c r="M399" s="317"/>
      <c r="N399" s="317"/>
      <c r="O399" s="366"/>
      <c r="P399" s="365"/>
      <c r="Q399" s="364"/>
      <c r="R399" s="364"/>
      <c r="S399" s="348"/>
    </row>
    <row r="400" spans="1:19" hidden="1" x14ac:dyDescent="0.25">
      <c r="A400" s="359">
        <v>0</v>
      </c>
      <c r="B400" s="49" t="s">
        <v>896</v>
      </c>
      <c r="C400" s="49"/>
      <c r="D400" s="49"/>
      <c r="E400" s="49"/>
      <c r="F400" s="49"/>
      <c r="G400" s="49"/>
      <c r="H400" s="49"/>
      <c r="I400" s="49"/>
      <c r="J400" s="316"/>
      <c r="K400" s="360"/>
      <c r="L400" s="363"/>
      <c r="M400" s="317"/>
      <c r="N400" s="317"/>
      <c r="O400" s="366"/>
      <c r="P400" s="365"/>
      <c r="Q400" s="364"/>
      <c r="R400" s="364"/>
      <c r="S400" s="348"/>
    </row>
    <row r="401" spans="1:19" hidden="1" x14ac:dyDescent="0.25">
      <c r="A401" s="359">
        <v>0</v>
      </c>
      <c r="B401" s="49" t="s">
        <v>897</v>
      </c>
      <c r="C401" s="49"/>
      <c r="D401" s="49"/>
      <c r="E401" s="49"/>
      <c r="F401" s="49"/>
      <c r="G401" s="49"/>
      <c r="H401" s="49"/>
      <c r="I401" s="49"/>
      <c r="J401" s="316"/>
      <c r="K401" s="316"/>
      <c r="L401" s="363"/>
      <c r="M401" s="317"/>
      <c r="N401" s="317"/>
      <c r="O401" s="366"/>
      <c r="P401" s="365"/>
      <c r="Q401" s="364"/>
      <c r="R401" s="364"/>
      <c r="S401" s="348"/>
    </row>
    <row r="402" spans="1:19" hidden="1" x14ac:dyDescent="0.25">
      <c r="A402" s="359">
        <v>0</v>
      </c>
      <c r="B402" s="49" t="s">
        <v>898</v>
      </c>
      <c r="C402" s="49"/>
      <c r="D402" s="49"/>
      <c r="E402" s="49"/>
      <c r="F402" s="49"/>
      <c r="G402" s="49"/>
      <c r="H402" s="49"/>
      <c r="I402" s="49"/>
      <c r="J402" s="316"/>
      <c r="K402" s="360"/>
      <c r="L402" s="363"/>
      <c r="M402" s="317"/>
      <c r="N402" s="317"/>
      <c r="O402" s="366"/>
      <c r="P402" s="365"/>
      <c r="Q402" s="364"/>
      <c r="R402" s="364"/>
      <c r="S402" s="348"/>
    </row>
    <row r="403" spans="1:19" hidden="1" x14ac:dyDescent="0.25">
      <c r="A403" s="359">
        <v>0</v>
      </c>
      <c r="B403" s="49" t="s">
        <v>899</v>
      </c>
      <c r="C403" s="49"/>
      <c r="D403" s="49"/>
      <c r="E403" s="49"/>
      <c r="F403" s="49"/>
      <c r="G403" s="49"/>
      <c r="H403" s="49"/>
      <c r="I403" s="49"/>
      <c r="J403" s="316"/>
      <c r="K403" s="360"/>
      <c r="L403" s="363"/>
      <c r="M403" s="317"/>
      <c r="N403" s="317"/>
      <c r="O403" s="366"/>
      <c r="P403" s="365"/>
      <c r="Q403" s="364"/>
      <c r="R403" s="364"/>
      <c r="S403" s="348"/>
    </row>
    <row r="404" spans="1:19" hidden="1" x14ac:dyDescent="0.25">
      <c r="A404" s="359">
        <v>0</v>
      </c>
      <c r="B404" s="49" t="s">
        <v>900</v>
      </c>
      <c r="C404" s="49"/>
      <c r="D404" s="49"/>
      <c r="E404" s="49"/>
      <c r="F404" s="49"/>
      <c r="G404" s="49"/>
      <c r="H404" s="49"/>
      <c r="I404" s="49"/>
      <c r="J404" s="316"/>
      <c r="K404" s="360"/>
      <c r="L404" s="363"/>
      <c r="M404" s="317"/>
      <c r="N404" s="317"/>
      <c r="O404" s="366"/>
      <c r="P404" s="365"/>
      <c r="Q404" s="364"/>
      <c r="R404" s="364"/>
      <c r="S404" s="348"/>
    </row>
    <row r="405" spans="1:19" hidden="1" x14ac:dyDescent="0.25">
      <c r="A405" s="359">
        <v>0</v>
      </c>
      <c r="B405" s="49" t="s">
        <v>901</v>
      </c>
      <c r="C405" s="49"/>
      <c r="D405" s="49"/>
      <c r="E405" s="49"/>
      <c r="F405" s="49"/>
      <c r="G405" s="49"/>
      <c r="H405" s="49"/>
      <c r="I405" s="49"/>
      <c r="J405" s="316"/>
      <c r="K405" s="360"/>
      <c r="L405" s="363"/>
      <c r="M405" s="317"/>
      <c r="N405" s="317"/>
      <c r="O405" s="366"/>
      <c r="P405" s="365"/>
      <c r="Q405" s="364"/>
      <c r="R405" s="364"/>
      <c r="S405" s="348"/>
    </row>
    <row r="406" spans="1:19" hidden="1" x14ac:dyDescent="0.25">
      <c r="A406" s="359">
        <v>0</v>
      </c>
      <c r="B406" s="49" t="s">
        <v>902</v>
      </c>
      <c r="C406" s="49"/>
      <c r="D406" s="49"/>
      <c r="E406" s="49"/>
      <c r="F406" s="49"/>
      <c r="G406" s="49"/>
      <c r="H406" s="49"/>
      <c r="I406" s="49"/>
      <c r="J406" s="316"/>
      <c r="K406" s="360"/>
      <c r="L406" s="363"/>
      <c r="M406" s="317"/>
      <c r="N406" s="317"/>
      <c r="O406" s="366"/>
      <c r="P406" s="365"/>
      <c r="Q406" s="364"/>
      <c r="R406" s="364"/>
      <c r="S406" s="348"/>
    </row>
    <row r="407" spans="1:19" hidden="1" x14ac:dyDescent="0.25">
      <c r="A407" s="359">
        <v>0</v>
      </c>
      <c r="B407" s="49" t="s">
        <v>903</v>
      </c>
      <c r="C407" s="49"/>
      <c r="D407" s="49"/>
      <c r="E407" s="49"/>
      <c r="F407" s="49"/>
      <c r="G407" s="49"/>
      <c r="H407" s="49"/>
      <c r="I407" s="49"/>
      <c r="J407" s="316"/>
      <c r="K407" s="360"/>
      <c r="L407" s="363"/>
      <c r="M407" s="317"/>
      <c r="N407" s="317"/>
      <c r="O407" s="366"/>
      <c r="P407" s="365"/>
      <c r="Q407" s="364"/>
      <c r="R407" s="364"/>
      <c r="S407" s="348"/>
    </row>
    <row r="408" spans="1:19" hidden="1" x14ac:dyDescent="0.25">
      <c r="A408" s="359">
        <v>0</v>
      </c>
      <c r="B408" s="49" t="s">
        <v>904</v>
      </c>
      <c r="C408" s="49"/>
      <c r="D408" s="49"/>
      <c r="E408" s="49"/>
      <c r="F408" s="49"/>
      <c r="G408" s="49"/>
      <c r="H408" s="49"/>
      <c r="I408" s="49"/>
      <c r="J408" s="316"/>
      <c r="K408" s="360"/>
      <c r="L408" s="363"/>
      <c r="M408" s="371"/>
      <c r="N408" s="371"/>
      <c r="O408" s="366"/>
      <c r="P408" s="365"/>
      <c r="Q408" s="364"/>
      <c r="R408" s="364"/>
      <c r="S408" s="348"/>
    </row>
    <row r="409" spans="1:19" hidden="1" x14ac:dyDescent="0.25">
      <c r="A409" s="359">
        <v>0</v>
      </c>
      <c r="B409" s="49" t="s">
        <v>905</v>
      </c>
      <c r="C409" s="49"/>
      <c r="D409" s="49"/>
      <c r="E409" s="49"/>
      <c r="F409" s="49"/>
      <c r="G409" s="49"/>
      <c r="H409" s="49"/>
      <c r="I409" s="49"/>
      <c r="J409" s="316"/>
      <c r="K409" s="360"/>
      <c r="L409" s="363"/>
      <c r="M409" s="317"/>
      <c r="N409" s="317"/>
      <c r="O409" s="366"/>
      <c r="P409" s="365"/>
      <c r="Q409" s="364"/>
      <c r="R409" s="364"/>
      <c r="S409" s="348"/>
    </row>
    <row r="410" spans="1:19" hidden="1" x14ac:dyDescent="0.25">
      <c r="A410" s="359">
        <v>0</v>
      </c>
      <c r="B410" s="49" t="s">
        <v>906</v>
      </c>
      <c r="C410" s="49"/>
      <c r="D410" s="49"/>
      <c r="E410" s="49"/>
      <c r="F410" s="49"/>
      <c r="G410" s="49"/>
      <c r="H410" s="49"/>
      <c r="I410" s="49"/>
      <c r="J410" s="316"/>
      <c r="K410" s="360"/>
      <c r="L410" s="363"/>
      <c r="M410" s="317"/>
      <c r="N410" s="317"/>
      <c r="O410" s="366"/>
      <c r="P410" s="365"/>
      <c r="Q410" s="364"/>
      <c r="R410" s="364"/>
      <c r="S410" s="348"/>
    </row>
    <row r="411" spans="1:19" hidden="1" x14ac:dyDescent="0.25">
      <c r="A411" s="359">
        <v>0</v>
      </c>
      <c r="B411" s="49" t="s">
        <v>907</v>
      </c>
      <c r="C411" s="49"/>
      <c r="D411" s="49"/>
      <c r="E411" s="49"/>
      <c r="F411" s="49"/>
      <c r="G411" s="49"/>
      <c r="H411" s="49"/>
      <c r="I411" s="49"/>
      <c r="J411" s="316"/>
      <c r="K411" s="360"/>
      <c r="L411" s="363"/>
      <c r="M411" s="317"/>
      <c r="N411" s="317"/>
      <c r="O411" s="322"/>
      <c r="P411" s="365"/>
      <c r="Q411" s="364"/>
      <c r="R411" s="364"/>
      <c r="S411" s="348"/>
    </row>
    <row r="412" spans="1:19" hidden="1" x14ac:dyDescent="0.25">
      <c r="A412" s="359">
        <v>0</v>
      </c>
      <c r="B412" s="49" t="s">
        <v>908</v>
      </c>
      <c r="C412" s="49"/>
      <c r="D412" s="49"/>
      <c r="E412" s="49"/>
      <c r="F412" s="49"/>
      <c r="G412" s="49"/>
      <c r="H412" s="49"/>
      <c r="I412" s="49"/>
      <c r="J412" s="316"/>
      <c r="K412" s="360"/>
      <c r="L412" s="363"/>
      <c r="M412" s="317"/>
      <c r="N412" s="317"/>
      <c r="O412" s="322"/>
      <c r="P412" s="365"/>
      <c r="Q412" s="364"/>
      <c r="R412" s="364"/>
      <c r="S412" s="348"/>
    </row>
    <row r="413" spans="1:19" hidden="1" x14ac:dyDescent="0.25">
      <c r="A413" s="359">
        <v>0</v>
      </c>
      <c r="B413" s="49" t="s">
        <v>909</v>
      </c>
      <c r="C413" s="49"/>
      <c r="D413" s="49"/>
      <c r="E413" s="49"/>
      <c r="F413" s="49"/>
      <c r="G413" s="49"/>
      <c r="H413" s="49"/>
      <c r="I413" s="49"/>
      <c r="J413" s="316"/>
      <c r="K413" s="360"/>
      <c r="L413" s="363"/>
      <c r="M413" s="317"/>
      <c r="N413" s="317"/>
      <c r="O413" s="322"/>
      <c r="P413" s="365"/>
      <c r="Q413" s="364"/>
      <c r="R413" s="364"/>
      <c r="S413" s="348"/>
    </row>
    <row r="414" spans="1:19" hidden="1" x14ac:dyDescent="0.25">
      <c r="A414" s="359">
        <v>0</v>
      </c>
      <c r="B414" s="49" t="s">
        <v>910</v>
      </c>
      <c r="C414" s="49"/>
      <c r="D414" s="49"/>
      <c r="E414" s="49"/>
      <c r="F414" s="49"/>
      <c r="G414" s="49"/>
      <c r="H414" s="49"/>
      <c r="I414" s="49"/>
      <c r="J414" s="316"/>
      <c r="K414" s="360"/>
      <c r="L414" s="363"/>
      <c r="M414" s="317"/>
      <c r="N414" s="317"/>
      <c r="O414" s="322"/>
      <c r="P414" s="365"/>
      <c r="Q414" s="364"/>
      <c r="R414" s="364"/>
      <c r="S414" s="348"/>
    </row>
    <row r="415" spans="1:19" hidden="1" x14ac:dyDescent="0.25">
      <c r="A415" s="359">
        <v>0</v>
      </c>
      <c r="B415" s="49" t="s">
        <v>911</v>
      </c>
      <c r="C415" s="49"/>
      <c r="D415" s="49"/>
      <c r="E415" s="49"/>
      <c r="F415" s="49"/>
      <c r="G415" s="49"/>
      <c r="H415" s="49"/>
      <c r="I415" s="49"/>
      <c r="J415" s="316"/>
      <c r="K415" s="360"/>
      <c r="L415" s="363"/>
      <c r="M415" s="317"/>
      <c r="N415" s="317"/>
      <c r="O415" s="322"/>
      <c r="P415" s="365"/>
      <c r="Q415" s="364"/>
      <c r="R415" s="364"/>
      <c r="S415" s="348"/>
    </row>
    <row r="416" spans="1:19" hidden="1" x14ac:dyDescent="0.25">
      <c r="A416" s="359">
        <v>0</v>
      </c>
      <c r="B416" s="49" t="s">
        <v>912</v>
      </c>
      <c r="C416" s="49"/>
      <c r="D416" s="49"/>
      <c r="E416" s="49"/>
      <c r="F416" s="49"/>
      <c r="G416" s="49"/>
      <c r="H416" s="49"/>
      <c r="I416" s="49"/>
      <c r="J416" s="316"/>
      <c r="K416" s="360"/>
      <c r="L416" s="363"/>
      <c r="M416" s="317"/>
      <c r="N416" s="317"/>
      <c r="O416" s="322"/>
      <c r="P416" s="365"/>
      <c r="Q416" s="364"/>
      <c r="R416" s="364"/>
      <c r="S416" s="348"/>
    </row>
    <row r="417" spans="1:19" hidden="1" x14ac:dyDescent="0.25">
      <c r="A417" s="359">
        <v>0</v>
      </c>
      <c r="B417" s="49" t="s">
        <v>913</v>
      </c>
      <c r="C417" s="49"/>
      <c r="D417" s="49"/>
      <c r="E417" s="49"/>
      <c r="F417" s="49"/>
      <c r="G417" s="49"/>
      <c r="H417" s="49"/>
      <c r="I417" s="49"/>
      <c r="J417" s="316"/>
      <c r="K417" s="360"/>
      <c r="L417" s="363"/>
      <c r="M417" s="317"/>
      <c r="N417" s="317"/>
      <c r="O417" s="322"/>
      <c r="P417" s="365"/>
      <c r="Q417" s="364"/>
      <c r="R417" s="364"/>
      <c r="S417" s="348"/>
    </row>
    <row r="418" spans="1:19" hidden="1" x14ac:dyDescent="0.25">
      <c r="A418" s="359">
        <v>0</v>
      </c>
      <c r="B418" s="49" t="s">
        <v>914</v>
      </c>
      <c r="C418" s="49"/>
      <c r="D418" s="49"/>
      <c r="E418" s="49"/>
      <c r="F418" s="49"/>
      <c r="G418" s="49"/>
      <c r="H418" s="49"/>
      <c r="I418" s="49"/>
      <c r="J418" s="316"/>
      <c r="K418" s="360"/>
      <c r="L418" s="363"/>
      <c r="M418" s="317"/>
      <c r="N418" s="317"/>
      <c r="O418" s="322"/>
      <c r="P418" s="365"/>
      <c r="Q418" s="364"/>
      <c r="R418" s="364"/>
      <c r="S418" s="348"/>
    </row>
    <row r="419" spans="1:19" hidden="1" x14ac:dyDescent="0.25">
      <c r="A419" s="359">
        <v>0</v>
      </c>
      <c r="B419" s="49" t="s">
        <v>915</v>
      </c>
      <c r="C419" s="49"/>
      <c r="D419" s="49"/>
      <c r="E419" s="49"/>
      <c r="F419" s="49"/>
      <c r="G419" s="49"/>
      <c r="H419" s="49"/>
      <c r="I419" s="49"/>
      <c r="J419" s="316"/>
      <c r="K419" s="360"/>
      <c r="L419" s="363"/>
      <c r="M419" s="317"/>
      <c r="N419" s="317"/>
      <c r="O419" s="322"/>
      <c r="P419" s="365"/>
      <c r="Q419" s="364"/>
      <c r="R419" s="364"/>
      <c r="S419" s="348"/>
    </row>
    <row r="420" spans="1:19" hidden="1" x14ac:dyDescent="0.25">
      <c r="A420" s="359">
        <v>0</v>
      </c>
      <c r="B420" s="49" t="s">
        <v>916</v>
      </c>
      <c r="C420" s="49"/>
      <c r="D420" s="49"/>
      <c r="E420" s="49"/>
      <c r="F420" s="49"/>
      <c r="G420" s="49"/>
      <c r="H420" s="49"/>
      <c r="I420" s="49"/>
      <c r="J420" s="316"/>
      <c r="K420" s="360"/>
      <c r="L420" s="363"/>
      <c r="M420" s="317"/>
      <c r="N420" s="317"/>
      <c r="O420" s="322"/>
      <c r="P420" s="365"/>
      <c r="Q420" s="364"/>
      <c r="R420" s="364"/>
      <c r="S420" s="348"/>
    </row>
    <row r="421" spans="1:19" hidden="1" x14ac:dyDescent="0.25">
      <c r="A421" s="359">
        <v>0</v>
      </c>
      <c r="B421" s="49" t="s">
        <v>917</v>
      </c>
      <c r="C421" s="49"/>
      <c r="D421" s="49"/>
      <c r="E421" s="49"/>
      <c r="F421" s="49"/>
      <c r="G421" s="49"/>
      <c r="H421" s="49"/>
      <c r="I421" s="49"/>
      <c r="J421" s="316"/>
      <c r="K421" s="360"/>
      <c r="L421" s="363"/>
      <c r="M421" s="317"/>
      <c r="N421" s="317"/>
      <c r="O421" s="322"/>
      <c r="P421" s="365"/>
      <c r="Q421" s="364"/>
      <c r="R421" s="364"/>
      <c r="S421" s="348"/>
    </row>
    <row r="422" spans="1:19" hidden="1" x14ac:dyDescent="0.25">
      <c r="A422" s="359">
        <v>0</v>
      </c>
      <c r="B422" s="49" t="s">
        <v>918</v>
      </c>
      <c r="C422" s="49"/>
      <c r="D422" s="49"/>
      <c r="E422" s="49"/>
      <c r="F422" s="49"/>
      <c r="G422" s="49"/>
      <c r="H422" s="49"/>
      <c r="I422" s="49"/>
      <c r="J422" s="316"/>
      <c r="K422" s="360"/>
      <c r="L422" s="363"/>
      <c r="M422" s="317"/>
      <c r="N422" s="317"/>
      <c r="O422" s="322"/>
      <c r="P422" s="365"/>
      <c r="Q422" s="364"/>
      <c r="R422" s="364"/>
      <c r="S422" s="348"/>
    </row>
    <row r="423" spans="1:19" hidden="1" x14ac:dyDescent="0.25">
      <c r="A423" s="359">
        <v>0</v>
      </c>
      <c r="B423" s="49" t="s">
        <v>919</v>
      </c>
      <c r="C423" s="49"/>
      <c r="D423" s="49"/>
      <c r="E423" s="49"/>
      <c r="F423" s="49"/>
      <c r="G423" s="49"/>
      <c r="H423" s="49"/>
      <c r="I423" s="49"/>
      <c r="J423" s="316"/>
      <c r="K423" s="360"/>
      <c r="L423" s="363"/>
      <c r="M423" s="317"/>
      <c r="N423" s="317"/>
      <c r="O423" s="322"/>
      <c r="P423" s="365"/>
      <c r="Q423" s="364"/>
      <c r="R423" s="364"/>
      <c r="S423" s="348"/>
    </row>
    <row r="424" spans="1:19" hidden="1" x14ac:dyDescent="0.25">
      <c r="A424" s="359">
        <v>0</v>
      </c>
      <c r="B424" s="49" t="s">
        <v>920</v>
      </c>
      <c r="C424" s="49"/>
      <c r="D424" s="49"/>
      <c r="E424" s="49"/>
      <c r="F424" s="49"/>
      <c r="G424" s="49"/>
      <c r="H424" s="49"/>
      <c r="I424" s="49"/>
      <c r="J424" s="316"/>
      <c r="K424" s="360"/>
      <c r="L424" s="363"/>
      <c r="M424" s="317"/>
      <c r="N424" s="317"/>
      <c r="O424" s="322"/>
      <c r="P424" s="365"/>
      <c r="Q424" s="364"/>
      <c r="R424" s="364"/>
      <c r="S424" s="348"/>
    </row>
    <row r="425" spans="1:19" hidden="1" x14ac:dyDescent="0.25">
      <c r="A425" s="359">
        <v>0</v>
      </c>
      <c r="B425" s="49" t="s">
        <v>921</v>
      </c>
      <c r="C425" s="49"/>
      <c r="D425" s="49"/>
      <c r="E425" s="49"/>
      <c r="F425" s="49"/>
      <c r="G425" s="49"/>
      <c r="H425" s="49"/>
      <c r="I425" s="49"/>
      <c r="J425" s="316"/>
      <c r="K425" s="360"/>
      <c r="L425" s="363"/>
      <c r="M425" s="317"/>
      <c r="N425" s="317"/>
      <c r="O425" s="322"/>
      <c r="P425" s="365"/>
      <c r="Q425" s="364"/>
      <c r="R425" s="364"/>
      <c r="S425" s="348"/>
    </row>
    <row r="426" spans="1:19" hidden="1" x14ac:dyDescent="0.25">
      <c r="A426" s="359">
        <v>0</v>
      </c>
      <c r="B426" s="49" t="s">
        <v>922</v>
      </c>
      <c r="C426" s="49"/>
      <c r="D426" s="49"/>
      <c r="E426" s="49"/>
      <c r="F426" s="49"/>
      <c r="G426" s="49"/>
      <c r="H426" s="49"/>
      <c r="I426" s="49"/>
      <c r="J426" s="316"/>
      <c r="K426" s="360"/>
      <c r="L426" s="363"/>
      <c r="M426" s="317"/>
      <c r="N426" s="317"/>
      <c r="O426" s="322"/>
      <c r="P426" s="365"/>
      <c r="Q426" s="364"/>
      <c r="R426" s="364"/>
      <c r="S426" s="348"/>
    </row>
    <row r="427" spans="1:19" hidden="1" x14ac:dyDescent="0.25">
      <c r="A427" s="359">
        <v>0</v>
      </c>
      <c r="B427" s="49" t="s">
        <v>923</v>
      </c>
      <c r="C427" s="49"/>
      <c r="D427" s="49"/>
      <c r="E427" s="49"/>
      <c r="F427" s="49"/>
      <c r="G427" s="49"/>
      <c r="H427" s="49"/>
      <c r="I427" s="49"/>
      <c r="J427" s="316"/>
      <c r="K427" s="360"/>
      <c r="L427" s="363"/>
      <c r="M427" s="317"/>
      <c r="N427" s="317"/>
      <c r="O427" s="322"/>
      <c r="P427" s="365"/>
      <c r="Q427" s="364"/>
      <c r="R427" s="364"/>
      <c r="S427" s="348"/>
    </row>
    <row r="428" spans="1:19" hidden="1" x14ac:dyDescent="0.25">
      <c r="A428" s="359">
        <v>0</v>
      </c>
      <c r="B428" s="49" t="s">
        <v>924</v>
      </c>
      <c r="C428" s="49"/>
      <c r="D428" s="49"/>
      <c r="E428" s="49"/>
      <c r="F428" s="49"/>
      <c r="G428" s="49"/>
      <c r="H428" s="49"/>
      <c r="I428" s="49"/>
      <c r="J428" s="316"/>
      <c r="K428" s="360"/>
      <c r="L428" s="317"/>
      <c r="M428" s="317"/>
      <c r="N428" s="317"/>
      <c r="O428" s="322"/>
      <c r="P428" s="365"/>
      <c r="Q428" s="364"/>
      <c r="R428" s="364"/>
      <c r="S428" s="348"/>
    </row>
    <row r="429" spans="1:19" hidden="1" x14ac:dyDescent="0.25">
      <c r="A429" s="359">
        <v>0</v>
      </c>
      <c r="B429" s="49" t="s">
        <v>925</v>
      </c>
      <c r="C429" s="49"/>
      <c r="D429" s="49"/>
      <c r="E429" s="49"/>
      <c r="F429" s="49"/>
      <c r="G429" s="49"/>
      <c r="H429" s="49"/>
      <c r="I429" s="49"/>
      <c r="J429" s="316"/>
      <c r="K429" s="360"/>
      <c r="L429" s="317"/>
      <c r="M429" s="317"/>
      <c r="N429" s="317"/>
      <c r="O429" s="322"/>
      <c r="P429" s="365"/>
      <c r="Q429" s="364"/>
      <c r="R429" s="364"/>
      <c r="S429" s="348"/>
    </row>
    <row r="430" spans="1:19" ht="26.25" hidden="1" customHeight="1" x14ac:dyDescent="0.25">
      <c r="A430" s="359">
        <v>0</v>
      </c>
      <c r="B430" s="49" t="s">
        <v>926</v>
      </c>
      <c r="C430" s="49"/>
      <c r="D430" s="49"/>
      <c r="E430" s="49"/>
      <c r="F430" s="49"/>
      <c r="G430" s="49"/>
      <c r="H430" s="49"/>
      <c r="I430" s="49"/>
      <c r="J430" s="316"/>
      <c r="K430" s="360"/>
      <c r="L430" s="363"/>
      <c r="M430" s="317"/>
      <c r="N430" s="317"/>
      <c r="O430" s="322"/>
      <c r="P430" s="365"/>
      <c r="Q430" s="364"/>
      <c r="R430" s="364"/>
      <c r="S430" s="348"/>
    </row>
    <row r="431" spans="1:19" hidden="1" x14ac:dyDescent="0.25">
      <c r="A431" s="359">
        <v>0</v>
      </c>
      <c r="B431" s="49" t="s">
        <v>927</v>
      </c>
      <c r="C431" s="49"/>
      <c r="D431" s="49"/>
      <c r="E431" s="49"/>
      <c r="F431" s="49"/>
      <c r="G431" s="49"/>
      <c r="H431" s="49"/>
      <c r="I431" s="49"/>
      <c r="J431" s="316"/>
      <c r="K431" s="360"/>
      <c r="L431" s="363"/>
      <c r="M431" s="317"/>
      <c r="N431" s="317"/>
      <c r="O431" s="322"/>
      <c r="P431" s="365"/>
      <c r="Q431" s="364"/>
      <c r="R431" s="364"/>
      <c r="S431" s="348"/>
    </row>
    <row r="432" spans="1:19" hidden="1" x14ac:dyDescent="0.25">
      <c r="A432" s="359">
        <v>0</v>
      </c>
      <c r="B432" s="49" t="s">
        <v>928</v>
      </c>
      <c r="C432" s="49"/>
      <c r="D432" s="49"/>
      <c r="E432" s="49"/>
      <c r="F432" s="49"/>
      <c r="G432" s="49"/>
      <c r="H432" s="49"/>
      <c r="I432" s="49"/>
      <c r="J432" s="316"/>
      <c r="K432" s="360"/>
      <c r="L432" s="363"/>
      <c r="M432" s="317"/>
      <c r="N432" s="317"/>
      <c r="O432" s="322"/>
      <c r="P432" s="365"/>
      <c r="Q432" s="364"/>
      <c r="R432" s="364"/>
      <c r="S432" s="348"/>
    </row>
    <row r="433" spans="1:19" hidden="1" x14ac:dyDescent="0.25">
      <c r="A433" s="359">
        <v>0</v>
      </c>
      <c r="B433" s="49" t="s">
        <v>929</v>
      </c>
      <c r="C433" s="49"/>
      <c r="D433" s="49"/>
      <c r="E433" s="49"/>
      <c r="F433" s="49"/>
      <c r="G433" s="49"/>
      <c r="H433" s="49"/>
      <c r="I433" s="49"/>
      <c r="J433" s="316"/>
      <c r="K433" s="360"/>
      <c r="L433" s="363"/>
      <c r="M433" s="317"/>
      <c r="N433" s="317"/>
      <c r="O433" s="322"/>
      <c r="P433" s="365"/>
      <c r="Q433" s="364"/>
      <c r="R433" s="364"/>
      <c r="S433" s="348"/>
    </row>
    <row r="434" spans="1:19" hidden="1" x14ac:dyDescent="0.25">
      <c r="A434" s="359">
        <v>0</v>
      </c>
      <c r="B434" s="49" t="s">
        <v>930</v>
      </c>
      <c r="C434" s="49"/>
      <c r="D434" s="49"/>
      <c r="E434" s="49"/>
      <c r="F434" s="49"/>
      <c r="G434" s="49"/>
      <c r="H434" s="49"/>
      <c r="I434" s="49"/>
      <c r="J434" s="316"/>
      <c r="K434" s="360"/>
      <c r="L434" s="363"/>
      <c r="M434" s="317"/>
      <c r="N434" s="317"/>
      <c r="O434" s="322"/>
      <c r="P434" s="365"/>
      <c r="Q434" s="364"/>
      <c r="R434" s="364"/>
      <c r="S434" s="348"/>
    </row>
    <row r="435" spans="1:19" hidden="1" x14ac:dyDescent="0.25">
      <c r="A435" s="359">
        <v>0</v>
      </c>
      <c r="B435" s="49" t="s">
        <v>931</v>
      </c>
      <c r="C435" s="49"/>
      <c r="D435" s="49"/>
      <c r="E435" s="49"/>
      <c r="F435" s="49"/>
      <c r="G435" s="49"/>
      <c r="H435" s="49"/>
      <c r="I435" s="49"/>
      <c r="J435" s="316"/>
      <c r="K435" s="360"/>
      <c r="L435" s="363"/>
      <c r="M435" s="317"/>
      <c r="N435" s="317"/>
      <c r="O435" s="322"/>
      <c r="P435" s="365"/>
      <c r="Q435" s="364"/>
      <c r="R435" s="364"/>
      <c r="S435" s="348"/>
    </row>
    <row r="436" spans="1:19" hidden="1" x14ac:dyDescent="0.25">
      <c r="A436" s="359">
        <v>0</v>
      </c>
      <c r="B436" s="49" t="s">
        <v>932</v>
      </c>
      <c r="C436" s="49"/>
      <c r="D436" s="49"/>
      <c r="E436" s="49"/>
      <c r="F436" s="49"/>
      <c r="G436" s="49"/>
      <c r="H436" s="49"/>
      <c r="I436" s="49"/>
      <c r="J436" s="316"/>
      <c r="K436" s="360"/>
      <c r="L436" s="363"/>
      <c r="M436" s="317"/>
      <c r="N436" s="317"/>
      <c r="O436" s="322"/>
      <c r="P436" s="365"/>
      <c r="Q436" s="364"/>
      <c r="R436" s="364"/>
      <c r="S436" s="348"/>
    </row>
    <row r="437" spans="1:19" hidden="1" x14ac:dyDescent="0.25">
      <c r="A437" s="359">
        <v>0</v>
      </c>
      <c r="B437" s="49" t="s">
        <v>933</v>
      </c>
      <c r="C437" s="49"/>
      <c r="D437" s="49"/>
      <c r="E437" s="49"/>
      <c r="F437" s="49"/>
      <c r="G437" s="49"/>
      <c r="H437" s="49"/>
      <c r="I437" s="49"/>
      <c r="J437" s="316"/>
      <c r="K437" s="360"/>
      <c r="L437" s="363"/>
      <c r="M437" s="317"/>
      <c r="N437" s="317"/>
      <c r="O437" s="322"/>
      <c r="P437" s="365"/>
      <c r="Q437" s="364"/>
      <c r="R437" s="364"/>
      <c r="S437" s="348"/>
    </row>
    <row r="438" spans="1:19" hidden="1" x14ac:dyDescent="0.25">
      <c r="A438" s="359">
        <v>0</v>
      </c>
      <c r="B438" s="49" t="s">
        <v>934</v>
      </c>
      <c r="C438" s="49"/>
      <c r="D438" s="49"/>
      <c r="E438" s="49"/>
      <c r="F438" s="49"/>
      <c r="G438" s="49"/>
      <c r="H438" s="49"/>
      <c r="I438" s="49"/>
      <c r="J438" s="316"/>
      <c r="K438" s="360"/>
      <c r="L438" s="363"/>
      <c r="M438" s="317"/>
      <c r="N438" s="317"/>
      <c r="O438" s="322"/>
      <c r="P438" s="365"/>
      <c r="Q438" s="364"/>
      <c r="R438" s="364"/>
      <c r="S438" s="348"/>
    </row>
    <row r="439" spans="1:19" hidden="1" x14ac:dyDescent="0.25">
      <c r="A439" s="359">
        <v>0</v>
      </c>
      <c r="B439" s="49" t="s">
        <v>935</v>
      </c>
      <c r="C439" s="49"/>
      <c r="D439" s="49"/>
      <c r="E439" s="49"/>
      <c r="F439" s="49"/>
      <c r="G439" s="49"/>
      <c r="H439" s="49"/>
      <c r="I439" s="49"/>
      <c r="J439" s="316"/>
      <c r="K439" s="360"/>
      <c r="L439" s="363"/>
      <c r="M439" s="317"/>
      <c r="N439" s="317"/>
      <c r="O439" s="322"/>
      <c r="P439" s="365"/>
      <c r="Q439" s="364"/>
      <c r="R439" s="364"/>
      <c r="S439" s="348"/>
    </row>
    <row r="440" spans="1:19" hidden="1" x14ac:dyDescent="0.25">
      <c r="A440" s="359">
        <v>0</v>
      </c>
      <c r="B440" s="49" t="s">
        <v>936</v>
      </c>
      <c r="C440" s="49"/>
      <c r="D440" s="49"/>
      <c r="E440" s="49"/>
      <c r="F440" s="49"/>
      <c r="G440" s="49"/>
      <c r="H440" s="49"/>
      <c r="I440" s="49"/>
      <c r="J440" s="316"/>
      <c r="K440" s="360"/>
      <c r="L440" s="363"/>
      <c r="M440" s="317"/>
      <c r="N440" s="317"/>
      <c r="O440" s="322"/>
      <c r="P440" s="365"/>
      <c r="Q440" s="364"/>
      <c r="R440" s="364"/>
      <c r="S440" s="348"/>
    </row>
    <row r="441" spans="1:19" hidden="1" x14ac:dyDescent="0.25">
      <c r="A441" s="359">
        <v>0</v>
      </c>
      <c r="B441" s="49" t="s">
        <v>937</v>
      </c>
      <c r="C441" s="49"/>
      <c r="D441" s="49"/>
      <c r="E441" s="49"/>
      <c r="F441" s="49"/>
      <c r="G441" s="49"/>
      <c r="H441" s="49"/>
      <c r="I441" s="49"/>
      <c r="J441" s="316"/>
      <c r="K441" s="360"/>
      <c r="L441" s="363"/>
      <c r="M441" s="317"/>
      <c r="N441" s="317"/>
      <c r="O441" s="322"/>
      <c r="P441" s="365"/>
      <c r="Q441" s="364"/>
      <c r="R441" s="364"/>
      <c r="S441" s="348"/>
    </row>
    <row r="442" spans="1:19" hidden="1" x14ac:dyDescent="0.25">
      <c r="A442" s="359">
        <v>0</v>
      </c>
      <c r="B442" s="49" t="s">
        <v>938</v>
      </c>
      <c r="C442" s="49"/>
      <c r="D442" s="49"/>
      <c r="E442" s="49"/>
      <c r="F442" s="49"/>
      <c r="G442" s="49"/>
      <c r="H442" s="49"/>
      <c r="I442" s="49"/>
      <c r="J442" s="316"/>
      <c r="K442" s="360"/>
      <c r="L442" s="363"/>
      <c r="M442" s="317"/>
      <c r="N442" s="317"/>
      <c r="O442" s="322"/>
      <c r="P442" s="365"/>
      <c r="Q442" s="364"/>
      <c r="R442" s="364"/>
      <c r="S442" s="348"/>
    </row>
    <row r="443" spans="1:19" hidden="1" x14ac:dyDescent="0.25">
      <c r="A443" s="359">
        <v>0</v>
      </c>
      <c r="B443" s="49" t="s">
        <v>939</v>
      </c>
      <c r="C443" s="49"/>
      <c r="D443" s="49"/>
      <c r="E443" s="49"/>
      <c r="F443" s="49"/>
      <c r="G443" s="49"/>
      <c r="H443" s="49"/>
      <c r="I443" s="49"/>
      <c r="J443" s="316"/>
      <c r="K443" s="360"/>
      <c r="L443" s="363"/>
      <c r="M443" s="317"/>
      <c r="N443" s="317"/>
      <c r="O443" s="322"/>
      <c r="P443" s="365"/>
      <c r="Q443" s="364"/>
      <c r="R443" s="364"/>
      <c r="S443" s="348"/>
    </row>
    <row r="444" spans="1:19" hidden="1" x14ac:dyDescent="0.25">
      <c r="A444" s="359">
        <v>0</v>
      </c>
      <c r="B444" s="49" t="s">
        <v>940</v>
      </c>
      <c r="C444" s="49"/>
      <c r="D444" s="49"/>
      <c r="E444" s="49"/>
      <c r="F444" s="49"/>
      <c r="G444" s="49"/>
      <c r="H444" s="49"/>
      <c r="I444" s="49"/>
      <c r="J444" s="316"/>
      <c r="K444" s="360"/>
      <c r="L444" s="363"/>
      <c r="M444" s="317"/>
      <c r="N444" s="317"/>
      <c r="O444" s="322"/>
      <c r="P444" s="365"/>
      <c r="Q444" s="364"/>
      <c r="R444" s="364"/>
      <c r="S444" s="348"/>
    </row>
    <row r="445" spans="1:19" hidden="1" x14ac:dyDescent="0.25">
      <c r="A445" s="359">
        <v>0</v>
      </c>
      <c r="B445" s="49" t="s">
        <v>941</v>
      </c>
      <c r="C445" s="49"/>
      <c r="D445" s="49"/>
      <c r="E445" s="49"/>
      <c r="F445" s="49"/>
      <c r="G445" s="49"/>
      <c r="H445" s="49"/>
      <c r="I445" s="49"/>
      <c r="J445" s="316"/>
      <c r="K445" s="360"/>
      <c r="L445" s="363"/>
      <c r="M445" s="317"/>
      <c r="N445" s="317"/>
      <c r="O445" s="322"/>
      <c r="P445" s="365"/>
      <c r="Q445" s="364"/>
      <c r="R445" s="364"/>
      <c r="S445" s="348"/>
    </row>
    <row r="446" spans="1:19" hidden="1" x14ac:dyDescent="0.25">
      <c r="A446" s="359">
        <v>0</v>
      </c>
      <c r="B446" s="49" t="s">
        <v>942</v>
      </c>
      <c r="C446" s="49"/>
      <c r="D446" s="49"/>
      <c r="E446" s="49"/>
      <c r="F446" s="49"/>
      <c r="G446" s="49"/>
      <c r="H446" s="49"/>
      <c r="I446" s="49"/>
      <c r="J446" s="316"/>
      <c r="K446" s="360"/>
      <c r="L446" s="363"/>
      <c r="M446" s="317"/>
      <c r="N446" s="317"/>
      <c r="O446" s="322"/>
      <c r="P446" s="365"/>
      <c r="Q446" s="364"/>
      <c r="R446" s="364"/>
      <c r="S446" s="348"/>
    </row>
    <row r="447" spans="1:19" hidden="1" x14ac:dyDescent="0.25">
      <c r="A447" s="359">
        <v>0</v>
      </c>
      <c r="B447" s="49" t="s">
        <v>943</v>
      </c>
      <c r="C447" s="49"/>
      <c r="D447" s="49"/>
      <c r="E447" s="49"/>
      <c r="F447" s="49"/>
      <c r="G447" s="49"/>
      <c r="H447" s="49"/>
      <c r="I447" s="49"/>
      <c r="J447" s="316"/>
      <c r="K447" s="360"/>
      <c r="L447" s="363"/>
      <c r="M447" s="317"/>
      <c r="N447" s="317"/>
      <c r="O447" s="322"/>
      <c r="P447" s="365"/>
      <c r="Q447" s="364"/>
      <c r="R447" s="364"/>
      <c r="S447" s="348"/>
    </row>
    <row r="448" spans="1:19" hidden="1" x14ac:dyDescent="0.25">
      <c r="A448" s="359">
        <v>0</v>
      </c>
      <c r="B448" s="49" t="s">
        <v>944</v>
      </c>
      <c r="C448" s="49"/>
      <c r="D448" s="49"/>
      <c r="E448" s="49"/>
      <c r="F448" s="49"/>
      <c r="G448" s="49"/>
      <c r="H448" s="49"/>
      <c r="I448" s="49"/>
      <c r="J448" s="316"/>
      <c r="K448" s="360"/>
      <c r="L448" s="363"/>
      <c r="M448" s="317"/>
      <c r="N448" s="317"/>
      <c r="O448" s="322"/>
      <c r="P448" s="365"/>
      <c r="Q448" s="364"/>
      <c r="R448" s="364"/>
      <c r="S448" s="348"/>
    </row>
    <row r="449" spans="1:19" hidden="1" x14ac:dyDescent="0.25">
      <c r="A449" s="359">
        <v>0</v>
      </c>
      <c r="B449" s="49" t="s">
        <v>945</v>
      </c>
      <c r="C449" s="49"/>
      <c r="D449" s="49"/>
      <c r="E449" s="49"/>
      <c r="F449" s="49"/>
      <c r="G449" s="49"/>
      <c r="H449" s="49"/>
      <c r="I449" s="49"/>
      <c r="J449" s="316"/>
      <c r="K449" s="360"/>
      <c r="L449" s="363"/>
      <c r="M449" s="317"/>
      <c r="N449" s="317"/>
      <c r="O449" s="322"/>
      <c r="P449" s="365"/>
      <c r="Q449" s="364"/>
      <c r="R449" s="364"/>
      <c r="S449" s="348"/>
    </row>
    <row r="450" spans="1:19" hidden="1" x14ac:dyDescent="0.25">
      <c r="A450" s="359">
        <v>0</v>
      </c>
      <c r="B450" s="49" t="s">
        <v>946</v>
      </c>
      <c r="C450" s="49"/>
      <c r="D450" s="49"/>
      <c r="E450" s="49"/>
      <c r="F450" s="49"/>
      <c r="G450" s="49"/>
      <c r="H450" s="49"/>
      <c r="I450" s="49"/>
      <c r="J450" s="316"/>
      <c r="K450" s="360"/>
      <c r="L450" s="363"/>
      <c r="M450" s="317"/>
      <c r="N450" s="317"/>
      <c r="O450" s="322"/>
      <c r="P450" s="365"/>
      <c r="Q450" s="364"/>
      <c r="R450" s="364"/>
      <c r="S450" s="348"/>
    </row>
    <row r="451" spans="1:19" hidden="1" x14ac:dyDescent="0.25">
      <c r="A451" s="359">
        <v>0</v>
      </c>
      <c r="B451" s="49" t="s">
        <v>947</v>
      </c>
      <c r="C451" s="49"/>
      <c r="D451" s="49"/>
      <c r="E451" s="49"/>
      <c r="F451" s="49"/>
      <c r="G451" s="49"/>
      <c r="H451" s="49"/>
      <c r="I451" s="49"/>
      <c r="J451" s="316"/>
      <c r="K451" s="360"/>
      <c r="L451" s="363"/>
      <c r="M451" s="317"/>
      <c r="N451" s="317"/>
      <c r="O451" s="322"/>
      <c r="P451" s="365"/>
      <c r="Q451" s="364"/>
      <c r="R451" s="364"/>
      <c r="S451" s="348"/>
    </row>
    <row r="452" spans="1:19" hidden="1" x14ac:dyDescent="0.25">
      <c r="A452" s="359">
        <v>0</v>
      </c>
      <c r="B452" s="49" t="s">
        <v>948</v>
      </c>
      <c r="C452" s="49"/>
      <c r="D452" s="49"/>
      <c r="E452" s="49"/>
      <c r="F452" s="49"/>
      <c r="G452" s="49"/>
      <c r="H452" s="49"/>
      <c r="I452" s="49"/>
      <c r="J452" s="316"/>
      <c r="K452" s="360"/>
      <c r="L452" s="363"/>
      <c r="M452" s="317"/>
      <c r="N452" s="317"/>
      <c r="O452" s="322"/>
      <c r="P452" s="365"/>
      <c r="Q452" s="364"/>
      <c r="R452" s="364"/>
      <c r="S452" s="348"/>
    </row>
    <row r="453" spans="1:19" hidden="1" x14ac:dyDescent="0.25">
      <c r="A453" s="359">
        <v>0</v>
      </c>
      <c r="B453" s="49" t="s">
        <v>949</v>
      </c>
      <c r="C453" s="49"/>
      <c r="D453" s="49"/>
      <c r="E453" s="49"/>
      <c r="F453" s="49"/>
      <c r="G453" s="49"/>
      <c r="H453" s="49"/>
      <c r="I453" s="49"/>
      <c r="J453" s="316"/>
      <c r="K453" s="360"/>
      <c r="L453" s="363"/>
      <c r="M453" s="317"/>
      <c r="N453" s="317"/>
      <c r="O453" s="322"/>
      <c r="P453" s="365"/>
      <c r="Q453" s="364"/>
      <c r="R453" s="364"/>
      <c r="S453" s="348"/>
    </row>
    <row r="454" spans="1:19" ht="25.5" hidden="1" customHeight="1" x14ac:dyDescent="0.25">
      <c r="A454" s="359">
        <v>0</v>
      </c>
      <c r="B454" s="49" t="s">
        <v>950</v>
      </c>
      <c r="C454" s="49"/>
      <c r="D454" s="49"/>
      <c r="E454" s="49"/>
      <c r="F454" s="49"/>
      <c r="G454" s="49"/>
      <c r="H454" s="49"/>
      <c r="I454" s="49"/>
      <c r="J454" s="316"/>
      <c r="K454" s="360"/>
      <c r="L454" s="363"/>
      <c r="M454" s="317"/>
      <c r="N454" s="317"/>
      <c r="O454" s="322"/>
      <c r="P454" s="365"/>
      <c r="Q454" s="364"/>
      <c r="R454" s="364"/>
      <c r="S454" s="348"/>
    </row>
    <row r="455" spans="1:19" hidden="1" x14ac:dyDescent="0.25">
      <c r="A455" s="359">
        <v>0</v>
      </c>
      <c r="B455" s="49" t="s">
        <v>951</v>
      </c>
      <c r="C455" s="49"/>
      <c r="D455" s="49"/>
      <c r="E455" s="49"/>
      <c r="F455" s="49"/>
      <c r="G455" s="49"/>
      <c r="H455" s="49"/>
      <c r="I455" s="49"/>
      <c r="J455" s="316"/>
      <c r="K455" s="360"/>
      <c r="L455" s="363"/>
      <c r="M455" s="317"/>
      <c r="N455" s="317"/>
      <c r="O455" s="322"/>
      <c r="P455" s="365"/>
      <c r="Q455" s="364"/>
      <c r="R455" s="364"/>
      <c r="S455" s="348"/>
    </row>
    <row r="456" spans="1:19" hidden="1" x14ac:dyDescent="0.25">
      <c r="A456" s="359">
        <v>0</v>
      </c>
      <c r="B456" s="49" t="s">
        <v>952</v>
      </c>
      <c r="C456" s="49"/>
      <c r="D456" s="49"/>
      <c r="E456" s="49"/>
      <c r="F456" s="49"/>
      <c r="G456" s="29"/>
      <c r="H456" s="49"/>
      <c r="I456" s="49"/>
      <c r="J456" s="316"/>
      <c r="K456" s="360"/>
      <c r="L456" s="363"/>
      <c r="M456" s="317"/>
      <c r="N456" s="317"/>
      <c r="O456" s="322"/>
      <c r="P456" s="365"/>
      <c r="Q456" s="364"/>
      <c r="R456" s="364"/>
      <c r="S456" s="348"/>
    </row>
    <row r="457" spans="1:19" ht="25.5" hidden="1" customHeight="1" x14ac:dyDescent="0.25">
      <c r="A457" s="359">
        <v>0</v>
      </c>
      <c r="B457" s="49" t="s">
        <v>953</v>
      </c>
      <c r="C457" s="49"/>
      <c r="D457" s="49"/>
      <c r="E457" s="49"/>
      <c r="F457" s="49"/>
      <c r="G457" s="49"/>
      <c r="H457" s="49"/>
      <c r="I457" s="49"/>
      <c r="J457" s="316"/>
      <c r="K457" s="360"/>
      <c r="L457" s="363"/>
      <c r="M457" s="317"/>
      <c r="N457" s="317"/>
      <c r="O457" s="322"/>
      <c r="P457" s="365"/>
      <c r="Q457" s="364"/>
      <c r="R457" s="364"/>
      <c r="S457" s="348"/>
    </row>
    <row r="458" spans="1:19" hidden="1" x14ac:dyDescent="0.25">
      <c r="A458" s="359">
        <v>0</v>
      </c>
      <c r="B458" s="49" t="s">
        <v>954</v>
      </c>
      <c r="C458" s="49"/>
      <c r="D458" s="49"/>
      <c r="E458" s="49"/>
      <c r="F458" s="49"/>
      <c r="G458" s="49"/>
      <c r="H458" s="49"/>
      <c r="I458" s="49"/>
      <c r="J458" s="316"/>
      <c r="K458" s="360"/>
      <c r="L458" s="363"/>
      <c r="M458" s="317"/>
      <c r="N458" s="317"/>
      <c r="O458" s="322"/>
      <c r="P458" s="365"/>
      <c r="Q458" s="364"/>
      <c r="R458" s="364"/>
      <c r="S458" s="348"/>
    </row>
    <row r="459" spans="1:19" hidden="1" x14ac:dyDescent="0.25">
      <c r="A459" s="359">
        <v>0</v>
      </c>
      <c r="B459" s="49" t="s">
        <v>955</v>
      </c>
      <c r="C459" s="49"/>
      <c r="D459" s="49"/>
      <c r="E459" s="49"/>
      <c r="F459" s="49"/>
      <c r="G459" s="49"/>
      <c r="H459" s="49"/>
      <c r="I459" s="49"/>
      <c r="J459" s="316"/>
      <c r="K459" s="360"/>
      <c r="L459" s="363"/>
      <c r="M459" s="317"/>
      <c r="N459" s="317"/>
      <c r="O459" s="322"/>
      <c r="P459" s="365"/>
      <c r="Q459" s="364"/>
      <c r="R459" s="364"/>
      <c r="S459" s="348"/>
    </row>
    <row r="460" spans="1:19" hidden="1" x14ac:dyDescent="0.25">
      <c r="A460" s="359">
        <v>0</v>
      </c>
      <c r="B460" s="49" t="s">
        <v>956</v>
      </c>
      <c r="C460" s="49"/>
      <c r="D460" s="49"/>
      <c r="E460" s="49"/>
      <c r="F460" s="49"/>
      <c r="G460" s="49"/>
      <c r="H460" s="49"/>
      <c r="I460" s="49"/>
      <c r="J460" s="316"/>
      <c r="K460" s="360"/>
      <c r="L460" s="363"/>
      <c r="M460" s="317"/>
      <c r="N460" s="317"/>
      <c r="O460" s="322"/>
      <c r="P460" s="365"/>
      <c r="Q460" s="364"/>
      <c r="R460" s="364"/>
      <c r="S460" s="348"/>
    </row>
    <row r="461" spans="1:19" ht="28.5" hidden="1" customHeight="1" x14ac:dyDescent="0.25">
      <c r="A461" s="359">
        <v>0</v>
      </c>
      <c r="B461" s="49" t="s">
        <v>957</v>
      </c>
      <c r="C461" s="49"/>
      <c r="D461" s="49"/>
      <c r="E461" s="49"/>
      <c r="F461" s="49"/>
      <c r="G461" s="49"/>
      <c r="H461" s="49"/>
      <c r="I461" s="49"/>
      <c r="J461" s="316"/>
      <c r="K461" s="360"/>
      <c r="L461" s="363"/>
      <c r="M461" s="317"/>
      <c r="N461" s="317"/>
      <c r="O461" s="322"/>
      <c r="P461" s="365"/>
      <c r="Q461" s="364"/>
      <c r="R461" s="364"/>
      <c r="S461" s="348"/>
    </row>
    <row r="462" spans="1:19" ht="28.5" hidden="1" customHeight="1" x14ac:dyDescent="0.25">
      <c r="A462" s="359">
        <v>0</v>
      </c>
      <c r="B462" s="49" t="s">
        <v>958</v>
      </c>
      <c r="C462" s="49"/>
      <c r="D462" s="49"/>
      <c r="E462" s="49"/>
      <c r="F462" s="49"/>
      <c r="G462" s="49"/>
      <c r="H462" s="49"/>
      <c r="I462" s="49"/>
      <c r="J462" s="316"/>
      <c r="K462" s="360"/>
      <c r="L462" s="363"/>
      <c r="M462" s="317"/>
      <c r="N462" s="317"/>
      <c r="O462" s="322"/>
      <c r="P462" s="365"/>
      <c r="Q462" s="364"/>
      <c r="R462" s="364"/>
      <c r="S462" s="348"/>
    </row>
    <row r="463" spans="1:19" hidden="1" x14ac:dyDescent="0.25">
      <c r="A463" s="359">
        <v>0</v>
      </c>
      <c r="B463" s="49" t="s">
        <v>959</v>
      </c>
      <c r="C463" s="49"/>
      <c r="D463" s="49"/>
      <c r="E463" s="49"/>
      <c r="F463" s="49"/>
      <c r="G463" s="49"/>
      <c r="H463" s="49"/>
      <c r="I463" s="49"/>
      <c r="J463" s="316"/>
      <c r="K463" s="360"/>
      <c r="L463" s="363"/>
      <c r="M463" s="317"/>
      <c r="N463" s="317"/>
      <c r="O463" s="322"/>
      <c r="P463" s="365"/>
      <c r="Q463" s="364"/>
      <c r="R463" s="364"/>
      <c r="S463" s="348"/>
    </row>
    <row r="464" spans="1:19" hidden="1" x14ac:dyDescent="0.25">
      <c r="A464" s="359">
        <v>0</v>
      </c>
      <c r="B464" s="49" t="s">
        <v>960</v>
      </c>
      <c r="C464" s="49"/>
      <c r="D464" s="49"/>
      <c r="E464" s="49"/>
      <c r="F464" s="49"/>
      <c r="G464" s="49"/>
      <c r="H464" s="49"/>
      <c r="I464" s="49"/>
      <c r="J464" s="316"/>
      <c r="K464" s="360"/>
      <c r="L464" s="363"/>
      <c r="M464" s="317"/>
      <c r="N464" s="317"/>
      <c r="O464" s="322"/>
      <c r="P464" s="365"/>
      <c r="Q464" s="364"/>
      <c r="R464" s="364"/>
      <c r="S464" s="348"/>
    </row>
    <row r="465" spans="1:19" hidden="1" x14ac:dyDescent="0.25">
      <c r="A465" s="359">
        <v>0</v>
      </c>
      <c r="B465" s="49" t="s">
        <v>961</v>
      </c>
      <c r="C465" s="49"/>
      <c r="D465" s="49"/>
      <c r="E465" s="49"/>
      <c r="F465" s="378"/>
      <c r="G465" s="49"/>
      <c r="H465" s="49"/>
      <c r="I465" s="49"/>
      <c r="J465" s="316"/>
      <c r="K465" s="360"/>
      <c r="L465" s="363"/>
      <c r="M465" s="317"/>
      <c r="N465" s="317"/>
      <c r="O465" s="322"/>
      <c r="P465" s="365"/>
      <c r="Q465" s="364"/>
      <c r="R465" s="364"/>
      <c r="S465" s="348"/>
    </row>
    <row r="466" spans="1:19" hidden="1" x14ac:dyDescent="0.25">
      <c r="A466" s="359">
        <v>0</v>
      </c>
      <c r="B466" s="49" t="s">
        <v>962</v>
      </c>
      <c r="C466" s="49"/>
      <c r="D466" s="49"/>
      <c r="E466" s="49"/>
      <c r="F466" s="378"/>
      <c r="G466" s="49"/>
      <c r="H466" s="49"/>
      <c r="I466" s="49"/>
      <c r="J466" s="316"/>
      <c r="K466" s="360"/>
      <c r="L466" s="363"/>
      <c r="M466" s="317"/>
      <c r="N466" s="317"/>
      <c r="O466" s="322"/>
      <c r="P466" s="365"/>
      <c r="Q466" s="364"/>
      <c r="R466" s="364"/>
      <c r="S466" s="348"/>
    </row>
    <row r="467" spans="1:19" hidden="1" x14ac:dyDescent="0.25">
      <c r="A467" s="359">
        <v>0</v>
      </c>
      <c r="B467" s="49" t="s">
        <v>963</v>
      </c>
      <c r="C467" s="49"/>
      <c r="D467" s="49"/>
      <c r="E467" s="49"/>
      <c r="F467" s="378"/>
      <c r="G467" s="49"/>
      <c r="H467" s="49"/>
      <c r="I467" s="49"/>
      <c r="J467" s="316"/>
      <c r="K467" s="360"/>
      <c r="L467" s="363"/>
      <c r="M467" s="317"/>
      <c r="N467" s="317"/>
      <c r="O467" s="322"/>
      <c r="P467" s="365"/>
      <c r="Q467" s="364"/>
      <c r="R467" s="364"/>
      <c r="S467" s="348"/>
    </row>
    <row r="468" spans="1:19" ht="29.25" hidden="1" customHeight="1" x14ac:dyDescent="0.25">
      <c r="A468" s="359">
        <v>0</v>
      </c>
      <c r="B468" s="49" t="s">
        <v>964</v>
      </c>
      <c r="C468" s="49"/>
      <c r="D468" s="49"/>
      <c r="E468" s="49"/>
      <c r="F468" s="378"/>
      <c r="G468" s="49"/>
      <c r="H468" s="49"/>
      <c r="I468" s="49"/>
      <c r="J468" s="316"/>
      <c r="K468" s="360"/>
      <c r="L468" s="363"/>
      <c r="M468" s="317"/>
      <c r="N468" s="317"/>
      <c r="O468" s="322"/>
      <c r="P468" s="365"/>
      <c r="Q468" s="364"/>
      <c r="R468" s="364"/>
      <c r="S468" s="348"/>
    </row>
    <row r="469" spans="1:19" hidden="1" x14ac:dyDescent="0.25">
      <c r="A469" s="359">
        <v>0</v>
      </c>
      <c r="B469" s="49" t="s">
        <v>965</v>
      </c>
      <c r="C469" s="49"/>
      <c r="D469" s="49"/>
      <c r="E469" s="49"/>
      <c r="F469" s="378"/>
      <c r="G469" s="49"/>
      <c r="H469" s="49"/>
      <c r="I469" s="49"/>
      <c r="J469" s="316"/>
      <c r="K469" s="360"/>
      <c r="L469" s="363"/>
      <c r="M469" s="317"/>
      <c r="N469" s="317"/>
      <c r="O469" s="322"/>
      <c r="P469" s="365"/>
      <c r="Q469" s="364"/>
      <c r="R469" s="364"/>
      <c r="S469" s="348"/>
    </row>
    <row r="470" spans="1:19" hidden="1" x14ac:dyDescent="0.25">
      <c r="A470" s="359">
        <v>0</v>
      </c>
      <c r="B470" s="49" t="s">
        <v>966</v>
      </c>
      <c r="C470" s="49"/>
      <c r="D470" s="49"/>
      <c r="E470" s="49"/>
      <c r="F470" s="378"/>
      <c r="G470" s="49"/>
      <c r="H470" s="49"/>
      <c r="I470" s="49"/>
      <c r="J470" s="316"/>
      <c r="K470" s="360"/>
      <c r="L470" s="363"/>
      <c r="M470" s="317"/>
      <c r="N470" s="317"/>
      <c r="O470" s="322"/>
      <c r="P470" s="365"/>
      <c r="Q470" s="364"/>
      <c r="R470" s="364"/>
      <c r="S470" s="348"/>
    </row>
    <row r="471" spans="1:19" hidden="1" x14ac:dyDescent="0.25">
      <c r="A471" s="359">
        <v>0</v>
      </c>
      <c r="B471" s="49" t="s">
        <v>967</v>
      </c>
      <c r="C471" s="49"/>
      <c r="D471" s="49"/>
      <c r="E471" s="49"/>
      <c r="F471" s="378"/>
      <c r="G471" s="49"/>
      <c r="H471" s="49"/>
      <c r="I471" s="49"/>
      <c r="J471" s="316"/>
      <c r="K471" s="360"/>
      <c r="L471" s="363"/>
      <c r="M471" s="317"/>
      <c r="N471" s="317"/>
      <c r="O471" s="322"/>
      <c r="P471" s="365"/>
      <c r="Q471" s="364"/>
      <c r="R471" s="364"/>
      <c r="S471" s="348"/>
    </row>
    <row r="472" spans="1:19" hidden="1" x14ac:dyDescent="0.25">
      <c r="A472" s="359">
        <v>0</v>
      </c>
      <c r="B472" s="49" t="s">
        <v>968</v>
      </c>
      <c r="C472" s="49"/>
      <c r="D472" s="49"/>
      <c r="E472" s="49"/>
      <c r="F472" s="378"/>
      <c r="G472" s="49"/>
      <c r="H472" s="49"/>
      <c r="I472" s="49"/>
      <c r="J472" s="316"/>
      <c r="K472" s="360"/>
      <c r="L472" s="363"/>
      <c r="M472" s="317"/>
      <c r="N472" s="317"/>
      <c r="O472" s="322"/>
      <c r="P472" s="365"/>
      <c r="Q472" s="364"/>
      <c r="R472" s="364"/>
      <c r="S472" s="348"/>
    </row>
    <row r="473" spans="1:19" hidden="1" x14ac:dyDescent="0.25">
      <c r="A473" s="359">
        <v>0</v>
      </c>
      <c r="B473" s="49" t="s">
        <v>969</v>
      </c>
      <c r="C473" s="49"/>
      <c r="D473" s="49"/>
      <c r="E473" s="49"/>
      <c r="F473" s="378"/>
      <c r="G473" s="49"/>
      <c r="H473" s="49"/>
      <c r="I473" s="49"/>
      <c r="J473" s="316"/>
      <c r="K473" s="360"/>
      <c r="L473" s="363"/>
      <c r="M473" s="317"/>
      <c r="N473" s="317"/>
      <c r="O473" s="322"/>
      <c r="P473" s="365"/>
      <c r="Q473" s="364"/>
      <c r="R473" s="364"/>
      <c r="S473" s="348"/>
    </row>
    <row r="474" spans="1:19" hidden="1" x14ac:dyDescent="0.25">
      <c r="A474" s="359">
        <v>0</v>
      </c>
      <c r="B474" s="49" t="s">
        <v>970</v>
      </c>
      <c r="C474" s="49"/>
      <c r="D474" s="49"/>
      <c r="E474" s="49"/>
      <c r="F474" s="378"/>
      <c r="G474" s="49"/>
      <c r="H474" s="49"/>
      <c r="I474" s="49"/>
      <c r="J474" s="316"/>
      <c r="K474" s="360"/>
      <c r="L474" s="363"/>
      <c r="M474" s="317"/>
      <c r="N474" s="317"/>
      <c r="O474" s="322"/>
      <c r="P474" s="365"/>
      <c r="Q474" s="364"/>
      <c r="R474" s="364"/>
      <c r="S474" s="348"/>
    </row>
    <row r="475" spans="1:19" hidden="1" x14ac:dyDescent="0.25">
      <c r="A475" s="359">
        <v>0</v>
      </c>
      <c r="B475" s="49" t="s">
        <v>971</v>
      </c>
      <c r="C475" s="49"/>
      <c r="D475" s="49"/>
      <c r="E475" s="49"/>
      <c r="F475" s="378"/>
      <c r="G475" s="49"/>
      <c r="H475" s="49"/>
      <c r="I475" s="49"/>
      <c r="J475" s="316"/>
      <c r="K475" s="360"/>
      <c r="L475" s="363"/>
      <c r="M475" s="317"/>
      <c r="N475" s="317"/>
      <c r="O475" s="322"/>
      <c r="P475" s="365"/>
      <c r="Q475" s="364"/>
      <c r="R475" s="364"/>
      <c r="S475" s="348"/>
    </row>
    <row r="476" spans="1:19" hidden="1" x14ac:dyDescent="0.25">
      <c r="A476" s="359">
        <v>0</v>
      </c>
      <c r="B476" s="49" t="s">
        <v>972</v>
      </c>
      <c r="C476" s="49"/>
      <c r="D476" s="49"/>
      <c r="E476" s="49"/>
      <c r="F476" s="378"/>
      <c r="G476" s="49"/>
      <c r="H476" s="49"/>
      <c r="I476" s="49"/>
      <c r="J476" s="316"/>
      <c r="K476" s="360"/>
      <c r="L476" s="363"/>
      <c r="M476" s="317"/>
      <c r="N476" s="317"/>
      <c r="O476" s="322"/>
      <c r="P476" s="365"/>
      <c r="Q476" s="364"/>
      <c r="R476" s="364"/>
      <c r="S476" s="348"/>
    </row>
    <row r="477" spans="1:19" hidden="1" x14ac:dyDescent="0.25">
      <c r="A477" s="359">
        <v>0</v>
      </c>
      <c r="B477" s="49" t="s">
        <v>973</v>
      </c>
      <c r="C477" s="49"/>
      <c r="D477" s="49"/>
      <c r="E477" s="49"/>
      <c r="F477" s="378"/>
      <c r="G477" s="49"/>
      <c r="H477" s="49"/>
      <c r="I477" s="49"/>
      <c r="J477" s="316"/>
      <c r="K477" s="360"/>
      <c r="L477" s="363"/>
      <c r="M477" s="317"/>
      <c r="N477" s="317"/>
      <c r="O477" s="322"/>
      <c r="P477" s="365"/>
      <c r="Q477" s="364"/>
      <c r="R477" s="364"/>
      <c r="S477" s="348"/>
    </row>
    <row r="478" spans="1:19" hidden="1" x14ac:dyDescent="0.25">
      <c r="A478" s="359">
        <v>0</v>
      </c>
      <c r="B478" s="49" t="s">
        <v>974</v>
      </c>
      <c r="C478" s="49"/>
      <c r="D478" s="49"/>
      <c r="E478" s="49"/>
      <c r="F478" s="378"/>
      <c r="G478" s="49"/>
      <c r="H478" s="49"/>
      <c r="I478" s="49"/>
      <c r="J478" s="316"/>
      <c r="K478" s="360"/>
      <c r="L478" s="363"/>
      <c r="M478" s="409"/>
      <c r="N478" s="317"/>
      <c r="O478" s="322"/>
      <c r="P478" s="365"/>
      <c r="Q478" s="364"/>
      <c r="R478" s="364"/>
      <c r="S478" s="348"/>
    </row>
    <row r="479" spans="1:19" hidden="1" x14ac:dyDescent="0.25">
      <c r="A479" s="359">
        <v>0</v>
      </c>
      <c r="B479" s="49" t="s">
        <v>975</v>
      </c>
      <c r="C479" s="49"/>
      <c r="D479" s="49"/>
      <c r="E479" s="49"/>
      <c r="F479" s="378"/>
      <c r="G479" s="49"/>
      <c r="H479" s="49"/>
      <c r="I479" s="49"/>
      <c r="J479" s="316"/>
      <c r="K479" s="360"/>
      <c r="L479" s="363"/>
      <c r="M479" s="317"/>
      <c r="N479" s="317"/>
      <c r="O479" s="322"/>
      <c r="P479" s="365"/>
      <c r="Q479" s="364"/>
      <c r="R479" s="364"/>
      <c r="S479" s="348"/>
    </row>
    <row r="480" spans="1:19" hidden="1" x14ac:dyDescent="0.25">
      <c r="A480" s="359">
        <v>0</v>
      </c>
      <c r="B480" s="49" t="s">
        <v>976</v>
      </c>
      <c r="C480" s="49"/>
      <c r="D480" s="49"/>
      <c r="E480" s="49"/>
      <c r="F480" s="378"/>
      <c r="G480" s="49"/>
      <c r="H480" s="49"/>
      <c r="I480" s="49"/>
      <c r="J480" s="316"/>
      <c r="K480" s="360"/>
      <c r="L480" s="363"/>
      <c r="M480" s="317"/>
      <c r="N480" s="317"/>
      <c r="O480" s="322"/>
      <c r="P480" s="365"/>
      <c r="Q480" s="364"/>
      <c r="R480" s="364"/>
      <c r="S480" s="348"/>
    </row>
    <row r="481" spans="1:19" hidden="1" x14ac:dyDescent="0.25">
      <c r="A481" s="359">
        <v>0</v>
      </c>
      <c r="B481" s="49" t="s">
        <v>977</v>
      </c>
      <c r="C481" s="49"/>
      <c r="D481" s="49"/>
      <c r="E481" s="49"/>
      <c r="F481" s="378"/>
      <c r="G481" s="49"/>
      <c r="H481" s="49"/>
      <c r="I481" s="49"/>
      <c r="J481" s="316"/>
      <c r="K481" s="360"/>
      <c r="L481" s="363"/>
      <c r="M481" s="317"/>
      <c r="N481" s="317"/>
      <c r="O481" s="322"/>
      <c r="P481" s="365"/>
      <c r="Q481" s="364"/>
      <c r="R481" s="364"/>
      <c r="S481" s="348"/>
    </row>
    <row r="482" spans="1:19" hidden="1" x14ac:dyDescent="0.25">
      <c r="A482" s="359">
        <v>0</v>
      </c>
      <c r="B482" s="49" t="s">
        <v>978</v>
      </c>
      <c r="C482" s="49"/>
      <c r="D482" s="49"/>
      <c r="E482" s="49"/>
      <c r="F482" s="378"/>
      <c r="G482" s="49"/>
      <c r="H482" s="49"/>
      <c r="I482" s="49"/>
      <c r="J482" s="316"/>
      <c r="K482" s="360"/>
      <c r="L482" s="363"/>
      <c r="M482" s="317"/>
      <c r="N482" s="317"/>
      <c r="O482" s="322"/>
      <c r="P482" s="365"/>
      <c r="Q482" s="364"/>
      <c r="R482" s="364"/>
      <c r="S482" s="348"/>
    </row>
    <row r="483" spans="1:19" hidden="1" x14ac:dyDescent="0.25">
      <c r="A483" s="359">
        <v>0</v>
      </c>
      <c r="B483" s="49" t="s">
        <v>979</v>
      </c>
      <c r="C483" s="49"/>
      <c r="D483" s="49"/>
      <c r="E483" s="49"/>
      <c r="F483" s="378"/>
      <c r="G483" s="49"/>
      <c r="H483" s="49"/>
      <c r="I483" s="49"/>
      <c r="J483" s="316"/>
      <c r="K483" s="360"/>
      <c r="L483" s="363"/>
      <c r="M483" s="317"/>
      <c r="N483" s="317"/>
      <c r="O483" s="322"/>
      <c r="P483" s="365"/>
      <c r="Q483" s="364"/>
      <c r="R483" s="364"/>
      <c r="S483" s="348"/>
    </row>
    <row r="484" spans="1:19" hidden="1" x14ac:dyDescent="0.25">
      <c r="A484" s="359">
        <v>0</v>
      </c>
      <c r="B484" s="49" t="s">
        <v>980</v>
      </c>
      <c r="C484" s="49"/>
      <c r="D484" s="49"/>
      <c r="E484" s="49"/>
      <c r="F484" s="378"/>
      <c r="G484" s="49"/>
      <c r="H484" s="49"/>
      <c r="I484" s="49"/>
      <c r="J484" s="316"/>
      <c r="K484" s="360"/>
      <c r="L484" s="363"/>
      <c r="M484" s="317"/>
      <c r="N484" s="317"/>
      <c r="O484" s="322"/>
      <c r="P484" s="365"/>
      <c r="Q484" s="364"/>
      <c r="R484" s="364"/>
      <c r="S484" s="348"/>
    </row>
    <row r="485" spans="1:19" hidden="1" x14ac:dyDescent="0.25">
      <c r="A485" s="359">
        <v>0</v>
      </c>
      <c r="B485" s="49" t="s">
        <v>981</v>
      </c>
      <c r="C485" s="49"/>
      <c r="D485" s="49"/>
      <c r="E485" s="49"/>
      <c r="F485" s="378"/>
      <c r="G485" s="49"/>
      <c r="H485" s="49"/>
      <c r="I485" s="49"/>
      <c r="J485" s="316"/>
      <c r="K485" s="360"/>
      <c r="L485" s="363"/>
      <c r="M485" s="317"/>
      <c r="N485" s="317"/>
      <c r="O485" s="322"/>
      <c r="P485" s="365"/>
      <c r="Q485" s="364"/>
      <c r="R485" s="364"/>
      <c r="S485" s="348"/>
    </row>
    <row r="486" spans="1:19" hidden="1" x14ac:dyDescent="0.25">
      <c r="A486" s="359">
        <v>0</v>
      </c>
      <c r="B486" s="49" t="s">
        <v>982</v>
      </c>
      <c r="C486" s="49"/>
      <c r="D486" s="49"/>
      <c r="E486" s="49"/>
      <c r="F486" s="378"/>
      <c r="G486" s="49"/>
      <c r="H486" s="49"/>
      <c r="I486" s="49"/>
      <c r="J486" s="316"/>
      <c r="K486" s="360"/>
      <c r="L486" s="363"/>
      <c r="M486" s="317"/>
      <c r="N486" s="317"/>
      <c r="O486" s="322"/>
      <c r="P486" s="365"/>
      <c r="Q486" s="364"/>
      <c r="R486" s="364"/>
      <c r="S486" s="348"/>
    </row>
    <row r="487" spans="1:19" hidden="1" x14ac:dyDescent="0.25">
      <c r="A487" s="359">
        <v>0</v>
      </c>
      <c r="B487" s="49" t="s">
        <v>983</v>
      </c>
      <c r="C487" s="49"/>
      <c r="D487" s="49"/>
      <c r="E487" s="49"/>
      <c r="F487" s="378"/>
      <c r="G487" s="49"/>
      <c r="H487" s="49"/>
      <c r="I487" s="49"/>
      <c r="J487" s="316"/>
      <c r="K487" s="360"/>
      <c r="L487" s="363"/>
      <c r="M487" s="317"/>
      <c r="N487" s="317"/>
      <c r="O487" s="322"/>
      <c r="P487" s="365"/>
      <c r="Q487" s="364"/>
      <c r="R487" s="364"/>
      <c r="S487" s="348"/>
    </row>
    <row r="488" spans="1:19" hidden="1" x14ac:dyDescent="0.25">
      <c r="A488" s="359">
        <v>0</v>
      </c>
      <c r="B488" s="49" t="s">
        <v>984</v>
      </c>
      <c r="C488" s="49"/>
      <c r="D488" s="49"/>
      <c r="E488" s="49"/>
      <c r="F488" s="378"/>
      <c r="G488" s="49"/>
      <c r="H488" s="49"/>
      <c r="I488" s="49"/>
      <c r="J488" s="316"/>
      <c r="K488" s="360"/>
      <c r="L488" s="363"/>
      <c r="M488" s="317"/>
      <c r="N488" s="317"/>
      <c r="O488" s="322"/>
      <c r="P488" s="365"/>
      <c r="Q488" s="364"/>
      <c r="R488" s="364"/>
      <c r="S488" s="348"/>
    </row>
    <row r="489" spans="1:19" hidden="1" x14ac:dyDescent="0.25">
      <c r="A489" s="359">
        <v>0</v>
      </c>
      <c r="B489" s="49" t="s">
        <v>985</v>
      </c>
      <c r="C489" s="49"/>
      <c r="D489" s="49"/>
      <c r="E489" s="49"/>
      <c r="F489" s="378"/>
      <c r="G489" s="49"/>
      <c r="H489" s="49"/>
      <c r="I489" s="49"/>
      <c r="J489" s="316"/>
      <c r="K489" s="360"/>
      <c r="L489" s="363"/>
      <c r="M489" s="317"/>
      <c r="N489" s="317"/>
      <c r="O489" s="322"/>
      <c r="P489" s="365"/>
      <c r="Q489" s="364"/>
      <c r="R489" s="364"/>
      <c r="S489" s="348"/>
    </row>
    <row r="490" spans="1:19" hidden="1" x14ac:dyDescent="0.25">
      <c r="A490" s="359">
        <v>0</v>
      </c>
      <c r="B490" s="49" t="s">
        <v>986</v>
      </c>
      <c r="C490" s="49"/>
      <c r="D490" s="49"/>
      <c r="E490" s="49"/>
      <c r="F490" s="378"/>
      <c r="G490" s="49"/>
      <c r="H490" s="49"/>
      <c r="I490" s="49"/>
      <c r="J490" s="316"/>
      <c r="K490" s="360"/>
      <c r="L490" s="363"/>
      <c r="M490" s="317"/>
      <c r="N490" s="317"/>
      <c r="O490" s="322"/>
      <c r="P490" s="365"/>
      <c r="Q490" s="364"/>
      <c r="R490" s="364"/>
      <c r="S490" s="348"/>
    </row>
    <row r="491" spans="1:19" hidden="1" x14ac:dyDescent="0.25">
      <c r="A491" s="359">
        <v>0</v>
      </c>
      <c r="B491" s="49" t="s">
        <v>987</v>
      </c>
      <c r="C491" s="49"/>
      <c r="D491" s="49"/>
      <c r="E491" s="49"/>
      <c r="F491" s="378"/>
      <c r="G491" s="49"/>
      <c r="H491" s="49"/>
      <c r="I491" s="49"/>
      <c r="J491" s="316"/>
      <c r="K491" s="360"/>
      <c r="L491" s="363"/>
      <c r="M491" s="317"/>
      <c r="N491" s="317"/>
      <c r="O491" s="322"/>
      <c r="P491" s="365"/>
      <c r="Q491" s="364"/>
      <c r="R491" s="364"/>
      <c r="S491" s="348"/>
    </row>
    <row r="492" spans="1:19" hidden="1" x14ac:dyDescent="0.25">
      <c r="A492" s="359">
        <v>0</v>
      </c>
      <c r="B492" s="49" t="s">
        <v>988</v>
      </c>
      <c r="C492" s="49"/>
      <c r="D492" s="49"/>
      <c r="E492" s="49"/>
      <c r="F492" s="378"/>
      <c r="G492" s="49"/>
      <c r="H492" s="49"/>
      <c r="I492" s="49"/>
      <c r="J492" s="316"/>
      <c r="K492" s="360"/>
      <c r="L492" s="363"/>
      <c r="M492" s="317"/>
      <c r="N492" s="317"/>
      <c r="O492" s="322"/>
      <c r="P492" s="365"/>
      <c r="Q492" s="364"/>
      <c r="R492" s="364"/>
      <c r="S492" s="348"/>
    </row>
    <row r="493" spans="1:19" hidden="1" x14ac:dyDescent="0.25">
      <c r="A493" s="359">
        <v>0</v>
      </c>
      <c r="B493" s="49" t="s">
        <v>989</v>
      </c>
      <c r="C493" s="49"/>
      <c r="D493" s="49"/>
      <c r="E493" s="49"/>
      <c r="F493" s="378"/>
      <c r="G493" s="49"/>
      <c r="H493" s="49"/>
      <c r="I493" s="49"/>
      <c r="J493" s="316"/>
      <c r="K493" s="360"/>
      <c r="L493" s="363"/>
      <c r="M493" s="317"/>
      <c r="N493" s="317"/>
      <c r="O493" s="322"/>
      <c r="P493" s="365"/>
      <c r="Q493" s="364"/>
      <c r="R493" s="364"/>
      <c r="S493" s="348"/>
    </row>
    <row r="494" spans="1:19" hidden="1" x14ac:dyDescent="0.25">
      <c r="A494" s="359">
        <v>0</v>
      </c>
      <c r="B494" s="49" t="s">
        <v>990</v>
      </c>
      <c r="C494" s="49"/>
      <c r="D494" s="49"/>
      <c r="E494" s="49"/>
      <c r="F494" s="378"/>
      <c r="G494" s="49"/>
      <c r="H494" s="49"/>
      <c r="I494" s="49"/>
      <c r="J494" s="316"/>
      <c r="K494" s="360"/>
      <c r="L494" s="363"/>
      <c r="M494" s="317"/>
      <c r="N494" s="317"/>
      <c r="O494" s="322"/>
      <c r="P494" s="365"/>
      <c r="Q494" s="364"/>
      <c r="R494" s="364"/>
      <c r="S494" s="348"/>
    </row>
    <row r="495" spans="1:19" hidden="1" x14ac:dyDescent="0.25">
      <c r="A495" s="359">
        <v>0</v>
      </c>
      <c r="B495" s="49" t="s">
        <v>991</v>
      </c>
      <c r="C495" s="49"/>
      <c r="D495" s="49"/>
      <c r="E495" s="49"/>
      <c r="F495" s="378"/>
      <c r="G495" s="49"/>
      <c r="H495" s="49"/>
      <c r="I495" s="49"/>
      <c r="J495" s="316"/>
      <c r="K495" s="360"/>
      <c r="L495" s="363"/>
      <c r="M495" s="317"/>
      <c r="N495" s="317"/>
      <c r="O495" s="322"/>
      <c r="P495" s="365"/>
      <c r="Q495" s="364"/>
      <c r="R495" s="364"/>
      <c r="S495" s="348"/>
    </row>
    <row r="496" spans="1:19" hidden="1" x14ac:dyDescent="0.25">
      <c r="A496" s="359">
        <v>0</v>
      </c>
      <c r="B496" s="49" t="s">
        <v>992</v>
      </c>
      <c r="C496" s="49"/>
      <c r="D496" s="49"/>
      <c r="E496" s="49"/>
      <c r="F496" s="378"/>
      <c r="G496" s="49"/>
      <c r="H496" s="49"/>
      <c r="I496" s="49"/>
      <c r="J496" s="316"/>
      <c r="K496" s="360"/>
      <c r="L496" s="363"/>
      <c r="M496" s="317"/>
      <c r="N496" s="317"/>
      <c r="O496" s="322"/>
      <c r="P496" s="365"/>
      <c r="Q496" s="364"/>
      <c r="R496" s="364"/>
      <c r="S496" s="348"/>
    </row>
    <row r="497" spans="1:19" hidden="1" x14ac:dyDescent="0.25">
      <c r="A497" s="359">
        <v>0</v>
      </c>
      <c r="B497" s="49" t="s">
        <v>993</v>
      </c>
      <c r="C497" s="49"/>
      <c r="D497" s="49"/>
      <c r="E497" s="49"/>
      <c r="F497" s="378"/>
      <c r="G497" s="49"/>
      <c r="H497" s="49"/>
      <c r="I497" s="49"/>
      <c r="J497" s="316"/>
      <c r="K497" s="360"/>
      <c r="L497" s="363"/>
      <c r="M497" s="317"/>
      <c r="N497" s="317"/>
      <c r="O497" s="322"/>
      <c r="P497" s="365"/>
      <c r="Q497" s="364"/>
      <c r="R497" s="364"/>
      <c r="S497" s="348"/>
    </row>
    <row r="498" spans="1:19" hidden="1" x14ac:dyDescent="0.25">
      <c r="A498" s="359">
        <v>0</v>
      </c>
      <c r="B498" s="49" t="s">
        <v>994</v>
      </c>
      <c r="C498" s="49"/>
      <c r="D498" s="49"/>
      <c r="E498" s="49"/>
      <c r="F498" s="378"/>
      <c r="G498" s="49"/>
      <c r="H498" s="49"/>
      <c r="I498" s="49"/>
      <c r="J498" s="316"/>
      <c r="K498" s="360"/>
      <c r="L498" s="363"/>
      <c r="M498" s="317"/>
      <c r="N498" s="317"/>
      <c r="O498" s="322"/>
      <c r="P498" s="365"/>
      <c r="Q498" s="364"/>
      <c r="R498" s="364"/>
      <c r="S498" s="348"/>
    </row>
    <row r="499" spans="1:19" hidden="1" x14ac:dyDescent="0.25">
      <c r="A499" s="359">
        <v>0</v>
      </c>
      <c r="B499" s="49" t="s">
        <v>995</v>
      </c>
      <c r="C499" s="49"/>
      <c r="D499" s="49"/>
      <c r="E499" s="49"/>
      <c r="F499" s="378"/>
      <c r="G499" s="49"/>
      <c r="H499" s="49"/>
      <c r="I499" s="49"/>
      <c r="J499" s="316"/>
      <c r="K499" s="360"/>
      <c r="L499" s="363"/>
      <c r="M499" s="317"/>
      <c r="N499" s="317"/>
      <c r="O499" s="322"/>
      <c r="P499" s="365"/>
      <c r="Q499" s="364"/>
      <c r="R499" s="364"/>
      <c r="S499" s="348"/>
    </row>
    <row r="500" spans="1:19" hidden="1" x14ac:dyDescent="0.25">
      <c r="A500" s="359">
        <v>0</v>
      </c>
      <c r="B500" s="49" t="s">
        <v>996</v>
      </c>
      <c r="C500" s="49"/>
      <c r="D500" s="49"/>
      <c r="E500" s="49"/>
      <c r="F500" s="378"/>
      <c r="G500" s="49"/>
      <c r="H500" s="49"/>
      <c r="I500" s="49"/>
      <c r="J500" s="316"/>
      <c r="K500" s="360"/>
      <c r="L500" s="363"/>
      <c r="M500" s="317"/>
      <c r="N500" s="317"/>
      <c r="O500" s="322"/>
      <c r="P500" s="365"/>
      <c r="Q500" s="364"/>
      <c r="R500" s="364"/>
      <c r="S500" s="348"/>
    </row>
    <row r="501" spans="1:19" hidden="1" x14ac:dyDescent="0.25">
      <c r="A501" s="359">
        <v>0</v>
      </c>
      <c r="B501" s="49" t="s">
        <v>997</v>
      </c>
      <c r="C501" s="49"/>
      <c r="D501" s="49"/>
      <c r="E501" s="49"/>
      <c r="F501" s="378"/>
      <c r="G501" s="49"/>
      <c r="H501" s="49"/>
      <c r="I501" s="49"/>
      <c r="J501" s="316"/>
      <c r="K501" s="360"/>
      <c r="L501" s="363"/>
      <c r="M501" s="317"/>
      <c r="N501" s="317"/>
      <c r="O501" s="322"/>
      <c r="P501" s="365"/>
      <c r="Q501" s="364"/>
      <c r="R501" s="364"/>
      <c r="S501" s="348"/>
    </row>
    <row r="502" spans="1:19" hidden="1" x14ac:dyDescent="0.25">
      <c r="A502" s="359">
        <v>0</v>
      </c>
      <c r="B502" s="49" t="s">
        <v>998</v>
      </c>
      <c r="C502" s="49"/>
      <c r="D502" s="49"/>
      <c r="E502" s="49"/>
      <c r="F502" s="378"/>
      <c r="G502" s="29"/>
      <c r="H502" s="49"/>
      <c r="I502" s="49"/>
      <c r="J502" s="316"/>
      <c r="K502" s="360"/>
      <c r="L502" s="363"/>
      <c r="M502" s="317"/>
      <c r="N502" s="317"/>
      <c r="O502" s="322"/>
      <c r="P502" s="365"/>
      <c r="Q502" s="364"/>
      <c r="R502" s="364"/>
      <c r="S502" s="348"/>
    </row>
    <row r="503" spans="1:19" hidden="1" x14ac:dyDescent="0.25">
      <c r="A503" s="359">
        <v>0</v>
      </c>
      <c r="B503" s="49" t="s">
        <v>999</v>
      </c>
      <c r="C503" s="49"/>
      <c r="D503" s="49"/>
      <c r="E503" s="49"/>
      <c r="F503" s="378"/>
      <c r="G503" s="49"/>
      <c r="H503" s="49"/>
      <c r="I503" s="49"/>
      <c r="J503" s="316"/>
      <c r="K503" s="360"/>
      <c r="L503" s="363"/>
      <c r="M503" s="317"/>
      <c r="N503" s="317"/>
      <c r="O503" s="322"/>
      <c r="P503" s="365"/>
      <c r="Q503" s="364"/>
      <c r="R503" s="364"/>
      <c r="S503" s="348"/>
    </row>
    <row r="504" spans="1:19" hidden="1" x14ac:dyDescent="0.25">
      <c r="A504" s="359">
        <v>0</v>
      </c>
      <c r="B504" s="49" t="s">
        <v>1000</v>
      </c>
      <c r="C504" s="49"/>
      <c r="D504" s="49"/>
      <c r="E504" s="49"/>
      <c r="F504" s="378"/>
      <c r="G504" s="49"/>
      <c r="H504" s="49"/>
      <c r="I504" s="49"/>
      <c r="J504" s="316"/>
      <c r="K504" s="360"/>
      <c r="L504" s="363"/>
      <c r="M504" s="317"/>
      <c r="N504" s="317"/>
      <c r="O504" s="322"/>
      <c r="P504" s="365"/>
      <c r="Q504" s="364"/>
      <c r="R504" s="364"/>
      <c r="S504" s="348"/>
    </row>
    <row r="505" spans="1:19" hidden="1" x14ac:dyDescent="0.25">
      <c r="A505" s="359">
        <v>0</v>
      </c>
      <c r="B505" s="49" t="s">
        <v>1001</v>
      </c>
      <c r="C505" s="49"/>
      <c r="D505" s="49"/>
      <c r="E505" s="49"/>
      <c r="F505" s="378"/>
      <c r="G505" s="49"/>
      <c r="H505" s="49"/>
      <c r="I505" s="49"/>
      <c r="J505" s="316"/>
      <c r="K505" s="360"/>
      <c r="L505" s="363"/>
      <c r="M505" s="317"/>
      <c r="N505" s="317"/>
      <c r="O505" s="322"/>
      <c r="P505" s="365"/>
      <c r="Q505" s="364"/>
      <c r="R505" s="364"/>
      <c r="S505" s="348"/>
    </row>
    <row r="506" spans="1:19" hidden="1" x14ac:dyDescent="0.25">
      <c r="A506" s="359">
        <v>0</v>
      </c>
      <c r="B506" s="49" t="s">
        <v>1002</v>
      </c>
      <c r="C506" s="49"/>
      <c r="D506" s="49"/>
      <c r="E506" s="49"/>
      <c r="F506" s="378"/>
      <c r="G506" s="49"/>
      <c r="H506" s="49"/>
      <c r="I506" s="49"/>
      <c r="J506" s="316"/>
      <c r="K506" s="360"/>
      <c r="L506" s="363"/>
      <c r="M506" s="317"/>
      <c r="N506" s="317"/>
      <c r="O506" s="322"/>
      <c r="P506" s="365"/>
      <c r="Q506" s="364"/>
      <c r="R506" s="364"/>
      <c r="S506" s="348"/>
    </row>
    <row r="507" spans="1:19" hidden="1" x14ac:dyDescent="0.25">
      <c r="A507" s="359">
        <v>0</v>
      </c>
      <c r="B507" s="49" t="s">
        <v>1003</v>
      </c>
      <c r="C507" s="49"/>
      <c r="D507" s="49"/>
      <c r="E507" s="49"/>
      <c r="F507" s="49"/>
      <c r="G507" s="49"/>
      <c r="H507" s="49"/>
      <c r="I507" s="49"/>
      <c r="J507" s="316"/>
      <c r="K507" s="360"/>
      <c r="L507" s="363"/>
      <c r="M507" s="317"/>
      <c r="N507" s="317"/>
      <c r="O507" s="322"/>
      <c r="P507" s="365"/>
      <c r="Q507" s="364"/>
      <c r="R507" s="364"/>
      <c r="S507" s="348"/>
    </row>
    <row r="508" spans="1:19" hidden="1" x14ac:dyDescent="0.25">
      <c r="A508" s="359">
        <v>0</v>
      </c>
      <c r="B508" s="49" t="s">
        <v>1004</v>
      </c>
      <c r="C508" s="49"/>
      <c r="D508" s="49"/>
      <c r="E508" s="49"/>
      <c r="F508" s="49"/>
      <c r="G508" s="49"/>
      <c r="H508" s="49"/>
      <c r="I508" s="49"/>
      <c r="J508" s="316"/>
      <c r="K508" s="360"/>
      <c r="L508" s="363"/>
      <c r="M508" s="317"/>
      <c r="N508" s="317"/>
      <c r="O508" s="322"/>
      <c r="P508" s="365"/>
      <c r="Q508" s="364"/>
      <c r="R508" s="364"/>
      <c r="S508" s="348"/>
    </row>
    <row r="509" spans="1:19" hidden="1" x14ac:dyDescent="0.25">
      <c r="A509" s="359">
        <v>0</v>
      </c>
      <c r="B509" s="49" t="s">
        <v>1005</v>
      </c>
      <c r="C509" s="49"/>
      <c r="D509" s="49"/>
      <c r="E509" s="49"/>
      <c r="F509" s="49"/>
      <c r="G509" s="49"/>
      <c r="H509" s="49"/>
      <c r="I509" s="49"/>
      <c r="J509" s="316"/>
      <c r="K509" s="360"/>
      <c r="L509" s="363"/>
      <c r="M509" s="317"/>
      <c r="N509" s="317"/>
      <c r="O509" s="322"/>
      <c r="P509" s="365"/>
      <c r="Q509" s="364"/>
      <c r="R509" s="364"/>
      <c r="S509" s="348"/>
    </row>
    <row r="510" spans="1:19" hidden="1" x14ac:dyDescent="0.25">
      <c r="A510" s="359">
        <v>0</v>
      </c>
      <c r="B510" s="49" t="s">
        <v>1006</v>
      </c>
      <c r="C510" s="49"/>
      <c r="D510" s="49"/>
      <c r="E510" s="49"/>
      <c r="F510" s="49"/>
      <c r="G510" s="49"/>
      <c r="H510" s="49"/>
      <c r="I510" s="49"/>
      <c r="J510" s="316"/>
      <c r="K510" s="360"/>
      <c r="L510" s="363"/>
      <c r="M510" s="317"/>
      <c r="N510" s="317"/>
      <c r="O510" s="322"/>
      <c r="P510" s="365"/>
      <c r="Q510" s="364"/>
      <c r="R510" s="364"/>
      <c r="S510" s="348"/>
    </row>
    <row r="511" spans="1:19" hidden="1" x14ac:dyDescent="0.25">
      <c r="A511" s="359">
        <v>0</v>
      </c>
      <c r="B511" s="49" t="s">
        <v>1007</v>
      </c>
      <c r="C511" s="49"/>
      <c r="D511" s="49"/>
      <c r="E511" s="49"/>
      <c r="F511" s="49"/>
      <c r="G511" s="49"/>
      <c r="H511" s="49"/>
      <c r="I511" s="49"/>
      <c r="J511" s="316"/>
      <c r="K511" s="360"/>
      <c r="L511" s="363"/>
      <c r="M511" s="317"/>
      <c r="N511" s="317"/>
      <c r="O511" s="322"/>
      <c r="P511" s="365"/>
      <c r="Q511" s="364"/>
      <c r="R511" s="364"/>
      <c r="S511" s="348"/>
    </row>
    <row r="512" spans="1:19" hidden="1" x14ac:dyDescent="0.25">
      <c r="A512" s="359">
        <v>0</v>
      </c>
      <c r="B512" s="49" t="s">
        <v>1008</v>
      </c>
      <c r="C512" s="49"/>
      <c r="D512" s="49"/>
      <c r="E512" s="49"/>
      <c r="F512" s="49"/>
      <c r="G512" s="49"/>
      <c r="H512" s="49"/>
      <c r="I512" s="49"/>
      <c r="J512" s="316"/>
      <c r="K512" s="360"/>
      <c r="L512" s="363"/>
      <c r="M512" s="317"/>
      <c r="N512" s="317"/>
      <c r="O512" s="322"/>
      <c r="P512" s="365"/>
      <c r="Q512" s="364"/>
      <c r="R512" s="364"/>
      <c r="S512" s="348"/>
    </row>
    <row r="513" spans="1:19" hidden="1" x14ac:dyDescent="0.25">
      <c r="A513" s="359">
        <v>0</v>
      </c>
      <c r="B513" s="49" t="s">
        <v>1009</v>
      </c>
      <c r="C513" s="49"/>
      <c r="D513" s="49"/>
      <c r="E513" s="49"/>
      <c r="F513" s="49"/>
      <c r="G513" s="49"/>
      <c r="H513" s="49"/>
      <c r="I513" s="49"/>
      <c r="J513" s="316"/>
      <c r="K513" s="360"/>
      <c r="L513" s="363"/>
      <c r="M513" s="317"/>
      <c r="N513" s="317"/>
      <c r="O513" s="322"/>
      <c r="P513" s="365"/>
      <c r="Q513" s="364"/>
      <c r="R513" s="364"/>
      <c r="S513" s="348"/>
    </row>
    <row r="514" spans="1:19" hidden="1" x14ac:dyDescent="0.25">
      <c r="A514" s="359">
        <v>0</v>
      </c>
      <c r="B514" s="49" t="s">
        <v>1010</v>
      </c>
      <c r="C514" s="49"/>
      <c r="D514" s="49"/>
      <c r="E514" s="49"/>
      <c r="F514" s="49"/>
      <c r="G514" s="49"/>
      <c r="H514" s="49"/>
      <c r="I514" s="49"/>
      <c r="J514" s="316"/>
      <c r="K514" s="360"/>
      <c r="L514" s="363"/>
      <c r="M514" s="317"/>
      <c r="N514" s="317"/>
      <c r="O514" s="322"/>
      <c r="P514" s="365"/>
      <c r="Q514" s="364"/>
      <c r="R514" s="364"/>
      <c r="S514" s="348"/>
    </row>
    <row r="515" spans="1:19" hidden="1" x14ac:dyDescent="0.25">
      <c r="A515" s="359">
        <v>0</v>
      </c>
      <c r="B515" s="49" t="s">
        <v>1011</v>
      </c>
      <c r="C515" s="49"/>
      <c r="D515" s="49"/>
      <c r="E515" s="49"/>
      <c r="F515" s="49"/>
      <c r="G515" s="49"/>
      <c r="H515" s="49"/>
      <c r="I515" s="49"/>
      <c r="J515" s="316"/>
      <c r="K515" s="360"/>
      <c r="L515" s="363"/>
      <c r="M515" s="317"/>
      <c r="N515" s="317"/>
      <c r="O515" s="322"/>
      <c r="P515" s="365"/>
      <c r="Q515" s="364"/>
      <c r="R515" s="364"/>
      <c r="S515" s="348"/>
    </row>
    <row r="516" spans="1:19" hidden="1" x14ac:dyDescent="0.25">
      <c r="A516" s="359">
        <v>0</v>
      </c>
      <c r="B516" s="49" t="s">
        <v>1012</v>
      </c>
      <c r="C516" s="49"/>
      <c r="D516" s="49"/>
      <c r="E516" s="49"/>
      <c r="F516" s="49"/>
      <c r="G516" s="49"/>
      <c r="H516" s="49"/>
      <c r="I516" s="49"/>
      <c r="J516" s="316"/>
      <c r="K516" s="360"/>
      <c r="L516" s="363"/>
      <c r="M516" s="317"/>
      <c r="N516" s="317"/>
      <c r="O516" s="322"/>
      <c r="P516" s="365"/>
      <c r="Q516" s="364"/>
      <c r="R516" s="364"/>
      <c r="S516" s="348"/>
    </row>
    <row r="517" spans="1:19" hidden="1" x14ac:dyDescent="0.25">
      <c r="A517" s="359">
        <v>0</v>
      </c>
      <c r="B517" s="49" t="s">
        <v>1013</v>
      </c>
      <c r="C517" s="49"/>
      <c r="D517" s="49"/>
      <c r="E517" s="49"/>
      <c r="F517" s="49"/>
      <c r="G517" s="49"/>
      <c r="H517" s="49"/>
      <c r="I517" s="49"/>
      <c r="J517" s="316"/>
      <c r="K517" s="360"/>
      <c r="L517" s="363"/>
      <c r="M517" s="317"/>
      <c r="N517" s="317"/>
      <c r="O517" s="322"/>
      <c r="P517" s="365"/>
      <c r="Q517" s="364"/>
      <c r="R517" s="364"/>
      <c r="S517" s="348"/>
    </row>
    <row r="518" spans="1:19" hidden="1" x14ac:dyDescent="0.25">
      <c r="A518" s="359">
        <v>0</v>
      </c>
      <c r="B518" s="49" t="s">
        <v>1014</v>
      </c>
      <c r="C518" s="49"/>
      <c r="D518" s="49"/>
      <c r="E518" s="49"/>
      <c r="F518" s="49"/>
      <c r="G518" s="49"/>
      <c r="H518" s="49"/>
      <c r="I518" s="49"/>
      <c r="J518" s="316"/>
      <c r="K518" s="360"/>
      <c r="L518" s="363"/>
      <c r="M518" s="317"/>
      <c r="N518" s="317"/>
      <c r="O518" s="322"/>
      <c r="P518" s="365"/>
      <c r="Q518" s="364"/>
      <c r="R518" s="364"/>
      <c r="S518" s="348"/>
    </row>
    <row r="519" spans="1:19" hidden="1" x14ac:dyDescent="0.25">
      <c r="A519" s="359">
        <v>0</v>
      </c>
      <c r="B519" s="49" t="s">
        <v>1015</v>
      </c>
      <c r="C519" s="49"/>
      <c r="D519" s="49"/>
      <c r="E519" s="49"/>
      <c r="F519" s="49"/>
      <c r="G519" s="49"/>
      <c r="H519" s="49"/>
      <c r="I519" s="49"/>
      <c r="J519" s="316"/>
      <c r="K519" s="360"/>
      <c r="L519" s="363"/>
      <c r="M519" s="317"/>
      <c r="N519" s="317"/>
      <c r="O519" s="322"/>
      <c r="P519" s="365"/>
      <c r="Q519" s="364"/>
      <c r="R519" s="364"/>
      <c r="S519" s="348"/>
    </row>
    <row r="520" spans="1:19" hidden="1" x14ac:dyDescent="0.25">
      <c r="A520" s="359">
        <v>0</v>
      </c>
      <c r="B520" s="49" t="s">
        <v>1016</v>
      </c>
      <c r="C520" s="49"/>
      <c r="D520" s="49"/>
      <c r="E520" s="49"/>
      <c r="F520" s="49"/>
      <c r="G520" s="49"/>
      <c r="H520" s="49"/>
      <c r="I520" s="49"/>
      <c r="J520" s="316"/>
      <c r="K520" s="360"/>
      <c r="L520" s="363"/>
      <c r="M520" s="317"/>
      <c r="N520" s="317"/>
      <c r="O520" s="322"/>
      <c r="P520" s="365"/>
      <c r="Q520" s="364"/>
      <c r="R520" s="364"/>
      <c r="S520" s="348"/>
    </row>
    <row r="521" spans="1:19" hidden="1" x14ac:dyDescent="0.25">
      <c r="A521" s="359">
        <v>0</v>
      </c>
      <c r="B521" s="49" t="s">
        <v>1017</v>
      </c>
      <c r="C521" s="49"/>
      <c r="D521" s="49"/>
      <c r="E521" s="49"/>
      <c r="F521" s="49"/>
      <c r="G521" s="49"/>
      <c r="H521" s="49"/>
      <c r="I521" s="49"/>
      <c r="J521" s="316"/>
      <c r="K521" s="360"/>
      <c r="L521" s="363"/>
      <c r="M521" s="317"/>
      <c r="N521" s="317"/>
      <c r="O521" s="322"/>
      <c r="P521" s="365"/>
      <c r="Q521" s="364"/>
      <c r="R521" s="364"/>
      <c r="S521" s="348"/>
    </row>
    <row r="522" spans="1:19" hidden="1" x14ac:dyDescent="0.25">
      <c r="A522" s="359">
        <v>0</v>
      </c>
      <c r="B522" s="49" t="s">
        <v>1018</v>
      </c>
      <c r="C522" s="49"/>
      <c r="D522" s="49"/>
      <c r="E522" s="49"/>
      <c r="F522" s="49"/>
      <c r="G522" s="49"/>
      <c r="H522" s="49"/>
      <c r="I522" s="49"/>
      <c r="J522" s="316"/>
      <c r="K522" s="360"/>
      <c r="L522" s="363"/>
      <c r="M522" s="317"/>
      <c r="N522" s="317"/>
      <c r="O522" s="322"/>
      <c r="P522" s="365"/>
      <c r="Q522" s="364"/>
      <c r="R522" s="364"/>
      <c r="S522" s="348"/>
    </row>
    <row r="523" spans="1:19" hidden="1" x14ac:dyDescent="0.25">
      <c r="A523" s="359">
        <v>0</v>
      </c>
      <c r="B523" s="49" t="s">
        <v>1019</v>
      </c>
      <c r="C523" s="49"/>
      <c r="D523" s="49"/>
      <c r="E523" s="49"/>
      <c r="F523" s="49"/>
      <c r="G523" s="49"/>
      <c r="H523" s="49"/>
      <c r="I523" s="49"/>
      <c r="J523" s="316"/>
      <c r="K523" s="360"/>
      <c r="L523" s="363"/>
      <c r="M523" s="317"/>
      <c r="N523" s="317"/>
      <c r="O523" s="322"/>
      <c r="P523" s="365"/>
      <c r="Q523" s="364"/>
      <c r="R523" s="364"/>
      <c r="S523" s="348"/>
    </row>
    <row r="524" spans="1:19" hidden="1" x14ac:dyDescent="0.25">
      <c r="A524" s="359">
        <v>0</v>
      </c>
      <c r="B524" s="49" t="s">
        <v>1020</v>
      </c>
      <c r="C524" s="49"/>
      <c r="D524" s="49"/>
      <c r="E524" s="49"/>
      <c r="F524" s="49"/>
      <c r="G524" s="49"/>
      <c r="H524" s="49"/>
      <c r="I524" s="49"/>
      <c r="J524" s="316"/>
      <c r="K524" s="360"/>
      <c r="L524" s="363"/>
      <c r="M524" s="317"/>
      <c r="N524" s="317"/>
      <c r="O524" s="322"/>
      <c r="P524" s="365"/>
      <c r="Q524" s="364"/>
      <c r="R524" s="364"/>
      <c r="S524" s="348"/>
    </row>
    <row r="525" spans="1:19" hidden="1" x14ac:dyDescent="0.25">
      <c r="A525" s="359">
        <v>0</v>
      </c>
      <c r="B525" s="49" t="s">
        <v>1021</v>
      </c>
      <c r="C525" s="49"/>
      <c r="D525" s="49"/>
      <c r="E525" s="49"/>
      <c r="F525" s="49"/>
      <c r="G525" s="49"/>
      <c r="H525" s="49"/>
      <c r="I525" s="49"/>
      <c r="J525" s="316"/>
      <c r="K525" s="360"/>
      <c r="L525" s="363"/>
      <c r="M525" s="317"/>
      <c r="N525" s="317"/>
      <c r="O525" s="322"/>
      <c r="P525" s="365"/>
      <c r="Q525" s="364"/>
      <c r="R525" s="364"/>
      <c r="S525" s="348"/>
    </row>
    <row r="526" spans="1:19" hidden="1" x14ac:dyDescent="0.25">
      <c r="A526" s="359">
        <v>0</v>
      </c>
      <c r="B526" s="49" t="s">
        <v>1022</v>
      </c>
      <c r="C526" s="49"/>
      <c r="D526" s="49"/>
      <c r="E526" s="49"/>
      <c r="F526" s="49"/>
      <c r="G526" s="49"/>
      <c r="H526" s="49"/>
      <c r="I526" s="49"/>
      <c r="J526" s="316"/>
      <c r="K526" s="360"/>
      <c r="L526" s="363"/>
      <c r="M526" s="317"/>
      <c r="N526" s="317"/>
      <c r="O526" s="322"/>
      <c r="P526" s="365"/>
      <c r="Q526" s="364"/>
      <c r="R526" s="364"/>
      <c r="S526" s="348"/>
    </row>
    <row r="527" spans="1:19" hidden="1" x14ac:dyDescent="0.25">
      <c r="A527" s="359">
        <v>0</v>
      </c>
      <c r="B527" s="49" t="s">
        <v>1023</v>
      </c>
      <c r="C527" s="49"/>
      <c r="D527" s="49"/>
      <c r="E527" s="49"/>
      <c r="F527" s="49"/>
      <c r="G527" s="49"/>
      <c r="H527" s="49"/>
      <c r="I527" s="49"/>
      <c r="J527" s="316"/>
      <c r="K527" s="360"/>
      <c r="L527" s="363"/>
      <c r="M527" s="317"/>
      <c r="N527" s="317"/>
      <c r="O527" s="322"/>
      <c r="P527" s="365"/>
      <c r="Q527" s="364"/>
      <c r="R527" s="364"/>
      <c r="S527" s="348"/>
    </row>
    <row r="528" spans="1:19" hidden="1" x14ac:dyDescent="0.25">
      <c r="A528" s="359">
        <v>0</v>
      </c>
      <c r="B528" s="49" t="s">
        <v>1024</v>
      </c>
      <c r="C528" s="49"/>
      <c r="D528" s="49"/>
      <c r="E528" s="49"/>
      <c r="F528" s="49"/>
      <c r="G528" s="49"/>
      <c r="H528" s="49"/>
      <c r="I528" s="49"/>
      <c r="J528" s="316"/>
      <c r="K528" s="360"/>
      <c r="L528" s="363"/>
      <c r="M528" s="317"/>
      <c r="N528" s="317"/>
      <c r="O528" s="322"/>
      <c r="P528" s="365"/>
      <c r="Q528" s="364"/>
      <c r="R528" s="364"/>
      <c r="S528" s="348"/>
    </row>
    <row r="529" spans="1:19" hidden="1" x14ac:dyDescent="0.25">
      <c r="A529" s="359">
        <v>0</v>
      </c>
      <c r="B529" s="49" t="s">
        <v>1025</v>
      </c>
      <c r="C529" s="49"/>
      <c r="D529" s="49"/>
      <c r="E529" s="49"/>
      <c r="F529" s="49"/>
      <c r="G529" s="49"/>
      <c r="H529" s="49"/>
      <c r="I529" s="49"/>
      <c r="J529" s="316"/>
      <c r="K529" s="360"/>
      <c r="L529" s="363"/>
      <c r="M529" s="366"/>
      <c r="N529" s="317"/>
      <c r="O529" s="322"/>
      <c r="P529" s="365"/>
      <c r="Q529" s="364"/>
      <c r="R529" s="364"/>
      <c r="S529" s="348"/>
    </row>
    <row r="530" spans="1:19" hidden="1" x14ac:dyDescent="0.25">
      <c r="A530" s="359">
        <v>0</v>
      </c>
      <c r="B530" s="49" t="s">
        <v>1026</v>
      </c>
      <c r="C530" s="49"/>
      <c r="D530" s="49"/>
      <c r="E530" s="49"/>
      <c r="F530" s="49"/>
      <c r="G530" s="49"/>
      <c r="H530" s="49"/>
      <c r="I530" s="49"/>
      <c r="J530" s="316"/>
      <c r="K530" s="360"/>
      <c r="L530" s="363"/>
      <c r="M530" s="317"/>
      <c r="N530" s="317"/>
      <c r="O530" s="322"/>
      <c r="P530" s="365"/>
      <c r="Q530" s="364"/>
      <c r="R530" s="364"/>
      <c r="S530" s="348"/>
    </row>
    <row r="531" spans="1:19" hidden="1" x14ac:dyDescent="0.25">
      <c r="A531" s="359">
        <v>0</v>
      </c>
      <c r="B531" s="49" t="s">
        <v>1027</v>
      </c>
      <c r="C531" s="49"/>
      <c r="D531" s="49"/>
      <c r="E531" s="49"/>
      <c r="F531" s="49"/>
      <c r="G531" s="49"/>
      <c r="H531" s="49"/>
      <c r="I531" s="49"/>
      <c r="J531" s="316"/>
      <c r="K531" s="360"/>
      <c r="L531" s="363"/>
      <c r="M531" s="317"/>
      <c r="N531" s="317"/>
      <c r="O531" s="322"/>
      <c r="P531" s="365"/>
      <c r="Q531" s="364"/>
      <c r="R531" s="364"/>
      <c r="S531" s="348"/>
    </row>
    <row r="532" spans="1:19" hidden="1" x14ac:dyDescent="0.25">
      <c r="A532" s="359">
        <v>0</v>
      </c>
      <c r="B532" s="49" t="s">
        <v>1028</v>
      </c>
      <c r="C532" s="49"/>
      <c r="D532" s="49"/>
      <c r="E532" s="49"/>
      <c r="F532" s="49"/>
      <c r="G532" s="49"/>
      <c r="H532" s="49"/>
      <c r="I532" s="49"/>
      <c r="J532" s="316"/>
      <c r="K532" s="360"/>
      <c r="L532" s="363"/>
      <c r="M532" s="317"/>
      <c r="N532" s="317"/>
      <c r="O532" s="322"/>
      <c r="P532" s="365"/>
      <c r="Q532" s="364"/>
      <c r="R532" s="364"/>
      <c r="S532" s="348"/>
    </row>
    <row r="533" spans="1:19" hidden="1" x14ac:dyDescent="0.25">
      <c r="A533" s="359">
        <v>0</v>
      </c>
      <c r="B533" s="49" t="s">
        <v>1029</v>
      </c>
      <c r="C533" s="49"/>
      <c r="D533" s="49"/>
      <c r="E533" s="49"/>
      <c r="F533" s="49"/>
      <c r="G533" s="49"/>
      <c r="H533" s="49"/>
      <c r="I533" s="49"/>
      <c r="J533" s="316"/>
      <c r="K533" s="360"/>
      <c r="L533" s="363"/>
      <c r="M533" s="317"/>
      <c r="N533" s="317"/>
      <c r="O533" s="322"/>
      <c r="P533" s="365"/>
      <c r="Q533" s="364"/>
      <c r="R533" s="364"/>
      <c r="S533" s="348"/>
    </row>
    <row r="534" spans="1:19" hidden="1" x14ac:dyDescent="0.25">
      <c r="A534" s="359">
        <v>0</v>
      </c>
      <c r="B534" s="49" t="s">
        <v>1030</v>
      </c>
      <c r="C534" s="49"/>
      <c r="D534" s="49"/>
      <c r="E534" s="49"/>
      <c r="F534" s="49"/>
      <c r="G534" s="49"/>
      <c r="H534" s="49"/>
      <c r="I534" s="49"/>
      <c r="J534" s="316"/>
      <c r="K534" s="360"/>
      <c r="L534" s="363"/>
      <c r="M534" s="317"/>
      <c r="N534" s="317"/>
      <c r="O534" s="322"/>
      <c r="P534" s="365"/>
      <c r="Q534" s="364"/>
      <c r="R534" s="364"/>
      <c r="S534" s="348"/>
    </row>
    <row r="535" spans="1:19" hidden="1" x14ac:dyDescent="0.25">
      <c r="A535" s="359">
        <v>0</v>
      </c>
      <c r="B535" s="49" t="s">
        <v>1031</v>
      </c>
      <c r="C535" s="49"/>
      <c r="D535" s="49"/>
      <c r="E535" s="49"/>
      <c r="F535" s="49"/>
      <c r="G535" s="49"/>
      <c r="H535" s="49"/>
      <c r="I535" s="49"/>
      <c r="J535" s="316"/>
      <c r="K535" s="360"/>
      <c r="L535" s="363"/>
      <c r="M535" s="317"/>
      <c r="N535" s="317"/>
      <c r="O535" s="322"/>
      <c r="P535" s="365"/>
      <c r="Q535" s="364"/>
      <c r="R535" s="364"/>
      <c r="S535" s="348"/>
    </row>
    <row r="536" spans="1:19" hidden="1" x14ac:dyDescent="0.25">
      <c r="A536" s="359">
        <v>0</v>
      </c>
      <c r="B536" s="49" t="s">
        <v>1032</v>
      </c>
      <c r="C536" s="49"/>
      <c r="D536" s="49"/>
      <c r="E536" s="49"/>
      <c r="F536" s="49"/>
      <c r="G536" s="49"/>
      <c r="H536" s="49"/>
      <c r="I536" s="49"/>
      <c r="J536" s="316"/>
      <c r="K536" s="360"/>
      <c r="L536" s="363"/>
      <c r="M536" s="317"/>
      <c r="N536" s="317"/>
      <c r="O536" s="322"/>
      <c r="P536" s="365"/>
      <c r="Q536" s="364"/>
      <c r="R536" s="364"/>
      <c r="S536" s="348"/>
    </row>
    <row r="537" spans="1:19" hidden="1" x14ac:dyDescent="0.25">
      <c r="A537" s="359">
        <v>0</v>
      </c>
      <c r="B537" s="49" t="s">
        <v>1033</v>
      </c>
      <c r="C537" s="49"/>
      <c r="D537" s="49"/>
      <c r="E537" s="49"/>
      <c r="F537" s="49"/>
      <c r="G537" s="49"/>
      <c r="H537" s="49"/>
      <c r="I537" s="49"/>
      <c r="J537" s="316"/>
      <c r="K537" s="360"/>
      <c r="L537" s="363"/>
      <c r="M537" s="317"/>
      <c r="N537" s="317"/>
      <c r="O537" s="322"/>
      <c r="P537" s="365"/>
      <c r="Q537" s="364"/>
      <c r="R537" s="364"/>
      <c r="S537" s="348"/>
    </row>
    <row r="538" spans="1:19" hidden="1" x14ac:dyDescent="0.25">
      <c r="A538" s="359">
        <v>0</v>
      </c>
      <c r="B538" s="49" t="s">
        <v>1034</v>
      </c>
      <c r="C538" s="49"/>
      <c r="D538" s="49"/>
      <c r="E538" s="49"/>
      <c r="F538" s="49"/>
      <c r="G538" s="49"/>
      <c r="H538" s="49"/>
      <c r="I538" s="49"/>
      <c r="J538" s="316"/>
      <c r="K538" s="360"/>
      <c r="L538" s="363"/>
      <c r="M538" s="317"/>
      <c r="N538" s="317"/>
      <c r="O538" s="322"/>
      <c r="P538" s="365"/>
      <c r="Q538" s="364"/>
      <c r="R538" s="364"/>
      <c r="S538" s="348"/>
    </row>
    <row r="539" spans="1:19" hidden="1" x14ac:dyDescent="0.25">
      <c r="A539" s="359">
        <v>0</v>
      </c>
      <c r="B539" s="49" t="s">
        <v>1035</v>
      </c>
      <c r="C539" s="49"/>
      <c r="D539" s="49"/>
      <c r="E539" s="49"/>
      <c r="F539" s="49"/>
      <c r="G539" s="49"/>
      <c r="H539" s="49"/>
      <c r="I539" s="49"/>
      <c r="J539" s="316"/>
      <c r="K539" s="360"/>
      <c r="L539" s="363"/>
      <c r="M539" s="317"/>
      <c r="N539" s="317"/>
      <c r="O539" s="322"/>
      <c r="P539" s="365"/>
      <c r="Q539" s="364"/>
      <c r="R539" s="364"/>
      <c r="S539" s="348"/>
    </row>
    <row r="540" spans="1:19" hidden="1" x14ac:dyDescent="0.25">
      <c r="A540" s="359">
        <v>0</v>
      </c>
      <c r="B540" s="49" t="s">
        <v>1036</v>
      </c>
      <c r="C540" s="49"/>
      <c r="D540" s="49"/>
      <c r="E540" s="49"/>
      <c r="F540" s="49"/>
      <c r="G540" s="49"/>
      <c r="H540" s="49"/>
      <c r="I540" s="49"/>
      <c r="J540" s="316"/>
      <c r="K540" s="360"/>
      <c r="L540" s="363"/>
      <c r="M540" s="317"/>
      <c r="N540" s="317"/>
      <c r="O540" s="322"/>
      <c r="P540" s="365"/>
      <c r="Q540" s="364"/>
      <c r="R540" s="364"/>
      <c r="S540" s="348"/>
    </row>
    <row r="541" spans="1:19" hidden="1" x14ac:dyDescent="0.25">
      <c r="A541" s="359">
        <v>0</v>
      </c>
      <c r="B541" s="49" t="s">
        <v>1037</v>
      </c>
      <c r="C541" s="49"/>
      <c r="D541" s="49"/>
      <c r="E541" s="49"/>
      <c r="F541" s="49"/>
      <c r="G541" s="49"/>
      <c r="H541" s="49"/>
      <c r="I541" s="49"/>
      <c r="J541" s="316"/>
      <c r="K541" s="360"/>
      <c r="L541" s="363"/>
      <c r="M541" s="317"/>
      <c r="N541" s="317"/>
      <c r="O541" s="322"/>
      <c r="P541" s="365"/>
      <c r="Q541" s="364"/>
      <c r="R541" s="364"/>
      <c r="S541" s="348"/>
    </row>
    <row r="542" spans="1:19" hidden="1" x14ac:dyDescent="0.25">
      <c r="A542" s="359">
        <v>0</v>
      </c>
      <c r="B542" s="49" t="s">
        <v>1038</v>
      </c>
      <c r="C542" s="49"/>
      <c r="D542" s="49"/>
      <c r="E542" s="49"/>
      <c r="F542" s="49"/>
      <c r="G542" s="49"/>
      <c r="H542" s="49"/>
      <c r="I542" s="49"/>
      <c r="J542" s="316"/>
      <c r="K542" s="360"/>
      <c r="L542" s="363"/>
      <c r="M542" s="317"/>
      <c r="N542" s="317"/>
      <c r="O542" s="322"/>
      <c r="P542" s="365"/>
      <c r="Q542" s="364"/>
      <c r="R542" s="364"/>
      <c r="S542" s="348"/>
    </row>
    <row r="543" spans="1:19" hidden="1" x14ac:dyDescent="0.25">
      <c r="A543" s="359">
        <v>0</v>
      </c>
      <c r="B543" s="49" t="s">
        <v>1039</v>
      </c>
      <c r="C543" s="49"/>
      <c r="D543" s="49"/>
      <c r="E543" s="49"/>
      <c r="F543" s="49"/>
      <c r="G543" s="49"/>
      <c r="H543" s="49"/>
      <c r="I543" s="49"/>
      <c r="J543" s="316"/>
      <c r="K543" s="360"/>
      <c r="L543" s="363"/>
      <c r="M543" s="317"/>
      <c r="N543" s="317"/>
      <c r="O543" s="322"/>
      <c r="P543" s="365"/>
      <c r="Q543" s="364"/>
      <c r="R543" s="364"/>
      <c r="S543" s="348"/>
    </row>
    <row r="544" spans="1:19" hidden="1" x14ac:dyDescent="0.25">
      <c r="A544" s="359">
        <v>0</v>
      </c>
      <c r="B544" s="49" t="s">
        <v>1040</v>
      </c>
      <c r="C544" s="49"/>
      <c r="D544" s="49"/>
      <c r="E544" s="49"/>
      <c r="F544" s="49"/>
      <c r="G544" s="49"/>
      <c r="H544" s="49"/>
      <c r="I544" s="49"/>
      <c r="J544" s="316"/>
      <c r="K544" s="360"/>
      <c r="L544" s="363"/>
      <c r="M544" s="317"/>
      <c r="N544" s="317"/>
      <c r="O544" s="322"/>
      <c r="P544" s="365"/>
      <c r="Q544" s="364"/>
      <c r="R544" s="364"/>
      <c r="S544" s="348"/>
    </row>
    <row r="545" spans="1:19" hidden="1" x14ac:dyDescent="0.25">
      <c r="A545" s="359">
        <v>0</v>
      </c>
      <c r="B545" s="49" t="s">
        <v>1041</v>
      </c>
      <c r="C545" s="49"/>
      <c r="D545" s="49"/>
      <c r="E545" s="49"/>
      <c r="F545" s="49"/>
      <c r="G545" s="49"/>
      <c r="H545" s="49"/>
      <c r="I545" s="49"/>
      <c r="J545" s="316"/>
      <c r="K545" s="360"/>
      <c r="L545" s="363"/>
      <c r="M545" s="317"/>
      <c r="N545" s="317"/>
      <c r="O545" s="322"/>
      <c r="P545" s="365"/>
      <c r="Q545" s="364"/>
      <c r="R545" s="364"/>
      <c r="S545" s="348"/>
    </row>
    <row r="546" spans="1:19" hidden="1" x14ac:dyDescent="0.25">
      <c r="A546" s="359">
        <v>0</v>
      </c>
      <c r="B546" s="49" t="s">
        <v>1042</v>
      </c>
      <c r="C546" s="49"/>
      <c r="D546" s="49"/>
      <c r="E546" s="49"/>
      <c r="F546" s="49"/>
      <c r="G546" s="49"/>
      <c r="H546" s="49"/>
      <c r="I546" s="49"/>
      <c r="J546" s="316"/>
      <c r="K546" s="360"/>
      <c r="L546" s="363"/>
      <c r="M546" s="317"/>
      <c r="N546" s="317"/>
      <c r="O546" s="322"/>
      <c r="P546" s="365"/>
      <c r="Q546" s="364"/>
      <c r="R546" s="364"/>
      <c r="S546" s="348"/>
    </row>
    <row r="547" spans="1:19" hidden="1" x14ac:dyDescent="0.25">
      <c r="A547" s="359">
        <v>0</v>
      </c>
      <c r="B547" s="49" t="s">
        <v>1043</v>
      </c>
      <c r="C547" s="49"/>
      <c r="D547" s="49"/>
      <c r="E547" s="49"/>
      <c r="F547" s="49"/>
      <c r="G547" s="49"/>
      <c r="H547" s="49"/>
      <c r="I547" s="49"/>
      <c r="J547" s="316"/>
      <c r="K547" s="360"/>
      <c r="L547" s="363"/>
      <c r="M547" s="317"/>
      <c r="N547" s="317"/>
      <c r="O547" s="322"/>
      <c r="P547" s="365"/>
      <c r="Q547" s="364"/>
      <c r="R547" s="364"/>
      <c r="S547" s="348"/>
    </row>
    <row r="548" spans="1:19" hidden="1" x14ac:dyDescent="0.25">
      <c r="A548" s="359">
        <v>0</v>
      </c>
      <c r="B548" s="49" t="s">
        <v>1044</v>
      </c>
      <c r="C548" s="49"/>
      <c r="D548" s="49"/>
      <c r="E548" s="49"/>
      <c r="F548" s="49"/>
      <c r="G548" s="49"/>
      <c r="H548" s="49"/>
      <c r="I548" s="49"/>
      <c r="J548" s="316"/>
      <c r="K548" s="360"/>
      <c r="L548" s="363"/>
      <c r="M548" s="317"/>
      <c r="N548" s="317"/>
      <c r="O548" s="322"/>
      <c r="P548" s="365"/>
      <c r="Q548" s="364"/>
      <c r="R548" s="364"/>
      <c r="S548" s="348"/>
    </row>
    <row r="549" spans="1:19" hidden="1" x14ac:dyDescent="0.25">
      <c r="A549" s="359">
        <v>0</v>
      </c>
      <c r="B549" s="49" t="s">
        <v>1045</v>
      </c>
      <c r="C549" s="49"/>
      <c r="D549" s="49"/>
      <c r="E549" s="49"/>
      <c r="F549" s="49"/>
      <c r="G549" s="49"/>
      <c r="H549" s="49"/>
      <c r="I549" s="49"/>
      <c r="J549" s="316"/>
      <c r="K549" s="360"/>
      <c r="L549" s="363"/>
      <c r="M549" s="317"/>
      <c r="N549" s="317"/>
      <c r="O549" s="322"/>
      <c r="P549" s="365"/>
      <c r="Q549" s="364"/>
      <c r="R549" s="364"/>
      <c r="S549" s="348"/>
    </row>
    <row r="550" spans="1:19" hidden="1" x14ac:dyDescent="0.25">
      <c r="A550" s="359">
        <v>0</v>
      </c>
      <c r="B550" s="49" t="s">
        <v>1046</v>
      </c>
      <c r="C550" s="49"/>
      <c r="D550" s="49"/>
      <c r="E550" s="49"/>
      <c r="F550" s="49"/>
      <c r="G550" s="49"/>
      <c r="H550" s="49"/>
      <c r="I550" s="49"/>
      <c r="J550" s="316"/>
      <c r="K550" s="360"/>
      <c r="L550" s="363"/>
      <c r="M550" s="317"/>
      <c r="N550" s="317"/>
      <c r="O550" s="322"/>
      <c r="P550" s="365"/>
      <c r="Q550" s="364"/>
      <c r="R550" s="364"/>
      <c r="S550" s="348"/>
    </row>
    <row r="551" spans="1:19" hidden="1" x14ac:dyDescent="0.25">
      <c r="A551" s="359">
        <v>0</v>
      </c>
      <c r="B551" s="49" t="s">
        <v>1047</v>
      </c>
      <c r="C551" s="49"/>
      <c r="D551" s="49"/>
      <c r="E551" s="49"/>
      <c r="F551" s="49"/>
      <c r="G551" s="49"/>
      <c r="H551" s="49"/>
      <c r="I551" s="49"/>
      <c r="J551" s="316"/>
      <c r="K551" s="360"/>
      <c r="L551" s="363"/>
      <c r="M551" s="317"/>
      <c r="N551" s="317"/>
      <c r="O551" s="322"/>
      <c r="P551" s="365"/>
      <c r="Q551" s="364"/>
      <c r="R551" s="364"/>
      <c r="S551" s="348"/>
    </row>
    <row r="552" spans="1:19" hidden="1" x14ac:dyDescent="0.25">
      <c r="A552" s="359">
        <v>0</v>
      </c>
      <c r="B552" s="49" t="s">
        <v>1048</v>
      </c>
      <c r="C552" s="49"/>
      <c r="D552" s="49"/>
      <c r="E552" s="49"/>
      <c r="F552" s="49"/>
      <c r="G552" s="49"/>
      <c r="H552" s="49"/>
      <c r="I552" s="49"/>
      <c r="J552" s="316"/>
      <c r="K552" s="360"/>
      <c r="L552" s="363"/>
      <c r="M552" s="317"/>
      <c r="N552" s="317"/>
      <c r="O552" s="322"/>
      <c r="P552" s="365"/>
      <c r="Q552" s="364"/>
      <c r="R552" s="364"/>
      <c r="S552" s="348"/>
    </row>
    <row r="553" spans="1:19" hidden="1" x14ac:dyDescent="0.25">
      <c r="A553" s="359">
        <v>0</v>
      </c>
      <c r="B553" s="49" t="s">
        <v>1049</v>
      </c>
      <c r="C553" s="49"/>
      <c r="D553" s="49"/>
      <c r="E553" s="49"/>
      <c r="F553" s="49"/>
      <c r="G553" s="49"/>
      <c r="H553" s="49"/>
      <c r="I553" s="49"/>
      <c r="J553" s="316"/>
      <c r="K553" s="360"/>
      <c r="L553" s="363"/>
      <c r="M553" s="317"/>
      <c r="N553" s="317"/>
      <c r="O553" s="322"/>
      <c r="P553" s="365"/>
      <c r="Q553" s="364"/>
      <c r="R553" s="364"/>
      <c r="S553" s="348"/>
    </row>
    <row r="554" spans="1:19" hidden="1" x14ac:dyDescent="0.25">
      <c r="A554" s="359">
        <v>0</v>
      </c>
      <c r="B554" s="49" t="s">
        <v>1050</v>
      </c>
      <c r="C554" s="49"/>
      <c r="D554" s="49"/>
      <c r="E554" s="49"/>
      <c r="F554" s="49"/>
      <c r="G554" s="49"/>
      <c r="H554" s="49"/>
      <c r="I554" s="49"/>
      <c r="J554" s="316"/>
      <c r="K554" s="360"/>
      <c r="L554" s="363"/>
      <c r="M554" s="317"/>
      <c r="N554" s="317"/>
      <c r="O554" s="322"/>
      <c r="P554" s="365"/>
      <c r="Q554" s="364"/>
      <c r="R554" s="364"/>
      <c r="S554" s="348"/>
    </row>
    <row r="555" spans="1:19" hidden="1" x14ac:dyDescent="0.25">
      <c r="A555" s="359">
        <v>0</v>
      </c>
      <c r="B555" s="49" t="s">
        <v>1051</v>
      </c>
      <c r="C555" s="49"/>
      <c r="D555" s="49"/>
      <c r="E555" s="49"/>
      <c r="F555" s="49"/>
      <c r="G555" s="49"/>
      <c r="H555" s="49"/>
      <c r="I555" s="49"/>
      <c r="J555" s="316"/>
      <c r="K555" s="360"/>
      <c r="L555" s="363"/>
      <c r="M555" s="317"/>
      <c r="N555" s="317"/>
      <c r="O555" s="322"/>
      <c r="P555" s="365"/>
      <c r="Q555" s="364"/>
      <c r="R555" s="364"/>
      <c r="S555" s="348"/>
    </row>
    <row r="556" spans="1:19" hidden="1" x14ac:dyDescent="0.25">
      <c r="A556" s="359">
        <v>0</v>
      </c>
      <c r="B556" s="49" t="s">
        <v>1052</v>
      </c>
      <c r="C556" s="49"/>
      <c r="D556" s="49"/>
      <c r="E556" s="49"/>
      <c r="F556" s="49"/>
      <c r="G556" s="49"/>
      <c r="H556" s="49"/>
      <c r="I556" s="49"/>
      <c r="J556" s="316"/>
      <c r="K556" s="360"/>
      <c r="L556" s="363"/>
      <c r="M556" s="317"/>
      <c r="N556" s="317"/>
      <c r="O556" s="322"/>
      <c r="P556" s="365"/>
      <c r="Q556" s="364"/>
      <c r="R556" s="364"/>
      <c r="S556" s="348"/>
    </row>
    <row r="557" spans="1:19" hidden="1" x14ac:dyDescent="0.25">
      <c r="A557" s="359">
        <v>0</v>
      </c>
      <c r="B557" s="49" t="s">
        <v>1053</v>
      </c>
      <c r="C557" s="49"/>
      <c r="D557" s="49"/>
      <c r="E557" s="49"/>
      <c r="F557" s="49"/>
      <c r="G557" s="49"/>
      <c r="H557" s="49"/>
      <c r="I557" s="49"/>
      <c r="J557" s="316"/>
      <c r="K557" s="360"/>
      <c r="L557" s="363"/>
      <c r="M557" s="317"/>
      <c r="N557" s="317"/>
      <c r="O557" s="322"/>
      <c r="P557" s="365"/>
      <c r="Q557" s="364"/>
      <c r="R557" s="364"/>
      <c r="S557" s="348"/>
    </row>
    <row r="558" spans="1:19" hidden="1" x14ac:dyDescent="0.25">
      <c r="A558" s="359">
        <v>0</v>
      </c>
      <c r="B558" s="49" t="s">
        <v>1054</v>
      </c>
      <c r="C558" s="49"/>
      <c r="D558" s="49"/>
      <c r="E558" s="49"/>
      <c r="F558" s="49"/>
      <c r="G558" s="49"/>
      <c r="H558" s="49"/>
      <c r="I558" s="49"/>
      <c r="J558" s="316"/>
      <c r="K558" s="360"/>
      <c r="L558" s="363"/>
      <c r="M558" s="317"/>
      <c r="N558" s="317"/>
      <c r="O558" s="322"/>
      <c r="P558" s="365"/>
      <c r="Q558" s="364"/>
      <c r="R558" s="364"/>
      <c r="S558" s="348"/>
    </row>
    <row r="559" spans="1:19" hidden="1" x14ac:dyDescent="0.25">
      <c r="A559" s="359">
        <v>0</v>
      </c>
      <c r="B559" s="49" t="s">
        <v>1055</v>
      </c>
      <c r="C559" s="49"/>
      <c r="D559" s="49"/>
      <c r="E559" s="49"/>
      <c r="F559" s="49"/>
      <c r="G559" s="49"/>
      <c r="H559" s="49"/>
      <c r="I559" s="49"/>
      <c r="J559" s="316"/>
      <c r="K559" s="360"/>
      <c r="L559" s="363"/>
      <c r="M559" s="317"/>
      <c r="N559" s="317"/>
      <c r="O559" s="322"/>
      <c r="P559" s="365"/>
      <c r="Q559" s="364"/>
      <c r="R559" s="364"/>
      <c r="S559" s="348"/>
    </row>
    <row r="560" spans="1:19" hidden="1" x14ac:dyDescent="0.25">
      <c r="A560" s="359">
        <v>0</v>
      </c>
      <c r="B560" s="49" t="s">
        <v>1056</v>
      </c>
      <c r="C560" s="49"/>
      <c r="D560" s="49"/>
      <c r="E560" s="49"/>
      <c r="F560" s="49"/>
      <c r="G560" s="49"/>
      <c r="H560" s="49"/>
      <c r="I560" s="49"/>
      <c r="J560" s="316"/>
      <c r="K560" s="360"/>
      <c r="L560" s="363"/>
      <c r="M560" s="317"/>
      <c r="N560" s="317"/>
      <c r="O560" s="322"/>
      <c r="P560" s="365"/>
      <c r="Q560" s="364"/>
      <c r="R560" s="364"/>
      <c r="S560" s="348"/>
    </row>
    <row r="561" spans="1:19" hidden="1" x14ac:dyDescent="0.25">
      <c r="A561" s="359">
        <v>0</v>
      </c>
      <c r="B561" s="49" t="s">
        <v>1057</v>
      </c>
      <c r="C561" s="49"/>
      <c r="D561" s="49"/>
      <c r="E561" s="49"/>
      <c r="F561" s="49"/>
      <c r="G561" s="49"/>
      <c r="H561" s="49"/>
      <c r="I561" s="49"/>
      <c r="J561" s="316"/>
      <c r="K561" s="360"/>
      <c r="L561" s="363"/>
      <c r="M561" s="317"/>
      <c r="N561" s="317"/>
      <c r="O561" s="322"/>
      <c r="P561" s="365"/>
      <c r="Q561" s="364"/>
      <c r="R561" s="364"/>
      <c r="S561" s="348"/>
    </row>
    <row r="562" spans="1:19" hidden="1" x14ac:dyDescent="0.25">
      <c r="A562" s="359">
        <v>0</v>
      </c>
      <c r="B562" s="49" t="s">
        <v>1058</v>
      </c>
      <c r="C562" s="49"/>
      <c r="D562" s="49"/>
      <c r="E562" s="49"/>
      <c r="F562" s="49"/>
      <c r="G562" s="49"/>
      <c r="H562" s="49"/>
      <c r="I562" s="49"/>
      <c r="J562" s="316"/>
      <c r="K562" s="360"/>
      <c r="L562" s="363"/>
      <c r="M562" s="317"/>
      <c r="N562" s="317"/>
      <c r="O562" s="322"/>
      <c r="P562" s="365"/>
      <c r="Q562" s="364"/>
      <c r="R562" s="364"/>
      <c r="S562" s="348"/>
    </row>
    <row r="563" spans="1:19" hidden="1" x14ac:dyDescent="0.25">
      <c r="A563" s="359">
        <v>0</v>
      </c>
      <c r="B563" s="49" t="s">
        <v>1059</v>
      </c>
      <c r="C563" s="49"/>
      <c r="D563" s="49"/>
      <c r="E563" s="49"/>
      <c r="F563" s="49"/>
      <c r="G563" s="49"/>
      <c r="H563" s="49"/>
      <c r="I563" s="49"/>
      <c r="J563" s="316"/>
      <c r="K563" s="360"/>
      <c r="L563" s="363"/>
      <c r="M563" s="317"/>
      <c r="N563" s="317"/>
      <c r="O563" s="322"/>
      <c r="P563" s="365"/>
      <c r="Q563" s="364"/>
      <c r="R563" s="364"/>
      <c r="S563" s="348"/>
    </row>
    <row r="564" spans="1:19" hidden="1" x14ac:dyDescent="0.25">
      <c r="A564" s="359">
        <v>0</v>
      </c>
      <c r="B564" s="49" t="s">
        <v>1060</v>
      </c>
      <c r="C564" s="49"/>
      <c r="D564" s="49"/>
      <c r="E564" s="49"/>
      <c r="F564" s="49"/>
      <c r="G564" s="49"/>
      <c r="H564" s="49"/>
      <c r="I564" s="49"/>
      <c r="J564" s="316"/>
      <c r="K564" s="360"/>
      <c r="L564" s="363"/>
      <c r="M564" s="317"/>
      <c r="N564" s="317"/>
      <c r="O564" s="322"/>
      <c r="P564" s="365"/>
      <c r="Q564" s="364"/>
      <c r="R564" s="364"/>
      <c r="S564" s="348"/>
    </row>
    <row r="565" spans="1:19" hidden="1" x14ac:dyDescent="0.25">
      <c r="A565" s="359">
        <v>0</v>
      </c>
      <c r="B565" s="49" t="s">
        <v>1061</v>
      </c>
      <c r="C565" s="49"/>
      <c r="D565" s="49"/>
      <c r="E565" s="49"/>
      <c r="F565" s="49"/>
      <c r="G565" s="49"/>
      <c r="H565" s="49"/>
      <c r="I565" s="49"/>
      <c r="J565" s="316"/>
      <c r="K565" s="360"/>
      <c r="L565" s="363"/>
      <c r="M565" s="317"/>
      <c r="N565" s="317"/>
      <c r="O565" s="322"/>
      <c r="P565" s="365"/>
      <c r="Q565" s="364"/>
      <c r="R565" s="364"/>
      <c r="S565" s="348"/>
    </row>
    <row r="566" spans="1:19" hidden="1" x14ac:dyDescent="0.25">
      <c r="A566" s="359">
        <v>0</v>
      </c>
      <c r="B566" s="49" t="s">
        <v>1062</v>
      </c>
      <c r="C566" s="49"/>
      <c r="D566" s="49"/>
      <c r="E566" s="49"/>
      <c r="F566" s="49"/>
      <c r="G566" s="49"/>
      <c r="H566" s="49"/>
      <c r="I566" s="49"/>
      <c r="J566" s="316"/>
      <c r="K566" s="360"/>
      <c r="L566" s="363"/>
      <c r="M566" s="317"/>
      <c r="N566" s="317"/>
      <c r="O566" s="322"/>
      <c r="P566" s="365"/>
      <c r="Q566" s="364"/>
      <c r="R566" s="364"/>
      <c r="S566" s="348"/>
    </row>
    <row r="567" spans="1:19" hidden="1" x14ac:dyDescent="0.25">
      <c r="A567" s="359">
        <v>0</v>
      </c>
      <c r="B567" s="49" t="s">
        <v>1063</v>
      </c>
      <c r="C567" s="49"/>
      <c r="D567" s="49"/>
      <c r="E567" s="49"/>
      <c r="F567" s="49"/>
      <c r="G567" s="49"/>
      <c r="H567" s="49"/>
      <c r="I567" s="49"/>
      <c r="J567" s="316"/>
      <c r="K567" s="360"/>
      <c r="L567" s="363"/>
      <c r="M567" s="317"/>
      <c r="N567" s="317"/>
      <c r="O567" s="322"/>
      <c r="P567" s="365"/>
      <c r="Q567" s="364"/>
      <c r="R567" s="364"/>
      <c r="S567" s="348"/>
    </row>
    <row r="568" spans="1:19" hidden="1" x14ac:dyDescent="0.25">
      <c r="A568" s="359">
        <v>0</v>
      </c>
      <c r="B568" s="49" t="s">
        <v>1064</v>
      </c>
      <c r="C568" s="49"/>
      <c r="D568" s="49"/>
      <c r="E568" s="49"/>
      <c r="F568" s="49"/>
      <c r="G568" s="49"/>
      <c r="H568" s="49"/>
      <c r="I568" s="49"/>
      <c r="J568" s="316"/>
      <c r="K568" s="360"/>
      <c r="L568" s="363"/>
      <c r="M568" s="317"/>
      <c r="N568" s="317"/>
      <c r="O568" s="322"/>
      <c r="P568" s="365"/>
      <c r="Q568" s="364"/>
      <c r="R568" s="364"/>
      <c r="S568" s="348"/>
    </row>
    <row r="569" spans="1:19" hidden="1" x14ac:dyDescent="0.25">
      <c r="A569" s="359">
        <v>0</v>
      </c>
      <c r="B569" s="49" t="s">
        <v>1065</v>
      </c>
      <c r="C569" s="49"/>
      <c r="D569" s="49"/>
      <c r="E569" s="49"/>
      <c r="F569" s="49"/>
      <c r="G569" s="49"/>
      <c r="H569" s="49"/>
      <c r="I569" s="49"/>
      <c r="J569" s="316"/>
      <c r="K569" s="360"/>
      <c r="L569" s="363"/>
      <c r="M569" s="317"/>
      <c r="N569" s="317"/>
      <c r="O569" s="322"/>
      <c r="P569" s="365"/>
      <c r="Q569" s="364"/>
      <c r="R569" s="364"/>
      <c r="S569" s="348"/>
    </row>
    <row r="570" spans="1:19" hidden="1" x14ac:dyDescent="0.25">
      <c r="A570" s="359">
        <v>0</v>
      </c>
      <c r="B570" s="49" t="s">
        <v>1066</v>
      </c>
      <c r="C570" s="49"/>
      <c r="D570" s="49"/>
      <c r="E570" s="49"/>
      <c r="F570" s="49"/>
      <c r="G570" s="49"/>
      <c r="H570" s="49"/>
      <c r="I570" s="49"/>
      <c r="J570" s="316"/>
      <c r="K570" s="360"/>
      <c r="L570" s="363"/>
      <c r="M570" s="317"/>
      <c r="N570" s="317"/>
      <c r="O570" s="322"/>
      <c r="P570" s="365"/>
      <c r="Q570" s="364"/>
      <c r="R570" s="364"/>
      <c r="S570" s="348"/>
    </row>
    <row r="571" spans="1:19" hidden="1" x14ac:dyDescent="0.25">
      <c r="A571" s="359">
        <v>0</v>
      </c>
      <c r="B571" s="49" t="s">
        <v>1067</v>
      </c>
      <c r="C571" s="49"/>
      <c r="D571" s="49"/>
      <c r="E571" s="49"/>
      <c r="F571" s="49"/>
      <c r="G571" s="49"/>
      <c r="H571" s="49"/>
      <c r="I571" s="49"/>
      <c r="J571" s="316"/>
      <c r="K571" s="360"/>
      <c r="L571" s="363"/>
      <c r="M571" s="317"/>
      <c r="N571" s="317"/>
      <c r="O571" s="322"/>
      <c r="P571" s="365"/>
      <c r="Q571" s="364"/>
      <c r="R571" s="364"/>
      <c r="S571" s="348"/>
    </row>
    <row r="572" spans="1:19" hidden="1" x14ac:dyDescent="0.25">
      <c r="A572" s="359">
        <v>0</v>
      </c>
      <c r="B572" s="49" t="s">
        <v>1068</v>
      </c>
      <c r="C572" s="49"/>
      <c r="D572" s="49"/>
      <c r="E572" s="49"/>
      <c r="F572" s="49"/>
      <c r="G572" s="49"/>
      <c r="H572" s="49"/>
      <c r="I572" s="49"/>
      <c r="J572" s="316"/>
      <c r="K572" s="360"/>
      <c r="L572" s="363"/>
      <c r="M572" s="317"/>
      <c r="N572" s="317"/>
      <c r="O572" s="322"/>
      <c r="P572" s="365"/>
      <c r="Q572" s="364"/>
      <c r="R572" s="364"/>
      <c r="S572" s="348"/>
    </row>
    <row r="573" spans="1:19" hidden="1" x14ac:dyDescent="0.25">
      <c r="A573" s="359">
        <v>0</v>
      </c>
      <c r="B573" s="49" t="s">
        <v>1069</v>
      </c>
      <c r="C573" s="49"/>
      <c r="D573" s="49"/>
      <c r="E573" s="49"/>
      <c r="F573" s="49"/>
      <c r="G573" s="49"/>
      <c r="H573" s="49"/>
      <c r="I573" s="49"/>
      <c r="J573" s="316"/>
      <c r="K573" s="360"/>
      <c r="L573" s="363"/>
      <c r="M573" s="317"/>
      <c r="N573" s="317"/>
      <c r="O573" s="322"/>
      <c r="P573" s="365"/>
      <c r="Q573" s="364"/>
      <c r="R573" s="364"/>
      <c r="S573" s="348"/>
    </row>
    <row r="574" spans="1:19" hidden="1" x14ac:dyDescent="0.25">
      <c r="A574" s="359">
        <v>0</v>
      </c>
      <c r="B574" s="49" t="s">
        <v>1070</v>
      </c>
      <c r="C574" s="49"/>
      <c r="D574" s="49"/>
      <c r="E574" s="49"/>
      <c r="F574" s="49"/>
      <c r="G574" s="49"/>
      <c r="H574" s="49"/>
      <c r="I574" s="49"/>
      <c r="J574" s="316"/>
      <c r="K574" s="360"/>
      <c r="L574" s="363"/>
      <c r="M574" s="317"/>
      <c r="N574" s="317"/>
      <c r="O574" s="322"/>
      <c r="P574" s="365"/>
      <c r="Q574" s="364"/>
      <c r="R574" s="364"/>
      <c r="S574" s="348"/>
    </row>
    <row r="575" spans="1:19" hidden="1" x14ac:dyDescent="0.25">
      <c r="A575" s="359">
        <v>0</v>
      </c>
      <c r="B575" s="49" t="s">
        <v>1071</v>
      </c>
      <c r="C575" s="49"/>
      <c r="D575" s="49"/>
      <c r="E575" s="49"/>
      <c r="F575" s="49"/>
      <c r="G575" s="49"/>
      <c r="H575" s="49"/>
      <c r="I575" s="49"/>
      <c r="J575" s="316"/>
      <c r="K575" s="360"/>
      <c r="L575" s="363"/>
      <c r="M575" s="317"/>
      <c r="N575" s="317"/>
      <c r="O575" s="322"/>
      <c r="P575" s="365"/>
      <c r="Q575" s="364"/>
      <c r="R575" s="364"/>
      <c r="S575" s="348"/>
    </row>
    <row r="576" spans="1:19" hidden="1" x14ac:dyDescent="0.25">
      <c r="A576" s="359">
        <v>0</v>
      </c>
      <c r="B576" s="49" t="s">
        <v>1072</v>
      </c>
      <c r="C576" s="49"/>
      <c r="D576" s="49"/>
      <c r="E576" s="49"/>
      <c r="F576" s="49"/>
      <c r="G576" s="49"/>
      <c r="H576" s="49"/>
      <c r="I576" s="49"/>
      <c r="J576" s="316"/>
      <c r="K576" s="360"/>
      <c r="L576" s="363"/>
      <c r="M576" s="317"/>
      <c r="N576" s="317"/>
      <c r="O576" s="322"/>
      <c r="P576" s="365"/>
      <c r="Q576" s="364"/>
      <c r="R576" s="364"/>
      <c r="S576" s="348"/>
    </row>
    <row r="577" spans="1:19" hidden="1" x14ac:dyDescent="0.25">
      <c r="A577" s="359">
        <v>0</v>
      </c>
      <c r="B577" s="49" t="s">
        <v>1073</v>
      </c>
      <c r="C577" s="49"/>
      <c r="D577" s="49"/>
      <c r="E577" s="49"/>
      <c r="F577" s="49"/>
      <c r="G577" s="49"/>
      <c r="H577" s="49"/>
      <c r="I577" s="49"/>
      <c r="J577" s="316"/>
      <c r="K577" s="360"/>
      <c r="L577" s="363"/>
      <c r="M577" s="317"/>
      <c r="N577" s="317"/>
      <c r="O577" s="322"/>
      <c r="P577" s="365"/>
      <c r="Q577" s="364"/>
      <c r="R577" s="364"/>
      <c r="S577" s="348"/>
    </row>
    <row r="578" spans="1:19" hidden="1" x14ac:dyDescent="0.25">
      <c r="A578" s="359">
        <v>0</v>
      </c>
      <c r="B578" s="49" t="s">
        <v>1074</v>
      </c>
      <c r="C578" s="49"/>
      <c r="D578" s="49"/>
      <c r="E578" s="49"/>
      <c r="F578" s="49"/>
      <c r="G578" s="49"/>
      <c r="H578" s="49"/>
      <c r="I578" s="49"/>
      <c r="J578" s="316"/>
      <c r="K578" s="360"/>
      <c r="L578" s="363"/>
      <c r="M578" s="317"/>
      <c r="N578" s="317"/>
      <c r="O578" s="322"/>
      <c r="P578" s="365"/>
      <c r="Q578" s="364"/>
      <c r="R578" s="364"/>
      <c r="S578" s="348"/>
    </row>
    <row r="579" spans="1:19" hidden="1" x14ac:dyDescent="0.25">
      <c r="A579" s="359">
        <v>0</v>
      </c>
      <c r="B579" s="49" t="s">
        <v>1075</v>
      </c>
      <c r="C579" s="49"/>
      <c r="D579" s="49"/>
      <c r="E579" s="49"/>
      <c r="F579" s="49"/>
      <c r="G579" s="49"/>
      <c r="H579" s="49"/>
      <c r="I579" s="49"/>
      <c r="J579" s="316"/>
      <c r="K579" s="360"/>
      <c r="L579" s="363"/>
      <c r="M579" s="317"/>
      <c r="N579" s="317"/>
      <c r="O579" s="322"/>
      <c r="P579" s="365"/>
      <c r="Q579" s="364"/>
      <c r="R579" s="364"/>
      <c r="S579" s="348"/>
    </row>
    <row r="580" spans="1:19" hidden="1" x14ac:dyDescent="0.25">
      <c r="A580" s="359">
        <v>0</v>
      </c>
      <c r="B580" s="49" t="s">
        <v>1076</v>
      </c>
      <c r="C580" s="49"/>
      <c r="D580" s="49"/>
      <c r="E580" s="49"/>
      <c r="F580" s="49"/>
      <c r="G580" s="49"/>
      <c r="H580" s="49"/>
      <c r="I580" s="49"/>
      <c r="J580" s="316"/>
      <c r="K580" s="360"/>
      <c r="L580" s="363"/>
      <c r="M580" s="317"/>
      <c r="N580" s="317"/>
      <c r="O580" s="322"/>
      <c r="P580" s="365"/>
      <c r="Q580" s="364"/>
      <c r="R580" s="364"/>
      <c r="S580" s="348"/>
    </row>
    <row r="581" spans="1:19" hidden="1" x14ac:dyDescent="0.25">
      <c r="A581" s="359">
        <v>0</v>
      </c>
      <c r="B581" s="49" t="s">
        <v>1077</v>
      </c>
      <c r="C581" s="49"/>
      <c r="D581" s="49"/>
      <c r="E581" s="49"/>
      <c r="F581" s="49"/>
      <c r="G581" s="49"/>
      <c r="H581" s="49"/>
      <c r="I581" s="49"/>
      <c r="J581" s="316"/>
      <c r="K581" s="360"/>
      <c r="L581" s="363"/>
      <c r="M581" s="317"/>
      <c r="N581" s="317"/>
      <c r="O581" s="322"/>
      <c r="P581" s="365"/>
      <c r="Q581" s="364"/>
      <c r="R581" s="364"/>
      <c r="S581" s="348"/>
    </row>
    <row r="582" spans="1:19" hidden="1" x14ac:dyDescent="0.25">
      <c r="A582" s="359">
        <v>0</v>
      </c>
      <c r="B582" s="49" t="s">
        <v>1078</v>
      </c>
      <c r="C582" s="49"/>
      <c r="D582" s="49"/>
      <c r="E582" s="49"/>
      <c r="F582" s="49"/>
      <c r="G582" s="49"/>
      <c r="H582" s="49"/>
      <c r="I582" s="49"/>
      <c r="J582" s="316"/>
      <c r="K582" s="360"/>
      <c r="L582" s="363"/>
      <c r="M582" s="317"/>
      <c r="N582" s="317"/>
      <c r="O582" s="322"/>
      <c r="P582" s="365"/>
      <c r="Q582" s="364"/>
      <c r="R582" s="364"/>
      <c r="S582" s="348"/>
    </row>
    <row r="583" spans="1:19" hidden="1" x14ac:dyDescent="0.25">
      <c r="A583" s="359">
        <v>0</v>
      </c>
      <c r="B583" s="49" t="s">
        <v>1079</v>
      </c>
      <c r="C583" s="49"/>
      <c r="D583" s="49"/>
      <c r="E583" s="49"/>
      <c r="F583" s="49"/>
      <c r="G583" s="49"/>
      <c r="H583" s="49"/>
      <c r="I583" s="49"/>
      <c r="J583" s="316"/>
      <c r="K583" s="360"/>
      <c r="L583" s="363"/>
      <c r="M583" s="317"/>
      <c r="N583" s="317"/>
      <c r="O583" s="322"/>
      <c r="P583" s="365"/>
      <c r="Q583" s="364"/>
      <c r="R583" s="364"/>
      <c r="S583" s="348"/>
    </row>
    <row r="584" spans="1:19" hidden="1" x14ac:dyDescent="0.25">
      <c r="A584" s="359">
        <v>0</v>
      </c>
      <c r="B584" s="49" t="s">
        <v>1080</v>
      </c>
      <c r="C584" s="49"/>
      <c r="D584" s="49"/>
      <c r="E584" s="49"/>
      <c r="F584" s="49"/>
      <c r="G584" s="49"/>
      <c r="H584" s="49"/>
      <c r="I584" s="49"/>
      <c r="J584" s="316"/>
      <c r="K584" s="360"/>
      <c r="L584" s="363"/>
      <c r="M584" s="317"/>
      <c r="N584" s="317"/>
      <c r="O584" s="322"/>
      <c r="P584" s="365"/>
      <c r="Q584" s="364"/>
      <c r="R584" s="364"/>
      <c r="S584" s="348"/>
    </row>
    <row r="585" spans="1:19" hidden="1" x14ac:dyDescent="0.25">
      <c r="A585" s="359">
        <v>0</v>
      </c>
      <c r="B585" s="49" t="s">
        <v>1081</v>
      </c>
      <c r="C585" s="49"/>
      <c r="D585" s="49"/>
      <c r="E585" s="49"/>
      <c r="F585" s="49"/>
      <c r="G585" s="49"/>
      <c r="H585" s="49"/>
      <c r="I585" s="49"/>
      <c r="J585" s="316"/>
      <c r="K585" s="360"/>
      <c r="L585" s="363"/>
      <c r="M585" s="317"/>
      <c r="N585" s="317"/>
      <c r="O585" s="322"/>
      <c r="P585" s="365"/>
      <c r="Q585" s="364"/>
      <c r="R585" s="364"/>
      <c r="S585" s="348"/>
    </row>
    <row r="586" spans="1:19" hidden="1" x14ac:dyDescent="0.25">
      <c r="A586" s="359">
        <v>0</v>
      </c>
      <c r="B586" s="49" t="s">
        <v>1082</v>
      </c>
      <c r="C586" s="49"/>
      <c r="D586" s="49"/>
      <c r="E586" s="49"/>
      <c r="F586" s="49"/>
      <c r="G586" s="49"/>
      <c r="H586" s="49"/>
      <c r="I586" s="49"/>
      <c r="J586" s="316"/>
      <c r="K586" s="360"/>
      <c r="L586" s="363"/>
      <c r="M586" s="317"/>
      <c r="N586" s="317"/>
      <c r="O586" s="322"/>
      <c r="P586" s="365"/>
      <c r="Q586" s="364"/>
      <c r="R586" s="364"/>
      <c r="S586" s="348"/>
    </row>
    <row r="587" spans="1:19" hidden="1" x14ac:dyDescent="0.25">
      <c r="A587" s="359">
        <v>0</v>
      </c>
      <c r="B587" s="49" t="s">
        <v>1083</v>
      </c>
      <c r="C587" s="49"/>
      <c r="D587" s="49"/>
      <c r="E587" s="49"/>
      <c r="F587" s="49"/>
      <c r="G587" s="49"/>
      <c r="H587" s="49"/>
      <c r="I587" s="49"/>
      <c r="J587" s="316"/>
      <c r="K587" s="360"/>
      <c r="L587" s="363"/>
      <c r="M587" s="317"/>
      <c r="N587" s="317"/>
      <c r="O587" s="322"/>
      <c r="P587" s="365"/>
      <c r="Q587" s="364"/>
      <c r="R587" s="364"/>
      <c r="S587" s="348"/>
    </row>
    <row r="588" spans="1:19" hidden="1" x14ac:dyDescent="0.25">
      <c r="A588" s="359">
        <v>0</v>
      </c>
      <c r="B588" s="49" t="s">
        <v>1084</v>
      </c>
      <c r="C588" s="49"/>
      <c r="D588" s="49"/>
      <c r="E588" s="378"/>
      <c r="F588" s="49"/>
      <c r="G588" s="49"/>
      <c r="H588" s="49"/>
      <c r="I588" s="49"/>
      <c r="J588" s="316"/>
      <c r="K588" s="360"/>
      <c r="L588" s="363"/>
      <c r="M588" s="317"/>
      <c r="N588" s="317"/>
      <c r="O588" s="322"/>
      <c r="P588" s="365"/>
      <c r="Q588" s="364"/>
      <c r="R588" s="364"/>
      <c r="S588" s="348"/>
    </row>
    <row r="589" spans="1:19" hidden="1" x14ac:dyDescent="0.25">
      <c r="A589" s="359">
        <v>0</v>
      </c>
      <c r="B589" s="49" t="s">
        <v>1085</v>
      </c>
      <c r="C589" s="49"/>
      <c r="D589" s="49"/>
      <c r="E589" s="49"/>
      <c r="F589" s="49"/>
      <c r="G589" s="49"/>
      <c r="H589" s="49"/>
      <c r="I589" s="49"/>
      <c r="J589" s="316"/>
      <c r="K589" s="360"/>
      <c r="L589" s="363"/>
      <c r="M589" s="317"/>
      <c r="N589" s="317"/>
      <c r="O589" s="322"/>
      <c r="P589" s="365"/>
      <c r="Q589" s="364"/>
      <c r="R589" s="364"/>
      <c r="S589" s="348"/>
    </row>
    <row r="590" spans="1:19" hidden="1" x14ac:dyDescent="0.25">
      <c r="A590" s="359">
        <v>0</v>
      </c>
      <c r="B590" s="49" t="s">
        <v>1086</v>
      </c>
      <c r="C590" s="49"/>
      <c r="D590" s="49"/>
      <c r="E590" s="49"/>
      <c r="F590" s="49"/>
      <c r="G590" s="49"/>
      <c r="H590" s="49"/>
      <c r="I590" s="49"/>
      <c r="J590" s="316"/>
      <c r="K590" s="360"/>
      <c r="L590" s="363"/>
      <c r="M590" s="317"/>
      <c r="N590" s="317"/>
      <c r="O590" s="322"/>
      <c r="P590" s="365"/>
      <c r="Q590" s="364"/>
      <c r="R590" s="364"/>
      <c r="S590" s="348"/>
    </row>
    <row r="591" spans="1:19" hidden="1" x14ac:dyDescent="0.25">
      <c r="A591" s="359">
        <v>0</v>
      </c>
      <c r="B591" s="49" t="s">
        <v>1087</v>
      </c>
      <c r="C591" s="49"/>
      <c r="D591" s="49"/>
      <c r="E591" s="49"/>
      <c r="F591" s="49"/>
      <c r="G591" s="49"/>
      <c r="H591" s="49"/>
      <c r="I591" s="49"/>
      <c r="J591" s="316"/>
      <c r="K591" s="360"/>
      <c r="L591" s="363"/>
      <c r="M591" s="317"/>
      <c r="N591" s="317"/>
      <c r="O591" s="322"/>
      <c r="P591" s="365"/>
      <c r="Q591" s="364"/>
      <c r="R591" s="364"/>
      <c r="S591" s="348"/>
    </row>
    <row r="592" spans="1:19" hidden="1" x14ac:dyDescent="0.25">
      <c r="A592" s="359">
        <v>0</v>
      </c>
      <c r="B592" s="49" t="s">
        <v>1088</v>
      </c>
      <c r="C592" s="49"/>
      <c r="D592" s="49"/>
      <c r="E592" s="49"/>
      <c r="F592" s="49"/>
      <c r="G592" s="49"/>
      <c r="H592" s="49"/>
      <c r="I592" s="49"/>
      <c r="J592" s="316"/>
      <c r="K592" s="360"/>
      <c r="L592" s="363"/>
      <c r="M592" s="317"/>
      <c r="N592" s="317"/>
      <c r="O592" s="322"/>
      <c r="P592" s="365"/>
      <c r="Q592" s="364"/>
      <c r="R592" s="364"/>
      <c r="S592" s="348"/>
    </row>
    <row r="593" spans="1:19" hidden="1" x14ac:dyDescent="0.25">
      <c r="A593" s="359">
        <v>0</v>
      </c>
      <c r="B593" s="49" t="s">
        <v>1089</v>
      </c>
      <c r="C593" s="49"/>
      <c r="D593" s="49"/>
      <c r="E593" s="49"/>
      <c r="F593" s="49"/>
      <c r="G593" s="49"/>
      <c r="H593" s="49"/>
      <c r="I593" s="49"/>
      <c r="J593" s="316"/>
      <c r="K593" s="360"/>
      <c r="L593" s="363"/>
      <c r="M593" s="317"/>
      <c r="N593" s="317"/>
      <c r="O593" s="322"/>
      <c r="P593" s="365"/>
      <c r="Q593" s="364"/>
      <c r="R593" s="364"/>
      <c r="S593" s="348"/>
    </row>
    <row r="594" spans="1:19" hidden="1" x14ac:dyDescent="0.25">
      <c r="A594" s="359">
        <v>0</v>
      </c>
      <c r="B594" s="49" t="s">
        <v>1090</v>
      </c>
      <c r="C594" s="49"/>
      <c r="D594" s="49"/>
      <c r="E594" s="49"/>
      <c r="F594" s="49"/>
      <c r="G594" s="49"/>
      <c r="H594" s="49"/>
      <c r="I594" s="49"/>
      <c r="J594" s="316"/>
      <c r="K594" s="360"/>
      <c r="L594" s="363"/>
      <c r="M594" s="317"/>
      <c r="N594" s="317"/>
      <c r="O594" s="322"/>
      <c r="P594" s="365"/>
      <c r="Q594" s="364"/>
      <c r="R594" s="364"/>
      <c r="S594" s="348"/>
    </row>
    <row r="595" spans="1:19" hidden="1" x14ac:dyDescent="0.25">
      <c r="A595" s="359">
        <v>0</v>
      </c>
      <c r="B595" s="49" t="s">
        <v>1091</v>
      </c>
      <c r="C595" s="49"/>
      <c r="D595" s="49"/>
      <c r="E595" s="49"/>
      <c r="F595" s="49"/>
      <c r="G595" s="49"/>
      <c r="H595" s="49"/>
      <c r="I595" s="49"/>
      <c r="J595" s="316"/>
      <c r="K595" s="360"/>
      <c r="L595" s="363"/>
      <c r="M595" s="317"/>
      <c r="N595" s="317"/>
      <c r="O595" s="322"/>
      <c r="P595" s="365"/>
      <c r="Q595" s="364"/>
      <c r="R595" s="364"/>
      <c r="S595" s="348"/>
    </row>
    <row r="596" spans="1:19" hidden="1" x14ac:dyDescent="0.25">
      <c r="A596" s="359">
        <v>0</v>
      </c>
      <c r="B596" s="49" t="s">
        <v>1092</v>
      </c>
      <c r="C596" s="49"/>
      <c r="D596" s="49"/>
      <c r="E596" s="49"/>
      <c r="F596" s="49"/>
      <c r="G596" s="49"/>
      <c r="H596" s="49"/>
      <c r="I596" s="49"/>
      <c r="J596" s="316"/>
      <c r="K596" s="360"/>
      <c r="L596" s="363"/>
      <c r="M596" s="317"/>
      <c r="N596" s="317"/>
      <c r="O596" s="322"/>
      <c r="P596" s="365"/>
      <c r="Q596" s="364"/>
      <c r="R596" s="364"/>
      <c r="S596" s="348"/>
    </row>
    <row r="597" spans="1:19" hidden="1" x14ac:dyDescent="0.25">
      <c r="A597" s="359">
        <v>0</v>
      </c>
      <c r="B597" s="49" t="s">
        <v>1093</v>
      </c>
      <c r="C597" s="49"/>
      <c r="D597" s="49"/>
      <c r="E597" s="49"/>
      <c r="F597" s="49"/>
      <c r="G597" s="49"/>
      <c r="H597" s="49"/>
      <c r="I597" s="49"/>
      <c r="J597" s="316"/>
      <c r="K597" s="360"/>
      <c r="L597" s="363"/>
      <c r="M597" s="317"/>
      <c r="N597" s="317"/>
      <c r="O597" s="322"/>
      <c r="P597" s="365"/>
      <c r="Q597" s="364"/>
      <c r="R597" s="364"/>
      <c r="S597" s="348"/>
    </row>
    <row r="598" spans="1:19" hidden="1" x14ac:dyDescent="0.25">
      <c r="A598" s="359">
        <v>0</v>
      </c>
      <c r="B598" s="49" t="s">
        <v>1094</v>
      </c>
      <c r="C598" s="49"/>
      <c r="D598" s="49"/>
      <c r="E598" s="49"/>
      <c r="F598" s="49"/>
      <c r="G598" s="49"/>
      <c r="H598" s="49"/>
      <c r="I598" s="49"/>
      <c r="J598" s="316"/>
      <c r="K598" s="360"/>
      <c r="L598" s="363"/>
      <c r="M598" s="317"/>
      <c r="N598" s="317"/>
      <c r="O598" s="322"/>
      <c r="P598" s="365"/>
      <c r="Q598" s="364"/>
      <c r="R598" s="364"/>
      <c r="S598" s="348"/>
    </row>
    <row r="599" spans="1:19" hidden="1" x14ac:dyDescent="0.25">
      <c r="A599" s="359">
        <v>0</v>
      </c>
      <c r="B599" s="49" t="s">
        <v>1095</v>
      </c>
      <c r="C599" s="49"/>
      <c r="D599" s="49"/>
      <c r="E599" s="49"/>
      <c r="F599" s="49"/>
      <c r="G599" s="49"/>
      <c r="H599" s="49"/>
      <c r="I599" s="49"/>
      <c r="J599" s="316"/>
      <c r="K599" s="360"/>
      <c r="L599" s="363"/>
      <c r="M599" s="317"/>
      <c r="N599" s="317"/>
      <c r="O599" s="322"/>
      <c r="P599" s="365"/>
      <c r="Q599" s="364"/>
      <c r="R599" s="364"/>
      <c r="S599" s="348"/>
    </row>
    <row r="600" spans="1:19" hidden="1" x14ac:dyDescent="0.25">
      <c r="A600" s="359">
        <v>0</v>
      </c>
      <c r="B600" s="49" t="s">
        <v>1096</v>
      </c>
      <c r="C600" s="49"/>
      <c r="D600" s="49"/>
      <c r="E600" s="49"/>
      <c r="F600" s="49"/>
      <c r="G600" s="49"/>
      <c r="H600" s="49"/>
      <c r="I600" s="49"/>
      <c r="J600" s="316"/>
      <c r="K600" s="360"/>
      <c r="L600" s="363"/>
      <c r="M600" s="317"/>
      <c r="N600" s="317"/>
      <c r="O600" s="322"/>
      <c r="P600" s="365"/>
      <c r="Q600" s="364"/>
      <c r="R600" s="364"/>
      <c r="S600" s="348"/>
    </row>
    <row r="601" spans="1:19" hidden="1" x14ac:dyDescent="0.25">
      <c r="A601" s="359">
        <v>0</v>
      </c>
      <c r="B601" s="49" t="s">
        <v>1097</v>
      </c>
      <c r="C601" s="49"/>
      <c r="D601" s="49"/>
      <c r="E601" s="49"/>
      <c r="F601" s="49"/>
      <c r="G601" s="49"/>
      <c r="H601" s="49"/>
      <c r="I601" s="49"/>
      <c r="J601" s="316"/>
      <c r="K601" s="360"/>
      <c r="L601" s="363"/>
      <c r="M601" s="317"/>
      <c r="N601" s="317"/>
      <c r="O601" s="322"/>
      <c r="P601" s="365"/>
      <c r="Q601" s="364"/>
      <c r="R601" s="364"/>
      <c r="S601" s="348"/>
    </row>
    <row r="602" spans="1:19" hidden="1" x14ac:dyDescent="0.25">
      <c r="A602" s="359">
        <v>0</v>
      </c>
      <c r="B602" s="49" t="s">
        <v>1098</v>
      </c>
      <c r="C602" s="49"/>
      <c r="D602" s="49"/>
      <c r="E602" s="49"/>
      <c r="F602" s="49"/>
      <c r="G602" s="49"/>
      <c r="H602" s="49"/>
      <c r="I602" s="49"/>
      <c r="J602" s="316"/>
      <c r="K602" s="360"/>
      <c r="L602" s="363"/>
      <c r="M602" s="317"/>
      <c r="N602" s="317"/>
      <c r="O602" s="322"/>
      <c r="P602" s="365"/>
      <c r="Q602" s="364"/>
      <c r="R602" s="364"/>
      <c r="S602" s="348"/>
    </row>
    <row r="603" spans="1:19" hidden="1" x14ac:dyDescent="0.25">
      <c r="A603" s="359">
        <v>0</v>
      </c>
      <c r="B603" s="49" t="s">
        <v>1099</v>
      </c>
      <c r="C603" s="49"/>
      <c r="D603" s="49"/>
      <c r="E603" s="49"/>
      <c r="F603" s="49"/>
      <c r="G603" s="49"/>
      <c r="H603" s="49"/>
      <c r="I603" s="49"/>
      <c r="J603" s="316"/>
      <c r="K603" s="360"/>
      <c r="L603" s="363"/>
      <c r="M603" s="317"/>
      <c r="N603" s="317"/>
      <c r="O603" s="322"/>
      <c r="P603" s="365"/>
      <c r="Q603" s="364"/>
      <c r="R603" s="364"/>
      <c r="S603" s="348"/>
    </row>
    <row r="604" spans="1:19" hidden="1" x14ac:dyDescent="0.25">
      <c r="A604" s="359">
        <v>0</v>
      </c>
      <c r="B604" s="49" t="s">
        <v>1100</v>
      </c>
      <c r="C604" s="49"/>
      <c r="D604" s="49"/>
      <c r="E604" s="49"/>
      <c r="F604" s="49"/>
      <c r="G604" s="49"/>
      <c r="H604" s="49"/>
      <c r="I604" s="49"/>
      <c r="J604" s="316"/>
      <c r="K604" s="360"/>
      <c r="L604" s="363"/>
      <c r="M604" s="317"/>
      <c r="N604" s="317"/>
      <c r="O604" s="322"/>
      <c r="P604" s="365"/>
      <c r="Q604" s="364"/>
      <c r="R604" s="364"/>
      <c r="S604" s="348"/>
    </row>
    <row r="605" spans="1:19" ht="25.5" hidden="1" x14ac:dyDescent="0.25">
      <c r="A605" s="359">
        <v>0</v>
      </c>
      <c r="B605" s="49" t="s">
        <v>1101</v>
      </c>
      <c r="C605" s="49" t="s">
        <v>1102</v>
      </c>
      <c r="D605" s="49"/>
      <c r="E605" s="49">
        <v>184617</v>
      </c>
      <c r="F605" s="49" t="s">
        <v>1103</v>
      </c>
      <c r="G605" s="49" t="s">
        <v>1104</v>
      </c>
      <c r="H605" s="49" t="s">
        <v>1105</v>
      </c>
      <c r="I605" s="49" t="s">
        <v>1106</v>
      </c>
      <c r="J605" s="316">
        <v>45702</v>
      </c>
      <c r="K605" s="360">
        <v>45702</v>
      </c>
      <c r="L605" s="363" t="s">
        <v>28</v>
      </c>
      <c r="M605" s="317" t="s">
        <v>1107</v>
      </c>
      <c r="N605" s="317">
        <v>1</v>
      </c>
      <c r="O605" s="322">
        <v>45658</v>
      </c>
      <c r="P605" s="365" t="s">
        <v>30</v>
      </c>
      <c r="Q605" s="364">
        <v>45702</v>
      </c>
      <c r="R605" s="364">
        <v>45702</v>
      </c>
      <c r="S605" s="348"/>
    </row>
    <row r="606" spans="1:19" ht="25.5" hidden="1" x14ac:dyDescent="0.25">
      <c r="A606" s="359">
        <v>0</v>
      </c>
      <c r="B606" s="49" t="s">
        <v>1108</v>
      </c>
      <c r="C606" s="49" t="s">
        <v>1102</v>
      </c>
      <c r="D606" s="49"/>
      <c r="E606" s="49">
        <v>184715</v>
      </c>
      <c r="F606" s="49" t="s">
        <v>1109</v>
      </c>
      <c r="G606" s="49" t="s">
        <v>1104</v>
      </c>
      <c r="H606" s="49" t="s">
        <v>1105</v>
      </c>
      <c r="I606" s="49" t="s">
        <v>1110</v>
      </c>
      <c r="J606" s="316">
        <v>45709</v>
      </c>
      <c r="K606" s="360">
        <v>45709</v>
      </c>
      <c r="L606" s="363" t="s">
        <v>28</v>
      </c>
      <c r="M606" s="317" t="s">
        <v>1107</v>
      </c>
      <c r="N606" s="317">
        <v>2</v>
      </c>
      <c r="O606" s="322">
        <v>45713</v>
      </c>
      <c r="P606" s="365" t="s">
        <v>30</v>
      </c>
      <c r="Q606" s="364">
        <v>45713</v>
      </c>
      <c r="R606" s="364">
        <v>45713</v>
      </c>
      <c r="S606" s="348"/>
    </row>
    <row r="607" spans="1:19" hidden="1" x14ac:dyDescent="0.25">
      <c r="A607" s="359">
        <v>0</v>
      </c>
      <c r="B607" s="49" t="s">
        <v>1111</v>
      </c>
      <c r="C607" s="49" t="s">
        <v>1102</v>
      </c>
      <c r="D607" s="49"/>
      <c r="E607" s="49">
        <v>184714</v>
      </c>
      <c r="F607" s="49" t="s">
        <v>1112</v>
      </c>
      <c r="G607" s="49" t="s">
        <v>1113</v>
      </c>
      <c r="H607" s="49" t="s">
        <v>1114</v>
      </c>
      <c r="I607" s="49" t="s">
        <v>1106</v>
      </c>
      <c r="J607" s="316">
        <v>45701</v>
      </c>
      <c r="K607" s="360">
        <v>45701</v>
      </c>
      <c r="L607" s="363" t="s">
        <v>47</v>
      </c>
      <c r="M607" s="317" t="s">
        <v>1115</v>
      </c>
      <c r="N607" s="317">
        <v>2</v>
      </c>
      <c r="O607" s="322">
        <v>45702</v>
      </c>
      <c r="P607" s="365" t="s">
        <v>30</v>
      </c>
      <c r="Q607" s="364">
        <v>45705</v>
      </c>
      <c r="R607" s="364">
        <v>45705</v>
      </c>
      <c r="S607" s="348"/>
    </row>
    <row r="608" spans="1:19" ht="25.5" hidden="1" x14ac:dyDescent="0.25">
      <c r="A608" s="359">
        <v>0</v>
      </c>
      <c r="B608" s="49" t="s">
        <v>1116</v>
      </c>
      <c r="C608" s="49" t="s">
        <v>1102</v>
      </c>
      <c r="D608" s="49"/>
      <c r="E608" s="49">
        <v>184601</v>
      </c>
      <c r="F608" s="49" t="s">
        <v>1117</v>
      </c>
      <c r="G608" s="49" t="s">
        <v>1118</v>
      </c>
      <c r="H608" s="49" t="s">
        <v>1119</v>
      </c>
      <c r="I608" s="49" t="s">
        <v>1106</v>
      </c>
      <c r="J608" s="316">
        <v>45679</v>
      </c>
      <c r="K608" s="360">
        <v>45679</v>
      </c>
      <c r="L608" s="363" t="s">
        <v>28</v>
      </c>
      <c r="M608" s="317" t="s">
        <v>1120</v>
      </c>
      <c r="N608" s="317">
        <v>2</v>
      </c>
      <c r="O608" s="322">
        <v>45702</v>
      </c>
      <c r="P608" s="365" t="s">
        <v>30</v>
      </c>
      <c r="Q608" s="364">
        <v>45702</v>
      </c>
      <c r="R608" s="364">
        <v>45702</v>
      </c>
      <c r="S608" s="348"/>
    </row>
    <row r="609" spans="1:19" hidden="1" x14ac:dyDescent="0.25">
      <c r="A609" s="359">
        <v>0</v>
      </c>
      <c r="B609" s="49" t="s">
        <v>1121</v>
      </c>
      <c r="C609" s="49" t="s">
        <v>1102</v>
      </c>
      <c r="D609" s="49"/>
      <c r="E609" s="49">
        <v>184874</v>
      </c>
      <c r="F609" s="49" t="s">
        <v>1122</v>
      </c>
      <c r="G609" s="49"/>
      <c r="H609" s="49"/>
      <c r="I609" s="49"/>
      <c r="J609" s="316"/>
      <c r="K609" s="360"/>
      <c r="L609" s="363"/>
      <c r="M609" s="317"/>
      <c r="N609" s="317"/>
      <c r="O609" s="322"/>
      <c r="P609" s="365"/>
      <c r="Q609" s="364"/>
      <c r="R609" s="364"/>
      <c r="S609" s="348"/>
    </row>
    <row r="610" spans="1:19" ht="25.5" hidden="1" x14ac:dyDescent="0.25">
      <c r="A610" s="359">
        <v>0</v>
      </c>
      <c r="B610" s="49" t="s">
        <v>1123</v>
      </c>
      <c r="C610" s="49" t="s">
        <v>1102</v>
      </c>
      <c r="D610" s="49"/>
      <c r="E610" s="49">
        <v>184770</v>
      </c>
      <c r="F610" s="49" t="s">
        <v>1124</v>
      </c>
      <c r="G610" s="49" t="s">
        <v>1125</v>
      </c>
      <c r="H610" s="49" t="s">
        <v>1126</v>
      </c>
      <c r="I610" s="49" t="s">
        <v>1106</v>
      </c>
      <c r="J610" s="316">
        <v>45723</v>
      </c>
      <c r="K610" s="360">
        <v>45723</v>
      </c>
      <c r="L610" s="363" t="s">
        <v>47</v>
      </c>
      <c r="M610" s="317" t="s">
        <v>1127</v>
      </c>
      <c r="N610" s="317">
        <v>2</v>
      </c>
      <c r="O610" s="322">
        <v>45726</v>
      </c>
      <c r="P610" s="365" t="s">
        <v>30</v>
      </c>
      <c r="Q610" s="364">
        <v>45729</v>
      </c>
      <c r="R610" s="364">
        <v>45729</v>
      </c>
      <c r="S610" s="348"/>
    </row>
    <row r="611" spans="1:19" ht="25.5" hidden="1" x14ac:dyDescent="0.25">
      <c r="A611" s="359">
        <v>0</v>
      </c>
      <c r="B611" s="49" t="s">
        <v>1128</v>
      </c>
      <c r="C611" s="49" t="s">
        <v>1102</v>
      </c>
      <c r="D611" s="49"/>
      <c r="E611" s="49">
        <v>184771</v>
      </c>
      <c r="F611" s="49" t="s">
        <v>1129</v>
      </c>
      <c r="G611" s="49" t="s">
        <v>1130</v>
      </c>
      <c r="H611" s="49" t="s">
        <v>1131</v>
      </c>
      <c r="I611" s="49" t="s">
        <v>1106</v>
      </c>
      <c r="J611" s="316">
        <v>45723</v>
      </c>
      <c r="K611" s="360">
        <v>45723</v>
      </c>
      <c r="L611" s="363" t="s">
        <v>47</v>
      </c>
      <c r="M611" s="317" t="s">
        <v>1132</v>
      </c>
      <c r="N611" s="317">
        <v>1</v>
      </c>
      <c r="O611" s="322">
        <v>45726</v>
      </c>
      <c r="P611" s="365" t="s">
        <v>30</v>
      </c>
      <c r="Q611" s="364">
        <v>45729</v>
      </c>
      <c r="R611" s="364">
        <v>45729</v>
      </c>
      <c r="S611" s="348"/>
    </row>
    <row r="612" spans="1:19" hidden="1" x14ac:dyDescent="0.25">
      <c r="A612" s="359">
        <v>0</v>
      </c>
      <c r="B612" s="49" t="s">
        <v>1133</v>
      </c>
      <c r="C612" s="49" t="s">
        <v>1102</v>
      </c>
      <c r="D612" s="49"/>
      <c r="E612" s="49">
        <v>184772</v>
      </c>
      <c r="F612" s="49" t="s">
        <v>1134</v>
      </c>
      <c r="G612" s="49" t="s">
        <v>1135</v>
      </c>
      <c r="H612" s="49" t="s">
        <v>1136</v>
      </c>
      <c r="I612" s="49" t="s">
        <v>1137</v>
      </c>
      <c r="J612" s="316">
        <v>45714</v>
      </c>
      <c r="K612" s="360">
        <v>45716</v>
      </c>
      <c r="L612" s="363" t="s">
        <v>28</v>
      </c>
      <c r="M612" s="317" t="s">
        <v>1138</v>
      </c>
      <c r="N612" s="317">
        <v>2</v>
      </c>
      <c r="O612" s="322">
        <v>45723</v>
      </c>
      <c r="P612" s="365" t="s">
        <v>30</v>
      </c>
      <c r="Q612" s="364">
        <v>45726</v>
      </c>
      <c r="R612" s="364">
        <v>45726</v>
      </c>
      <c r="S612" s="348"/>
    </row>
    <row r="613" spans="1:19" ht="25.5" hidden="1" x14ac:dyDescent="0.25">
      <c r="A613" s="359">
        <v>0</v>
      </c>
      <c r="B613" s="49" t="s">
        <v>1139</v>
      </c>
      <c r="C613" s="49" t="s">
        <v>1102</v>
      </c>
      <c r="D613" s="49"/>
      <c r="E613" s="49">
        <v>184749</v>
      </c>
      <c r="F613" s="49" t="s">
        <v>1140</v>
      </c>
      <c r="G613" s="49" t="s">
        <v>1113</v>
      </c>
      <c r="H613" s="49" t="s">
        <v>1141</v>
      </c>
      <c r="I613" s="49" t="s">
        <v>1106</v>
      </c>
      <c r="J613" s="316">
        <v>45709</v>
      </c>
      <c r="K613" s="360">
        <v>45709</v>
      </c>
      <c r="L613" s="363" t="s">
        <v>28</v>
      </c>
      <c r="M613" s="317" t="s">
        <v>1142</v>
      </c>
      <c r="N613" s="317">
        <v>1</v>
      </c>
      <c r="O613" s="322">
        <v>45709</v>
      </c>
      <c r="P613" s="365" t="s">
        <v>30</v>
      </c>
      <c r="Q613" s="364">
        <v>45713</v>
      </c>
      <c r="R613" s="364">
        <v>45713</v>
      </c>
      <c r="S613" s="348"/>
    </row>
    <row r="614" spans="1:19" hidden="1" x14ac:dyDescent="0.25">
      <c r="A614" s="359">
        <v>0</v>
      </c>
      <c r="B614" s="49" t="s">
        <v>1143</v>
      </c>
      <c r="C614" s="49" t="s">
        <v>1102</v>
      </c>
      <c r="D614" s="49"/>
      <c r="E614" s="49">
        <v>184844</v>
      </c>
      <c r="F614" s="49" t="s">
        <v>1144</v>
      </c>
      <c r="G614" s="49"/>
      <c r="H614" s="49"/>
      <c r="I614" s="49"/>
      <c r="J614" s="316">
        <v>45741</v>
      </c>
      <c r="K614" s="360">
        <v>45743</v>
      </c>
      <c r="L614" s="363"/>
      <c r="M614" s="317"/>
      <c r="N614" s="317"/>
      <c r="O614" s="322"/>
      <c r="P614" s="365"/>
      <c r="Q614" s="364"/>
      <c r="R614" s="364"/>
      <c r="S614" s="348"/>
    </row>
    <row r="615" spans="1:19" ht="25.5" hidden="1" x14ac:dyDescent="0.25">
      <c r="A615" s="359">
        <v>0</v>
      </c>
      <c r="B615" s="49" t="s">
        <v>1145</v>
      </c>
      <c r="C615" s="49" t="s">
        <v>1102</v>
      </c>
      <c r="D615" s="49"/>
      <c r="E615" s="49">
        <v>184876</v>
      </c>
      <c r="F615" s="49" t="s">
        <v>1146</v>
      </c>
      <c r="G615" s="49" t="s">
        <v>1147</v>
      </c>
      <c r="H615" s="49" t="s">
        <v>1148</v>
      </c>
      <c r="I615" s="49" t="s">
        <v>1106</v>
      </c>
      <c r="J615" s="316">
        <v>45755</v>
      </c>
      <c r="K615" s="360">
        <v>45755</v>
      </c>
      <c r="L615" s="363" t="s">
        <v>28</v>
      </c>
      <c r="M615" s="317" t="s">
        <v>1149</v>
      </c>
      <c r="N615" s="317">
        <v>1</v>
      </c>
      <c r="O615" s="322">
        <v>45762</v>
      </c>
      <c r="P615" s="365" t="s">
        <v>30</v>
      </c>
      <c r="Q615" s="364">
        <v>45763</v>
      </c>
      <c r="R615" s="364">
        <v>45763</v>
      </c>
      <c r="S615" s="348"/>
    </row>
    <row r="616" spans="1:19" ht="25.5" hidden="1" x14ac:dyDescent="0.25">
      <c r="A616" s="359">
        <v>0</v>
      </c>
      <c r="B616" s="49" t="s">
        <v>1150</v>
      </c>
      <c r="C616" s="49" t="s">
        <v>1102</v>
      </c>
      <c r="D616" s="49"/>
      <c r="E616" s="49">
        <v>184875</v>
      </c>
      <c r="F616" s="49" t="s">
        <v>1151</v>
      </c>
      <c r="G616" s="49" t="s">
        <v>1104</v>
      </c>
      <c r="H616" s="49" t="s">
        <v>1152</v>
      </c>
      <c r="I616" s="49" t="s">
        <v>1137</v>
      </c>
      <c r="J616" s="316">
        <v>45754</v>
      </c>
      <c r="K616" s="360">
        <v>45754</v>
      </c>
      <c r="L616" s="363" t="s">
        <v>28</v>
      </c>
      <c r="M616" s="317" t="s">
        <v>1153</v>
      </c>
      <c r="N616" s="317">
        <v>1</v>
      </c>
      <c r="O616" s="322">
        <v>45758</v>
      </c>
      <c r="P616" s="365" t="s">
        <v>30</v>
      </c>
      <c r="Q616" s="364">
        <v>45758</v>
      </c>
      <c r="R616" s="364">
        <v>45758</v>
      </c>
      <c r="S616" s="348"/>
    </row>
    <row r="617" spans="1:19" hidden="1" x14ac:dyDescent="0.25">
      <c r="A617" s="359">
        <v>0</v>
      </c>
      <c r="B617" s="49" t="s">
        <v>1154</v>
      </c>
      <c r="C617" s="49" t="s">
        <v>1102</v>
      </c>
      <c r="D617" s="49"/>
      <c r="E617" s="49">
        <v>184901</v>
      </c>
      <c r="F617" s="49" t="s">
        <v>1155</v>
      </c>
      <c r="G617" s="49"/>
      <c r="H617" s="49"/>
      <c r="I617" s="49"/>
      <c r="J617" s="316">
        <v>45758</v>
      </c>
      <c r="K617" s="360">
        <v>45762</v>
      </c>
      <c r="L617" s="363"/>
      <c r="M617" s="317"/>
      <c r="N617" s="317"/>
      <c r="O617" s="322"/>
      <c r="P617" s="365"/>
      <c r="Q617" s="364"/>
      <c r="R617" s="364"/>
      <c r="S617" s="348"/>
    </row>
    <row r="618" spans="1:19" hidden="1" x14ac:dyDescent="0.25">
      <c r="A618" s="359">
        <v>0</v>
      </c>
      <c r="B618" s="49" t="s">
        <v>1156</v>
      </c>
      <c r="C618" s="49" t="s">
        <v>1102</v>
      </c>
      <c r="D618" s="49"/>
      <c r="E618" s="49">
        <v>184902</v>
      </c>
      <c r="F618" s="49" t="s">
        <v>1157</v>
      </c>
      <c r="G618" s="49"/>
      <c r="H618" s="49"/>
      <c r="I618" s="49"/>
      <c r="J618" s="316">
        <v>45761</v>
      </c>
      <c r="K618" s="360">
        <v>45762</v>
      </c>
      <c r="L618" s="363"/>
      <c r="M618" s="317"/>
      <c r="N618" s="317"/>
      <c r="O618" s="322"/>
      <c r="P618" s="365"/>
      <c r="Q618" s="364"/>
      <c r="R618" s="364"/>
      <c r="S618" s="348"/>
    </row>
    <row r="619" spans="1:19" hidden="1" x14ac:dyDescent="0.25">
      <c r="A619" s="359">
        <v>0</v>
      </c>
      <c r="B619" s="49" t="s">
        <v>1158</v>
      </c>
      <c r="C619" s="49" t="s">
        <v>1102</v>
      </c>
      <c r="D619" s="49"/>
      <c r="E619" s="49"/>
      <c r="F619" s="49"/>
      <c r="G619" s="49"/>
      <c r="H619" s="49"/>
      <c r="I619" s="49"/>
      <c r="J619" s="316"/>
      <c r="K619" s="360"/>
      <c r="L619" s="363"/>
      <c r="M619" s="317"/>
      <c r="N619" s="317"/>
      <c r="O619" s="322"/>
      <c r="P619" s="365"/>
      <c r="Q619" s="364"/>
      <c r="R619" s="364"/>
      <c r="S619" s="348"/>
    </row>
    <row r="620" spans="1:19" hidden="1" x14ac:dyDescent="0.25">
      <c r="A620" s="359">
        <v>0</v>
      </c>
      <c r="B620" s="49" t="s">
        <v>1159</v>
      </c>
      <c r="C620" s="49" t="s">
        <v>1102</v>
      </c>
      <c r="D620" s="49"/>
      <c r="E620" s="49"/>
      <c r="F620" s="49"/>
      <c r="G620" s="49"/>
      <c r="H620" s="49"/>
      <c r="I620" s="49"/>
      <c r="J620" s="316"/>
      <c r="K620" s="360"/>
      <c r="L620" s="363"/>
      <c r="M620" s="317"/>
      <c r="N620" s="317"/>
      <c r="O620" s="322"/>
      <c r="P620" s="365"/>
      <c r="Q620" s="364"/>
      <c r="R620" s="364"/>
      <c r="S620" s="348"/>
    </row>
    <row r="621" spans="1:19" hidden="1" x14ac:dyDescent="0.25">
      <c r="A621" s="359">
        <v>0</v>
      </c>
      <c r="B621" s="49" t="s">
        <v>1160</v>
      </c>
      <c r="C621" s="49" t="s">
        <v>1102</v>
      </c>
      <c r="D621" s="49"/>
      <c r="E621" s="49"/>
      <c r="F621" s="49"/>
      <c r="G621" s="49"/>
      <c r="H621" s="49"/>
      <c r="I621" s="49"/>
      <c r="J621" s="316"/>
      <c r="K621" s="360"/>
      <c r="L621" s="363"/>
      <c r="M621" s="317"/>
      <c r="N621" s="317"/>
      <c r="O621" s="322"/>
      <c r="P621" s="365"/>
      <c r="Q621" s="364"/>
      <c r="R621" s="364"/>
      <c r="S621" s="348"/>
    </row>
    <row r="622" spans="1:19" hidden="1" x14ac:dyDescent="0.25">
      <c r="A622" s="359">
        <v>0</v>
      </c>
      <c r="B622" s="49" t="s">
        <v>1161</v>
      </c>
      <c r="C622" s="49" t="s">
        <v>1102</v>
      </c>
      <c r="D622" s="49"/>
      <c r="E622" s="49"/>
      <c r="F622" s="49"/>
      <c r="G622" s="49"/>
      <c r="H622" s="49"/>
      <c r="I622" s="49"/>
      <c r="J622" s="316"/>
      <c r="K622" s="360"/>
      <c r="L622" s="363"/>
      <c r="M622" s="317"/>
      <c r="N622" s="317"/>
      <c r="O622" s="322"/>
      <c r="P622" s="365"/>
      <c r="Q622" s="364"/>
      <c r="R622" s="364"/>
      <c r="S622" s="348"/>
    </row>
    <row r="623" spans="1:19" hidden="1" x14ac:dyDescent="0.25">
      <c r="A623" s="359">
        <v>0</v>
      </c>
      <c r="B623" s="49" t="s">
        <v>1162</v>
      </c>
      <c r="C623" s="49" t="s">
        <v>1102</v>
      </c>
      <c r="D623" s="49"/>
      <c r="E623" s="49"/>
      <c r="F623" s="49"/>
      <c r="G623" s="49"/>
      <c r="H623" s="49"/>
      <c r="I623" s="49"/>
      <c r="J623" s="316"/>
      <c r="K623" s="360"/>
      <c r="L623" s="363"/>
      <c r="M623" s="317"/>
      <c r="N623" s="317"/>
      <c r="O623" s="322"/>
      <c r="P623" s="365"/>
      <c r="Q623" s="364"/>
      <c r="R623" s="364"/>
      <c r="S623" s="348"/>
    </row>
    <row r="624" spans="1:19" hidden="1" x14ac:dyDescent="0.25">
      <c r="A624" s="359">
        <v>0</v>
      </c>
      <c r="B624" s="49" t="s">
        <v>1163</v>
      </c>
      <c r="C624" s="49" t="s">
        <v>1102</v>
      </c>
      <c r="D624" s="49"/>
      <c r="E624" s="49"/>
      <c r="F624" s="49"/>
      <c r="G624" s="49"/>
      <c r="H624" s="49"/>
      <c r="I624" s="49"/>
      <c r="J624" s="316"/>
      <c r="K624" s="360"/>
      <c r="L624" s="363"/>
      <c r="M624" s="317"/>
      <c r="N624" s="317"/>
      <c r="O624" s="322"/>
      <c r="P624" s="365"/>
      <c r="Q624" s="364"/>
      <c r="R624" s="364"/>
      <c r="S624" s="348"/>
    </row>
    <row r="625" spans="1:19" hidden="1" x14ac:dyDescent="0.25">
      <c r="A625" s="359">
        <v>0</v>
      </c>
      <c r="B625" s="49" t="s">
        <v>1164</v>
      </c>
      <c r="C625" s="49" t="s">
        <v>1102</v>
      </c>
      <c r="D625" s="49"/>
      <c r="E625" s="49"/>
      <c r="F625" s="49"/>
      <c r="G625" s="49"/>
      <c r="H625" s="49"/>
      <c r="I625" s="49"/>
      <c r="J625" s="316"/>
      <c r="K625" s="360"/>
      <c r="L625" s="363"/>
      <c r="M625" s="317"/>
      <c r="N625" s="317"/>
      <c r="O625" s="322"/>
      <c r="P625" s="365"/>
      <c r="Q625" s="364"/>
      <c r="R625" s="364"/>
      <c r="S625" s="348"/>
    </row>
    <row r="626" spans="1:19" hidden="1" x14ac:dyDescent="0.25">
      <c r="A626" s="359">
        <v>0</v>
      </c>
      <c r="B626" s="49" t="s">
        <v>1165</v>
      </c>
      <c r="C626" s="49" t="s">
        <v>1102</v>
      </c>
      <c r="D626" s="49"/>
      <c r="E626" s="49"/>
      <c r="F626" s="49"/>
      <c r="G626" s="49"/>
      <c r="H626" s="49"/>
      <c r="I626" s="49"/>
      <c r="J626" s="316"/>
      <c r="K626" s="360"/>
      <c r="L626" s="363"/>
      <c r="M626" s="317"/>
      <c r="N626" s="317"/>
      <c r="O626" s="322"/>
      <c r="P626" s="365"/>
      <c r="Q626" s="364"/>
      <c r="R626" s="364"/>
      <c r="S626" s="348"/>
    </row>
    <row r="627" spans="1:19" hidden="1" x14ac:dyDescent="0.25">
      <c r="A627" s="359">
        <v>0</v>
      </c>
      <c r="B627" s="49" t="s">
        <v>1166</v>
      </c>
      <c r="C627" s="49" t="s">
        <v>1102</v>
      </c>
      <c r="D627" s="49"/>
      <c r="E627" s="49"/>
      <c r="F627" s="49"/>
      <c r="G627" s="49"/>
      <c r="H627" s="49"/>
      <c r="I627" s="49"/>
      <c r="J627" s="316"/>
      <c r="K627" s="360"/>
      <c r="L627" s="363"/>
      <c r="M627" s="317"/>
      <c r="N627" s="317"/>
      <c r="O627" s="322"/>
      <c r="P627" s="365"/>
      <c r="Q627" s="364"/>
      <c r="R627" s="364"/>
      <c r="S627" s="348"/>
    </row>
    <row r="628" spans="1:19" hidden="1" x14ac:dyDescent="0.25">
      <c r="A628" s="359">
        <v>0</v>
      </c>
      <c r="B628" s="49" t="s">
        <v>1167</v>
      </c>
      <c r="C628" s="49" t="s">
        <v>1102</v>
      </c>
      <c r="D628" s="49"/>
      <c r="E628" s="49"/>
      <c r="F628" s="49"/>
      <c r="G628" s="49"/>
      <c r="H628" s="49"/>
      <c r="I628" s="49"/>
      <c r="J628" s="316"/>
      <c r="K628" s="360"/>
      <c r="L628" s="363"/>
      <c r="M628" s="317"/>
      <c r="N628" s="317"/>
      <c r="O628" s="322"/>
      <c r="P628" s="365"/>
      <c r="Q628" s="364"/>
      <c r="R628" s="364"/>
      <c r="S628" s="348"/>
    </row>
    <row r="629" spans="1:19" hidden="1" x14ac:dyDescent="0.25">
      <c r="A629" s="359">
        <v>0</v>
      </c>
      <c r="B629" s="49" t="s">
        <v>1168</v>
      </c>
      <c r="C629" s="49" t="s">
        <v>1102</v>
      </c>
      <c r="D629" s="49"/>
      <c r="E629" s="49"/>
      <c r="F629" s="49"/>
      <c r="G629" s="49"/>
      <c r="H629" s="49"/>
      <c r="I629" s="49"/>
      <c r="J629" s="316"/>
      <c r="K629" s="360"/>
      <c r="L629" s="363"/>
      <c r="M629" s="317"/>
      <c r="N629" s="317"/>
      <c r="O629" s="322"/>
      <c r="P629" s="365"/>
      <c r="Q629" s="364"/>
      <c r="R629" s="364"/>
      <c r="S629" s="348"/>
    </row>
    <row r="630" spans="1:19" hidden="1" x14ac:dyDescent="0.25">
      <c r="A630" s="359">
        <v>0</v>
      </c>
      <c r="B630" s="49" t="s">
        <v>1169</v>
      </c>
      <c r="C630" s="49" t="s">
        <v>1102</v>
      </c>
      <c r="D630" s="49"/>
      <c r="E630" s="49"/>
      <c r="F630" s="49"/>
      <c r="G630" s="49"/>
      <c r="H630" s="49"/>
      <c r="I630" s="49"/>
      <c r="J630" s="316"/>
      <c r="K630" s="360"/>
      <c r="L630" s="363"/>
      <c r="M630" s="317"/>
      <c r="N630" s="317"/>
      <c r="O630" s="322"/>
      <c r="P630" s="365"/>
      <c r="Q630" s="364"/>
      <c r="R630" s="364"/>
      <c r="S630" s="348"/>
    </row>
    <row r="631" spans="1:19" hidden="1" x14ac:dyDescent="0.25">
      <c r="A631" s="359">
        <v>0</v>
      </c>
      <c r="B631" s="49" t="s">
        <v>1170</v>
      </c>
      <c r="C631" s="49" t="s">
        <v>1102</v>
      </c>
      <c r="D631" s="49"/>
      <c r="E631" s="49"/>
      <c r="F631" s="49"/>
      <c r="G631" s="49"/>
      <c r="H631" s="49"/>
      <c r="I631" s="49"/>
      <c r="J631" s="316"/>
      <c r="K631" s="360"/>
      <c r="L631" s="363"/>
      <c r="M631" s="317"/>
      <c r="N631" s="317"/>
      <c r="O631" s="322"/>
      <c r="P631" s="365"/>
      <c r="Q631" s="364"/>
      <c r="R631" s="364"/>
      <c r="S631" s="348"/>
    </row>
    <row r="632" spans="1:19" hidden="1" x14ac:dyDescent="0.25">
      <c r="A632" s="359">
        <v>0</v>
      </c>
      <c r="B632" s="49" t="s">
        <v>1171</v>
      </c>
      <c r="C632" s="49" t="s">
        <v>1102</v>
      </c>
      <c r="D632" s="49"/>
      <c r="E632" s="49"/>
      <c r="F632" s="49"/>
      <c r="G632" s="49"/>
      <c r="H632" s="49"/>
      <c r="I632" s="49"/>
      <c r="J632" s="316"/>
      <c r="K632" s="360"/>
      <c r="L632" s="363"/>
      <c r="M632" s="317"/>
      <c r="N632" s="317"/>
      <c r="O632" s="322"/>
      <c r="P632" s="365"/>
      <c r="Q632" s="364"/>
      <c r="R632" s="364"/>
      <c r="S632" s="348"/>
    </row>
    <row r="633" spans="1:19" hidden="1" x14ac:dyDescent="0.25">
      <c r="A633" s="359">
        <v>0</v>
      </c>
      <c r="B633" s="49" t="s">
        <v>1172</v>
      </c>
      <c r="C633" s="49" t="s">
        <v>1102</v>
      </c>
      <c r="D633" s="49"/>
      <c r="E633" s="49"/>
      <c r="F633" s="49"/>
      <c r="G633" s="49"/>
      <c r="H633" s="49"/>
      <c r="I633" s="49"/>
      <c r="J633" s="316"/>
      <c r="K633" s="360"/>
      <c r="L633" s="363"/>
      <c r="M633" s="317"/>
      <c r="N633" s="317"/>
      <c r="O633" s="322"/>
      <c r="P633" s="365"/>
      <c r="Q633" s="364"/>
      <c r="R633" s="364"/>
      <c r="S633" s="348"/>
    </row>
    <row r="634" spans="1:19" hidden="1" x14ac:dyDescent="0.25">
      <c r="A634" s="359">
        <v>0</v>
      </c>
      <c r="B634" s="49" t="s">
        <v>1173</v>
      </c>
      <c r="C634" s="49" t="s">
        <v>1102</v>
      </c>
      <c r="D634" s="49"/>
      <c r="E634" s="49"/>
      <c r="F634" s="49"/>
      <c r="G634" s="49"/>
      <c r="H634" s="49"/>
      <c r="I634" s="49"/>
      <c r="J634" s="316"/>
      <c r="K634" s="360"/>
      <c r="L634" s="363"/>
      <c r="M634" s="317"/>
      <c r="N634" s="317"/>
      <c r="O634" s="322"/>
      <c r="P634" s="365"/>
      <c r="Q634" s="364"/>
      <c r="R634" s="364"/>
      <c r="S634" s="348"/>
    </row>
    <row r="635" spans="1:19" hidden="1" x14ac:dyDescent="0.25">
      <c r="A635" s="359">
        <v>0</v>
      </c>
      <c r="B635" s="49" t="s">
        <v>1174</v>
      </c>
      <c r="C635" s="49" t="s">
        <v>1102</v>
      </c>
      <c r="D635" s="49"/>
      <c r="E635" s="49"/>
      <c r="F635" s="49"/>
      <c r="G635" s="49"/>
      <c r="H635" s="49"/>
      <c r="I635" s="49"/>
      <c r="J635" s="316"/>
      <c r="K635" s="360"/>
      <c r="L635" s="363"/>
      <c r="M635" s="317"/>
      <c r="N635" s="317"/>
      <c r="O635" s="322"/>
      <c r="P635" s="365"/>
      <c r="Q635" s="364"/>
      <c r="R635" s="364"/>
      <c r="S635" s="348"/>
    </row>
    <row r="636" spans="1:19" hidden="1" x14ac:dyDescent="0.25">
      <c r="A636" s="359">
        <v>0</v>
      </c>
      <c r="B636" s="49" t="s">
        <v>1175</v>
      </c>
      <c r="C636" s="49" t="s">
        <v>1102</v>
      </c>
      <c r="D636" s="49"/>
      <c r="E636" s="49"/>
      <c r="F636" s="49"/>
      <c r="G636" s="49"/>
      <c r="H636" s="49"/>
      <c r="I636" s="49"/>
      <c r="J636" s="316"/>
      <c r="K636" s="360"/>
      <c r="L636" s="363"/>
      <c r="M636" s="317"/>
      <c r="N636" s="317"/>
      <c r="O636" s="322"/>
      <c r="P636" s="365"/>
      <c r="Q636" s="364"/>
      <c r="R636" s="364"/>
      <c r="S636" s="348"/>
    </row>
    <row r="637" spans="1:19" hidden="1" x14ac:dyDescent="0.25">
      <c r="A637" s="359">
        <v>0</v>
      </c>
      <c r="B637" s="49" t="s">
        <v>1176</v>
      </c>
      <c r="C637" s="49" t="s">
        <v>1102</v>
      </c>
      <c r="D637" s="49"/>
      <c r="E637" s="49"/>
      <c r="F637" s="49"/>
      <c r="G637" s="49"/>
      <c r="H637" s="49"/>
      <c r="I637" s="49"/>
      <c r="J637" s="316"/>
      <c r="K637" s="360"/>
      <c r="L637" s="363"/>
      <c r="M637" s="317"/>
      <c r="N637" s="317"/>
      <c r="O637" s="322"/>
      <c r="P637" s="365"/>
      <c r="Q637" s="364"/>
      <c r="R637" s="364"/>
      <c r="S637" s="348"/>
    </row>
    <row r="638" spans="1:19" hidden="1" x14ac:dyDescent="0.25">
      <c r="A638" s="359">
        <v>0</v>
      </c>
      <c r="B638" s="49" t="s">
        <v>1177</v>
      </c>
      <c r="C638" s="49" t="s">
        <v>1102</v>
      </c>
      <c r="D638" s="49"/>
      <c r="E638" s="49"/>
      <c r="F638" s="49"/>
      <c r="G638" s="49"/>
      <c r="H638" s="49"/>
      <c r="I638" s="49"/>
      <c r="J638" s="316"/>
      <c r="K638" s="360"/>
      <c r="L638" s="363"/>
      <c r="M638" s="317"/>
      <c r="N638" s="317"/>
      <c r="O638" s="322"/>
      <c r="P638" s="365"/>
      <c r="Q638" s="364"/>
      <c r="R638" s="364"/>
      <c r="S638" s="348"/>
    </row>
    <row r="639" spans="1:19" hidden="1" x14ac:dyDescent="0.25">
      <c r="A639" s="359">
        <v>0</v>
      </c>
      <c r="B639" s="49" t="s">
        <v>1178</v>
      </c>
      <c r="C639" s="49" t="s">
        <v>1102</v>
      </c>
      <c r="D639" s="49"/>
      <c r="E639" s="49"/>
      <c r="F639" s="49"/>
      <c r="G639" s="49"/>
      <c r="H639" s="49"/>
      <c r="I639" s="49"/>
      <c r="J639" s="316"/>
      <c r="K639" s="360"/>
      <c r="L639" s="363"/>
      <c r="M639" s="317"/>
      <c r="N639" s="317"/>
      <c r="O639" s="322"/>
      <c r="P639" s="365"/>
      <c r="Q639" s="364"/>
      <c r="R639" s="364"/>
      <c r="S639" s="348"/>
    </row>
    <row r="640" spans="1:19" hidden="1" x14ac:dyDescent="0.25">
      <c r="A640" s="359">
        <v>0</v>
      </c>
      <c r="B640" s="49" t="s">
        <v>1179</v>
      </c>
      <c r="C640" s="49" t="s">
        <v>1102</v>
      </c>
      <c r="D640" s="49"/>
      <c r="E640" s="49"/>
      <c r="F640" s="49"/>
      <c r="G640" s="49"/>
      <c r="H640" s="49"/>
      <c r="I640" s="49"/>
      <c r="J640" s="316"/>
      <c r="K640" s="360"/>
      <c r="L640" s="363"/>
      <c r="M640" s="317"/>
      <c r="N640" s="317"/>
      <c r="O640" s="322"/>
      <c r="P640" s="365"/>
      <c r="Q640" s="364"/>
      <c r="R640" s="364"/>
      <c r="S640" s="348"/>
    </row>
    <row r="641" spans="1:19" hidden="1" x14ac:dyDescent="0.25">
      <c r="A641" s="359">
        <v>0</v>
      </c>
      <c r="B641" s="49" t="s">
        <v>1180</v>
      </c>
      <c r="C641" s="49" t="s">
        <v>1102</v>
      </c>
      <c r="D641" s="49"/>
      <c r="E641" s="49"/>
      <c r="F641" s="49"/>
      <c r="G641" s="49"/>
      <c r="H641" s="49"/>
      <c r="I641" s="49"/>
      <c r="J641" s="316"/>
      <c r="K641" s="360"/>
      <c r="L641" s="363"/>
      <c r="M641" s="317"/>
      <c r="N641" s="317"/>
      <c r="O641" s="322"/>
      <c r="P641" s="365"/>
      <c r="Q641" s="364"/>
      <c r="R641" s="364"/>
      <c r="S641" s="348"/>
    </row>
    <row r="642" spans="1:19" hidden="1" x14ac:dyDescent="0.25">
      <c r="A642" s="359">
        <v>0</v>
      </c>
      <c r="B642" s="49" t="s">
        <v>1181</v>
      </c>
      <c r="C642" s="49" t="s">
        <v>1102</v>
      </c>
      <c r="D642" s="49"/>
      <c r="E642" s="49"/>
      <c r="F642" s="49"/>
      <c r="G642" s="49"/>
      <c r="H642" s="49"/>
      <c r="I642" s="49"/>
      <c r="J642" s="316"/>
      <c r="K642" s="360"/>
      <c r="L642" s="363"/>
      <c r="M642" s="317"/>
      <c r="N642" s="317"/>
      <c r="O642" s="322"/>
      <c r="P642" s="365"/>
      <c r="Q642" s="364"/>
      <c r="R642" s="364"/>
      <c r="S642" s="348"/>
    </row>
    <row r="643" spans="1:19" hidden="1" x14ac:dyDescent="0.25">
      <c r="A643" s="359">
        <v>0</v>
      </c>
      <c r="B643" s="49" t="s">
        <v>1182</v>
      </c>
      <c r="C643" s="49" t="s">
        <v>1102</v>
      </c>
      <c r="D643" s="49"/>
      <c r="E643" s="49"/>
      <c r="F643" s="49"/>
      <c r="G643" s="49"/>
      <c r="H643" s="49"/>
      <c r="I643" s="49"/>
      <c r="J643" s="316"/>
      <c r="K643" s="360"/>
      <c r="L643" s="363"/>
      <c r="M643" s="317"/>
      <c r="N643" s="317"/>
      <c r="O643" s="322"/>
      <c r="P643" s="365"/>
      <c r="Q643" s="364"/>
      <c r="R643" s="364"/>
      <c r="S643" s="348"/>
    </row>
    <row r="644" spans="1:19" hidden="1" x14ac:dyDescent="0.25">
      <c r="A644" s="359">
        <v>0</v>
      </c>
      <c r="B644" s="49" t="s">
        <v>1183</v>
      </c>
      <c r="C644" s="49" t="s">
        <v>1102</v>
      </c>
      <c r="D644" s="49"/>
      <c r="E644" s="49"/>
      <c r="F644" s="49"/>
      <c r="G644" s="49"/>
      <c r="H644" s="49"/>
      <c r="I644" s="49"/>
      <c r="J644" s="316"/>
      <c r="K644" s="360"/>
      <c r="L644" s="363"/>
      <c r="M644" s="317"/>
      <c r="N644" s="317"/>
      <c r="O644" s="322"/>
      <c r="P644" s="365"/>
      <c r="Q644" s="364"/>
      <c r="R644" s="364"/>
      <c r="S644" s="348"/>
    </row>
    <row r="645" spans="1:19" hidden="1" x14ac:dyDescent="0.25">
      <c r="A645" s="359">
        <v>0</v>
      </c>
      <c r="B645" s="49" t="s">
        <v>1184</v>
      </c>
      <c r="C645" s="49" t="s">
        <v>1102</v>
      </c>
      <c r="D645" s="49"/>
      <c r="E645" s="49"/>
      <c r="F645" s="49"/>
      <c r="G645" s="49"/>
      <c r="H645" s="49"/>
      <c r="I645" s="49"/>
      <c r="J645" s="316"/>
      <c r="K645" s="360"/>
      <c r="L645" s="363"/>
      <c r="M645" s="317"/>
      <c r="N645" s="317"/>
      <c r="O645" s="322"/>
      <c r="P645" s="365"/>
      <c r="Q645" s="364"/>
      <c r="R645" s="364"/>
      <c r="S645" s="348"/>
    </row>
    <row r="646" spans="1:19" hidden="1" x14ac:dyDescent="0.25">
      <c r="A646" s="359">
        <v>0</v>
      </c>
      <c r="B646" s="49" t="s">
        <v>1185</v>
      </c>
      <c r="C646" s="49" t="s">
        <v>1102</v>
      </c>
      <c r="D646" s="49"/>
      <c r="E646" s="49"/>
      <c r="F646" s="49"/>
      <c r="G646" s="49"/>
      <c r="H646" s="49"/>
      <c r="I646" s="49"/>
      <c r="J646" s="316"/>
      <c r="K646" s="360"/>
      <c r="L646" s="363"/>
      <c r="M646" s="317"/>
      <c r="N646" s="317"/>
      <c r="O646" s="322"/>
      <c r="P646" s="365"/>
      <c r="Q646" s="364"/>
      <c r="R646" s="364"/>
      <c r="S646" s="348"/>
    </row>
    <row r="647" spans="1:19" hidden="1" x14ac:dyDescent="0.25">
      <c r="A647" s="359">
        <v>0</v>
      </c>
      <c r="B647" s="49" t="s">
        <v>1186</v>
      </c>
      <c r="C647" s="49" t="s">
        <v>1102</v>
      </c>
      <c r="D647" s="49"/>
      <c r="E647" s="49"/>
      <c r="F647" s="49"/>
      <c r="G647" s="49"/>
      <c r="H647" s="49"/>
      <c r="I647" s="49"/>
      <c r="J647" s="316"/>
      <c r="K647" s="360"/>
      <c r="L647" s="363"/>
      <c r="M647" s="317"/>
      <c r="N647" s="317"/>
      <c r="O647" s="322"/>
      <c r="P647" s="365"/>
      <c r="Q647" s="364"/>
      <c r="R647" s="364"/>
      <c r="S647" s="348"/>
    </row>
    <row r="648" spans="1:19" hidden="1" x14ac:dyDescent="0.25">
      <c r="A648" s="359">
        <v>0</v>
      </c>
      <c r="B648" s="49" t="s">
        <v>1187</v>
      </c>
      <c r="C648" s="49" t="s">
        <v>1102</v>
      </c>
      <c r="D648" s="49"/>
      <c r="E648" s="49"/>
      <c r="F648" s="49"/>
      <c r="G648" s="49"/>
      <c r="H648" s="49"/>
      <c r="I648" s="49"/>
      <c r="J648" s="316"/>
      <c r="K648" s="360"/>
      <c r="L648" s="363"/>
      <c r="M648" s="317"/>
      <c r="N648" s="317"/>
      <c r="O648" s="322"/>
      <c r="P648" s="365"/>
      <c r="Q648" s="364"/>
      <c r="R648" s="364"/>
      <c r="S648" s="348"/>
    </row>
    <row r="649" spans="1:19" hidden="1" x14ac:dyDescent="0.25">
      <c r="A649" s="359">
        <v>0</v>
      </c>
      <c r="B649" s="49" t="s">
        <v>1188</v>
      </c>
      <c r="C649" s="49" t="s">
        <v>1102</v>
      </c>
      <c r="D649" s="49"/>
      <c r="E649" s="49"/>
      <c r="F649" s="49"/>
      <c r="G649" s="49"/>
      <c r="H649" s="49"/>
      <c r="I649" s="49"/>
      <c r="J649" s="316"/>
      <c r="K649" s="360"/>
      <c r="L649" s="363"/>
      <c r="M649" s="317"/>
      <c r="N649" s="317"/>
      <c r="O649" s="322"/>
      <c r="P649" s="365"/>
      <c r="Q649" s="364"/>
      <c r="R649" s="364"/>
      <c r="S649" s="348"/>
    </row>
    <row r="650" spans="1:19" hidden="1" x14ac:dyDescent="0.25">
      <c r="A650" s="359">
        <v>0</v>
      </c>
      <c r="B650" s="49" t="s">
        <v>1189</v>
      </c>
      <c r="C650" s="49" t="s">
        <v>1102</v>
      </c>
      <c r="D650" s="49"/>
      <c r="E650" s="49"/>
      <c r="F650" s="49"/>
      <c r="G650" s="49"/>
      <c r="H650" s="49"/>
      <c r="I650" s="49"/>
      <c r="J650" s="316"/>
      <c r="K650" s="360"/>
      <c r="L650" s="363"/>
      <c r="M650" s="317"/>
      <c r="N650" s="317"/>
      <c r="O650" s="322"/>
      <c r="P650" s="365"/>
      <c r="Q650" s="364"/>
      <c r="R650" s="364"/>
      <c r="S650" s="348"/>
    </row>
    <row r="651" spans="1:19" hidden="1" x14ac:dyDescent="0.25">
      <c r="A651" s="359">
        <v>0</v>
      </c>
      <c r="B651" s="49" t="s">
        <v>1190</v>
      </c>
      <c r="C651" s="49" t="s">
        <v>1102</v>
      </c>
      <c r="D651" s="49"/>
      <c r="E651" s="49"/>
      <c r="F651" s="49"/>
      <c r="G651" s="49"/>
      <c r="H651" s="49"/>
      <c r="I651" s="49"/>
      <c r="J651" s="316"/>
      <c r="K651" s="360"/>
      <c r="L651" s="363"/>
      <c r="M651" s="317"/>
      <c r="N651" s="317"/>
      <c r="O651" s="322"/>
      <c r="P651" s="365"/>
      <c r="Q651" s="364"/>
      <c r="R651" s="364"/>
      <c r="S651" s="348"/>
    </row>
    <row r="652" spans="1:19" hidden="1" x14ac:dyDescent="0.25">
      <c r="A652" s="359">
        <v>0</v>
      </c>
      <c r="B652" s="49" t="s">
        <v>1191</v>
      </c>
      <c r="C652" s="49" t="s">
        <v>1102</v>
      </c>
      <c r="D652" s="49"/>
      <c r="E652" s="49"/>
      <c r="F652" s="49"/>
      <c r="G652" s="49"/>
      <c r="H652" s="49"/>
      <c r="I652" s="49"/>
      <c r="J652" s="316"/>
      <c r="K652" s="360"/>
      <c r="L652" s="363"/>
      <c r="M652" s="317"/>
      <c r="N652" s="317"/>
      <c r="O652" s="322"/>
      <c r="P652" s="365"/>
      <c r="Q652" s="364"/>
      <c r="R652" s="364"/>
      <c r="S652" s="348"/>
    </row>
    <row r="653" spans="1:19" hidden="1" x14ac:dyDescent="0.25">
      <c r="A653" s="359">
        <v>0</v>
      </c>
      <c r="B653" s="49" t="s">
        <v>1192</v>
      </c>
      <c r="C653" s="49" t="s">
        <v>1102</v>
      </c>
      <c r="D653" s="49"/>
      <c r="E653" s="49"/>
      <c r="F653" s="49"/>
      <c r="G653" s="49"/>
      <c r="H653" s="49"/>
      <c r="I653" s="49"/>
      <c r="J653" s="316"/>
      <c r="K653" s="360"/>
      <c r="L653" s="363"/>
      <c r="M653" s="317"/>
      <c r="N653" s="317"/>
      <c r="O653" s="322"/>
      <c r="P653" s="365"/>
      <c r="Q653" s="364"/>
      <c r="R653" s="364"/>
      <c r="S653" s="348"/>
    </row>
    <row r="654" spans="1:19" hidden="1" x14ac:dyDescent="0.25">
      <c r="A654" s="359">
        <v>0</v>
      </c>
      <c r="B654" s="49" t="s">
        <v>1193</v>
      </c>
      <c r="C654" s="49" t="s">
        <v>1102</v>
      </c>
      <c r="D654" s="49"/>
      <c r="E654" s="49"/>
      <c r="F654" s="49"/>
      <c r="G654" s="49"/>
      <c r="H654" s="49"/>
      <c r="I654" s="49"/>
      <c r="J654" s="316"/>
      <c r="K654" s="360"/>
      <c r="L654" s="363"/>
      <c r="M654" s="317"/>
      <c r="N654" s="317"/>
      <c r="O654" s="322"/>
      <c r="P654" s="365"/>
      <c r="Q654" s="364"/>
      <c r="R654" s="364"/>
      <c r="S654" s="348"/>
    </row>
    <row r="655" spans="1:19" hidden="1" x14ac:dyDescent="0.25">
      <c r="A655" s="359">
        <v>0</v>
      </c>
      <c r="B655" s="49" t="s">
        <v>1194</v>
      </c>
      <c r="C655" s="49" t="s">
        <v>1102</v>
      </c>
      <c r="D655" s="49"/>
      <c r="E655" s="49"/>
      <c r="F655" s="49"/>
      <c r="G655" s="49"/>
      <c r="H655" s="49"/>
      <c r="I655" s="49"/>
      <c r="J655" s="316"/>
      <c r="K655" s="360"/>
      <c r="L655" s="363"/>
      <c r="M655" s="317"/>
      <c r="N655" s="317"/>
      <c r="O655" s="322"/>
      <c r="P655" s="365"/>
      <c r="Q655" s="364"/>
      <c r="R655" s="364"/>
      <c r="S655" s="348"/>
    </row>
    <row r="656" spans="1:19" hidden="1" x14ac:dyDescent="0.25">
      <c r="A656" s="359">
        <v>0</v>
      </c>
      <c r="B656" s="49" t="s">
        <v>1195</v>
      </c>
      <c r="C656" s="49" t="s">
        <v>1102</v>
      </c>
      <c r="D656" s="49"/>
      <c r="E656" s="49"/>
      <c r="F656" s="49"/>
      <c r="G656" s="49"/>
      <c r="H656" s="49"/>
      <c r="I656" s="49"/>
      <c r="J656" s="316"/>
      <c r="K656" s="360"/>
      <c r="L656" s="363"/>
      <c r="M656" s="317"/>
      <c r="N656" s="317"/>
      <c r="O656" s="322"/>
      <c r="P656" s="365"/>
      <c r="Q656" s="364"/>
      <c r="R656" s="364"/>
      <c r="S656" s="348"/>
    </row>
    <row r="657" spans="1:19" hidden="1" x14ac:dyDescent="0.25">
      <c r="A657" s="359">
        <v>0</v>
      </c>
      <c r="B657" s="49" t="s">
        <v>1196</v>
      </c>
      <c r="C657" s="49" t="s">
        <v>1102</v>
      </c>
      <c r="D657" s="49"/>
      <c r="E657" s="49"/>
      <c r="F657" s="49"/>
      <c r="G657" s="49"/>
      <c r="H657" s="49"/>
      <c r="I657" s="49"/>
      <c r="J657" s="316"/>
      <c r="K657" s="360"/>
      <c r="L657" s="363"/>
      <c r="M657" s="317"/>
      <c r="N657" s="317"/>
      <c r="O657" s="322"/>
      <c r="P657" s="365"/>
      <c r="Q657" s="364"/>
      <c r="R657" s="364"/>
      <c r="S657" s="348"/>
    </row>
    <row r="658" spans="1:19" hidden="1" x14ac:dyDescent="0.25">
      <c r="A658" s="359">
        <v>0</v>
      </c>
      <c r="B658" s="49" t="s">
        <v>1197</v>
      </c>
      <c r="C658" s="49" t="s">
        <v>1102</v>
      </c>
      <c r="D658" s="49"/>
      <c r="E658" s="49"/>
      <c r="F658" s="49"/>
      <c r="G658" s="49"/>
      <c r="H658" s="49"/>
      <c r="I658" s="49"/>
      <c r="J658" s="316"/>
      <c r="K658" s="360"/>
      <c r="L658" s="363"/>
      <c r="M658" s="317"/>
      <c r="N658" s="317"/>
      <c r="O658" s="322"/>
      <c r="P658" s="365"/>
      <c r="Q658" s="364"/>
      <c r="R658" s="364"/>
      <c r="S658" s="348"/>
    </row>
    <row r="659" spans="1:19" hidden="1" x14ac:dyDescent="0.25">
      <c r="A659" s="359">
        <v>0</v>
      </c>
      <c r="B659" s="49" t="s">
        <v>1198</v>
      </c>
      <c r="C659" s="49" t="s">
        <v>1102</v>
      </c>
      <c r="D659" s="49"/>
      <c r="E659" s="49"/>
      <c r="F659" s="49"/>
      <c r="G659" s="49"/>
      <c r="H659" s="49"/>
      <c r="I659" s="49"/>
      <c r="J659" s="316"/>
      <c r="K659" s="360"/>
      <c r="L659" s="363"/>
      <c r="M659" s="317"/>
      <c r="N659" s="317"/>
      <c r="O659" s="322"/>
      <c r="P659" s="365"/>
      <c r="Q659" s="364"/>
      <c r="R659" s="364"/>
      <c r="S659" s="348"/>
    </row>
    <row r="660" spans="1:19" hidden="1" x14ac:dyDescent="0.25">
      <c r="A660" s="359">
        <v>0</v>
      </c>
      <c r="B660" s="49" t="s">
        <v>1199</v>
      </c>
      <c r="C660" s="49" t="s">
        <v>1102</v>
      </c>
      <c r="D660" s="49"/>
      <c r="E660" s="49"/>
      <c r="F660" s="49"/>
      <c r="G660" s="49"/>
      <c r="H660" s="49"/>
      <c r="I660" s="49"/>
      <c r="J660" s="316"/>
      <c r="K660" s="360"/>
      <c r="L660" s="363"/>
      <c r="M660" s="317"/>
      <c r="N660" s="317"/>
      <c r="O660" s="322"/>
      <c r="P660" s="365"/>
      <c r="Q660" s="364"/>
      <c r="R660" s="364"/>
      <c r="S660" s="348"/>
    </row>
    <row r="661" spans="1:19" hidden="1" x14ac:dyDescent="0.25">
      <c r="A661" s="359">
        <v>0</v>
      </c>
      <c r="B661" s="49" t="s">
        <v>1200</v>
      </c>
      <c r="C661" s="49" t="s">
        <v>1102</v>
      </c>
      <c r="D661" s="49"/>
      <c r="E661" s="49"/>
      <c r="F661" s="49"/>
      <c r="G661" s="49"/>
      <c r="H661" s="49"/>
      <c r="I661" s="49"/>
      <c r="J661" s="316"/>
      <c r="K661" s="360"/>
      <c r="L661" s="363"/>
      <c r="M661" s="317"/>
      <c r="N661" s="317"/>
      <c r="O661" s="322"/>
      <c r="P661" s="365"/>
      <c r="Q661" s="364"/>
      <c r="R661" s="364"/>
      <c r="S661" s="348"/>
    </row>
    <row r="662" spans="1:19" hidden="1" x14ac:dyDescent="0.25">
      <c r="A662" s="359">
        <v>0</v>
      </c>
      <c r="B662" s="49" t="s">
        <v>1201</v>
      </c>
      <c r="C662" s="49" t="s">
        <v>1102</v>
      </c>
      <c r="D662" s="49"/>
      <c r="E662" s="49"/>
      <c r="F662" s="49"/>
      <c r="G662" s="49"/>
      <c r="H662" s="49"/>
      <c r="I662" s="49"/>
      <c r="J662" s="316"/>
      <c r="K662" s="360"/>
      <c r="L662" s="363"/>
      <c r="M662" s="317"/>
      <c r="N662" s="317"/>
      <c r="O662" s="322"/>
      <c r="P662" s="365"/>
      <c r="Q662" s="364"/>
      <c r="R662" s="364"/>
      <c r="S662" s="348"/>
    </row>
    <row r="663" spans="1:19" hidden="1" x14ac:dyDescent="0.25">
      <c r="A663" s="359">
        <v>0</v>
      </c>
      <c r="B663" s="49" t="s">
        <v>1202</v>
      </c>
      <c r="C663" s="49" t="s">
        <v>1102</v>
      </c>
      <c r="D663" s="49"/>
      <c r="E663" s="49"/>
      <c r="F663" s="49"/>
      <c r="G663" s="49"/>
      <c r="H663" s="49"/>
      <c r="I663" s="49"/>
      <c r="J663" s="316"/>
      <c r="K663" s="360"/>
      <c r="L663" s="363"/>
      <c r="M663" s="317"/>
      <c r="N663" s="317"/>
      <c r="O663" s="322"/>
      <c r="P663" s="365"/>
      <c r="Q663" s="364"/>
      <c r="R663" s="364"/>
      <c r="S663" s="348"/>
    </row>
    <row r="664" spans="1:19" hidden="1" x14ac:dyDescent="0.25">
      <c r="A664" s="359">
        <v>0</v>
      </c>
      <c r="B664" s="49" t="s">
        <v>1203</v>
      </c>
      <c r="C664" s="49" t="s">
        <v>1102</v>
      </c>
      <c r="D664" s="49"/>
      <c r="E664" s="49"/>
      <c r="F664" s="49"/>
      <c r="G664" s="49"/>
      <c r="H664" s="49"/>
      <c r="I664" s="49"/>
      <c r="J664" s="316"/>
      <c r="K664" s="360"/>
      <c r="L664" s="363"/>
      <c r="M664" s="317"/>
      <c r="N664" s="317"/>
      <c r="O664" s="322"/>
      <c r="P664" s="365"/>
      <c r="Q664" s="364"/>
      <c r="R664" s="364"/>
      <c r="S664" s="348"/>
    </row>
    <row r="665" spans="1:19" hidden="1" x14ac:dyDescent="0.25">
      <c r="A665" s="359">
        <v>0</v>
      </c>
      <c r="B665" s="49" t="s">
        <v>1204</v>
      </c>
      <c r="C665" s="49" t="s">
        <v>1102</v>
      </c>
      <c r="D665" s="49"/>
      <c r="E665" s="49"/>
      <c r="F665" s="49"/>
      <c r="G665" s="49"/>
      <c r="H665" s="49"/>
      <c r="I665" s="49"/>
      <c r="J665" s="316"/>
      <c r="K665" s="360"/>
      <c r="L665" s="363"/>
      <c r="M665" s="317"/>
      <c r="N665" s="317"/>
      <c r="O665" s="322"/>
      <c r="P665" s="365"/>
      <c r="Q665" s="364"/>
      <c r="R665" s="364"/>
      <c r="S665" s="348"/>
    </row>
    <row r="666" spans="1:19" hidden="1" x14ac:dyDescent="0.25">
      <c r="A666" s="359">
        <v>0</v>
      </c>
      <c r="B666" s="49" t="s">
        <v>1205</v>
      </c>
      <c r="C666" s="49" t="s">
        <v>1102</v>
      </c>
      <c r="D666" s="49"/>
      <c r="E666" s="49"/>
      <c r="F666" s="49"/>
      <c r="G666" s="49"/>
      <c r="H666" s="49"/>
      <c r="I666" s="49"/>
      <c r="J666" s="316"/>
      <c r="K666" s="360"/>
      <c r="L666" s="363"/>
      <c r="M666" s="317"/>
      <c r="N666" s="317"/>
      <c r="O666" s="322"/>
      <c r="P666" s="365"/>
      <c r="Q666" s="364"/>
      <c r="R666" s="364"/>
      <c r="S666" s="348"/>
    </row>
    <row r="667" spans="1:19" hidden="1" x14ac:dyDescent="0.25">
      <c r="A667" s="359">
        <v>0</v>
      </c>
      <c r="B667" s="49" t="s">
        <v>1206</v>
      </c>
      <c r="C667" s="49" t="s">
        <v>1102</v>
      </c>
      <c r="D667" s="49"/>
      <c r="E667" s="49"/>
      <c r="F667" s="49"/>
      <c r="G667" s="49"/>
      <c r="H667" s="49"/>
      <c r="I667" s="49"/>
      <c r="J667" s="316"/>
      <c r="K667" s="360"/>
      <c r="L667" s="363"/>
      <c r="M667" s="317"/>
      <c r="N667" s="317"/>
      <c r="O667" s="322"/>
      <c r="P667" s="365"/>
      <c r="Q667" s="364"/>
      <c r="R667" s="364"/>
      <c r="S667" s="348"/>
    </row>
    <row r="668" spans="1:19" hidden="1" x14ac:dyDescent="0.25">
      <c r="A668" s="359">
        <v>0</v>
      </c>
      <c r="B668" s="49" t="s">
        <v>1207</v>
      </c>
      <c r="C668" s="49" t="s">
        <v>1102</v>
      </c>
      <c r="D668" s="49"/>
      <c r="E668" s="49"/>
      <c r="F668" s="49"/>
      <c r="G668" s="49"/>
      <c r="H668" s="49"/>
      <c r="I668" s="49"/>
      <c r="J668" s="316"/>
      <c r="K668" s="360"/>
      <c r="L668" s="363"/>
      <c r="M668" s="317"/>
      <c r="N668" s="317"/>
      <c r="O668" s="322"/>
      <c r="P668" s="365"/>
      <c r="Q668" s="364"/>
      <c r="R668" s="364"/>
      <c r="S668" s="348"/>
    </row>
    <row r="669" spans="1:19" hidden="1" x14ac:dyDescent="0.25">
      <c r="A669" s="359">
        <v>0</v>
      </c>
      <c r="B669" s="49" t="s">
        <v>1208</v>
      </c>
      <c r="C669" s="49" t="s">
        <v>1102</v>
      </c>
      <c r="D669" s="49"/>
      <c r="E669" s="49"/>
      <c r="F669" s="49"/>
      <c r="G669" s="49"/>
      <c r="H669" s="49"/>
      <c r="I669" s="49"/>
      <c r="J669" s="316"/>
      <c r="K669" s="360"/>
      <c r="L669" s="363"/>
      <c r="M669" s="317"/>
      <c r="N669" s="317"/>
      <c r="O669" s="322"/>
      <c r="P669" s="365"/>
      <c r="Q669" s="364"/>
      <c r="R669" s="364"/>
      <c r="S669" s="348"/>
    </row>
    <row r="670" spans="1:19" hidden="1" x14ac:dyDescent="0.25">
      <c r="A670" s="359">
        <v>0</v>
      </c>
      <c r="B670" s="49" t="s">
        <v>1209</v>
      </c>
      <c r="C670" s="49" t="s">
        <v>1102</v>
      </c>
      <c r="D670" s="49"/>
      <c r="E670" s="49"/>
      <c r="F670" s="49"/>
      <c r="G670" s="49"/>
      <c r="H670" s="49"/>
      <c r="I670" s="49"/>
      <c r="J670" s="316"/>
      <c r="K670" s="360"/>
      <c r="L670" s="363"/>
      <c r="M670" s="317"/>
      <c r="N670" s="317"/>
      <c r="O670" s="322"/>
      <c r="P670" s="365"/>
      <c r="Q670" s="364"/>
      <c r="R670" s="364"/>
      <c r="S670" s="348"/>
    </row>
    <row r="671" spans="1:19" hidden="1" x14ac:dyDescent="0.25">
      <c r="A671" s="359">
        <v>0</v>
      </c>
      <c r="B671" s="49" t="s">
        <v>1210</v>
      </c>
      <c r="C671" s="49" t="s">
        <v>1102</v>
      </c>
      <c r="D671" s="49"/>
      <c r="E671" s="49"/>
      <c r="F671" s="378"/>
      <c r="G671" s="49"/>
      <c r="H671" s="49"/>
      <c r="I671" s="49"/>
      <c r="J671" s="316"/>
      <c r="K671" s="360"/>
      <c r="L671" s="363"/>
      <c r="M671" s="317"/>
      <c r="N671" s="317"/>
      <c r="O671" s="322"/>
      <c r="P671" s="365"/>
      <c r="Q671" s="364"/>
      <c r="R671" s="364"/>
      <c r="S671" s="348"/>
    </row>
    <row r="672" spans="1:19" hidden="1" x14ac:dyDescent="0.25">
      <c r="A672" s="359">
        <v>0</v>
      </c>
      <c r="B672" s="49" t="s">
        <v>1211</v>
      </c>
      <c r="C672" s="49" t="s">
        <v>1102</v>
      </c>
      <c r="D672" s="49"/>
      <c r="E672" s="49"/>
      <c r="F672" s="378"/>
      <c r="G672" s="49"/>
      <c r="H672" s="49"/>
      <c r="I672" s="49"/>
      <c r="J672" s="316"/>
      <c r="K672" s="360"/>
      <c r="L672" s="363"/>
      <c r="M672" s="317"/>
      <c r="N672" s="317"/>
      <c r="O672" s="322"/>
      <c r="P672" s="365"/>
      <c r="Q672" s="364"/>
      <c r="R672" s="364"/>
      <c r="S672" s="348"/>
    </row>
    <row r="673" spans="1:19" hidden="1" x14ac:dyDescent="0.25">
      <c r="A673" s="359">
        <v>0</v>
      </c>
      <c r="B673" s="49" t="s">
        <v>1212</v>
      </c>
      <c r="C673" s="49" t="s">
        <v>1102</v>
      </c>
      <c r="D673" s="49"/>
      <c r="E673" s="49"/>
      <c r="F673" s="378"/>
      <c r="G673" s="49"/>
      <c r="H673" s="49"/>
      <c r="I673" s="49"/>
      <c r="J673" s="316"/>
      <c r="K673" s="360"/>
      <c r="L673" s="363"/>
      <c r="M673" s="317"/>
      <c r="N673" s="317"/>
      <c r="O673" s="322"/>
      <c r="P673" s="365"/>
      <c r="Q673" s="364"/>
      <c r="R673" s="364"/>
      <c r="S673" s="348"/>
    </row>
    <row r="674" spans="1:19" hidden="1" x14ac:dyDescent="0.25">
      <c r="A674" s="359">
        <v>0</v>
      </c>
      <c r="B674" s="49" t="s">
        <v>1213</v>
      </c>
      <c r="C674" s="49" t="s">
        <v>1102</v>
      </c>
      <c r="D674" s="49"/>
      <c r="E674" s="49"/>
      <c r="F674" s="378"/>
      <c r="G674" s="49"/>
      <c r="H674" s="49"/>
      <c r="I674" s="49"/>
      <c r="J674" s="316"/>
      <c r="K674" s="360"/>
      <c r="L674" s="363"/>
      <c r="M674" s="317"/>
      <c r="N674" s="317"/>
      <c r="O674" s="322"/>
      <c r="P674" s="365"/>
      <c r="Q674" s="364"/>
      <c r="R674" s="364"/>
      <c r="S674" s="348"/>
    </row>
    <row r="675" spans="1:19" hidden="1" x14ac:dyDescent="0.25">
      <c r="A675" s="359">
        <v>0</v>
      </c>
      <c r="B675" s="49" t="s">
        <v>1214</v>
      </c>
      <c r="C675" s="49" t="s">
        <v>1102</v>
      </c>
      <c r="D675" s="49"/>
      <c r="E675" s="49"/>
      <c r="F675" s="378"/>
      <c r="G675" s="49"/>
      <c r="H675" s="49"/>
      <c r="I675" s="49"/>
      <c r="J675" s="316"/>
      <c r="K675" s="360"/>
      <c r="L675" s="363"/>
      <c r="M675" s="317"/>
      <c r="N675" s="317"/>
      <c r="O675" s="322"/>
      <c r="P675" s="365"/>
      <c r="Q675" s="364"/>
      <c r="R675" s="364"/>
      <c r="S675" s="348"/>
    </row>
    <row r="676" spans="1:19" hidden="1" x14ac:dyDescent="0.25">
      <c r="A676" s="359">
        <v>0</v>
      </c>
      <c r="B676" s="49" t="s">
        <v>1215</v>
      </c>
      <c r="C676" s="49" t="s">
        <v>1102</v>
      </c>
      <c r="D676" s="49"/>
      <c r="E676" s="49"/>
      <c r="F676" s="378"/>
      <c r="G676" s="49"/>
      <c r="H676" s="49"/>
      <c r="I676" s="49"/>
      <c r="J676" s="316"/>
      <c r="K676" s="360"/>
      <c r="L676" s="363"/>
      <c r="M676" s="317"/>
      <c r="N676" s="317"/>
      <c r="O676" s="322"/>
      <c r="P676" s="365"/>
      <c r="Q676" s="364"/>
      <c r="R676" s="364"/>
      <c r="S676" s="348"/>
    </row>
    <row r="677" spans="1:19" hidden="1" x14ac:dyDescent="0.25">
      <c r="A677" s="359">
        <v>0</v>
      </c>
      <c r="B677" s="49" t="s">
        <v>1216</v>
      </c>
      <c r="C677" s="49" t="s">
        <v>1102</v>
      </c>
      <c r="D677" s="49"/>
      <c r="E677" s="49"/>
      <c r="F677" s="378"/>
      <c r="G677" s="49"/>
      <c r="H677" s="49"/>
      <c r="I677" s="49"/>
      <c r="J677" s="316"/>
      <c r="K677" s="360"/>
      <c r="L677" s="363"/>
      <c r="M677" s="317"/>
      <c r="N677" s="317"/>
      <c r="O677" s="322"/>
      <c r="P677" s="365"/>
      <c r="Q677" s="364"/>
      <c r="R677" s="364"/>
      <c r="S677" s="348"/>
    </row>
    <row r="678" spans="1:19" hidden="1" x14ac:dyDescent="0.25">
      <c r="A678" s="359">
        <v>0</v>
      </c>
      <c r="B678" s="49" t="s">
        <v>1217</v>
      </c>
      <c r="C678" s="49" t="s">
        <v>1102</v>
      </c>
      <c r="D678" s="49"/>
      <c r="E678" s="49"/>
      <c r="F678" s="378"/>
      <c r="G678" s="49"/>
      <c r="H678" s="49"/>
      <c r="I678" s="49"/>
      <c r="J678" s="316"/>
      <c r="K678" s="360"/>
      <c r="L678" s="363"/>
      <c r="M678" s="317"/>
      <c r="N678" s="317"/>
      <c r="O678" s="322"/>
      <c r="P678" s="365"/>
      <c r="Q678" s="364"/>
      <c r="R678" s="364"/>
      <c r="S678" s="348"/>
    </row>
    <row r="679" spans="1:19" hidden="1" x14ac:dyDescent="0.25">
      <c r="A679" s="359">
        <v>0</v>
      </c>
      <c r="B679" s="49" t="s">
        <v>1218</v>
      </c>
      <c r="C679" s="49" t="s">
        <v>1102</v>
      </c>
      <c r="D679" s="49"/>
      <c r="E679" s="49"/>
      <c r="F679" s="378"/>
      <c r="G679" s="49"/>
      <c r="H679" s="49"/>
      <c r="I679" s="49"/>
      <c r="J679" s="316"/>
      <c r="K679" s="360"/>
      <c r="L679" s="363"/>
      <c r="M679" s="317"/>
      <c r="N679" s="317"/>
      <c r="O679" s="322"/>
      <c r="P679" s="365"/>
      <c r="Q679" s="364"/>
      <c r="R679" s="364"/>
      <c r="S679" s="348"/>
    </row>
    <row r="680" spans="1:19" hidden="1" x14ac:dyDescent="0.25">
      <c r="A680" s="359">
        <v>0</v>
      </c>
      <c r="B680" s="49" t="s">
        <v>1219</v>
      </c>
      <c r="C680" s="49" t="s">
        <v>1102</v>
      </c>
      <c r="D680" s="49"/>
      <c r="E680" s="49"/>
      <c r="F680" s="378"/>
      <c r="G680" s="49"/>
      <c r="H680" s="49"/>
      <c r="I680" s="49"/>
      <c r="J680" s="316"/>
      <c r="K680" s="360"/>
      <c r="L680" s="363"/>
      <c r="M680" s="317"/>
      <c r="N680" s="317"/>
      <c r="O680" s="322"/>
      <c r="P680" s="365"/>
      <c r="Q680" s="364"/>
      <c r="R680" s="364"/>
      <c r="S680" s="348"/>
    </row>
    <row r="681" spans="1:19" hidden="1" x14ac:dyDescent="0.25">
      <c r="A681" s="359">
        <v>0</v>
      </c>
      <c r="B681" s="49" t="s">
        <v>1220</v>
      </c>
      <c r="C681" s="49" t="s">
        <v>1102</v>
      </c>
      <c r="D681" s="49"/>
      <c r="E681" s="49"/>
      <c r="F681" s="49"/>
      <c r="G681" s="49"/>
      <c r="H681" s="49"/>
      <c r="I681" s="49"/>
      <c r="J681" s="316"/>
      <c r="K681" s="360"/>
      <c r="L681" s="363"/>
      <c r="M681" s="317"/>
      <c r="N681" s="317"/>
      <c r="O681" s="322"/>
      <c r="P681" s="365"/>
      <c r="Q681" s="364"/>
      <c r="R681" s="364"/>
      <c r="S681" s="348"/>
    </row>
    <row r="682" spans="1:19" hidden="1" x14ac:dyDescent="0.25">
      <c r="A682" s="359">
        <v>0</v>
      </c>
      <c r="B682" s="49" t="s">
        <v>1221</v>
      </c>
      <c r="C682" s="49" t="s">
        <v>1102</v>
      </c>
      <c r="D682" s="49"/>
      <c r="E682" s="49"/>
      <c r="F682" s="378"/>
      <c r="G682" s="49"/>
      <c r="H682" s="49"/>
      <c r="I682" s="49"/>
      <c r="J682" s="316"/>
      <c r="K682" s="360"/>
      <c r="L682" s="363"/>
      <c r="M682" s="317"/>
      <c r="N682" s="317"/>
      <c r="O682" s="322"/>
      <c r="P682" s="365"/>
      <c r="Q682" s="364"/>
      <c r="R682" s="364"/>
      <c r="S682" s="348"/>
    </row>
    <row r="683" spans="1:19" hidden="1" x14ac:dyDescent="0.25">
      <c r="A683" s="359">
        <v>0</v>
      </c>
      <c r="B683" s="49" t="s">
        <v>1222</v>
      </c>
      <c r="C683" s="49" t="s">
        <v>1102</v>
      </c>
      <c r="D683" s="49"/>
      <c r="E683" s="49"/>
      <c r="F683" s="378"/>
      <c r="G683" s="49"/>
      <c r="H683" s="49"/>
      <c r="I683" s="49"/>
      <c r="J683" s="316"/>
      <c r="K683" s="360"/>
      <c r="L683" s="363"/>
      <c r="M683" s="317"/>
      <c r="N683" s="317"/>
      <c r="O683" s="322"/>
      <c r="P683" s="365"/>
      <c r="Q683" s="364"/>
      <c r="R683" s="364"/>
      <c r="S683" s="348"/>
    </row>
    <row r="684" spans="1:19" hidden="1" x14ac:dyDescent="0.25">
      <c r="A684" s="359">
        <v>0</v>
      </c>
      <c r="B684" s="49" t="s">
        <v>1223</v>
      </c>
      <c r="C684" s="49" t="s">
        <v>1102</v>
      </c>
      <c r="D684" s="49"/>
      <c r="E684" s="49"/>
      <c r="F684" s="378"/>
      <c r="G684" s="49"/>
      <c r="H684" s="49"/>
      <c r="I684" s="49"/>
      <c r="J684" s="316"/>
      <c r="K684" s="360"/>
      <c r="L684" s="363"/>
      <c r="M684" s="317"/>
      <c r="N684" s="317"/>
      <c r="O684" s="322"/>
      <c r="P684" s="365"/>
      <c r="Q684" s="364"/>
      <c r="R684" s="364"/>
      <c r="S684" s="348"/>
    </row>
    <row r="685" spans="1:19" hidden="1" x14ac:dyDescent="0.25">
      <c r="A685" s="359">
        <v>0</v>
      </c>
      <c r="B685" s="49" t="s">
        <v>1224</v>
      </c>
      <c r="C685" s="49" t="s">
        <v>1102</v>
      </c>
      <c r="D685" s="49"/>
      <c r="E685" s="49"/>
      <c r="F685" s="378"/>
      <c r="G685" s="49"/>
      <c r="H685" s="49"/>
      <c r="I685" s="49"/>
      <c r="J685" s="316"/>
      <c r="K685" s="360"/>
      <c r="L685" s="363"/>
      <c r="M685" s="317"/>
      <c r="N685" s="317"/>
      <c r="O685" s="322"/>
      <c r="P685" s="365"/>
      <c r="Q685" s="364"/>
      <c r="R685" s="364"/>
      <c r="S685" s="348"/>
    </row>
    <row r="686" spans="1:19" hidden="1" x14ac:dyDescent="0.25">
      <c r="A686" s="359">
        <v>0</v>
      </c>
      <c r="B686" s="49" t="s">
        <v>1225</v>
      </c>
      <c r="C686" s="49" t="s">
        <v>1102</v>
      </c>
      <c r="D686" s="49"/>
      <c r="E686" s="49"/>
      <c r="F686" s="378"/>
      <c r="G686" s="49"/>
      <c r="H686" s="49"/>
      <c r="I686" s="49"/>
      <c r="J686" s="316"/>
      <c r="K686" s="360"/>
      <c r="L686" s="363"/>
      <c r="M686" s="317"/>
      <c r="N686" s="317"/>
      <c r="O686" s="322"/>
      <c r="P686" s="365"/>
      <c r="Q686" s="364"/>
      <c r="R686" s="364"/>
      <c r="S686" s="348"/>
    </row>
    <row r="687" spans="1:19" hidden="1" x14ac:dyDescent="0.25">
      <c r="A687" s="359">
        <v>0</v>
      </c>
      <c r="B687" s="49" t="s">
        <v>1226</v>
      </c>
      <c r="C687" s="49" t="s">
        <v>1102</v>
      </c>
      <c r="D687" s="49"/>
      <c r="E687" s="49"/>
      <c r="F687" s="378"/>
      <c r="G687" s="49"/>
      <c r="H687" s="49"/>
      <c r="I687" s="49"/>
      <c r="J687" s="316"/>
      <c r="K687" s="360"/>
      <c r="L687" s="363"/>
      <c r="M687" s="317"/>
      <c r="N687" s="317"/>
      <c r="O687" s="322"/>
      <c r="P687" s="365"/>
      <c r="Q687" s="364"/>
      <c r="R687" s="364"/>
      <c r="S687" s="348"/>
    </row>
    <row r="688" spans="1:19" hidden="1" x14ac:dyDescent="0.25">
      <c r="A688" s="359">
        <v>0</v>
      </c>
      <c r="B688" s="49" t="s">
        <v>1227</v>
      </c>
      <c r="C688" s="49" t="s">
        <v>1102</v>
      </c>
      <c r="D688" s="49"/>
      <c r="E688" s="49"/>
      <c r="F688" s="49"/>
      <c r="G688" s="49"/>
      <c r="H688" s="49"/>
      <c r="I688" s="49"/>
      <c r="J688" s="316"/>
      <c r="K688" s="360"/>
      <c r="L688" s="363"/>
      <c r="M688" s="317"/>
      <c r="N688" s="317"/>
      <c r="O688" s="322"/>
      <c r="P688" s="365"/>
      <c r="Q688" s="364"/>
      <c r="R688" s="364"/>
      <c r="S688" s="348"/>
    </row>
    <row r="689" spans="1:19" hidden="1" x14ac:dyDescent="0.25">
      <c r="A689" s="359">
        <v>0</v>
      </c>
      <c r="B689" s="49" t="s">
        <v>1228</v>
      </c>
      <c r="C689" s="49" t="s">
        <v>1102</v>
      </c>
      <c r="D689" s="49"/>
      <c r="E689" s="49"/>
      <c r="F689" s="49"/>
      <c r="G689" s="49"/>
      <c r="H689" s="49"/>
      <c r="I689" s="49"/>
      <c r="J689" s="316"/>
      <c r="K689" s="360"/>
      <c r="L689" s="363"/>
      <c r="M689" s="317"/>
      <c r="N689" s="317"/>
      <c r="O689" s="322"/>
      <c r="P689" s="365"/>
      <c r="Q689" s="364"/>
      <c r="R689" s="364"/>
      <c r="S689" s="348"/>
    </row>
    <row r="690" spans="1:19" hidden="1" x14ac:dyDescent="0.25">
      <c r="A690" s="359">
        <v>0</v>
      </c>
      <c r="B690" s="49" t="s">
        <v>1229</v>
      </c>
      <c r="C690" s="49" t="s">
        <v>1102</v>
      </c>
      <c r="D690" s="49"/>
      <c r="E690" s="49"/>
      <c r="F690" s="49"/>
      <c r="G690" s="49"/>
      <c r="H690" s="49"/>
      <c r="I690" s="49"/>
      <c r="J690" s="316"/>
      <c r="K690" s="360"/>
      <c r="L690" s="363"/>
      <c r="M690" s="317"/>
      <c r="N690" s="317"/>
      <c r="O690" s="322"/>
      <c r="P690" s="365"/>
      <c r="Q690" s="364"/>
      <c r="R690" s="364"/>
      <c r="S690" s="348"/>
    </row>
    <row r="691" spans="1:19" hidden="1" x14ac:dyDescent="0.25">
      <c r="A691" s="359">
        <v>0</v>
      </c>
      <c r="B691" s="49" t="s">
        <v>1230</v>
      </c>
      <c r="C691" s="49" t="s">
        <v>1102</v>
      </c>
      <c r="D691" s="49"/>
      <c r="E691" s="49"/>
      <c r="F691" s="49"/>
      <c r="G691" s="49"/>
      <c r="H691" s="49"/>
      <c r="I691" s="49"/>
      <c r="J691" s="316"/>
      <c r="K691" s="360"/>
      <c r="L691" s="363"/>
      <c r="M691" s="317"/>
      <c r="N691" s="317"/>
      <c r="O691" s="322"/>
      <c r="P691" s="365"/>
      <c r="Q691" s="364"/>
      <c r="R691" s="364"/>
      <c r="S691" s="348"/>
    </row>
    <row r="692" spans="1:19" hidden="1" x14ac:dyDescent="0.25">
      <c r="A692" s="359">
        <v>0</v>
      </c>
      <c r="B692" s="49" t="s">
        <v>1231</v>
      </c>
      <c r="C692" s="49" t="s">
        <v>1102</v>
      </c>
      <c r="D692" s="49"/>
      <c r="E692" s="49"/>
      <c r="F692" s="49"/>
      <c r="G692" s="49"/>
      <c r="H692" s="49"/>
      <c r="I692" s="49"/>
      <c r="J692" s="316"/>
      <c r="K692" s="360"/>
      <c r="L692" s="363"/>
      <c r="M692" s="317"/>
      <c r="N692" s="317"/>
      <c r="O692" s="322"/>
      <c r="P692" s="365"/>
      <c r="Q692" s="364"/>
      <c r="R692" s="364"/>
      <c r="S692" s="348"/>
    </row>
    <row r="693" spans="1:19" hidden="1" x14ac:dyDescent="0.25">
      <c r="A693" s="359">
        <v>0</v>
      </c>
      <c r="B693" s="49" t="s">
        <v>1232</v>
      </c>
      <c r="C693" s="49" t="s">
        <v>1102</v>
      </c>
      <c r="D693" s="49"/>
      <c r="E693" s="49"/>
      <c r="F693" s="49"/>
      <c r="G693" s="49"/>
      <c r="H693" s="49"/>
      <c r="I693" s="49"/>
      <c r="J693" s="316"/>
      <c r="K693" s="360"/>
      <c r="L693" s="363"/>
      <c r="M693" s="317"/>
      <c r="N693" s="317"/>
      <c r="O693" s="322"/>
      <c r="P693" s="365"/>
      <c r="Q693" s="364"/>
      <c r="R693" s="364"/>
      <c r="S693" s="348"/>
    </row>
    <row r="694" spans="1:19" hidden="1" x14ac:dyDescent="0.25">
      <c r="A694" s="359">
        <v>0</v>
      </c>
      <c r="B694" s="49" t="s">
        <v>1233</v>
      </c>
      <c r="C694" s="49" t="s">
        <v>1102</v>
      </c>
      <c r="D694" s="49"/>
      <c r="E694" s="49"/>
      <c r="F694" s="49"/>
      <c r="G694" s="49"/>
      <c r="H694" s="49"/>
      <c r="I694" s="49"/>
      <c r="J694" s="316"/>
      <c r="K694" s="360"/>
      <c r="L694" s="363"/>
      <c r="M694" s="317"/>
      <c r="N694" s="317"/>
      <c r="O694" s="322"/>
      <c r="P694" s="365"/>
      <c r="Q694" s="364"/>
      <c r="R694" s="364"/>
      <c r="S694" s="348"/>
    </row>
    <row r="695" spans="1:19" hidden="1" x14ac:dyDescent="0.25">
      <c r="A695" s="359">
        <v>0</v>
      </c>
      <c r="B695" s="49" t="s">
        <v>1234</v>
      </c>
      <c r="C695" s="49" t="s">
        <v>1102</v>
      </c>
      <c r="D695" s="49"/>
      <c r="E695" s="49"/>
      <c r="F695" s="49"/>
      <c r="G695" s="49"/>
      <c r="H695" s="49"/>
      <c r="I695" s="49"/>
      <c r="J695" s="316"/>
      <c r="K695" s="360"/>
      <c r="L695" s="363"/>
      <c r="M695" s="317"/>
      <c r="N695" s="317"/>
      <c r="O695" s="322"/>
      <c r="P695" s="365"/>
      <c r="Q695" s="364"/>
      <c r="R695" s="364"/>
      <c r="S695" s="348"/>
    </row>
    <row r="696" spans="1:19" hidden="1" x14ac:dyDescent="0.25">
      <c r="A696" s="359">
        <v>0</v>
      </c>
      <c r="B696" s="49" t="s">
        <v>1235</v>
      </c>
      <c r="C696" s="49" t="s">
        <v>1102</v>
      </c>
      <c r="D696" s="49"/>
      <c r="E696" s="49"/>
      <c r="F696" s="49"/>
      <c r="G696" s="49"/>
      <c r="H696" s="49"/>
      <c r="I696" s="49"/>
      <c r="J696" s="316"/>
      <c r="K696" s="360"/>
      <c r="L696" s="363"/>
      <c r="M696" s="317"/>
      <c r="N696" s="317"/>
      <c r="O696" s="322"/>
      <c r="P696" s="365"/>
      <c r="Q696" s="364"/>
      <c r="R696" s="364"/>
      <c r="S696" s="348"/>
    </row>
    <row r="697" spans="1:19" hidden="1" x14ac:dyDescent="0.25">
      <c r="A697" s="359">
        <v>0</v>
      </c>
      <c r="B697" s="49" t="s">
        <v>1236</v>
      </c>
      <c r="C697" s="49" t="s">
        <v>1102</v>
      </c>
      <c r="D697" s="49"/>
      <c r="E697" s="49"/>
      <c r="F697" s="49"/>
      <c r="G697" s="49"/>
      <c r="H697" s="49"/>
      <c r="I697" s="49"/>
      <c r="J697" s="316"/>
      <c r="K697" s="360"/>
      <c r="L697" s="363"/>
      <c r="M697" s="317"/>
      <c r="N697" s="317"/>
      <c r="O697" s="322"/>
      <c r="P697" s="365"/>
      <c r="Q697" s="364"/>
      <c r="R697" s="364"/>
      <c r="S697" s="348"/>
    </row>
    <row r="698" spans="1:19" hidden="1" x14ac:dyDescent="0.25">
      <c r="A698" s="359">
        <v>0</v>
      </c>
      <c r="B698" s="49" t="s">
        <v>1237</v>
      </c>
      <c r="C698" s="49" t="s">
        <v>1102</v>
      </c>
      <c r="D698" s="49"/>
      <c r="E698" s="49"/>
      <c r="F698" s="49"/>
      <c r="G698" s="49"/>
      <c r="H698" s="49"/>
      <c r="I698" s="49"/>
      <c r="J698" s="316"/>
      <c r="K698" s="360"/>
      <c r="L698" s="363"/>
      <c r="M698" s="317"/>
      <c r="N698" s="317"/>
      <c r="O698" s="322"/>
      <c r="P698" s="365"/>
      <c r="Q698" s="364"/>
      <c r="R698" s="364"/>
      <c r="S698" s="348"/>
    </row>
    <row r="699" spans="1:19" hidden="1" x14ac:dyDescent="0.25">
      <c r="A699" s="359">
        <v>0</v>
      </c>
      <c r="B699" s="49" t="s">
        <v>1238</v>
      </c>
      <c r="C699" s="49" t="s">
        <v>1102</v>
      </c>
      <c r="D699" s="49"/>
      <c r="E699" s="49"/>
      <c r="F699" s="49"/>
      <c r="G699" s="49"/>
      <c r="H699" s="49"/>
      <c r="I699" s="49"/>
      <c r="J699" s="316"/>
      <c r="K699" s="360"/>
      <c r="L699" s="363"/>
      <c r="M699" s="317"/>
      <c r="N699" s="317"/>
      <c r="O699" s="322"/>
      <c r="P699" s="365"/>
      <c r="Q699" s="364"/>
      <c r="R699" s="364"/>
      <c r="S699" s="348"/>
    </row>
    <row r="700" spans="1:19" hidden="1" x14ac:dyDescent="0.25">
      <c r="A700" s="359">
        <v>0</v>
      </c>
      <c r="B700" s="49" t="s">
        <v>1239</v>
      </c>
      <c r="C700" s="49" t="s">
        <v>1102</v>
      </c>
      <c r="D700" s="49"/>
      <c r="E700" s="49"/>
      <c r="F700" s="49"/>
      <c r="G700" s="49"/>
      <c r="H700" s="49"/>
      <c r="I700" s="49"/>
      <c r="J700" s="316"/>
      <c r="K700" s="360"/>
      <c r="L700" s="363"/>
      <c r="M700" s="317"/>
      <c r="N700" s="317"/>
      <c r="O700" s="322"/>
      <c r="P700" s="365"/>
      <c r="Q700" s="364"/>
      <c r="R700" s="364"/>
      <c r="S700" s="348"/>
    </row>
    <row r="701" spans="1:19" hidden="1" x14ac:dyDescent="0.25">
      <c r="A701" s="359">
        <v>0</v>
      </c>
      <c r="B701" s="49" t="s">
        <v>1240</v>
      </c>
      <c r="C701" s="49" t="s">
        <v>1102</v>
      </c>
      <c r="D701" s="49"/>
      <c r="E701" s="49"/>
      <c r="F701" s="49"/>
      <c r="G701" s="49"/>
      <c r="H701" s="49"/>
      <c r="I701" s="49"/>
      <c r="J701" s="316"/>
      <c r="K701" s="360"/>
      <c r="L701" s="363"/>
      <c r="M701" s="317"/>
      <c r="N701" s="317"/>
      <c r="O701" s="322"/>
      <c r="P701" s="365"/>
      <c r="Q701" s="364"/>
      <c r="R701" s="364"/>
      <c r="S701" s="348"/>
    </row>
    <row r="702" spans="1:19" hidden="1" x14ac:dyDescent="0.25">
      <c r="A702" s="359">
        <v>0</v>
      </c>
      <c r="B702" s="49" t="s">
        <v>1241</v>
      </c>
      <c r="C702" s="49" t="s">
        <v>1102</v>
      </c>
      <c r="D702" s="49"/>
      <c r="E702" s="49"/>
      <c r="F702" s="49"/>
      <c r="G702" s="49"/>
      <c r="H702" s="49"/>
      <c r="I702" s="49"/>
      <c r="J702" s="316"/>
      <c r="K702" s="360"/>
      <c r="L702" s="363"/>
      <c r="M702" s="317"/>
      <c r="N702" s="317"/>
      <c r="O702" s="322"/>
      <c r="P702" s="365"/>
      <c r="Q702" s="364"/>
      <c r="R702" s="364"/>
      <c r="S702" s="348"/>
    </row>
    <row r="703" spans="1:19" hidden="1" x14ac:dyDescent="0.25">
      <c r="A703" s="359">
        <v>0</v>
      </c>
      <c r="B703" s="49" t="s">
        <v>1242</v>
      </c>
      <c r="C703" s="49" t="s">
        <v>1102</v>
      </c>
      <c r="D703" s="49"/>
      <c r="E703" s="49"/>
      <c r="F703" s="49"/>
      <c r="G703" s="49"/>
      <c r="H703" s="49"/>
      <c r="I703" s="49"/>
      <c r="J703" s="316"/>
      <c r="K703" s="360"/>
      <c r="L703" s="363"/>
      <c r="M703" s="317"/>
      <c r="N703" s="317"/>
      <c r="O703" s="322"/>
      <c r="P703" s="365"/>
      <c r="Q703" s="364"/>
      <c r="R703" s="364"/>
      <c r="S703" s="348"/>
    </row>
    <row r="704" spans="1:19" hidden="1" x14ac:dyDescent="0.25">
      <c r="A704" s="359">
        <v>0</v>
      </c>
      <c r="B704" s="49" t="s">
        <v>1243</v>
      </c>
      <c r="C704" s="49" t="s">
        <v>1102</v>
      </c>
      <c r="D704" s="49"/>
      <c r="E704" s="49"/>
      <c r="F704" s="49"/>
      <c r="G704" s="49"/>
      <c r="H704" s="49"/>
      <c r="I704" s="49"/>
      <c r="J704" s="316"/>
      <c r="K704" s="360"/>
      <c r="L704" s="363"/>
      <c r="M704" s="317"/>
      <c r="N704" s="317"/>
      <c r="O704" s="322"/>
      <c r="P704" s="365"/>
      <c r="Q704" s="364"/>
      <c r="R704" s="364"/>
      <c r="S704" s="348"/>
    </row>
    <row r="705" spans="1:19" hidden="1" x14ac:dyDescent="0.25">
      <c r="A705" s="359">
        <v>0</v>
      </c>
      <c r="B705" s="49" t="s">
        <v>1244</v>
      </c>
      <c r="C705" s="49" t="s">
        <v>1102</v>
      </c>
      <c r="D705" s="49"/>
      <c r="E705" s="49"/>
      <c r="F705" s="49"/>
      <c r="G705" s="49"/>
      <c r="H705" s="49"/>
      <c r="I705" s="49"/>
      <c r="J705" s="316"/>
      <c r="K705" s="360"/>
      <c r="L705" s="363"/>
      <c r="M705" s="317"/>
      <c r="N705" s="317"/>
      <c r="O705" s="322"/>
      <c r="P705" s="365"/>
      <c r="Q705" s="364"/>
      <c r="R705" s="364"/>
      <c r="S705" s="348"/>
    </row>
    <row r="706" spans="1:19" hidden="1" x14ac:dyDescent="0.25">
      <c r="A706" s="359">
        <v>0</v>
      </c>
      <c r="B706" s="49" t="s">
        <v>1245</v>
      </c>
      <c r="C706" s="49" t="s">
        <v>1102</v>
      </c>
      <c r="D706" s="49"/>
      <c r="E706" s="49"/>
      <c r="F706" s="49"/>
      <c r="G706" s="49"/>
      <c r="H706" s="49"/>
      <c r="I706" s="49"/>
      <c r="J706" s="316"/>
      <c r="K706" s="360"/>
      <c r="L706" s="363"/>
      <c r="M706" s="317"/>
      <c r="N706" s="317"/>
      <c r="O706" s="322"/>
      <c r="P706" s="365"/>
      <c r="Q706" s="364"/>
      <c r="R706" s="364"/>
      <c r="S706" s="348"/>
    </row>
    <row r="707" spans="1:19" hidden="1" x14ac:dyDescent="0.25">
      <c r="A707" s="359">
        <v>0</v>
      </c>
      <c r="B707" s="49" t="s">
        <v>1246</v>
      </c>
      <c r="C707" s="49" t="s">
        <v>1102</v>
      </c>
      <c r="D707" s="49"/>
      <c r="E707" s="49"/>
      <c r="F707" s="49"/>
      <c r="G707" s="49"/>
      <c r="H707" s="49"/>
      <c r="I707" s="49"/>
      <c r="J707" s="316"/>
      <c r="K707" s="360"/>
      <c r="L707" s="363"/>
      <c r="M707" s="317"/>
      <c r="N707" s="317"/>
      <c r="O707" s="322"/>
      <c r="P707" s="365"/>
      <c r="Q707" s="364"/>
      <c r="R707" s="364"/>
      <c r="S707" s="348"/>
    </row>
    <row r="708" spans="1:19" hidden="1" x14ac:dyDescent="0.25">
      <c r="A708" s="359">
        <v>0</v>
      </c>
      <c r="B708" s="49" t="s">
        <v>1247</v>
      </c>
      <c r="C708" s="49" t="s">
        <v>1102</v>
      </c>
      <c r="D708" s="49"/>
      <c r="E708" s="49"/>
      <c r="F708" s="49"/>
      <c r="G708" s="49"/>
      <c r="H708" s="49"/>
      <c r="I708" s="49"/>
      <c r="J708" s="316"/>
      <c r="K708" s="360"/>
      <c r="L708" s="363"/>
      <c r="M708" s="317"/>
      <c r="N708" s="317"/>
      <c r="O708" s="322"/>
      <c r="P708" s="365"/>
      <c r="Q708" s="364"/>
      <c r="R708" s="364"/>
      <c r="S708" s="348"/>
    </row>
    <row r="709" spans="1:19" hidden="1" x14ac:dyDescent="0.25">
      <c r="A709" s="359">
        <v>0</v>
      </c>
      <c r="B709" s="49" t="s">
        <v>1248</v>
      </c>
      <c r="C709" s="49" t="s">
        <v>1102</v>
      </c>
      <c r="D709" s="49"/>
      <c r="E709" s="49"/>
      <c r="F709" s="49"/>
      <c r="G709" s="49"/>
      <c r="H709" s="49"/>
      <c r="I709" s="49"/>
      <c r="J709" s="316"/>
      <c r="K709" s="360"/>
      <c r="L709" s="363"/>
      <c r="M709" s="317"/>
      <c r="N709" s="317"/>
      <c r="O709" s="322"/>
      <c r="P709" s="365"/>
      <c r="Q709" s="364"/>
      <c r="R709" s="364"/>
      <c r="S709" s="348"/>
    </row>
    <row r="710" spans="1:19" hidden="1" x14ac:dyDescent="0.25">
      <c r="A710" s="359">
        <v>0</v>
      </c>
      <c r="B710" s="49" t="s">
        <v>1249</v>
      </c>
      <c r="C710" s="49" t="s">
        <v>1102</v>
      </c>
      <c r="D710" s="49"/>
      <c r="E710" s="49"/>
      <c r="F710" s="49"/>
      <c r="G710" s="49"/>
      <c r="H710" s="49"/>
      <c r="I710" s="49"/>
      <c r="J710" s="316"/>
      <c r="K710" s="360"/>
      <c r="L710" s="363"/>
      <c r="M710" s="317"/>
      <c r="N710" s="317"/>
      <c r="O710" s="322"/>
      <c r="P710" s="365"/>
      <c r="Q710" s="364"/>
      <c r="R710" s="364"/>
      <c r="S710" s="348"/>
    </row>
    <row r="711" spans="1:19" hidden="1" x14ac:dyDescent="0.25">
      <c r="A711" s="359">
        <v>0</v>
      </c>
      <c r="B711" s="49" t="s">
        <v>1250</v>
      </c>
      <c r="C711" s="49" t="s">
        <v>1102</v>
      </c>
      <c r="D711" s="49"/>
      <c r="E711" s="49"/>
      <c r="F711" s="49"/>
      <c r="G711" s="49"/>
      <c r="H711" s="49"/>
      <c r="I711" s="49"/>
      <c r="J711" s="316"/>
      <c r="K711" s="360"/>
      <c r="L711" s="363"/>
      <c r="M711" s="317"/>
      <c r="N711" s="317"/>
      <c r="O711" s="322"/>
      <c r="P711" s="365"/>
      <c r="Q711" s="364"/>
      <c r="R711" s="364"/>
      <c r="S711" s="348"/>
    </row>
    <row r="712" spans="1:19" hidden="1" x14ac:dyDescent="0.25">
      <c r="A712" s="359">
        <v>0</v>
      </c>
      <c r="B712" s="49" t="s">
        <v>1251</v>
      </c>
      <c r="C712" s="49" t="s">
        <v>1102</v>
      </c>
      <c r="D712" s="49"/>
      <c r="E712" s="49"/>
      <c r="F712" s="49"/>
      <c r="G712" s="49"/>
      <c r="H712" s="49"/>
      <c r="I712" s="49"/>
      <c r="J712" s="316"/>
      <c r="K712" s="360"/>
      <c r="L712" s="363"/>
      <c r="M712" s="317"/>
      <c r="N712" s="317"/>
      <c r="O712" s="322"/>
      <c r="P712" s="365"/>
      <c r="Q712" s="364"/>
      <c r="R712" s="364"/>
      <c r="S712" s="348"/>
    </row>
    <row r="713" spans="1:19" hidden="1" x14ac:dyDescent="0.25">
      <c r="A713" s="359">
        <v>0</v>
      </c>
      <c r="B713" s="49" t="s">
        <v>1252</v>
      </c>
      <c r="C713" s="49" t="s">
        <v>1102</v>
      </c>
      <c r="D713" s="49"/>
      <c r="E713" s="49"/>
      <c r="F713" s="49"/>
      <c r="G713" s="49"/>
      <c r="H713" s="49"/>
      <c r="I713" s="49"/>
      <c r="J713" s="316"/>
      <c r="K713" s="360"/>
      <c r="L713" s="363"/>
      <c r="M713" s="317"/>
      <c r="N713" s="317"/>
      <c r="O713" s="322"/>
      <c r="P713" s="365"/>
      <c r="Q713" s="364"/>
      <c r="R713" s="364"/>
      <c r="S713" s="348"/>
    </row>
    <row r="714" spans="1:19" hidden="1" x14ac:dyDescent="0.25">
      <c r="A714" s="359">
        <v>0</v>
      </c>
      <c r="B714" s="49" t="s">
        <v>1253</v>
      </c>
      <c r="C714" s="49" t="s">
        <v>1102</v>
      </c>
      <c r="D714" s="49"/>
      <c r="E714" s="49"/>
      <c r="F714" s="49"/>
      <c r="G714" s="49"/>
      <c r="H714" s="49"/>
      <c r="I714" s="49"/>
      <c r="J714" s="316"/>
      <c r="K714" s="360"/>
      <c r="L714" s="363"/>
      <c r="M714" s="317"/>
      <c r="N714" s="317"/>
      <c r="O714" s="322"/>
      <c r="P714" s="365"/>
      <c r="Q714" s="364"/>
      <c r="R714" s="364"/>
      <c r="S714" s="348"/>
    </row>
    <row r="715" spans="1:19" hidden="1" x14ac:dyDescent="0.25">
      <c r="A715" s="359">
        <v>0</v>
      </c>
      <c r="B715" s="49" t="s">
        <v>1254</v>
      </c>
      <c r="C715" s="49" t="s">
        <v>1102</v>
      </c>
      <c r="D715" s="49"/>
      <c r="E715" s="49"/>
      <c r="F715" s="49"/>
      <c r="G715" s="49"/>
      <c r="H715" s="49"/>
      <c r="I715" s="49"/>
      <c r="J715" s="316"/>
      <c r="K715" s="360"/>
      <c r="L715" s="363"/>
      <c r="M715" s="317"/>
      <c r="N715" s="317"/>
      <c r="O715" s="322"/>
      <c r="P715" s="365"/>
      <c r="Q715" s="364"/>
      <c r="R715" s="364"/>
      <c r="S715" s="348"/>
    </row>
    <row r="716" spans="1:19" hidden="1" x14ac:dyDescent="0.25">
      <c r="A716" s="359">
        <v>0</v>
      </c>
      <c r="B716" s="49" t="s">
        <v>1255</v>
      </c>
      <c r="C716" s="49" t="s">
        <v>1102</v>
      </c>
      <c r="D716" s="49"/>
      <c r="E716" s="49"/>
      <c r="F716" s="49"/>
      <c r="G716" s="49"/>
      <c r="H716" s="49"/>
      <c r="I716" s="49"/>
      <c r="J716" s="316"/>
      <c r="K716" s="360"/>
      <c r="L716" s="363"/>
      <c r="M716" s="317"/>
      <c r="N716" s="317"/>
      <c r="O716" s="322"/>
      <c r="P716" s="365"/>
      <c r="Q716" s="364"/>
      <c r="R716" s="364"/>
      <c r="S716" s="348"/>
    </row>
    <row r="717" spans="1:19" hidden="1" x14ac:dyDescent="0.25">
      <c r="A717" s="359">
        <v>0</v>
      </c>
      <c r="B717" s="49" t="s">
        <v>1256</v>
      </c>
      <c r="C717" s="49" t="s">
        <v>1102</v>
      </c>
      <c r="D717" s="49"/>
      <c r="E717" s="49"/>
      <c r="F717" s="49"/>
      <c r="G717" s="49"/>
      <c r="H717" s="49"/>
      <c r="I717" s="49"/>
      <c r="J717" s="316"/>
      <c r="K717" s="360"/>
      <c r="L717" s="363"/>
      <c r="M717" s="317"/>
      <c r="N717" s="317"/>
      <c r="O717" s="322"/>
      <c r="P717" s="365"/>
      <c r="Q717" s="364"/>
      <c r="R717" s="364"/>
      <c r="S717" s="348"/>
    </row>
    <row r="718" spans="1:19" hidden="1" x14ac:dyDescent="0.25">
      <c r="A718" s="359">
        <v>0</v>
      </c>
      <c r="B718" s="49" t="s">
        <v>1257</v>
      </c>
      <c r="C718" s="49" t="s">
        <v>1102</v>
      </c>
      <c r="D718" s="49"/>
      <c r="E718" s="49"/>
      <c r="F718" s="49"/>
      <c r="G718" s="49"/>
      <c r="H718" s="49"/>
      <c r="I718" s="49"/>
      <c r="J718" s="316"/>
      <c r="K718" s="360"/>
      <c r="L718" s="363"/>
      <c r="M718" s="317"/>
      <c r="N718" s="317"/>
      <c r="O718" s="322"/>
      <c r="P718" s="365"/>
      <c r="Q718" s="364"/>
      <c r="R718" s="364"/>
      <c r="S718" s="348"/>
    </row>
    <row r="719" spans="1:19" hidden="1" x14ac:dyDescent="0.25">
      <c r="A719" s="359">
        <v>0</v>
      </c>
      <c r="B719" s="49" t="s">
        <v>1258</v>
      </c>
      <c r="C719" s="49" t="s">
        <v>1102</v>
      </c>
      <c r="D719" s="49"/>
      <c r="E719" s="49"/>
      <c r="F719" s="49"/>
      <c r="G719" s="49"/>
      <c r="H719" s="49"/>
      <c r="I719" s="49"/>
      <c r="J719" s="316"/>
      <c r="K719" s="360"/>
      <c r="L719" s="363"/>
      <c r="M719" s="317"/>
      <c r="N719" s="317"/>
      <c r="O719" s="322"/>
      <c r="P719" s="365"/>
      <c r="Q719" s="364"/>
      <c r="R719" s="364"/>
      <c r="S719" s="348"/>
    </row>
    <row r="720" spans="1:19" hidden="1" x14ac:dyDescent="0.25">
      <c r="A720" s="359">
        <v>0</v>
      </c>
      <c r="B720" s="49" t="s">
        <v>1259</v>
      </c>
      <c r="C720" s="49" t="s">
        <v>1102</v>
      </c>
      <c r="D720" s="49"/>
      <c r="E720" s="49"/>
      <c r="F720" s="49"/>
      <c r="G720" s="49"/>
      <c r="H720" s="49"/>
      <c r="I720" s="49"/>
      <c r="J720" s="316"/>
      <c r="K720" s="360"/>
      <c r="L720" s="363"/>
      <c r="M720" s="317"/>
      <c r="N720" s="317"/>
      <c r="O720" s="322"/>
      <c r="P720" s="365"/>
      <c r="Q720" s="364"/>
      <c r="R720" s="364"/>
      <c r="S720" s="348"/>
    </row>
    <row r="721" spans="1:19" hidden="1" x14ac:dyDescent="0.25">
      <c r="A721" s="359">
        <v>0</v>
      </c>
      <c r="B721" s="49" t="s">
        <v>1260</v>
      </c>
      <c r="C721" s="49" t="s">
        <v>1102</v>
      </c>
      <c r="D721" s="49"/>
      <c r="E721" s="49"/>
      <c r="F721" s="49"/>
      <c r="G721" s="49"/>
      <c r="H721" s="49"/>
      <c r="I721" s="49"/>
      <c r="J721" s="316"/>
      <c r="K721" s="360"/>
      <c r="L721" s="363"/>
      <c r="M721" s="317"/>
      <c r="N721" s="317"/>
      <c r="O721" s="322"/>
      <c r="P721" s="365"/>
      <c r="Q721" s="364"/>
      <c r="R721" s="364"/>
      <c r="S721" s="348"/>
    </row>
    <row r="722" spans="1:19" hidden="1" x14ac:dyDescent="0.25">
      <c r="A722" s="359">
        <v>0</v>
      </c>
      <c r="B722" s="49" t="s">
        <v>1261</v>
      </c>
      <c r="C722" s="49" t="s">
        <v>1102</v>
      </c>
      <c r="D722" s="49"/>
      <c r="E722" s="49"/>
      <c r="F722" s="49"/>
      <c r="G722" s="49"/>
      <c r="H722" s="49"/>
      <c r="I722" s="49"/>
      <c r="J722" s="316"/>
      <c r="K722" s="360"/>
      <c r="L722" s="363"/>
      <c r="M722" s="317"/>
      <c r="N722" s="317"/>
      <c r="O722" s="322"/>
      <c r="P722" s="365"/>
      <c r="Q722" s="364"/>
      <c r="R722" s="364"/>
      <c r="S722" s="348"/>
    </row>
    <row r="723" spans="1:19" hidden="1" x14ac:dyDescent="0.25">
      <c r="A723" s="359">
        <v>0</v>
      </c>
      <c r="B723" s="49" t="s">
        <v>1262</v>
      </c>
      <c r="C723" s="49" t="s">
        <v>1102</v>
      </c>
      <c r="D723" s="49"/>
      <c r="E723" s="49"/>
      <c r="F723" s="49"/>
      <c r="G723" s="49"/>
      <c r="H723" s="49"/>
      <c r="I723" s="49"/>
      <c r="J723" s="316"/>
      <c r="K723" s="360"/>
      <c r="L723" s="363"/>
      <c r="M723" s="317"/>
      <c r="N723" s="317"/>
      <c r="O723" s="322"/>
      <c r="P723" s="365"/>
      <c r="Q723" s="364"/>
      <c r="R723" s="364"/>
      <c r="S723" s="348"/>
    </row>
    <row r="724" spans="1:19" hidden="1" x14ac:dyDescent="0.25">
      <c r="A724" s="359">
        <v>0</v>
      </c>
      <c r="B724" s="49" t="s">
        <v>1263</v>
      </c>
      <c r="C724" s="49" t="s">
        <v>1102</v>
      </c>
      <c r="D724" s="49"/>
      <c r="E724" s="49"/>
      <c r="F724" s="49"/>
      <c r="G724" s="49"/>
      <c r="H724" s="49"/>
      <c r="I724" s="49"/>
      <c r="J724" s="316"/>
      <c r="K724" s="360"/>
      <c r="L724" s="363"/>
      <c r="M724" s="317"/>
      <c r="N724" s="317"/>
      <c r="O724" s="322"/>
      <c r="P724" s="365"/>
      <c r="Q724" s="364"/>
      <c r="R724" s="364"/>
      <c r="S724" s="348"/>
    </row>
    <row r="725" spans="1:19" hidden="1" x14ac:dyDescent="0.25">
      <c r="A725" s="359">
        <v>0</v>
      </c>
      <c r="B725" s="49" t="s">
        <v>1264</v>
      </c>
      <c r="C725" s="49" t="s">
        <v>1102</v>
      </c>
      <c r="D725" s="49"/>
      <c r="E725" s="49"/>
      <c r="F725" s="49"/>
      <c r="G725" s="49"/>
      <c r="H725" s="49"/>
      <c r="I725" s="49"/>
      <c r="J725" s="316"/>
      <c r="K725" s="360"/>
      <c r="L725" s="363"/>
      <c r="M725" s="317"/>
      <c r="N725" s="317"/>
      <c r="O725" s="322"/>
      <c r="P725" s="365"/>
      <c r="Q725" s="364"/>
      <c r="R725" s="364"/>
      <c r="S725" s="348"/>
    </row>
    <row r="726" spans="1:19" hidden="1" x14ac:dyDescent="0.25">
      <c r="A726" s="359">
        <v>0</v>
      </c>
      <c r="B726" s="49" t="s">
        <v>1265</v>
      </c>
      <c r="C726" s="49" t="s">
        <v>1102</v>
      </c>
      <c r="D726" s="49"/>
      <c r="E726" s="49"/>
      <c r="F726" s="49"/>
      <c r="G726" s="49"/>
      <c r="H726" s="49"/>
      <c r="I726" s="49"/>
      <c r="J726" s="316"/>
      <c r="K726" s="360"/>
      <c r="L726" s="363"/>
      <c r="M726" s="317"/>
      <c r="N726" s="317"/>
      <c r="O726" s="322"/>
      <c r="P726" s="365"/>
      <c r="Q726" s="364"/>
      <c r="R726" s="364"/>
      <c r="S726" s="348"/>
    </row>
    <row r="727" spans="1:19" hidden="1" x14ac:dyDescent="0.25">
      <c r="A727" s="359">
        <v>0</v>
      </c>
      <c r="B727" s="49" t="s">
        <v>1266</v>
      </c>
      <c r="C727" s="49" t="s">
        <v>1102</v>
      </c>
      <c r="D727" s="49"/>
      <c r="E727" s="49"/>
      <c r="F727" s="49"/>
      <c r="G727" s="49"/>
      <c r="H727" s="49"/>
      <c r="I727" s="49"/>
      <c r="J727" s="316"/>
      <c r="K727" s="360"/>
      <c r="L727" s="363"/>
      <c r="M727" s="317"/>
      <c r="N727" s="317"/>
      <c r="O727" s="322"/>
      <c r="P727" s="365"/>
      <c r="Q727" s="364"/>
      <c r="R727" s="364"/>
      <c r="S727" s="348"/>
    </row>
    <row r="728" spans="1:19" hidden="1" x14ac:dyDescent="0.25">
      <c r="A728" s="359">
        <v>0</v>
      </c>
      <c r="B728" s="49" t="s">
        <v>1267</v>
      </c>
      <c r="C728" s="49" t="s">
        <v>1102</v>
      </c>
      <c r="D728" s="49"/>
      <c r="E728" s="49"/>
      <c r="F728" s="49"/>
      <c r="G728" s="49"/>
      <c r="H728" s="49"/>
      <c r="I728" s="49"/>
      <c r="J728" s="316"/>
      <c r="K728" s="360"/>
      <c r="L728" s="363"/>
      <c r="M728" s="317"/>
      <c r="N728" s="317"/>
      <c r="O728" s="322"/>
      <c r="P728" s="365"/>
      <c r="Q728" s="364"/>
      <c r="R728" s="364"/>
      <c r="S728" s="348"/>
    </row>
    <row r="729" spans="1:19" hidden="1" x14ac:dyDescent="0.25">
      <c r="A729" s="359">
        <v>0</v>
      </c>
      <c r="B729" s="49" t="s">
        <v>1268</v>
      </c>
      <c r="C729" s="49" t="s">
        <v>1102</v>
      </c>
      <c r="D729" s="49"/>
      <c r="E729" s="49"/>
      <c r="F729" s="49"/>
      <c r="G729" s="49"/>
      <c r="H729" s="49"/>
      <c r="I729" s="49"/>
      <c r="J729" s="316"/>
      <c r="K729" s="360"/>
      <c r="L729" s="363"/>
      <c r="M729" s="317"/>
      <c r="N729" s="317"/>
      <c r="O729" s="322"/>
      <c r="P729" s="365"/>
      <c r="Q729" s="364"/>
      <c r="R729" s="364"/>
      <c r="S729" s="348"/>
    </row>
    <row r="730" spans="1:19" hidden="1" x14ac:dyDescent="0.25">
      <c r="A730" s="359">
        <v>0</v>
      </c>
      <c r="B730" s="49" t="s">
        <v>1269</v>
      </c>
      <c r="C730" s="49" t="s">
        <v>1102</v>
      </c>
      <c r="D730" s="49"/>
      <c r="E730" s="49"/>
      <c r="F730" s="49"/>
      <c r="G730" s="49"/>
      <c r="H730" s="49"/>
      <c r="I730" s="49"/>
      <c r="J730" s="316"/>
      <c r="K730" s="360"/>
      <c r="L730" s="363"/>
      <c r="M730" s="317"/>
      <c r="N730" s="317"/>
      <c r="O730" s="322"/>
      <c r="P730" s="365"/>
      <c r="Q730" s="364"/>
      <c r="R730" s="364"/>
      <c r="S730" s="348"/>
    </row>
    <row r="731" spans="1:19" hidden="1" x14ac:dyDescent="0.25">
      <c r="A731" s="359">
        <v>0</v>
      </c>
      <c r="B731" s="49" t="s">
        <v>1270</v>
      </c>
      <c r="C731" s="49" t="s">
        <v>1102</v>
      </c>
      <c r="D731" s="49"/>
      <c r="E731" s="49"/>
      <c r="F731" s="49"/>
      <c r="G731" s="49"/>
      <c r="H731" s="49"/>
      <c r="I731" s="49"/>
      <c r="J731" s="316"/>
      <c r="K731" s="360"/>
      <c r="L731" s="363"/>
      <c r="M731" s="317"/>
      <c r="N731" s="317"/>
      <c r="O731" s="322"/>
      <c r="P731" s="365"/>
      <c r="Q731" s="364"/>
      <c r="R731" s="364"/>
      <c r="S731" s="348"/>
    </row>
    <row r="732" spans="1:19" hidden="1" x14ac:dyDescent="0.25">
      <c r="A732" s="359">
        <v>0</v>
      </c>
      <c r="B732" s="49" t="s">
        <v>1271</v>
      </c>
      <c r="C732" s="49" t="s">
        <v>1102</v>
      </c>
      <c r="D732" s="49"/>
      <c r="E732" s="49"/>
      <c r="F732" s="49"/>
      <c r="G732" s="49"/>
      <c r="H732" s="49"/>
      <c r="I732" s="49"/>
      <c r="J732" s="316"/>
      <c r="K732" s="360"/>
      <c r="L732" s="363"/>
      <c r="M732" s="317"/>
      <c r="N732" s="317"/>
      <c r="O732" s="322"/>
      <c r="P732" s="365"/>
      <c r="Q732" s="364"/>
      <c r="R732" s="364"/>
      <c r="S732" s="348"/>
    </row>
    <row r="733" spans="1:19" hidden="1" x14ac:dyDescent="0.25">
      <c r="A733" s="359">
        <v>0</v>
      </c>
      <c r="B733" s="49" t="s">
        <v>1272</v>
      </c>
      <c r="C733" s="49" t="s">
        <v>1102</v>
      </c>
      <c r="D733" s="49"/>
      <c r="E733" s="49"/>
      <c r="F733" s="49"/>
      <c r="G733" s="49"/>
      <c r="H733" s="49"/>
      <c r="I733" s="49"/>
      <c r="J733" s="316"/>
      <c r="K733" s="360"/>
      <c r="L733" s="363"/>
      <c r="M733" s="317"/>
      <c r="N733" s="317"/>
      <c r="O733" s="322"/>
      <c r="P733" s="365"/>
      <c r="Q733" s="364"/>
      <c r="R733" s="364"/>
      <c r="S733" s="348"/>
    </row>
    <row r="734" spans="1:19" hidden="1" x14ac:dyDescent="0.25">
      <c r="A734" s="359">
        <v>0</v>
      </c>
      <c r="B734" s="49" t="s">
        <v>1273</v>
      </c>
      <c r="C734" s="49" t="s">
        <v>1102</v>
      </c>
      <c r="D734" s="49"/>
      <c r="E734" s="49"/>
      <c r="F734" s="49"/>
      <c r="G734" s="49"/>
      <c r="H734" s="49"/>
      <c r="I734" s="49"/>
      <c r="J734" s="316"/>
      <c r="K734" s="360"/>
      <c r="L734" s="363"/>
      <c r="M734" s="317"/>
      <c r="N734" s="317"/>
      <c r="O734" s="322"/>
      <c r="P734" s="365"/>
      <c r="Q734" s="364"/>
      <c r="R734" s="364"/>
      <c r="S734" s="348"/>
    </row>
    <row r="735" spans="1:19" hidden="1" x14ac:dyDescent="0.25">
      <c r="A735" s="359">
        <v>0</v>
      </c>
      <c r="B735" s="49" t="s">
        <v>1274</v>
      </c>
      <c r="C735" s="49" t="s">
        <v>1102</v>
      </c>
      <c r="D735" s="49"/>
      <c r="E735" s="49"/>
      <c r="F735" s="49"/>
      <c r="G735" s="49"/>
      <c r="H735" s="49"/>
      <c r="I735" s="49"/>
      <c r="J735" s="316"/>
      <c r="K735" s="360"/>
      <c r="L735" s="363"/>
      <c r="M735" s="317"/>
      <c r="N735" s="317"/>
      <c r="O735" s="322"/>
      <c r="P735" s="365"/>
      <c r="Q735" s="364"/>
      <c r="R735" s="364"/>
      <c r="S735" s="348"/>
    </row>
    <row r="736" spans="1:19" hidden="1" x14ac:dyDescent="0.25">
      <c r="A736" s="359">
        <v>0</v>
      </c>
      <c r="B736" s="49" t="s">
        <v>1275</v>
      </c>
      <c r="C736" s="49" t="s">
        <v>1102</v>
      </c>
      <c r="D736" s="49"/>
      <c r="E736" s="49"/>
      <c r="F736" s="49"/>
      <c r="G736" s="49"/>
      <c r="H736" s="49"/>
      <c r="I736" s="49"/>
      <c r="J736" s="316"/>
      <c r="K736" s="360"/>
      <c r="L736" s="363"/>
      <c r="M736" s="317"/>
      <c r="N736" s="317"/>
      <c r="O736" s="322"/>
      <c r="P736" s="365"/>
      <c r="Q736" s="364"/>
      <c r="R736" s="364"/>
      <c r="S736" s="348"/>
    </row>
    <row r="737" spans="1:19" hidden="1" x14ac:dyDescent="0.25">
      <c r="A737" s="359">
        <v>0</v>
      </c>
      <c r="B737" s="49" t="s">
        <v>1276</v>
      </c>
      <c r="C737" s="49" t="s">
        <v>1102</v>
      </c>
      <c r="D737" s="49"/>
      <c r="E737" s="49"/>
      <c r="F737" s="49"/>
      <c r="G737" s="49"/>
      <c r="H737" s="49"/>
      <c r="I737" s="49"/>
      <c r="J737" s="316"/>
      <c r="K737" s="360"/>
      <c r="L737" s="363"/>
      <c r="M737" s="317"/>
      <c r="N737" s="317"/>
      <c r="O737" s="322"/>
      <c r="P737" s="365"/>
      <c r="Q737" s="364"/>
      <c r="R737" s="364"/>
      <c r="S737" s="348"/>
    </row>
    <row r="738" spans="1:19" hidden="1" x14ac:dyDescent="0.25">
      <c r="A738" s="359">
        <v>0</v>
      </c>
      <c r="B738" s="49" t="s">
        <v>1277</v>
      </c>
      <c r="C738" s="49" t="s">
        <v>1102</v>
      </c>
      <c r="D738" s="49"/>
      <c r="E738" s="49"/>
      <c r="F738" s="49"/>
      <c r="G738" s="49"/>
      <c r="H738" s="49"/>
      <c r="I738" s="49"/>
      <c r="J738" s="316"/>
      <c r="K738" s="360"/>
      <c r="L738" s="363"/>
      <c r="M738" s="317"/>
      <c r="N738" s="317"/>
      <c r="O738" s="322"/>
      <c r="P738" s="365"/>
      <c r="Q738" s="364"/>
      <c r="R738" s="364"/>
      <c r="S738" s="348"/>
    </row>
    <row r="739" spans="1:19" hidden="1" x14ac:dyDescent="0.25">
      <c r="A739" s="359">
        <v>0</v>
      </c>
      <c r="B739" s="49" t="s">
        <v>1278</v>
      </c>
      <c r="C739" s="49" t="s">
        <v>1102</v>
      </c>
      <c r="D739" s="49"/>
      <c r="E739" s="49"/>
      <c r="F739" s="49"/>
      <c r="G739" s="49"/>
      <c r="H739" s="49"/>
      <c r="I739" s="49"/>
      <c r="J739" s="316"/>
      <c r="K739" s="360"/>
      <c r="L739" s="363"/>
      <c r="M739" s="317"/>
      <c r="N739" s="317"/>
      <c r="O739" s="322"/>
      <c r="P739" s="365"/>
      <c r="Q739" s="364"/>
      <c r="R739" s="364"/>
      <c r="S739" s="348"/>
    </row>
    <row r="740" spans="1:19" hidden="1" x14ac:dyDescent="0.25">
      <c r="A740" s="359">
        <v>0</v>
      </c>
      <c r="B740" s="49" t="s">
        <v>1279</v>
      </c>
      <c r="C740" s="49" t="s">
        <v>1102</v>
      </c>
      <c r="D740" s="49"/>
      <c r="E740" s="49"/>
      <c r="F740" s="49"/>
      <c r="G740" s="49"/>
      <c r="H740" s="49"/>
      <c r="I740" s="49"/>
      <c r="J740" s="316"/>
      <c r="K740" s="360"/>
      <c r="L740" s="363"/>
      <c r="M740" s="317"/>
      <c r="N740" s="317"/>
      <c r="O740" s="322"/>
      <c r="P740" s="365"/>
      <c r="Q740" s="364"/>
      <c r="R740" s="364"/>
      <c r="S740" s="348"/>
    </row>
    <row r="741" spans="1:19" hidden="1" x14ac:dyDescent="0.25">
      <c r="A741" s="359">
        <v>0</v>
      </c>
      <c r="B741" s="49" t="s">
        <v>1280</v>
      </c>
      <c r="C741" s="49" t="s">
        <v>1102</v>
      </c>
      <c r="D741" s="49"/>
      <c r="E741" s="49"/>
      <c r="F741" s="49"/>
      <c r="G741" s="49"/>
      <c r="H741" s="49"/>
      <c r="I741" s="49"/>
      <c r="J741" s="316"/>
      <c r="K741" s="360"/>
      <c r="L741" s="363"/>
      <c r="M741" s="317"/>
      <c r="N741" s="317"/>
      <c r="O741" s="322"/>
      <c r="P741" s="365"/>
      <c r="Q741" s="364"/>
      <c r="R741" s="364"/>
      <c r="S741" s="348"/>
    </row>
    <row r="742" spans="1:19" hidden="1" x14ac:dyDescent="0.25">
      <c r="A742" s="359">
        <v>0</v>
      </c>
      <c r="B742" s="49" t="s">
        <v>1281</v>
      </c>
      <c r="C742" s="49" t="s">
        <v>1102</v>
      </c>
      <c r="D742" s="49"/>
      <c r="E742" s="49"/>
      <c r="F742" s="49"/>
      <c r="G742" s="49"/>
      <c r="H742" s="49"/>
      <c r="I742" s="49"/>
      <c r="J742" s="316"/>
      <c r="K742" s="360"/>
      <c r="L742" s="363"/>
      <c r="M742" s="317"/>
      <c r="N742" s="317"/>
      <c r="O742" s="322"/>
      <c r="P742" s="365"/>
      <c r="Q742" s="364"/>
      <c r="R742" s="364"/>
      <c r="S742" s="348"/>
    </row>
    <row r="743" spans="1:19" hidden="1" x14ac:dyDescent="0.25">
      <c r="A743" s="359">
        <v>0</v>
      </c>
      <c r="B743" s="49" t="s">
        <v>1282</v>
      </c>
      <c r="C743" s="49" t="s">
        <v>1102</v>
      </c>
      <c r="D743" s="49"/>
      <c r="E743" s="49"/>
      <c r="F743" s="49"/>
      <c r="G743" s="49"/>
      <c r="H743" s="49"/>
      <c r="I743" s="49"/>
      <c r="J743" s="316"/>
      <c r="K743" s="360"/>
      <c r="L743" s="363"/>
      <c r="M743" s="317"/>
      <c r="N743" s="317"/>
      <c r="O743" s="322"/>
      <c r="P743" s="365"/>
      <c r="Q743" s="364"/>
      <c r="R743" s="364"/>
      <c r="S743" s="348"/>
    </row>
    <row r="744" spans="1:19" hidden="1" x14ac:dyDescent="0.25">
      <c r="A744" s="359">
        <v>0</v>
      </c>
      <c r="B744" s="49" t="s">
        <v>1283</v>
      </c>
      <c r="C744" s="49" t="s">
        <v>1102</v>
      </c>
      <c r="D744" s="49"/>
      <c r="E744" s="49"/>
      <c r="F744" s="49"/>
      <c r="G744" s="49"/>
      <c r="H744" s="49"/>
      <c r="I744" s="49"/>
      <c r="J744" s="316"/>
      <c r="K744" s="360"/>
      <c r="L744" s="363"/>
      <c r="M744" s="317"/>
      <c r="N744" s="317"/>
      <c r="O744" s="322"/>
      <c r="P744" s="365"/>
      <c r="Q744" s="364"/>
      <c r="R744" s="364"/>
      <c r="S744" s="348"/>
    </row>
    <row r="745" spans="1:19" hidden="1" x14ac:dyDescent="0.25">
      <c r="A745" s="359">
        <v>0</v>
      </c>
      <c r="B745" s="49" t="s">
        <v>1284</v>
      </c>
      <c r="C745" s="49" t="s">
        <v>1102</v>
      </c>
      <c r="D745" s="49"/>
      <c r="E745" s="49"/>
      <c r="F745" s="49"/>
      <c r="G745" s="49"/>
      <c r="H745" s="49"/>
      <c r="I745" s="49"/>
      <c r="J745" s="316"/>
      <c r="K745" s="360"/>
      <c r="L745" s="363"/>
      <c r="M745" s="317"/>
      <c r="N745" s="317"/>
      <c r="O745" s="322"/>
      <c r="P745" s="365"/>
      <c r="Q745" s="364"/>
      <c r="R745" s="364"/>
      <c r="S745" s="348"/>
    </row>
    <row r="746" spans="1:19" hidden="1" x14ac:dyDescent="0.25">
      <c r="A746" s="359">
        <v>0</v>
      </c>
      <c r="B746" s="49" t="s">
        <v>1285</v>
      </c>
      <c r="C746" s="49" t="s">
        <v>1102</v>
      </c>
      <c r="D746" s="49"/>
      <c r="E746" s="49"/>
      <c r="F746" s="49"/>
      <c r="G746" s="49"/>
      <c r="H746" s="49"/>
      <c r="I746" s="49"/>
      <c r="J746" s="316"/>
      <c r="K746" s="360"/>
      <c r="L746" s="363"/>
      <c r="M746" s="317"/>
      <c r="N746" s="317"/>
      <c r="O746" s="322"/>
      <c r="P746" s="365"/>
      <c r="Q746" s="364"/>
      <c r="R746" s="364"/>
      <c r="S746" s="348"/>
    </row>
    <row r="747" spans="1:19" hidden="1" x14ac:dyDescent="0.25">
      <c r="A747" s="359">
        <v>0</v>
      </c>
      <c r="B747" s="49" t="s">
        <v>1286</v>
      </c>
      <c r="C747" s="49" t="s">
        <v>1102</v>
      </c>
      <c r="D747" s="49"/>
      <c r="E747" s="49"/>
      <c r="F747" s="49"/>
      <c r="G747" s="49"/>
      <c r="H747" s="49"/>
      <c r="I747" s="49"/>
      <c r="J747" s="316"/>
      <c r="K747" s="360"/>
      <c r="L747" s="363"/>
      <c r="M747" s="317"/>
      <c r="N747" s="317"/>
      <c r="O747" s="322"/>
      <c r="P747" s="365"/>
      <c r="Q747" s="364"/>
      <c r="R747" s="364"/>
      <c r="S747" s="348"/>
    </row>
    <row r="748" spans="1:19" hidden="1" x14ac:dyDescent="0.25">
      <c r="A748" s="359">
        <v>0</v>
      </c>
      <c r="B748" s="49" t="s">
        <v>1287</v>
      </c>
      <c r="C748" s="49" t="s">
        <v>1102</v>
      </c>
      <c r="D748" s="49"/>
      <c r="E748" s="49"/>
      <c r="F748" s="49"/>
      <c r="G748" s="49"/>
      <c r="H748" s="49"/>
      <c r="I748" s="49"/>
      <c r="J748" s="316"/>
      <c r="K748" s="360"/>
      <c r="L748" s="363"/>
      <c r="M748" s="317"/>
      <c r="N748" s="317"/>
      <c r="O748" s="322"/>
      <c r="P748" s="365"/>
      <c r="Q748" s="364"/>
      <c r="R748" s="364"/>
      <c r="S748" s="348"/>
    </row>
    <row r="749" spans="1:19" hidden="1" x14ac:dyDescent="0.25">
      <c r="A749" s="359">
        <v>0</v>
      </c>
      <c r="B749" s="49" t="s">
        <v>1288</v>
      </c>
      <c r="C749" s="49" t="s">
        <v>1102</v>
      </c>
      <c r="D749" s="49"/>
      <c r="E749" s="49"/>
      <c r="F749" s="49"/>
      <c r="G749" s="49"/>
      <c r="H749" s="49"/>
      <c r="I749" s="49"/>
      <c r="J749" s="316"/>
      <c r="K749" s="360"/>
      <c r="L749" s="363"/>
      <c r="M749" s="317"/>
      <c r="N749" s="317"/>
      <c r="O749" s="322"/>
      <c r="P749" s="365"/>
      <c r="Q749" s="364"/>
      <c r="R749" s="364"/>
      <c r="S749" s="348"/>
    </row>
    <row r="750" spans="1:19" hidden="1" x14ac:dyDescent="0.25">
      <c r="A750" s="359">
        <v>0</v>
      </c>
      <c r="B750" s="49" t="s">
        <v>1289</v>
      </c>
      <c r="C750" s="49" t="s">
        <v>1102</v>
      </c>
      <c r="D750" s="49"/>
      <c r="E750" s="49"/>
      <c r="F750" s="49"/>
      <c r="G750" s="49"/>
      <c r="H750" s="49"/>
      <c r="I750" s="49"/>
      <c r="J750" s="316"/>
      <c r="K750" s="360"/>
      <c r="L750" s="363"/>
      <c r="M750" s="317"/>
      <c r="N750" s="317"/>
      <c r="O750" s="322"/>
      <c r="P750" s="365"/>
      <c r="Q750" s="364"/>
      <c r="R750" s="364"/>
      <c r="S750" s="348"/>
    </row>
    <row r="751" spans="1:19" hidden="1" x14ac:dyDescent="0.25">
      <c r="A751" s="359">
        <v>0</v>
      </c>
      <c r="B751" s="49" t="s">
        <v>1290</v>
      </c>
      <c r="C751" s="49" t="s">
        <v>1102</v>
      </c>
      <c r="D751" s="49"/>
      <c r="E751" s="49"/>
      <c r="F751" s="49"/>
      <c r="G751" s="49"/>
      <c r="H751" s="49"/>
      <c r="I751" s="49"/>
      <c r="J751" s="316"/>
      <c r="K751" s="360"/>
      <c r="L751" s="363"/>
      <c r="M751" s="317"/>
      <c r="N751" s="317"/>
      <c r="O751" s="322"/>
      <c r="P751" s="365"/>
      <c r="Q751" s="364"/>
      <c r="R751" s="364"/>
      <c r="S751" s="348"/>
    </row>
    <row r="752" spans="1:19" hidden="1" x14ac:dyDescent="0.25">
      <c r="A752" s="359">
        <v>0</v>
      </c>
      <c r="B752" s="49" t="s">
        <v>1291</v>
      </c>
      <c r="C752" s="49" t="s">
        <v>1102</v>
      </c>
      <c r="D752" s="49"/>
      <c r="E752" s="49"/>
      <c r="F752" s="49"/>
      <c r="G752" s="49"/>
      <c r="H752" s="49"/>
      <c r="I752" s="49"/>
      <c r="J752" s="316"/>
      <c r="K752" s="360"/>
      <c r="L752" s="363"/>
      <c r="M752" s="317"/>
      <c r="N752" s="317"/>
      <c r="O752" s="322"/>
      <c r="P752" s="365"/>
      <c r="Q752" s="364"/>
      <c r="R752" s="364"/>
      <c r="S752" s="348"/>
    </row>
    <row r="753" spans="1:19" hidden="1" x14ac:dyDescent="0.25">
      <c r="A753" s="359">
        <v>0</v>
      </c>
      <c r="B753" s="49" t="s">
        <v>1292</v>
      </c>
      <c r="C753" s="49" t="s">
        <v>1102</v>
      </c>
      <c r="D753" s="49"/>
      <c r="E753" s="49"/>
      <c r="F753" s="49"/>
      <c r="G753" s="49"/>
      <c r="H753" s="49"/>
      <c r="I753" s="49"/>
      <c r="J753" s="316"/>
      <c r="K753" s="360"/>
      <c r="L753" s="363"/>
      <c r="M753" s="317"/>
      <c r="N753" s="317"/>
      <c r="O753" s="322"/>
      <c r="P753" s="365"/>
      <c r="Q753" s="364"/>
      <c r="R753" s="364"/>
      <c r="S753" s="348"/>
    </row>
    <row r="754" spans="1:19" hidden="1" x14ac:dyDescent="0.25">
      <c r="A754" s="359">
        <v>0</v>
      </c>
      <c r="B754" s="49" t="s">
        <v>1293</v>
      </c>
      <c r="C754" s="49" t="s">
        <v>1102</v>
      </c>
      <c r="D754" s="49"/>
      <c r="E754" s="49"/>
      <c r="F754" s="49"/>
      <c r="G754" s="49"/>
      <c r="H754" s="49"/>
      <c r="I754" s="49"/>
      <c r="J754" s="316"/>
      <c r="K754" s="360"/>
      <c r="L754" s="363"/>
      <c r="M754" s="317"/>
      <c r="N754" s="317"/>
      <c r="O754" s="322"/>
      <c r="P754" s="365"/>
      <c r="Q754" s="364"/>
      <c r="R754" s="364"/>
      <c r="S754" s="348"/>
    </row>
    <row r="755" spans="1:19" hidden="1" x14ac:dyDescent="0.25">
      <c r="A755" s="359">
        <v>0</v>
      </c>
      <c r="B755" s="49" t="s">
        <v>1294</v>
      </c>
      <c r="C755" s="49" t="s">
        <v>1102</v>
      </c>
      <c r="D755" s="49"/>
      <c r="E755" s="49"/>
      <c r="F755" s="49"/>
      <c r="G755" s="49"/>
      <c r="H755" s="49"/>
      <c r="I755" s="49"/>
      <c r="J755" s="316"/>
      <c r="K755" s="360"/>
      <c r="L755" s="363"/>
      <c r="M755" s="317"/>
      <c r="N755" s="317"/>
      <c r="O755" s="322"/>
      <c r="P755" s="365"/>
      <c r="Q755" s="364"/>
      <c r="R755" s="364"/>
      <c r="S755" s="348"/>
    </row>
    <row r="756" spans="1:19" hidden="1" x14ac:dyDescent="0.25">
      <c r="A756" s="359">
        <v>0</v>
      </c>
      <c r="B756" s="49" t="s">
        <v>1295</v>
      </c>
      <c r="C756" s="49" t="s">
        <v>1102</v>
      </c>
      <c r="D756" s="49"/>
      <c r="E756" s="49"/>
      <c r="F756" s="49"/>
      <c r="G756" s="49"/>
      <c r="H756" s="49"/>
      <c r="I756" s="49"/>
      <c r="J756" s="316"/>
      <c r="K756" s="360"/>
      <c r="L756" s="363"/>
      <c r="M756" s="317"/>
      <c r="N756" s="317"/>
      <c r="O756" s="322"/>
      <c r="P756" s="365"/>
      <c r="Q756" s="364"/>
      <c r="R756" s="364"/>
      <c r="S756" s="348"/>
    </row>
    <row r="757" spans="1:19" hidden="1" x14ac:dyDescent="0.25">
      <c r="A757" s="359">
        <v>0</v>
      </c>
      <c r="B757" s="49" t="s">
        <v>1296</v>
      </c>
      <c r="C757" s="49" t="s">
        <v>1102</v>
      </c>
      <c r="D757" s="49"/>
      <c r="E757" s="49"/>
      <c r="F757" s="49"/>
      <c r="G757" s="49"/>
      <c r="H757" s="49"/>
      <c r="I757" s="49"/>
      <c r="J757" s="316"/>
      <c r="K757" s="360"/>
      <c r="L757" s="363"/>
      <c r="M757" s="317"/>
      <c r="N757" s="317"/>
      <c r="O757" s="322"/>
      <c r="P757" s="365"/>
      <c r="Q757" s="364"/>
      <c r="R757" s="364"/>
      <c r="S757" s="348"/>
    </row>
    <row r="758" spans="1:19" hidden="1" x14ac:dyDescent="0.25">
      <c r="A758" s="359">
        <v>0</v>
      </c>
      <c r="B758" s="49" t="s">
        <v>1297</v>
      </c>
      <c r="C758" s="49" t="s">
        <v>1102</v>
      </c>
      <c r="D758" s="49"/>
      <c r="E758" s="49"/>
      <c r="F758" s="49"/>
      <c r="G758" s="49"/>
      <c r="H758" s="49"/>
      <c r="I758" s="49"/>
      <c r="J758" s="316"/>
      <c r="K758" s="360"/>
      <c r="L758" s="363"/>
      <c r="M758" s="317"/>
      <c r="N758" s="317"/>
      <c r="O758" s="322"/>
      <c r="P758" s="365"/>
      <c r="Q758" s="364"/>
      <c r="R758" s="364"/>
      <c r="S758" s="348"/>
    </row>
    <row r="759" spans="1:19" hidden="1" x14ac:dyDescent="0.25">
      <c r="A759" s="359">
        <v>0</v>
      </c>
      <c r="B759" s="49" t="s">
        <v>1298</v>
      </c>
      <c r="C759" s="49" t="s">
        <v>1102</v>
      </c>
      <c r="D759" s="49"/>
      <c r="E759" s="49"/>
      <c r="F759" s="49"/>
      <c r="G759" s="49"/>
      <c r="H759" s="49"/>
      <c r="I759" s="49"/>
      <c r="J759" s="316"/>
      <c r="K759" s="360"/>
      <c r="L759" s="363"/>
      <c r="M759" s="317"/>
      <c r="N759" s="317"/>
      <c r="O759" s="322"/>
      <c r="P759" s="365"/>
      <c r="Q759" s="364"/>
      <c r="R759" s="364"/>
      <c r="S759" s="348"/>
    </row>
    <row r="760" spans="1:19" hidden="1" x14ac:dyDescent="0.25">
      <c r="A760" s="359">
        <v>0</v>
      </c>
      <c r="B760" s="49" t="s">
        <v>1299</v>
      </c>
      <c r="C760" s="49" t="s">
        <v>1102</v>
      </c>
      <c r="D760" s="49"/>
      <c r="E760" s="49"/>
      <c r="F760" s="49"/>
      <c r="G760" s="49"/>
      <c r="H760" s="49"/>
      <c r="I760" s="49"/>
      <c r="J760" s="316"/>
      <c r="K760" s="360"/>
      <c r="L760" s="363"/>
      <c r="M760" s="317"/>
      <c r="N760" s="317"/>
      <c r="O760" s="322"/>
      <c r="P760" s="365"/>
      <c r="Q760" s="364"/>
      <c r="R760" s="364"/>
      <c r="S760" s="348"/>
    </row>
    <row r="761" spans="1:19" hidden="1" x14ac:dyDescent="0.25">
      <c r="A761" s="359">
        <v>0</v>
      </c>
      <c r="B761" s="49" t="s">
        <v>1300</v>
      </c>
      <c r="C761" s="49" t="s">
        <v>1102</v>
      </c>
      <c r="D761" s="49"/>
      <c r="E761" s="49"/>
      <c r="F761" s="49"/>
      <c r="G761" s="49"/>
      <c r="H761" s="49"/>
      <c r="I761" s="49"/>
      <c r="J761" s="316"/>
      <c r="K761" s="360"/>
      <c r="L761" s="363"/>
      <c r="M761" s="317"/>
      <c r="N761" s="317"/>
      <c r="O761" s="322"/>
      <c r="P761" s="365"/>
      <c r="Q761" s="364"/>
      <c r="R761" s="364"/>
      <c r="S761" s="348"/>
    </row>
    <row r="762" spans="1:19" hidden="1" x14ac:dyDescent="0.25">
      <c r="A762" s="359">
        <v>0</v>
      </c>
      <c r="B762" s="49" t="s">
        <v>1301</v>
      </c>
      <c r="C762" s="49" t="s">
        <v>1102</v>
      </c>
      <c r="D762" s="49"/>
      <c r="E762" s="49"/>
      <c r="F762" s="49"/>
      <c r="G762" s="49"/>
      <c r="H762" s="49"/>
      <c r="I762" s="49"/>
      <c r="J762" s="316"/>
      <c r="K762" s="360"/>
      <c r="L762" s="363"/>
      <c r="M762" s="317"/>
      <c r="N762" s="317"/>
      <c r="O762" s="322"/>
      <c r="P762" s="365"/>
      <c r="Q762" s="364"/>
      <c r="R762" s="364"/>
      <c r="S762" s="348"/>
    </row>
    <row r="763" spans="1:19" hidden="1" x14ac:dyDescent="0.25">
      <c r="A763" s="359">
        <v>0</v>
      </c>
      <c r="B763" s="49" t="s">
        <v>1302</v>
      </c>
      <c r="C763" s="49" t="s">
        <v>1102</v>
      </c>
      <c r="D763" s="49"/>
      <c r="E763" s="49"/>
      <c r="F763" s="49"/>
      <c r="G763" s="49"/>
      <c r="H763" s="49"/>
      <c r="I763" s="49"/>
      <c r="J763" s="316"/>
      <c r="K763" s="360"/>
      <c r="L763" s="363"/>
      <c r="M763" s="317"/>
      <c r="N763" s="317"/>
      <c r="O763" s="322"/>
      <c r="P763" s="365"/>
      <c r="Q763" s="364"/>
      <c r="R763" s="364"/>
      <c r="S763" s="348"/>
    </row>
    <row r="764" spans="1:19" hidden="1" x14ac:dyDescent="0.25">
      <c r="A764" s="359">
        <v>0</v>
      </c>
      <c r="B764" s="49" t="s">
        <v>1303</v>
      </c>
      <c r="C764" s="49" t="s">
        <v>1102</v>
      </c>
      <c r="D764" s="49"/>
      <c r="E764" s="49"/>
      <c r="F764" s="49"/>
      <c r="G764" s="49"/>
      <c r="H764" s="49"/>
      <c r="I764" s="49"/>
      <c r="J764" s="316"/>
      <c r="K764" s="360"/>
      <c r="L764" s="363"/>
      <c r="M764" s="317"/>
      <c r="N764" s="317"/>
      <c r="O764" s="322"/>
      <c r="P764" s="365"/>
      <c r="Q764" s="364"/>
      <c r="R764" s="364"/>
      <c r="S764" s="348"/>
    </row>
    <row r="765" spans="1:19" hidden="1" x14ac:dyDescent="0.25">
      <c r="A765" s="359">
        <v>0</v>
      </c>
      <c r="B765" s="49" t="s">
        <v>1304</v>
      </c>
      <c r="C765" s="49" t="s">
        <v>1102</v>
      </c>
      <c r="D765" s="49"/>
      <c r="E765" s="49"/>
      <c r="F765" s="49"/>
      <c r="G765" s="49"/>
      <c r="H765" s="49"/>
      <c r="I765" s="49"/>
      <c r="J765" s="316"/>
      <c r="K765" s="360"/>
      <c r="L765" s="363"/>
      <c r="M765" s="317"/>
      <c r="N765" s="317"/>
      <c r="O765" s="322"/>
      <c r="P765" s="365"/>
      <c r="Q765" s="364"/>
      <c r="R765" s="364"/>
      <c r="S765" s="348"/>
    </row>
    <row r="766" spans="1:19" hidden="1" x14ac:dyDescent="0.25">
      <c r="A766" s="359">
        <v>0</v>
      </c>
      <c r="B766" s="49" t="s">
        <v>1305</v>
      </c>
      <c r="C766" s="49" t="s">
        <v>1102</v>
      </c>
      <c r="D766" s="49"/>
      <c r="E766" s="49"/>
      <c r="F766" s="49"/>
      <c r="G766" s="49"/>
      <c r="H766" s="49"/>
      <c r="I766" s="49"/>
      <c r="J766" s="316"/>
      <c r="K766" s="360"/>
      <c r="L766" s="363"/>
      <c r="M766" s="317"/>
      <c r="N766" s="317"/>
      <c r="O766" s="322"/>
      <c r="P766" s="365"/>
      <c r="Q766" s="364"/>
      <c r="R766" s="364"/>
      <c r="S766" s="348"/>
    </row>
    <row r="767" spans="1:19" hidden="1" x14ac:dyDescent="0.25">
      <c r="A767" s="359">
        <v>0</v>
      </c>
      <c r="B767" s="49" t="s">
        <v>1306</v>
      </c>
      <c r="C767" s="49" t="s">
        <v>1102</v>
      </c>
      <c r="D767" s="49"/>
      <c r="E767" s="49"/>
      <c r="F767" s="49"/>
      <c r="G767" s="49"/>
      <c r="H767" s="49"/>
      <c r="I767" s="49"/>
      <c r="J767" s="316"/>
      <c r="K767" s="360"/>
      <c r="L767" s="363"/>
      <c r="M767" s="317"/>
      <c r="N767" s="317"/>
      <c r="O767" s="322"/>
      <c r="P767" s="365"/>
      <c r="Q767" s="364"/>
      <c r="R767" s="364"/>
      <c r="S767" s="348"/>
    </row>
    <row r="768" spans="1:19" hidden="1" x14ac:dyDescent="0.25">
      <c r="A768" s="359">
        <v>0</v>
      </c>
      <c r="B768" s="49" t="s">
        <v>1307</v>
      </c>
      <c r="C768" s="49" t="s">
        <v>1102</v>
      </c>
      <c r="D768" s="49"/>
      <c r="E768" s="49"/>
      <c r="F768" s="49"/>
      <c r="G768" s="49"/>
      <c r="H768" s="49"/>
      <c r="I768" s="49"/>
      <c r="J768" s="316"/>
      <c r="K768" s="360"/>
      <c r="L768" s="363"/>
      <c r="M768" s="317"/>
      <c r="N768" s="317"/>
      <c r="O768" s="322"/>
      <c r="P768" s="365"/>
      <c r="Q768" s="364"/>
      <c r="R768" s="364"/>
      <c r="S768" s="348"/>
    </row>
    <row r="769" spans="1:19" hidden="1" x14ac:dyDescent="0.25">
      <c r="A769" s="359">
        <v>0</v>
      </c>
      <c r="B769" s="49" t="s">
        <v>1308</v>
      </c>
      <c r="C769" s="49" t="s">
        <v>1102</v>
      </c>
      <c r="D769" s="49"/>
      <c r="E769" s="49"/>
      <c r="F769" s="49"/>
      <c r="G769" s="49"/>
      <c r="H769" s="49"/>
      <c r="I769" s="49"/>
      <c r="J769" s="316"/>
      <c r="K769" s="360"/>
      <c r="L769" s="363"/>
      <c r="M769" s="317"/>
      <c r="N769" s="317"/>
      <c r="O769" s="322"/>
      <c r="P769" s="365"/>
      <c r="Q769" s="364"/>
      <c r="R769" s="364"/>
      <c r="S769" s="348"/>
    </row>
    <row r="770" spans="1:19" hidden="1" x14ac:dyDescent="0.25">
      <c r="A770" s="359">
        <v>0</v>
      </c>
      <c r="B770" s="49" t="s">
        <v>1309</v>
      </c>
      <c r="C770" s="49" t="s">
        <v>1102</v>
      </c>
      <c r="D770" s="49"/>
      <c r="E770" s="49"/>
      <c r="F770" s="49"/>
      <c r="G770" s="49"/>
      <c r="H770" s="49"/>
      <c r="I770" s="49"/>
      <c r="J770" s="316"/>
      <c r="K770" s="360"/>
      <c r="L770" s="363"/>
      <c r="M770" s="317"/>
      <c r="N770" s="317"/>
      <c r="O770" s="322"/>
      <c r="P770" s="365"/>
      <c r="Q770" s="364"/>
      <c r="R770" s="364"/>
      <c r="S770" s="348"/>
    </row>
    <row r="771" spans="1:19" hidden="1" x14ac:dyDescent="0.25">
      <c r="A771" s="359">
        <v>0</v>
      </c>
      <c r="B771" s="49" t="s">
        <v>1310</v>
      </c>
      <c r="C771" s="49" t="s">
        <v>1102</v>
      </c>
      <c r="D771" s="49"/>
      <c r="E771" s="49"/>
      <c r="F771" s="49"/>
      <c r="G771" s="49"/>
      <c r="H771" s="49"/>
      <c r="I771" s="49"/>
      <c r="J771" s="316"/>
      <c r="K771" s="360"/>
      <c r="L771" s="363"/>
      <c r="M771" s="317"/>
      <c r="N771" s="317"/>
      <c r="O771" s="322"/>
      <c r="P771" s="365"/>
      <c r="Q771" s="364"/>
      <c r="R771" s="364"/>
      <c r="S771" s="348"/>
    </row>
    <row r="772" spans="1:19" hidden="1" x14ac:dyDescent="0.25">
      <c r="A772" s="359">
        <v>0</v>
      </c>
      <c r="B772" s="49" t="s">
        <v>1311</v>
      </c>
      <c r="C772" s="49" t="s">
        <v>1102</v>
      </c>
      <c r="D772" s="49"/>
      <c r="E772" s="49"/>
      <c r="F772" s="49"/>
      <c r="G772" s="49"/>
      <c r="H772" s="49"/>
      <c r="I772" s="49"/>
      <c r="J772" s="316"/>
      <c r="K772" s="360"/>
      <c r="L772" s="363"/>
      <c r="M772" s="317"/>
      <c r="N772" s="317"/>
      <c r="O772" s="322"/>
      <c r="P772" s="365"/>
      <c r="Q772" s="364"/>
      <c r="R772" s="364"/>
      <c r="S772" s="348"/>
    </row>
    <row r="773" spans="1:19" hidden="1" x14ac:dyDescent="0.25">
      <c r="A773" s="359">
        <v>0</v>
      </c>
      <c r="B773" s="49" t="s">
        <v>1312</v>
      </c>
      <c r="C773" s="49" t="s">
        <v>1102</v>
      </c>
      <c r="D773" s="49"/>
      <c r="E773" s="49"/>
      <c r="F773" s="49"/>
      <c r="G773" s="49"/>
      <c r="H773" s="49"/>
      <c r="I773" s="49"/>
      <c r="J773" s="316"/>
      <c r="K773" s="360"/>
      <c r="L773" s="363"/>
      <c r="M773" s="317"/>
      <c r="N773" s="317"/>
      <c r="O773" s="322"/>
      <c r="P773" s="365"/>
      <c r="Q773" s="364"/>
      <c r="R773" s="364"/>
      <c r="S773" s="348"/>
    </row>
    <row r="774" spans="1:19" hidden="1" x14ac:dyDescent="0.25">
      <c r="A774" s="359">
        <v>0</v>
      </c>
      <c r="B774" s="49" t="s">
        <v>1313</v>
      </c>
      <c r="C774" s="49" t="s">
        <v>1102</v>
      </c>
      <c r="D774" s="49"/>
      <c r="E774" s="49"/>
      <c r="F774" s="49"/>
      <c r="G774" s="49"/>
      <c r="H774" s="49"/>
      <c r="I774" s="49"/>
      <c r="J774" s="316"/>
      <c r="K774" s="360"/>
      <c r="L774" s="363"/>
      <c r="M774" s="317"/>
      <c r="N774" s="317"/>
      <c r="O774" s="322"/>
      <c r="P774" s="365"/>
      <c r="Q774" s="364"/>
      <c r="R774" s="364"/>
      <c r="S774" s="348"/>
    </row>
    <row r="775" spans="1:19" hidden="1" x14ac:dyDescent="0.25">
      <c r="A775" s="359">
        <v>0</v>
      </c>
      <c r="B775" s="49" t="s">
        <v>1314</v>
      </c>
      <c r="C775" s="49" t="s">
        <v>1102</v>
      </c>
      <c r="D775" s="49"/>
      <c r="E775" s="49"/>
      <c r="F775" s="49"/>
      <c r="G775" s="49"/>
      <c r="H775" s="49"/>
      <c r="I775" s="49"/>
      <c r="J775" s="316"/>
      <c r="K775" s="360"/>
      <c r="L775" s="363"/>
      <c r="M775" s="317"/>
      <c r="N775" s="317"/>
      <c r="O775" s="322"/>
      <c r="P775" s="365"/>
      <c r="Q775" s="364"/>
      <c r="R775" s="364"/>
      <c r="S775" s="348"/>
    </row>
    <row r="776" spans="1:19" hidden="1" x14ac:dyDescent="0.25">
      <c r="A776" s="359">
        <v>0</v>
      </c>
      <c r="B776" s="49" t="s">
        <v>1315</v>
      </c>
      <c r="C776" s="49" t="s">
        <v>1102</v>
      </c>
      <c r="D776" s="49"/>
      <c r="E776" s="49"/>
      <c r="F776" s="49"/>
      <c r="G776" s="49"/>
      <c r="H776" s="49"/>
      <c r="I776" s="49"/>
      <c r="J776" s="316"/>
      <c r="K776" s="360"/>
      <c r="L776" s="363"/>
      <c r="M776" s="317"/>
      <c r="N776" s="317"/>
      <c r="O776" s="322"/>
      <c r="P776" s="365"/>
      <c r="Q776" s="364"/>
      <c r="R776" s="364"/>
      <c r="S776" s="348"/>
    </row>
    <row r="777" spans="1:19" hidden="1" x14ac:dyDescent="0.25">
      <c r="A777" s="359">
        <v>0</v>
      </c>
      <c r="B777" s="49" t="s">
        <v>1316</v>
      </c>
      <c r="C777" s="49" t="s">
        <v>1102</v>
      </c>
      <c r="D777" s="49"/>
      <c r="E777" s="49"/>
      <c r="F777" s="49"/>
      <c r="G777" s="49"/>
      <c r="H777" s="49"/>
      <c r="I777" s="49"/>
      <c r="J777" s="316"/>
      <c r="K777" s="360"/>
      <c r="L777" s="363"/>
      <c r="M777" s="317"/>
      <c r="N777" s="317"/>
      <c r="O777" s="322"/>
      <c r="P777" s="365"/>
      <c r="Q777" s="364"/>
      <c r="R777" s="364"/>
      <c r="S777" s="348"/>
    </row>
    <row r="778" spans="1:19" hidden="1" x14ac:dyDescent="0.25">
      <c r="A778" s="359">
        <v>0</v>
      </c>
      <c r="B778" s="49" t="s">
        <v>1317</v>
      </c>
      <c r="C778" s="49" t="s">
        <v>1102</v>
      </c>
      <c r="D778" s="49"/>
      <c r="E778" s="49"/>
      <c r="F778" s="49"/>
      <c r="G778" s="49"/>
      <c r="H778" s="49"/>
      <c r="I778" s="49"/>
      <c r="J778" s="316"/>
      <c r="K778" s="360"/>
      <c r="L778" s="363"/>
      <c r="M778" s="317"/>
      <c r="N778" s="317"/>
      <c r="O778" s="322"/>
      <c r="P778" s="365"/>
      <c r="Q778" s="364"/>
      <c r="R778" s="364"/>
      <c r="S778" s="348"/>
    </row>
    <row r="779" spans="1:19" hidden="1" x14ac:dyDescent="0.25">
      <c r="A779" s="359">
        <v>0</v>
      </c>
      <c r="B779" s="49" t="s">
        <v>1318</v>
      </c>
      <c r="C779" s="49" t="s">
        <v>1102</v>
      </c>
      <c r="D779" s="49"/>
      <c r="E779" s="49"/>
      <c r="F779" s="49"/>
      <c r="G779" s="49"/>
      <c r="H779" s="49"/>
      <c r="I779" s="49"/>
      <c r="J779" s="316"/>
      <c r="K779" s="360"/>
      <c r="L779" s="363"/>
      <c r="M779" s="317"/>
      <c r="N779" s="317"/>
      <c r="O779" s="322"/>
      <c r="P779" s="365"/>
      <c r="Q779" s="364"/>
      <c r="R779" s="364"/>
      <c r="S779" s="348"/>
    </row>
    <row r="780" spans="1:19" hidden="1" x14ac:dyDescent="0.25">
      <c r="A780" s="359">
        <v>0</v>
      </c>
      <c r="B780" s="49" t="s">
        <v>1319</v>
      </c>
      <c r="C780" s="49" t="s">
        <v>1102</v>
      </c>
      <c r="D780" s="49"/>
      <c r="E780" s="49"/>
      <c r="F780" s="49"/>
      <c r="G780" s="49"/>
      <c r="H780" s="49"/>
      <c r="I780" s="49"/>
      <c r="J780" s="316"/>
      <c r="K780" s="360"/>
      <c r="L780" s="363"/>
      <c r="M780" s="317"/>
      <c r="N780" s="317"/>
      <c r="O780" s="322"/>
      <c r="P780" s="365"/>
      <c r="Q780" s="364"/>
      <c r="R780" s="364"/>
      <c r="S780" s="348"/>
    </row>
    <row r="781" spans="1:19" hidden="1" x14ac:dyDescent="0.25">
      <c r="A781" s="359">
        <v>0</v>
      </c>
      <c r="B781" s="49" t="s">
        <v>1320</v>
      </c>
      <c r="C781" s="49" t="s">
        <v>1102</v>
      </c>
      <c r="D781" s="49"/>
      <c r="E781" s="49"/>
      <c r="F781" s="49"/>
      <c r="G781" s="49"/>
      <c r="H781" s="49"/>
      <c r="I781" s="49"/>
      <c r="J781" s="316"/>
      <c r="K781" s="360"/>
      <c r="L781" s="363"/>
      <c r="M781" s="317"/>
      <c r="N781" s="317"/>
      <c r="O781" s="322"/>
      <c r="P781" s="365"/>
      <c r="Q781" s="364"/>
      <c r="R781" s="364"/>
      <c r="S781" s="348"/>
    </row>
    <row r="782" spans="1:19" hidden="1" x14ac:dyDescent="0.25">
      <c r="A782" s="359">
        <v>0</v>
      </c>
      <c r="B782" s="49" t="s">
        <v>1321</v>
      </c>
      <c r="C782" s="49" t="s">
        <v>1102</v>
      </c>
      <c r="D782" s="49"/>
      <c r="E782" s="49"/>
      <c r="F782" s="49"/>
      <c r="G782" s="49"/>
      <c r="H782" s="49"/>
      <c r="I782" s="49"/>
      <c r="J782" s="316"/>
      <c r="K782" s="360"/>
      <c r="L782" s="363"/>
      <c r="M782" s="317"/>
      <c r="N782" s="317"/>
      <c r="O782" s="322"/>
      <c r="P782" s="365"/>
      <c r="Q782" s="364"/>
      <c r="R782" s="364"/>
      <c r="S782" s="348"/>
    </row>
    <row r="783" spans="1:19" hidden="1" x14ac:dyDescent="0.25">
      <c r="A783" s="359">
        <v>0</v>
      </c>
      <c r="B783" s="49" t="s">
        <v>1322</v>
      </c>
      <c r="C783" s="49" t="s">
        <v>1102</v>
      </c>
      <c r="D783" s="49"/>
      <c r="E783" s="49"/>
      <c r="F783" s="49"/>
      <c r="G783" s="49"/>
      <c r="H783" s="49"/>
      <c r="I783" s="49"/>
      <c r="J783" s="316"/>
      <c r="K783" s="360"/>
      <c r="L783" s="363"/>
      <c r="M783" s="317"/>
      <c r="N783" s="317"/>
      <c r="O783" s="322"/>
      <c r="P783" s="365"/>
      <c r="Q783" s="364"/>
      <c r="R783" s="364"/>
      <c r="S783" s="348"/>
    </row>
    <row r="784" spans="1:19" hidden="1" x14ac:dyDescent="0.25">
      <c r="A784" s="359">
        <v>0</v>
      </c>
      <c r="B784" s="49" t="s">
        <v>1323</v>
      </c>
      <c r="C784" s="49" t="s">
        <v>1102</v>
      </c>
      <c r="D784" s="49"/>
      <c r="E784" s="49"/>
      <c r="F784" s="49"/>
      <c r="G784" s="49"/>
      <c r="H784" s="49"/>
      <c r="I784" s="49"/>
      <c r="J784" s="316"/>
      <c r="K784" s="360"/>
      <c r="L784" s="363"/>
      <c r="M784" s="317"/>
      <c r="N784" s="317"/>
      <c r="O784" s="322"/>
      <c r="P784" s="365"/>
      <c r="Q784" s="364"/>
      <c r="R784" s="364"/>
      <c r="S784" s="348"/>
    </row>
    <row r="785" spans="1:19" hidden="1" x14ac:dyDescent="0.25">
      <c r="A785" s="359">
        <v>0</v>
      </c>
      <c r="B785" s="49" t="s">
        <v>1324</v>
      </c>
      <c r="C785" s="49" t="s">
        <v>1102</v>
      </c>
      <c r="D785" s="49"/>
      <c r="E785" s="49"/>
      <c r="F785" s="49"/>
      <c r="G785" s="49"/>
      <c r="H785" s="49"/>
      <c r="I785" s="49"/>
      <c r="J785" s="316"/>
      <c r="K785" s="360"/>
      <c r="L785" s="363"/>
      <c r="M785" s="317"/>
      <c r="N785" s="317"/>
      <c r="O785" s="322"/>
      <c r="P785" s="365"/>
      <c r="Q785" s="364"/>
      <c r="R785" s="364"/>
      <c r="S785" s="348"/>
    </row>
    <row r="786" spans="1:19" hidden="1" x14ac:dyDescent="0.25">
      <c r="A786" s="359">
        <v>0</v>
      </c>
      <c r="B786" s="49" t="s">
        <v>1325</v>
      </c>
      <c r="C786" s="49" t="s">
        <v>1102</v>
      </c>
      <c r="D786" s="49"/>
      <c r="E786" s="49"/>
      <c r="F786" s="49"/>
      <c r="G786" s="49"/>
      <c r="H786" s="49"/>
      <c r="I786" s="49"/>
      <c r="J786" s="316"/>
      <c r="K786" s="360"/>
      <c r="L786" s="363"/>
      <c r="M786" s="317"/>
      <c r="N786" s="317"/>
      <c r="O786" s="322"/>
      <c r="P786" s="365"/>
      <c r="Q786" s="364"/>
      <c r="R786" s="364"/>
      <c r="S786" s="348"/>
    </row>
    <row r="787" spans="1:19" hidden="1" x14ac:dyDescent="0.25">
      <c r="A787" s="359">
        <v>0</v>
      </c>
      <c r="B787" s="49" t="s">
        <v>1326</v>
      </c>
      <c r="C787" s="49" t="s">
        <v>1102</v>
      </c>
      <c r="D787" s="49"/>
      <c r="E787" s="49"/>
      <c r="F787" s="49"/>
      <c r="G787" s="49"/>
      <c r="H787" s="49"/>
      <c r="I787" s="49"/>
      <c r="J787" s="316"/>
      <c r="K787" s="360"/>
      <c r="L787" s="363"/>
      <c r="M787" s="317"/>
      <c r="N787" s="317"/>
      <c r="O787" s="322"/>
      <c r="P787" s="365"/>
      <c r="Q787" s="364"/>
      <c r="R787" s="364"/>
      <c r="S787" s="348"/>
    </row>
    <row r="788" spans="1:19" hidden="1" x14ac:dyDescent="0.25">
      <c r="A788" s="359">
        <v>0</v>
      </c>
      <c r="B788" s="49" t="s">
        <v>1327</v>
      </c>
      <c r="C788" s="49" t="s">
        <v>1102</v>
      </c>
      <c r="D788" s="49"/>
      <c r="E788" s="49"/>
      <c r="F788" s="49"/>
      <c r="G788" s="49"/>
      <c r="H788" s="49"/>
      <c r="I788" s="49"/>
      <c r="J788" s="316"/>
      <c r="K788" s="360"/>
      <c r="L788" s="363"/>
      <c r="M788" s="317"/>
      <c r="N788" s="317"/>
      <c r="O788" s="322"/>
      <c r="P788" s="365"/>
      <c r="Q788" s="364"/>
      <c r="R788" s="364"/>
      <c r="S788" s="348"/>
    </row>
    <row r="789" spans="1:19" hidden="1" x14ac:dyDescent="0.25">
      <c r="A789" s="359">
        <v>0</v>
      </c>
      <c r="B789" s="49" t="s">
        <v>1328</v>
      </c>
      <c r="C789" s="49" t="s">
        <v>1102</v>
      </c>
      <c r="D789" s="49"/>
      <c r="E789" s="49"/>
      <c r="F789" s="49"/>
      <c r="G789" s="49"/>
      <c r="H789" s="49"/>
      <c r="I789" s="49"/>
      <c r="J789" s="316"/>
      <c r="K789" s="360"/>
      <c r="L789" s="363"/>
      <c r="M789" s="317"/>
      <c r="N789" s="317"/>
      <c r="O789" s="322"/>
      <c r="P789" s="365"/>
      <c r="Q789" s="364"/>
      <c r="R789" s="364"/>
      <c r="S789" s="348"/>
    </row>
    <row r="790" spans="1:19" hidden="1" x14ac:dyDescent="0.25">
      <c r="A790" s="359">
        <v>0</v>
      </c>
      <c r="B790" s="49" t="s">
        <v>1329</v>
      </c>
      <c r="C790" s="49" t="s">
        <v>1102</v>
      </c>
      <c r="D790" s="49"/>
      <c r="E790" s="49"/>
      <c r="F790" s="49"/>
      <c r="G790" s="49"/>
      <c r="H790" s="49"/>
      <c r="I790" s="49"/>
      <c r="J790" s="316"/>
      <c r="K790" s="360"/>
      <c r="L790" s="363"/>
      <c r="M790" s="317"/>
      <c r="N790" s="317"/>
      <c r="O790" s="322"/>
      <c r="P790" s="365"/>
      <c r="Q790" s="364"/>
      <c r="R790" s="364"/>
      <c r="S790" s="348"/>
    </row>
    <row r="791" spans="1:19" hidden="1" x14ac:dyDescent="0.25">
      <c r="A791" s="359">
        <v>0</v>
      </c>
      <c r="B791" s="49" t="s">
        <v>1330</v>
      </c>
      <c r="C791" s="49" t="s">
        <v>1102</v>
      </c>
      <c r="D791" s="49"/>
      <c r="E791" s="49"/>
      <c r="F791" s="49"/>
      <c r="G791" s="49"/>
      <c r="H791" s="49"/>
      <c r="I791" s="49"/>
      <c r="J791" s="316"/>
      <c r="K791" s="360"/>
      <c r="L791" s="363"/>
      <c r="M791" s="317"/>
      <c r="N791" s="317"/>
      <c r="O791" s="322"/>
      <c r="P791" s="365"/>
      <c r="Q791" s="364"/>
      <c r="R791" s="364"/>
      <c r="S791" s="348"/>
    </row>
    <row r="792" spans="1:19" hidden="1" x14ac:dyDescent="0.25">
      <c r="A792" s="359">
        <v>0</v>
      </c>
      <c r="B792" s="49" t="s">
        <v>1331</v>
      </c>
      <c r="C792" s="49" t="s">
        <v>1102</v>
      </c>
      <c r="D792" s="49"/>
      <c r="E792" s="49"/>
      <c r="F792" s="49"/>
      <c r="G792" s="49"/>
      <c r="H792" s="49"/>
      <c r="I792" s="49"/>
      <c r="J792" s="316"/>
      <c r="K792" s="360"/>
      <c r="L792" s="363"/>
      <c r="M792" s="317"/>
      <c r="N792" s="317"/>
      <c r="O792" s="322"/>
      <c r="P792" s="365"/>
      <c r="Q792" s="364"/>
      <c r="R792" s="364"/>
      <c r="S792" s="348"/>
    </row>
    <row r="793" spans="1:19" hidden="1" x14ac:dyDescent="0.25">
      <c r="A793" s="359">
        <v>0</v>
      </c>
      <c r="B793" s="49" t="s">
        <v>1332</v>
      </c>
      <c r="C793" s="49" t="s">
        <v>1102</v>
      </c>
      <c r="D793" s="49"/>
      <c r="E793" s="49"/>
      <c r="F793" s="49"/>
      <c r="G793" s="49"/>
      <c r="H793" s="49"/>
      <c r="I793" s="49"/>
      <c r="J793" s="316"/>
      <c r="K793" s="360"/>
      <c r="L793" s="363"/>
      <c r="M793" s="317"/>
      <c r="N793" s="317"/>
      <c r="O793" s="322"/>
      <c r="P793" s="365"/>
      <c r="Q793" s="364"/>
      <c r="R793" s="364"/>
      <c r="S793" s="348"/>
    </row>
    <row r="794" spans="1:19" hidden="1" x14ac:dyDescent="0.25">
      <c r="A794" s="359">
        <v>0</v>
      </c>
      <c r="B794" s="49" t="s">
        <v>1333</v>
      </c>
      <c r="C794" s="49" t="s">
        <v>1102</v>
      </c>
      <c r="D794" s="49"/>
      <c r="E794" s="49"/>
      <c r="F794" s="49"/>
      <c r="G794" s="49"/>
      <c r="H794" s="49"/>
      <c r="I794" s="49"/>
      <c r="J794" s="316"/>
      <c r="K794" s="360"/>
      <c r="L794" s="363"/>
      <c r="M794" s="317"/>
      <c r="N794" s="317"/>
      <c r="O794" s="322"/>
      <c r="P794" s="365"/>
      <c r="Q794" s="364"/>
      <c r="R794" s="364"/>
      <c r="S794" s="348"/>
    </row>
    <row r="795" spans="1:19" hidden="1" x14ac:dyDescent="0.25">
      <c r="A795" s="359">
        <v>0</v>
      </c>
      <c r="B795" s="49" t="s">
        <v>1334</v>
      </c>
      <c r="C795" s="49" t="s">
        <v>1102</v>
      </c>
      <c r="D795" s="49"/>
      <c r="E795" s="49"/>
      <c r="F795" s="49"/>
      <c r="G795" s="49"/>
      <c r="H795" s="49"/>
      <c r="I795" s="49"/>
      <c r="J795" s="316"/>
      <c r="K795" s="360"/>
      <c r="L795" s="363"/>
      <c r="M795" s="317"/>
      <c r="N795" s="317"/>
      <c r="O795" s="322"/>
      <c r="P795" s="365"/>
      <c r="Q795" s="364"/>
      <c r="R795" s="364"/>
      <c r="S795" s="348"/>
    </row>
    <row r="796" spans="1:19" hidden="1" x14ac:dyDescent="0.25">
      <c r="A796" s="359">
        <v>0</v>
      </c>
      <c r="B796" s="49" t="s">
        <v>1335</v>
      </c>
      <c r="C796" s="49" t="s">
        <v>1102</v>
      </c>
      <c r="D796" s="49"/>
      <c r="E796" s="49"/>
      <c r="F796" s="49"/>
      <c r="G796" s="49"/>
      <c r="H796" s="49"/>
      <c r="I796" s="49"/>
      <c r="J796" s="316"/>
      <c r="K796" s="360"/>
      <c r="L796" s="363"/>
      <c r="M796" s="317"/>
      <c r="N796" s="317"/>
      <c r="O796" s="322"/>
      <c r="P796" s="365"/>
      <c r="Q796" s="364"/>
      <c r="R796" s="364"/>
      <c r="S796" s="348"/>
    </row>
    <row r="797" spans="1:19" hidden="1" x14ac:dyDescent="0.25">
      <c r="A797" s="359">
        <v>0</v>
      </c>
      <c r="B797" s="49" t="s">
        <v>1336</v>
      </c>
      <c r="C797" s="49" t="s">
        <v>1102</v>
      </c>
      <c r="D797" s="49"/>
      <c r="E797" s="49"/>
      <c r="F797" s="49"/>
      <c r="G797" s="49"/>
      <c r="H797" s="49"/>
      <c r="I797" s="49"/>
      <c r="J797" s="316"/>
      <c r="K797" s="360"/>
      <c r="L797" s="363"/>
      <c r="M797" s="317"/>
      <c r="N797" s="317"/>
      <c r="O797" s="322"/>
      <c r="P797" s="365"/>
      <c r="Q797" s="364"/>
      <c r="R797" s="364"/>
      <c r="S797" s="348"/>
    </row>
    <row r="798" spans="1:19" hidden="1" x14ac:dyDescent="0.25">
      <c r="A798" s="359">
        <v>0</v>
      </c>
      <c r="B798" s="49" t="s">
        <v>1337</v>
      </c>
      <c r="C798" s="49" t="s">
        <v>1102</v>
      </c>
      <c r="D798" s="49"/>
      <c r="E798" s="49"/>
      <c r="F798" s="49"/>
      <c r="G798" s="49"/>
      <c r="H798" s="49"/>
      <c r="I798" s="49"/>
      <c r="J798" s="316"/>
      <c r="K798" s="360"/>
      <c r="L798" s="363"/>
      <c r="M798" s="317"/>
      <c r="N798" s="317"/>
      <c r="O798" s="322"/>
      <c r="P798" s="365"/>
      <c r="Q798" s="364"/>
      <c r="R798" s="364"/>
      <c r="S798" s="348"/>
    </row>
    <row r="799" spans="1:19" hidden="1" x14ac:dyDescent="0.25">
      <c r="A799" s="359">
        <v>0</v>
      </c>
      <c r="B799" s="49" t="s">
        <v>1338</v>
      </c>
      <c r="C799" s="49" t="s">
        <v>1102</v>
      </c>
      <c r="D799" s="49"/>
      <c r="E799" s="49"/>
      <c r="F799" s="49"/>
      <c r="G799" s="49"/>
      <c r="H799" s="49"/>
      <c r="I799" s="49"/>
      <c r="J799" s="316"/>
      <c r="K799" s="360"/>
      <c r="L799" s="363"/>
      <c r="M799" s="317"/>
      <c r="N799" s="317"/>
      <c r="O799" s="322"/>
      <c r="P799" s="365"/>
      <c r="Q799" s="364"/>
      <c r="R799" s="364"/>
      <c r="S799" s="348"/>
    </row>
    <row r="800" spans="1:19" hidden="1" x14ac:dyDescent="0.25">
      <c r="A800" s="359">
        <v>0</v>
      </c>
      <c r="B800" s="49" t="s">
        <v>1339</v>
      </c>
      <c r="C800" s="49" t="s">
        <v>1102</v>
      </c>
      <c r="D800" s="49"/>
      <c r="E800" s="49"/>
      <c r="F800" s="49"/>
      <c r="G800" s="49"/>
      <c r="H800" s="49"/>
      <c r="I800" s="49"/>
      <c r="J800" s="316"/>
      <c r="K800" s="360"/>
      <c r="L800" s="363"/>
      <c r="M800" s="317"/>
      <c r="N800" s="317"/>
      <c r="O800" s="322"/>
      <c r="P800" s="365"/>
      <c r="Q800" s="364"/>
      <c r="R800" s="364"/>
      <c r="S800" s="348"/>
    </row>
    <row r="801" spans="1:19" hidden="1" x14ac:dyDescent="0.25">
      <c r="A801" s="359">
        <v>0</v>
      </c>
      <c r="B801" s="49" t="s">
        <v>1340</v>
      </c>
      <c r="C801" s="49" t="s">
        <v>1102</v>
      </c>
      <c r="D801" s="49"/>
      <c r="E801" s="49"/>
      <c r="F801" s="49"/>
      <c r="G801" s="49"/>
      <c r="H801" s="49"/>
      <c r="I801" s="49"/>
      <c r="J801" s="316"/>
      <c r="K801" s="360"/>
      <c r="L801" s="363"/>
      <c r="M801" s="317"/>
      <c r="N801" s="317"/>
      <c r="O801" s="322"/>
      <c r="P801" s="365"/>
      <c r="Q801" s="364"/>
      <c r="R801" s="364"/>
      <c r="S801" s="348"/>
    </row>
    <row r="802" spans="1:19" hidden="1" x14ac:dyDescent="0.25">
      <c r="A802" s="359">
        <v>0</v>
      </c>
      <c r="B802" s="49" t="s">
        <v>1341</v>
      </c>
      <c r="C802" s="49" t="s">
        <v>1102</v>
      </c>
      <c r="D802" s="49"/>
      <c r="E802" s="49"/>
      <c r="F802" s="49"/>
      <c r="G802" s="49"/>
      <c r="H802" s="49"/>
      <c r="I802" s="49"/>
      <c r="J802" s="316"/>
      <c r="K802" s="360"/>
      <c r="L802" s="363"/>
      <c r="M802" s="317"/>
      <c r="N802" s="317"/>
      <c r="O802" s="322"/>
      <c r="P802" s="365"/>
      <c r="Q802" s="364"/>
      <c r="R802" s="364"/>
      <c r="S802" s="348"/>
    </row>
    <row r="803" spans="1:19" hidden="1" x14ac:dyDescent="0.25">
      <c r="A803" s="359">
        <v>0</v>
      </c>
      <c r="B803" s="49" t="s">
        <v>1342</v>
      </c>
      <c r="C803" s="49" t="s">
        <v>1102</v>
      </c>
      <c r="D803" s="49"/>
      <c r="E803" s="49"/>
      <c r="F803" s="49"/>
      <c r="G803" s="49"/>
      <c r="H803" s="49"/>
      <c r="I803" s="49"/>
      <c r="J803" s="316"/>
      <c r="K803" s="360"/>
      <c r="L803" s="363"/>
      <c r="M803" s="317"/>
      <c r="N803" s="317"/>
      <c r="O803" s="322"/>
      <c r="P803" s="365"/>
      <c r="Q803" s="364"/>
      <c r="R803" s="364"/>
      <c r="S803" s="348"/>
    </row>
    <row r="804" spans="1:19" hidden="1" x14ac:dyDescent="0.25">
      <c r="A804" s="359">
        <v>0</v>
      </c>
      <c r="B804" s="49" t="s">
        <v>1343</v>
      </c>
      <c r="C804" s="49" t="s">
        <v>1102</v>
      </c>
      <c r="D804" s="49"/>
      <c r="E804" s="49"/>
      <c r="F804" s="49"/>
      <c r="G804" s="49"/>
      <c r="H804" s="49"/>
      <c r="I804" s="49"/>
      <c r="J804" s="316"/>
      <c r="K804" s="360"/>
      <c r="L804" s="363"/>
      <c r="M804" s="317"/>
      <c r="N804" s="317"/>
      <c r="O804" s="322"/>
      <c r="P804" s="365"/>
      <c r="Q804" s="364"/>
      <c r="R804" s="364"/>
      <c r="S804" s="348"/>
    </row>
    <row r="805" spans="1:19" ht="25.5" x14ac:dyDescent="0.25">
      <c r="A805" s="359">
        <v>0</v>
      </c>
      <c r="B805" s="49" t="s">
        <v>1344</v>
      </c>
      <c r="C805" s="49" t="s">
        <v>13235</v>
      </c>
      <c r="D805" s="49"/>
      <c r="E805" s="49">
        <v>181825</v>
      </c>
      <c r="F805" s="378">
        <v>181825406</v>
      </c>
      <c r="G805" s="49" t="s">
        <v>1346</v>
      </c>
      <c r="H805" s="49" t="s">
        <v>1347</v>
      </c>
      <c r="I805" s="49" t="s">
        <v>346</v>
      </c>
      <c r="J805" s="316">
        <v>45660</v>
      </c>
      <c r="K805" s="360">
        <v>45079</v>
      </c>
      <c r="L805" s="363" t="s">
        <v>28</v>
      </c>
      <c r="M805" s="317" t="s">
        <v>1348</v>
      </c>
      <c r="N805" s="317">
        <v>1</v>
      </c>
      <c r="O805" s="322">
        <v>45660</v>
      </c>
      <c r="P805" s="365" t="s">
        <v>30</v>
      </c>
      <c r="Q805" s="364">
        <v>45663</v>
      </c>
      <c r="R805" s="364">
        <v>45663</v>
      </c>
      <c r="S805" s="348"/>
    </row>
    <row r="806" spans="1:19" ht="25.5" x14ac:dyDescent="0.25">
      <c r="A806" s="359">
        <v>0</v>
      </c>
      <c r="B806" s="49" t="s">
        <v>1349</v>
      </c>
      <c r="C806" s="49" t="s">
        <v>1345</v>
      </c>
      <c r="D806" s="49"/>
      <c r="E806" s="49">
        <v>181825</v>
      </c>
      <c r="F806" s="378">
        <v>181825407</v>
      </c>
      <c r="G806" s="49" t="s">
        <v>1350</v>
      </c>
      <c r="H806" s="49" t="s">
        <v>1351</v>
      </c>
      <c r="I806" s="49" t="s">
        <v>1352</v>
      </c>
      <c r="J806" s="316">
        <v>45660</v>
      </c>
      <c r="K806" s="360">
        <v>45079</v>
      </c>
      <c r="L806" s="363" t="s">
        <v>28</v>
      </c>
      <c r="M806" s="317" t="s">
        <v>1353</v>
      </c>
      <c r="N806" s="317">
        <v>1</v>
      </c>
      <c r="O806" s="322">
        <v>45660</v>
      </c>
      <c r="P806" s="365" t="s">
        <v>30</v>
      </c>
      <c r="Q806" s="364">
        <v>45664</v>
      </c>
      <c r="R806" s="364">
        <v>45664</v>
      </c>
      <c r="S806" s="348"/>
    </row>
    <row r="807" spans="1:19" ht="25.5" x14ac:dyDescent="0.25">
      <c r="A807" s="359">
        <v>0</v>
      </c>
      <c r="B807" s="49" t="s">
        <v>1354</v>
      </c>
      <c r="C807" s="49" t="s">
        <v>1345</v>
      </c>
      <c r="D807" s="49"/>
      <c r="E807" s="49">
        <v>181825</v>
      </c>
      <c r="F807" s="378">
        <v>181825408</v>
      </c>
      <c r="G807" s="49" t="s">
        <v>34</v>
      </c>
      <c r="H807" s="49" t="s">
        <v>1355</v>
      </c>
      <c r="I807" s="49" t="s">
        <v>346</v>
      </c>
      <c r="J807" s="316">
        <v>45665</v>
      </c>
      <c r="K807" s="360">
        <v>45079</v>
      </c>
      <c r="L807" s="363" t="s">
        <v>28</v>
      </c>
      <c r="M807" s="317" t="s">
        <v>1356</v>
      </c>
      <c r="N807" s="317">
        <v>1</v>
      </c>
      <c r="O807" s="322">
        <v>45665</v>
      </c>
      <c r="P807" s="365" t="s">
        <v>30</v>
      </c>
      <c r="Q807" s="364">
        <v>45666</v>
      </c>
      <c r="R807" s="364">
        <v>45666</v>
      </c>
      <c r="S807" s="348"/>
    </row>
    <row r="808" spans="1:19" ht="25.5" x14ac:dyDescent="0.25">
      <c r="A808" s="359">
        <v>0</v>
      </c>
      <c r="B808" s="49" t="s">
        <v>1357</v>
      </c>
      <c r="C808" s="49" t="s">
        <v>1345</v>
      </c>
      <c r="D808" s="49"/>
      <c r="E808" s="49">
        <v>181825</v>
      </c>
      <c r="F808" s="378">
        <v>181825409</v>
      </c>
      <c r="G808" s="49" t="s">
        <v>147</v>
      </c>
      <c r="H808" s="49" t="s">
        <v>1358</v>
      </c>
      <c r="I808" s="49" t="s">
        <v>346</v>
      </c>
      <c r="J808" s="316">
        <v>45666</v>
      </c>
      <c r="K808" s="360">
        <v>45079</v>
      </c>
      <c r="L808" s="363" t="s">
        <v>28</v>
      </c>
      <c r="M808" s="317" t="s">
        <v>1359</v>
      </c>
      <c r="N808" s="317">
        <v>1</v>
      </c>
      <c r="O808" s="322">
        <v>45665</v>
      </c>
      <c r="P808" s="365" t="s">
        <v>30</v>
      </c>
      <c r="Q808" s="364">
        <v>45670</v>
      </c>
      <c r="R808" s="364">
        <v>45670</v>
      </c>
      <c r="S808" s="348"/>
    </row>
    <row r="809" spans="1:19" ht="25.5" x14ac:dyDescent="0.25">
      <c r="A809" s="359">
        <v>0</v>
      </c>
      <c r="B809" s="49" t="s">
        <v>1360</v>
      </c>
      <c r="C809" s="49" t="s">
        <v>1345</v>
      </c>
      <c r="D809" s="49"/>
      <c r="E809" s="49">
        <v>181825</v>
      </c>
      <c r="F809" s="378">
        <v>181825410</v>
      </c>
      <c r="G809" s="49" t="s">
        <v>1361</v>
      </c>
      <c r="H809" s="49" t="s">
        <v>1362</v>
      </c>
      <c r="I809" s="49" t="s">
        <v>346</v>
      </c>
      <c r="J809" s="316">
        <v>45671</v>
      </c>
      <c r="K809" s="360">
        <v>45079</v>
      </c>
      <c r="L809" s="363" t="s">
        <v>47</v>
      </c>
      <c r="M809" s="317" t="s">
        <v>1363</v>
      </c>
      <c r="N809" s="317">
        <v>1</v>
      </c>
      <c r="O809" s="322">
        <v>45672</v>
      </c>
      <c r="P809" s="365" t="s">
        <v>30</v>
      </c>
      <c r="Q809" s="364">
        <v>45672</v>
      </c>
      <c r="R809" s="364">
        <v>45672</v>
      </c>
      <c r="S809" s="348"/>
    </row>
    <row r="810" spans="1:19" ht="25.5" x14ac:dyDescent="0.25">
      <c r="A810" s="359">
        <v>0</v>
      </c>
      <c r="B810" s="49" t="s">
        <v>1364</v>
      </c>
      <c r="C810" s="49" t="s">
        <v>1345</v>
      </c>
      <c r="D810" s="49"/>
      <c r="E810" s="49">
        <v>181825</v>
      </c>
      <c r="F810" s="378">
        <v>181825411</v>
      </c>
      <c r="G810" s="49" t="s">
        <v>547</v>
      </c>
      <c r="H810" s="49" t="s">
        <v>1365</v>
      </c>
      <c r="I810" s="49" t="s">
        <v>346</v>
      </c>
      <c r="J810" s="316">
        <v>45672</v>
      </c>
      <c r="K810" s="360">
        <v>45079</v>
      </c>
      <c r="L810" s="363" t="s">
        <v>47</v>
      </c>
      <c r="M810" s="317" t="s">
        <v>1366</v>
      </c>
      <c r="N810" s="317">
        <v>4</v>
      </c>
      <c r="O810" s="322">
        <v>4</v>
      </c>
      <c r="P810" s="365" t="s">
        <v>30</v>
      </c>
      <c r="Q810" s="364">
        <v>45673</v>
      </c>
      <c r="R810" s="364">
        <v>45673</v>
      </c>
      <c r="S810" s="348"/>
    </row>
    <row r="811" spans="1:19" ht="25.5" x14ac:dyDescent="0.25">
      <c r="A811" s="359">
        <v>0</v>
      </c>
      <c r="B811" s="49" t="s">
        <v>1367</v>
      </c>
      <c r="C811" s="49" t="s">
        <v>1345</v>
      </c>
      <c r="D811" s="49"/>
      <c r="E811" s="49">
        <v>181825</v>
      </c>
      <c r="F811" s="378">
        <v>181825412</v>
      </c>
      <c r="G811" s="49" t="s">
        <v>1361</v>
      </c>
      <c r="H811" s="49" t="s">
        <v>1368</v>
      </c>
      <c r="I811" s="49" t="s">
        <v>346</v>
      </c>
      <c r="J811" s="316">
        <v>45684</v>
      </c>
      <c r="K811" s="360">
        <v>45079</v>
      </c>
      <c r="L811" s="363" t="s">
        <v>47</v>
      </c>
      <c r="M811" s="317" t="s">
        <v>1363</v>
      </c>
      <c r="N811" s="317">
        <v>1</v>
      </c>
      <c r="O811" s="322">
        <v>45685</v>
      </c>
      <c r="P811" s="365" t="s">
        <v>30</v>
      </c>
      <c r="Q811" s="364">
        <v>45685</v>
      </c>
      <c r="R811" s="364">
        <v>45685</v>
      </c>
      <c r="S811" s="348"/>
    </row>
    <row r="812" spans="1:19" ht="25.5" x14ac:dyDescent="0.25">
      <c r="A812" s="359">
        <v>0</v>
      </c>
      <c r="B812" s="49" t="s">
        <v>1369</v>
      </c>
      <c r="C812" s="49" t="s">
        <v>1345</v>
      </c>
      <c r="D812" s="49"/>
      <c r="E812" s="49">
        <v>181825</v>
      </c>
      <c r="F812" s="378">
        <v>181825413</v>
      </c>
      <c r="G812" s="49" t="s">
        <v>1361</v>
      </c>
      <c r="H812" s="49" t="s">
        <v>1370</v>
      </c>
      <c r="I812" s="49" t="s">
        <v>346</v>
      </c>
      <c r="J812" s="316">
        <v>45673</v>
      </c>
      <c r="K812" s="360">
        <v>45079</v>
      </c>
      <c r="L812" s="363" t="s">
        <v>47</v>
      </c>
      <c r="M812" s="317" t="s">
        <v>1363</v>
      </c>
      <c r="N812" s="317">
        <v>1</v>
      </c>
      <c r="O812" s="322">
        <v>45674</v>
      </c>
      <c r="P812" s="365" t="s">
        <v>30</v>
      </c>
      <c r="Q812" s="364">
        <v>45677</v>
      </c>
      <c r="R812" s="364">
        <v>45677</v>
      </c>
      <c r="S812" s="348"/>
    </row>
    <row r="813" spans="1:19" ht="25.5" x14ac:dyDescent="0.25">
      <c r="A813" s="359">
        <v>0</v>
      </c>
      <c r="B813" s="49" t="s">
        <v>1371</v>
      </c>
      <c r="C813" s="49" t="s">
        <v>1345</v>
      </c>
      <c r="D813" s="49"/>
      <c r="E813" s="49">
        <v>181825</v>
      </c>
      <c r="F813" s="378">
        <v>181825414</v>
      </c>
      <c r="G813" s="49" t="s">
        <v>34</v>
      </c>
      <c r="H813" s="49" t="s">
        <v>1372</v>
      </c>
      <c r="I813" s="49" t="s">
        <v>346</v>
      </c>
      <c r="J813" s="316">
        <v>45673</v>
      </c>
      <c r="K813" s="360">
        <v>45079</v>
      </c>
      <c r="L813" s="363" t="s">
        <v>47</v>
      </c>
      <c r="M813" s="317" t="s">
        <v>1356</v>
      </c>
      <c r="N813" s="317">
        <v>1</v>
      </c>
      <c r="O813" s="322">
        <v>45674</v>
      </c>
      <c r="P813" s="365" t="s">
        <v>30</v>
      </c>
      <c r="Q813" s="364">
        <v>45677</v>
      </c>
      <c r="R813" s="364">
        <v>45677</v>
      </c>
      <c r="S813" s="348"/>
    </row>
    <row r="814" spans="1:19" ht="25.5" x14ac:dyDescent="0.25">
      <c r="A814" s="359">
        <v>0</v>
      </c>
      <c r="B814" s="49" t="s">
        <v>1373</v>
      </c>
      <c r="C814" s="49" t="s">
        <v>1345</v>
      </c>
      <c r="D814" s="49"/>
      <c r="E814" s="49">
        <v>181825</v>
      </c>
      <c r="F814" s="378">
        <v>181825415</v>
      </c>
      <c r="G814" s="49" t="s">
        <v>1374</v>
      </c>
      <c r="H814" s="49" t="s">
        <v>1375</v>
      </c>
      <c r="I814" s="49" t="s">
        <v>346</v>
      </c>
      <c r="J814" s="316">
        <v>45674</v>
      </c>
      <c r="K814" s="360">
        <v>45079</v>
      </c>
      <c r="L814" s="363" t="s">
        <v>47</v>
      </c>
      <c r="M814" s="317" t="s">
        <v>1376</v>
      </c>
      <c r="N814" s="317">
        <v>1</v>
      </c>
      <c r="O814" s="322">
        <v>45677</v>
      </c>
      <c r="P814" s="365" t="s">
        <v>30</v>
      </c>
      <c r="Q814" s="364">
        <v>45677</v>
      </c>
      <c r="R814" s="364">
        <v>45677</v>
      </c>
      <c r="S814" s="348"/>
    </row>
    <row r="815" spans="1:19" ht="25.5" x14ac:dyDescent="0.25">
      <c r="A815" s="359">
        <v>0</v>
      </c>
      <c r="B815" s="49" t="s">
        <v>1377</v>
      </c>
      <c r="C815" s="49" t="s">
        <v>1345</v>
      </c>
      <c r="D815" s="49"/>
      <c r="E815" s="49">
        <v>181825</v>
      </c>
      <c r="F815" s="378">
        <v>181825416</v>
      </c>
      <c r="G815" s="49" t="s">
        <v>147</v>
      </c>
      <c r="H815" s="49" t="s">
        <v>1378</v>
      </c>
      <c r="I815" s="49" t="s">
        <v>1379</v>
      </c>
      <c r="J815" s="316">
        <v>45698</v>
      </c>
      <c r="K815" s="360">
        <v>45079</v>
      </c>
      <c r="L815" s="363" t="s">
        <v>28</v>
      </c>
      <c r="M815" s="317" t="s">
        <v>1380</v>
      </c>
      <c r="N815" s="317">
        <v>1</v>
      </c>
      <c r="O815" s="322">
        <v>45698</v>
      </c>
      <c r="P815" s="365" t="s">
        <v>30</v>
      </c>
      <c r="Q815" s="364">
        <v>45698</v>
      </c>
      <c r="R815" s="364">
        <v>45698</v>
      </c>
      <c r="S815" s="348"/>
    </row>
    <row r="816" spans="1:19" ht="25.5" x14ac:dyDescent="0.25">
      <c r="A816" s="359">
        <v>0</v>
      </c>
      <c r="B816" s="49" t="s">
        <v>1381</v>
      </c>
      <c r="C816" s="49" t="s">
        <v>1345</v>
      </c>
      <c r="D816" s="49"/>
      <c r="E816" s="49">
        <v>181825</v>
      </c>
      <c r="F816" s="378">
        <v>181825417</v>
      </c>
      <c r="G816" s="49" t="s">
        <v>147</v>
      </c>
      <c r="H816" s="49" t="s">
        <v>1378</v>
      </c>
      <c r="I816" s="49" t="s">
        <v>1379</v>
      </c>
      <c r="J816" s="316">
        <v>45684</v>
      </c>
      <c r="K816" s="360">
        <v>45079</v>
      </c>
      <c r="L816" s="363" t="s">
        <v>28</v>
      </c>
      <c r="M816" s="317" t="s">
        <v>1380</v>
      </c>
      <c r="N816" s="317">
        <v>1</v>
      </c>
      <c r="O816" s="322">
        <v>45684</v>
      </c>
      <c r="P816" s="365" t="s">
        <v>30</v>
      </c>
      <c r="Q816" s="364">
        <v>45684</v>
      </c>
      <c r="R816" s="364">
        <v>45684</v>
      </c>
      <c r="S816" s="348"/>
    </row>
    <row r="817" spans="1:19" ht="25.5" x14ac:dyDescent="0.25">
      <c r="A817" s="359">
        <v>0</v>
      </c>
      <c r="B817" s="49" t="s">
        <v>1382</v>
      </c>
      <c r="C817" s="49" t="s">
        <v>1345</v>
      </c>
      <c r="D817" s="49"/>
      <c r="E817" s="49">
        <v>181825</v>
      </c>
      <c r="F817" s="378">
        <v>181825418</v>
      </c>
      <c r="G817" s="49" t="s">
        <v>1361</v>
      </c>
      <c r="H817" s="49" t="s">
        <v>1383</v>
      </c>
      <c r="I817" s="49" t="s">
        <v>346</v>
      </c>
      <c r="J817" s="316">
        <v>45681</v>
      </c>
      <c r="K817" s="360">
        <v>45079</v>
      </c>
      <c r="L817" s="363" t="s">
        <v>47</v>
      </c>
      <c r="M817" s="317" t="s">
        <v>1363</v>
      </c>
      <c r="N817" s="317">
        <v>10</v>
      </c>
      <c r="O817" s="322">
        <v>45681</v>
      </c>
      <c r="P817" s="365" t="s">
        <v>30</v>
      </c>
      <c r="Q817" s="364">
        <v>45684</v>
      </c>
      <c r="R817" s="364">
        <v>45684</v>
      </c>
      <c r="S817" s="348"/>
    </row>
    <row r="818" spans="1:19" ht="25.5" x14ac:dyDescent="0.25">
      <c r="A818" s="359">
        <v>0</v>
      </c>
      <c r="B818" s="49" t="s">
        <v>1384</v>
      </c>
      <c r="C818" s="49" t="s">
        <v>1345</v>
      </c>
      <c r="D818" s="49"/>
      <c r="E818" s="49">
        <v>181825</v>
      </c>
      <c r="F818" s="378">
        <v>181825421</v>
      </c>
      <c r="G818" s="49" t="s">
        <v>1385</v>
      </c>
      <c r="H818" s="49" t="s">
        <v>1386</v>
      </c>
      <c r="I818" s="49" t="s">
        <v>346</v>
      </c>
      <c r="J818" s="316">
        <v>45685</v>
      </c>
      <c r="K818" s="360">
        <v>45079</v>
      </c>
      <c r="L818" s="363" t="s">
        <v>28</v>
      </c>
      <c r="M818" s="317" t="s">
        <v>1387</v>
      </c>
      <c r="N818" s="317">
        <v>1</v>
      </c>
      <c r="O818" s="322">
        <v>45686</v>
      </c>
      <c r="P818" s="365" t="s">
        <v>30</v>
      </c>
      <c r="Q818" s="364">
        <v>45687</v>
      </c>
      <c r="R818" s="364">
        <v>45687</v>
      </c>
      <c r="S818" s="348"/>
    </row>
    <row r="819" spans="1:19" ht="25.5" x14ac:dyDescent="0.25">
      <c r="A819" s="359">
        <v>0</v>
      </c>
      <c r="B819" s="49" t="s">
        <v>1388</v>
      </c>
      <c r="C819" s="49" t="s">
        <v>1345</v>
      </c>
      <c r="D819" s="49"/>
      <c r="E819" s="49">
        <v>181825</v>
      </c>
      <c r="F819" s="378">
        <v>181825419</v>
      </c>
      <c r="G819" s="49" t="s">
        <v>147</v>
      </c>
      <c r="H819" s="49" t="s">
        <v>1389</v>
      </c>
      <c r="I819" s="49" t="s">
        <v>1352</v>
      </c>
      <c r="J819" s="316">
        <v>45684</v>
      </c>
      <c r="K819" s="360">
        <v>45079</v>
      </c>
      <c r="L819" s="363" t="s">
        <v>28</v>
      </c>
      <c r="M819" s="317" t="s">
        <v>1390</v>
      </c>
      <c r="N819" s="317">
        <v>1</v>
      </c>
      <c r="O819" s="322">
        <v>45688</v>
      </c>
      <c r="P819" s="365" t="s">
        <v>30</v>
      </c>
      <c r="Q819" s="364">
        <v>45688</v>
      </c>
      <c r="R819" s="364">
        <v>45688</v>
      </c>
      <c r="S819" s="348"/>
    </row>
    <row r="820" spans="1:19" ht="25.5" x14ac:dyDescent="0.25">
      <c r="A820" s="359">
        <v>0</v>
      </c>
      <c r="B820" s="49" t="s">
        <v>1391</v>
      </c>
      <c r="C820" s="49" t="s">
        <v>1345</v>
      </c>
      <c r="D820" s="49"/>
      <c r="E820" s="49">
        <v>181825</v>
      </c>
      <c r="F820" s="378">
        <v>181825420</v>
      </c>
      <c r="G820" s="49" t="s">
        <v>1361</v>
      </c>
      <c r="H820" s="49" t="s">
        <v>1392</v>
      </c>
      <c r="I820" s="49" t="s">
        <v>346</v>
      </c>
      <c r="J820" s="316">
        <v>45685</v>
      </c>
      <c r="K820" s="360">
        <v>45079</v>
      </c>
      <c r="L820" s="363" t="s">
        <v>28</v>
      </c>
      <c r="M820" s="317" t="s">
        <v>1363</v>
      </c>
      <c r="N820" s="317">
        <v>1</v>
      </c>
      <c r="O820" s="322">
        <v>45686</v>
      </c>
      <c r="P820" s="365" t="s">
        <v>30</v>
      </c>
      <c r="Q820" s="364">
        <v>45687</v>
      </c>
      <c r="R820" s="364">
        <v>45687</v>
      </c>
      <c r="S820" s="348"/>
    </row>
    <row r="821" spans="1:19" ht="25.5" x14ac:dyDescent="0.25">
      <c r="A821" s="359">
        <v>0</v>
      </c>
      <c r="B821" s="49" t="s">
        <v>1393</v>
      </c>
      <c r="C821" s="49" t="s">
        <v>1345</v>
      </c>
      <c r="D821" s="49"/>
      <c r="E821" s="49">
        <v>181825</v>
      </c>
      <c r="F821" s="378">
        <v>181825422</v>
      </c>
      <c r="G821" s="49" t="s">
        <v>34</v>
      </c>
      <c r="H821" s="49" t="s">
        <v>1394</v>
      </c>
      <c r="I821" s="49" t="s">
        <v>1395</v>
      </c>
      <c r="J821" s="316">
        <v>45692</v>
      </c>
      <c r="K821" s="360">
        <v>45079</v>
      </c>
      <c r="L821" s="363" t="s">
        <v>28</v>
      </c>
      <c r="M821" s="317" t="s">
        <v>1396</v>
      </c>
      <c r="N821" s="317">
        <v>1</v>
      </c>
      <c r="O821" s="322">
        <v>1</v>
      </c>
      <c r="P821" s="365" t="s">
        <v>30</v>
      </c>
      <c r="Q821" s="364">
        <v>45692</v>
      </c>
      <c r="R821" s="364">
        <v>45692</v>
      </c>
      <c r="S821" s="348"/>
    </row>
    <row r="822" spans="1:19" ht="25.5" x14ac:dyDescent="0.25">
      <c r="A822" s="359">
        <v>0</v>
      </c>
      <c r="B822" s="49" t="s">
        <v>1397</v>
      </c>
      <c r="C822" s="49" t="s">
        <v>1345</v>
      </c>
      <c r="D822" s="49"/>
      <c r="E822" s="49">
        <v>181825</v>
      </c>
      <c r="F822" s="378">
        <v>181825423</v>
      </c>
      <c r="G822" s="49" t="s">
        <v>1398</v>
      </c>
      <c r="H822" s="49" t="s">
        <v>1399</v>
      </c>
      <c r="I822" s="49" t="s">
        <v>346</v>
      </c>
      <c r="J822" s="316">
        <v>45691</v>
      </c>
      <c r="K822" s="360">
        <v>45079</v>
      </c>
      <c r="L822" s="363" t="s">
        <v>28</v>
      </c>
      <c r="M822" s="317" t="s">
        <v>1356</v>
      </c>
      <c r="N822" s="317">
        <v>1</v>
      </c>
      <c r="O822" s="322">
        <v>45692</v>
      </c>
      <c r="P822" s="365" t="s">
        <v>30</v>
      </c>
      <c r="Q822" s="364">
        <v>45698</v>
      </c>
      <c r="R822" s="364">
        <v>45698</v>
      </c>
      <c r="S822" s="348"/>
    </row>
    <row r="823" spans="1:19" ht="25.5" x14ac:dyDescent="0.25">
      <c r="A823" s="359">
        <v>0</v>
      </c>
      <c r="B823" s="49" t="s">
        <v>1400</v>
      </c>
      <c r="C823" s="49" t="s">
        <v>1345</v>
      </c>
      <c r="D823" s="49"/>
      <c r="E823" s="49">
        <v>181825</v>
      </c>
      <c r="F823" s="378">
        <v>181825424</v>
      </c>
      <c r="G823" s="49" t="s">
        <v>547</v>
      </c>
      <c r="H823" s="49" t="s">
        <v>1401</v>
      </c>
      <c r="I823" s="49" t="s">
        <v>346</v>
      </c>
      <c r="J823" s="316">
        <v>45692</v>
      </c>
      <c r="K823" s="360">
        <v>45079</v>
      </c>
      <c r="L823" s="363" t="s">
        <v>28</v>
      </c>
      <c r="M823" s="317" t="s">
        <v>1356</v>
      </c>
      <c r="N823" s="317">
        <v>1</v>
      </c>
      <c r="O823" s="322">
        <v>45692</v>
      </c>
      <c r="P823" s="365" t="s">
        <v>30</v>
      </c>
      <c r="Q823" s="364">
        <v>45692</v>
      </c>
      <c r="R823" s="364">
        <v>45692</v>
      </c>
      <c r="S823" s="348"/>
    </row>
    <row r="824" spans="1:19" ht="38.25" hidden="1" x14ac:dyDescent="0.25">
      <c r="A824" s="359">
        <v>0</v>
      </c>
      <c r="B824" s="49" t="s">
        <v>1402</v>
      </c>
      <c r="C824" s="49" t="s">
        <v>1403</v>
      </c>
      <c r="D824" s="49"/>
      <c r="E824" s="49">
        <v>181825</v>
      </c>
      <c r="F824" s="378">
        <v>181825425</v>
      </c>
      <c r="G824" s="49" t="s">
        <v>1361</v>
      </c>
      <c r="H824" s="49" t="s">
        <v>1404</v>
      </c>
      <c r="I824" s="49" t="s">
        <v>346</v>
      </c>
      <c r="J824" s="316">
        <v>45692</v>
      </c>
      <c r="K824" s="360">
        <v>45079</v>
      </c>
      <c r="L824" s="363" t="s">
        <v>28</v>
      </c>
      <c r="M824" s="317" t="s">
        <v>1363</v>
      </c>
      <c r="N824" s="317">
        <v>1</v>
      </c>
      <c r="O824" s="322">
        <v>45692</v>
      </c>
      <c r="P824" s="365" t="s">
        <v>30</v>
      </c>
      <c r="Q824" s="364">
        <v>45692</v>
      </c>
      <c r="R824" s="364">
        <v>45692</v>
      </c>
      <c r="S824" s="348"/>
    </row>
    <row r="825" spans="1:19" ht="25.5" x14ac:dyDescent="0.25">
      <c r="A825" s="359">
        <v>0</v>
      </c>
      <c r="B825" s="49" t="s">
        <v>1405</v>
      </c>
      <c r="C825" s="49" t="s">
        <v>1345</v>
      </c>
      <c r="D825" s="49"/>
      <c r="E825" s="49">
        <v>181825</v>
      </c>
      <c r="F825" s="378">
        <v>181825426</v>
      </c>
      <c r="G825" s="49" t="s">
        <v>1406</v>
      </c>
      <c r="H825" s="49" t="s">
        <v>1407</v>
      </c>
      <c r="I825" s="49" t="s">
        <v>1352</v>
      </c>
      <c r="J825" s="316">
        <v>45693</v>
      </c>
      <c r="K825" s="360">
        <v>45079</v>
      </c>
      <c r="L825" s="363" t="s">
        <v>28</v>
      </c>
      <c r="M825" s="317" t="s">
        <v>1390</v>
      </c>
      <c r="N825" s="317">
        <v>2</v>
      </c>
      <c r="O825" s="322">
        <v>45694</v>
      </c>
      <c r="P825" s="365" t="s">
        <v>30</v>
      </c>
      <c r="Q825" s="364">
        <v>45694</v>
      </c>
      <c r="R825" s="364">
        <v>45694</v>
      </c>
      <c r="S825" s="348"/>
    </row>
    <row r="826" spans="1:19" ht="25.5" x14ac:dyDescent="0.25">
      <c r="A826" s="359">
        <v>0</v>
      </c>
      <c r="B826" s="49" t="s">
        <v>1408</v>
      </c>
      <c r="C826" s="49" t="s">
        <v>1345</v>
      </c>
      <c r="D826" s="49"/>
      <c r="E826" s="49">
        <v>181825</v>
      </c>
      <c r="F826" s="378">
        <v>181825427</v>
      </c>
      <c r="G826" s="49" t="s">
        <v>1398</v>
      </c>
      <c r="H826" s="49" t="s">
        <v>1409</v>
      </c>
      <c r="I826" s="49" t="s">
        <v>346</v>
      </c>
      <c r="J826" s="316">
        <v>45813</v>
      </c>
      <c r="K826" s="360">
        <v>45079</v>
      </c>
      <c r="L826" s="363" t="s">
        <v>28</v>
      </c>
      <c r="M826" s="317" t="s">
        <v>1356</v>
      </c>
      <c r="N826" s="317">
        <v>1</v>
      </c>
      <c r="O826" s="322">
        <v>45693</v>
      </c>
      <c r="P826" s="365" t="s">
        <v>30</v>
      </c>
      <c r="Q826" s="364">
        <v>45694</v>
      </c>
      <c r="R826" s="364">
        <v>45694</v>
      </c>
      <c r="S826" s="348"/>
    </row>
    <row r="827" spans="1:19" ht="38.25" x14ac:dyDescent="0.25">
      <c r="A827" s="359">
        <v>0</v>
      </c>
      <c r="B827" s="49" t="s">
        <v>1410</v>
      </c>
      <c r="C827" s="49" t="s">
        <v>1345</v>
      </c>
      <c r="D827" s="49"/>
      <c r="E827" s="49">
        <v>181825</v>
      </c>
      <c r="F827" s="378">
        <v>181825428</v>
      </c>
      <c r="G827" s="49" t="s">
        <v>147</v>
      </c>
      <c r="H827" s="49" t="s">
        <v>1411</v>
      </c>
      <c r="I827" s="49" t="s">
        <v>346</v>
      </c>
      <c r="J827" s="316">
        <v>45693</v>
      </c>
      <c r="K827" s="360">
        <v>45079</v>
      </c>
      <c r="L827" s="363" t="s">
        <v>28</v>
      </c>
      <c r="M827" s="317" t="s">
        <v>1412</v>
      </c>
      <c r="N827" s="317">
        <v>2</v>
      </c>
      <c r="O827" s="322">
        <v>45694</v>
      </c>
      <c r="P827" s="365" t="s">
        <v>30</v>
      </c>
      <c r="Q827" s="364">
        <v>45694</v>
      </c>
      <c r="R827" s="364">
        <v>45694</v>
      </c>
      <c r="S827" s="348"/>
    </row>
    <row r="828" spans="1:19" ht="24.2" hidden="1" customHeight="1" x14ac:dyDescent="0.25">
      <c r="A828" s="359">
        <v>0</v>
      </c>
      <c r="B828" s="49" t="s">
        <v>1413</v>
      </c>
      <c r="C828" s="49" t="s">
        <v>1403</v>
      </c>
      <c r="D828" s="49"/>
      <c r="E828" s="49">
        <v>181825</v>
      </c>
      <c r="F828" s="378">
        <v>181825429</v>
      </c>
      <c r="G828" s="49" t="s">
        <v>1414</v>
      </c>
      <c r="H828" s="49" t="s">
        <v>1415</v>
      </c>
      <c r="I828" s="49" t="s">
        <v>346</v>
      </c>
      <c r="J828" s="316">
        <v>45691</v>
      </c>
      <c r="K828" s="360">
        <v>45079</v>
      </c>
      <c r="L828" s="363" t="s">
        <v>28</v>
      </c>
      <c r="M828" s="317" t="s">
        <v>1363</v>
      </c>
      <c r="N828" s="317">
        <v>1</v>
      </c>
      <c r="O828" s="322">
        <v>45695</v>
      </c>
      <c r="P828" s="365" t="s">
        <v>30</v>
      </c>
      <c r="Q828" s="364">
        <v>45698</v>
      </c>
      <c r="R828" s="364">
        <v>45698</v>
      </c>
      <c r="S828" s="348"/>
    </row>
    <row r="829" spans="1:19" ht="38.25" hidden="1" x14ac:dyDescent="0.25">
      <c r="A829" s="359">
        <v>0</v>
      </c>
      <c r="B829" s="49" t="s">
        <v>1416</v>
      </c>
      <c r="C829" s="49" t="s">
        <v>1403</v>
      </c>
      <c r="D829" s="49"/>
      <c r="E829" s="49">
        <v>181825</v>
      </c>
      <c r="F829" s="378">
        <v>181825430</v>
      </c>
      <c r="G829" s="49" t="s">
        <v>1361</v>
      </c>
      <c r="H829" s="49" t="s">
        <v>1417</v>
      </c>
      <c r="I829" s="49" t="s">
        <v>346</v>
      </c>
      <c r="J829" s="316">
        <v>45698</v>
      </c>
      <c r="K829" s="360">
        <v>45079</v>
      </c>
      <c r="L829" s="363" t="s">
        <v>28</v>
      </c>
      <c r="M829" s="317" t="s">
        <v>1363</v>
      </c>
      <c r="N829" s="317">
        <v>3</v>
      </c>
      <c r="O829" s="322">
        <v>45698</v>
      </c>
      <c r="P829" s="365" t="s">
        <v>30</v>
      </c>
      <c r="Q829" s="364">
        <v>45699</v>
      </c>
      <c r="R829" s="364">
        <v>45699</v>
      </c>
      <c r="S829" s="348"/>
    </row>
    <row r="830" spans="1:19" ht="25.5" x14ac:dyDescent="0.25">
      <c r="A830" s="359">
        <v>0</v>
      </c>
      <c r="B830" s="49" t="s">
        <v>1418</v>
      </c>
      <c r="C830" s="49" t="s">
        <v>1345</v>
      </c>
      <c r="D830" s="49"/>
      <c r="E830" s="49">
        <v>181825</v>
      </c>
      <c r="F830" s="378">
        <v>181825431</v>
      </c>
      <c r="G830" s="49" t="s">
        <v>147</v>
      </c>
      <c r="H830" s="49" t="s">
        <v>1378</v>
      </c>
      <c r="I830" s="49" t="s">
        <v>1379</v>
      </c>
      <c r="J830" s="316">
        <v>45702</v>
      </c>
      <c r="K830" s="360">
        <v>45079</v>
      </c>
      <c r="L830" s="363" t="s">
        <v>28</v>
      </c>
      <c r="M830" s="317" t="s">
        <v>1380</v>
      </c>
      <c r="N830" s="317">
        <v>1</v>
      </c>
      <c r="O830" s="322">
        <v>45702</v>
      </c>
      <c r="P830" s="365" t="s">
        <v>30</v>
      </c>
      <c r="Q830" s="364">
        <v>45705</v>
      </c>
      <c r="R830" s="364">
        <v>45705</v>
      </c>
      <c r="S830" s="348"/>
    </row>
    <row r="831" spans="1:19" ht="38.25" hidden="1" x14ac:dyDescent="0.25">
      <c r="A831" s="359">
        <v>0</v>
      </c>
      <c r="B831" s="49" t="s">
        <v>1419</v>
      </c>
      <c r="C831" s="49" t="s">
        <v>1403</v>
      </c>
      <c r="D831" s="49"/>
      <c r="E831" s="49">
        <v>181825</v>
      </c>
      <c r="F831" s="378">
        <v>181825432</v>
      </c>
      <c r="G831" s="49" t="s">
        <v>1361</v>
      </c>
      <c r="H831" s="49" t="s">
        <v>1420</v>
      </c>
      <c r="I831" s="49" t="s">
        <v>346</v>
      </c>
      <c r="J831" s="316">
        <v>45702</v>
      </c>
      <c r="K831" s="360">
        <v>45079</v>
      </c>
      <c r="L831" s="363" t="s">
        <v>28</v>
      </c>
      <c r="M831" s="317" t="s">
        <v>1363</v>
      </c>
      <c r="N831" s="317">
        <v>1</v>
      </c>
      <c r="O831" s="322">
        <v>45702</v>
      </c>
      <c r="P831" s="365" t="s">
        <v>30</v>
      </c>
      <c r="Q831" s="364">
        <v>45705</v>
      </c>
      <c r="R831" s="364">
        <v>45705</v>
      </c>
      <c r="S831" s="348"/>
    </row>
    <row r="832" spans="1:19" ht="38.25" hidden="1" x14ac:dyDescent="0.25">
      <c r="A832" s="359">
        <v>0</v>
      </c>
      <c r="B832" s="49" t="s">
        <v>1421</v>
      </c>
      <c r="C832" s="49" t="s">
        <v>1403</v>
      </c>
      <c r="D832" s="49"/>
      <c r="E832" s="49">
        <v>181825</v>
      </c>
      <c r="F832" s="378">
        <v>181825434</v>
      </c>
      <c r="G832" s="49" t="s">
        <v>1361</v>
      </c>
      <c r="H832" s="49" t="s">
        <v>1422</v>
      </c>
      <c r="I832" s="49" t="s">
        <v>346</v>
      </c>
      <c r="J832" s="316">
        <v>45712</v>
      </c>
      <c r="K832" s="360">
        <v>45079</v>
      </c>
      <c r="L832" s="363" t="s">
        <v>28</v>
      </c>
      <c r="M832" s="317" t="s">
        <v>1363</v>
      </c>
      <c r="N832" s="317">
        <v>1</v>
      </c>
      <c r="O832" s="322">
        <v>45713</v>
      </c>
      <c r="P832" s="365" t="s">
        <v>30</v>
      </c>
      <c r="Q832" s="364">
        <v>45713</v>
      </c>
      <c r="R832" s="364">
        <v>45713</v>
      </c>
      <c r="S832" s="348"/>
    </row>
    <row r="833" spans="1:19" ht="25.5" x14ac:dyDescent="0.25">
      <c r="A833" s="359">
        <v>0</v>
      </c>
      <c r="B833" s="49" t="s">
        <v>1423</v>
      </c>
      <c r="C833" s="49" t="s">
        <v>1345</v>
      </c>
      <c r="D833" s="49"/>
      <c r="E833" s="49">
        <v>181825</v>
      </c>
      <c r="F833" s="378">
        <v>181825433</v>
      </c>
      <c r="G833" s="49" t="s">
        <v>1424</v>
      </c>
      <c r="H833" s="49" t="s">
        <v>1425</v>
      </c>
      <c r="I833" s="49" t="s">
        <v>1426</v>
      </c>
      <c r="J833" s="316">
        <v>45705</v>
      </c>
      <c r="K833" s="360">
        <v>45079</v>
      </c>
      <c r="L833" s="363" t="s">
        <v>28</v>
      </c>
      <c r="M833" s="317" t="s">
        <v>1427</v>
      </c>
      <c r="N833" s="317">
        <v>1</v>
      </c>
      <c r="O833" s="322">
        <v>45706</v>
      </c>
      <c r="P833" s="365" t="s">
        <v>30</v>
      </c>
      <c r="Q833" s="364">
        <v>45706</v>
      </c>
      <c r="R833" s="364">
        <v>45706</v>
      </c>
      <c r="S833" s="348"/>
    </row>
    <row r="834" spans="1:19" ht="38.25" hidden="1" x14ac:dyDescent="0.25">
      <c r="A834" s="359">
        <v>0</v>
      </c>
      <c r="B834" s="49" t="s">
        <v>1428</v>
      </c>
      <c r="C834" s="49" t="s">
        <v>1403</v>
      </c>
      <c r="D834" s="49"/>
      <c r="E834" s="49">
        <v>181825</v>
      </c>
      <c r="F834" s="378">
        <v>181825435</v>
      </c>
      <c r="G834" s="49" t="s">
        <v>1361</v>
      </c>
      <c r="H834" s="49" t="s">
        <v>1429</v>
      </c>
      <c r="I834" s="49" t="s">
        <v>346</v>
      </c>
      <c r="J834" s="316">
        <v>45714</v>
      </c>
      <c r="K834" s="360">
        <v>45079</v>
      </c>
      <c r="L834" s="363" t="s">
        <v>28</v>
      </c>
      <c r="M834" s="317" t="s">
        <v>1363</v>
      </c>
      <c r="N834" s="317">
        <v>1</v>
      </c>
      <c r="O834" s="322">
        <v>45716</v>
      </c>
      <c r="P834" s="365" t="s">
        <v>30</v>
      </c>
      <c r="Q834" s="364">
        <v>45716</v>
      </c>
      <c r="R834" s="364">
        <v>45716</v>
      </c>
      <c r="S834" s="348"/>
    </row>
    <row r="835" spans="1:19" ht="38.25" hidden="1" x14ac:dyDescent="0.25">
      <c r="A835" s="359">
        <v>0</v>
      </c>
      <c r="B835" s="49" t="s">
        <v>1430</v>
      </c>
      <c r="C835" s="49" t="s">
        <v>1403</v>
      </c>
      <c r="D835" s="49"/>
      <c r="E835" s="49">
        <v>181825</v>
      </c>
      <c r="F835" s="378">
        <v>181825436</v>
      </c>
      <c r="G835" s="49" t="s">
        <v>1431</v>
      </c>
      <c r="H835" s="49" t="s">
        <v>1417</v>
      </c>
      <c r="I835" s="49" t="s">
        <v>346</v>
      </c>
      <c r="J835" s="316">
        <v>45714</v>
      </c>
      <c r="K835" s="360">
        <v>45079</v>
      </c>
      <c r="L835" s="363" t="s">
        <v>28</v>
      </c>
      <c r="M835" s="317" t="s">
        <v>1363</v>
      </c>
      <c r="N835" s="317">
        <v>7</v>
      </c>
      <c r="O835" s="322">
        <v>45715</v>
      </c>
      <c r="P835" s="365" t="s">
        <v>30</v>
      </c>
      <c r="Q835" s="364">
        <v>45715</v>
      </c>
      <c r="R835" s="364">
        <v>45715</v>
      </c>
      <c r="S835" s="348"/>
    </row>
    <row r="836" spans="1:19" ht="25.5" x14ac:dyDescent="0.25">
      <c r="A836" s="359">
        <v>0</v>
      </c>
      <c r="B836" s="49" t="s">
        <v>1432</v>
      </c>
      <c r="C836" s="49" t="s">
        <v>1345</v>
      </c>
      <c r="D836" s="49"/>
      <c r="E836" s="49">
        <v>181825</v>
      </c>
      <c r="F836" s="378">
        <v>181825437</v>
      </c>
      <c r="G836" s="49" t="s">
        <v>34</v>
      </c>
      <c r="H836" s="49" t="s">
        <v>1433</v>
      </c>
      <c r="I836" s="49" t="s">
        <v>346</v>
      </c>
      <c r="J836" s="316">
        <v>45715</v>
      </c>
      <c r="K836" s="360">
        <v>45079</v>
      </c>
      <c r="L836" s="363" t="s">
        <v>28</v>
      </c>
      <c r="M836" s="317" t="s">
        <v>1356</v>
      </c>
      <c r="N836" s="317">
        <v>2</v>
      </c>
      <c r="O836" s="322">
        <v>45723</v>
      </c>
      <c r="P836" s="365" t="s">
        <v>30</v>
      </c>
      <c r="Q836" s="364">
        <v>45723</v>
      </c>
      <c r="R836" s="364">
        <v>45723</v>
      </c>
      <c r="S836" s="348"/>
    </row>
    <row r="837" spans="1:19" ht="25.5" x14ac:dyDescent="0.25">
      <c r="A837" s="359">
        <v>0</v>
      </c>
      <c r="B837" s="49" t="s">
        <v>1434</v>
      </c>
      <c r="C837" s="49" t="s">
        <v>1345</v>
      </c>
      <c r="D837" s="49"/>
      <c r="E837" s="49">
        <v>181825</v>
      </c>
      <c r="F837" s="378">
        <v>181825438</v>
      </c>
      <c r="G837" s="49" t="s">
        <v>34</v>
      </c>
      <c r="H837" s="49" t="s">
        <v>1435</v>
      </c>
      <c r="I837" s="49" t="s">
        <v>1352</v>
      </c>
      <c r="J837" s="316">
        <v>45716</v>
      </c>
      <c r="K837" s="360">
        <v>45079</v>
      </c>
      <c r="L837" s="363" t="s">
        <v>28</v>
      </c>
      <c r="M837" s="317">
        <v>3022810</v>
      </c>
      <c r="N837" s="317">
        <v>1</v>
      </c>
      <c r="O837" s="322">
        <v>45721</v>
      </c>
      <c r="P837" s="365" t="s">
        <v>30</v>
      </c>
      <c r="Q837" s="364">
        <v>45721</v>
      </c>
      <c r="R837" s="364">
        <v>45721</v>
      </c>
      <c r="S837" s="348"/>
    </row>
    <row r="838" spans="1:19" ht="25.5" hidden="1" x14ac:dyDescent="0.25">
      <c r="A838" s="359">
        <v>0</v>
      </c>
      <c r="B838" s="49" t="s">
        <v>1436</v>
      </c>
      <c r="C838" s="49" t="s">
        <v>1437</v>
      </c>
      <c r="D838" s="49"/>
      <c r="E838" s="49">
        <v>181825</v>
      </c>
      <c r="F838" s="378">
        <v>181825439</v>
      </c>
      <c r="G838" s="49" t="s">
        <v>1438</v>
      </c>
      <c r="H838" s="49" t="s">
        <v>1346</v>
      </c>
      <c r="I838" s="49" t="s">
        <v>1404</v>
      </c>
      <c r="J838" s="316">
        <v>45716</v>
      </c>
      <c r="K838" s="360">
        <v>45079</v>
      </c>
      <c r="L838" s="363" t="s">
        <v>28</v>
      </c>
      <c r="M838" s="317" t="s">
        <v>1363</v>
      </c>
      <c r="N838" s="317">
        <v>2</v>
      </c>
      <c r="O838" s="322">
        <v>45721</v>
      </c>
      <c r="P838" s="365" t="s">
        <v>30</v>
      </c>
      <c r="Q838" s="364">
        <v>45721</v>
      </c>
      <c r="R838" s="364">
        <v>45721</v>
      </c>
      <c r="S838" s="348"/>
    </row>
    <row r="839" spans="1:19" ht="25.5" x14ac:dyDescent="0.25">
      <c r="A839" s="359">
        <v>0</v>
      </c>
      <c r="B839" s="49" t="s">
        <v>1439</v>
      </c>
      <c r="C839" s="49" t="s">
        <v>1345</v>
      </c>
      <c r="D839" s="49"/>
      <c r="E839" s="49">
        <v>181825</v>
      </c>
      <c r="F839" s="378">
        <v>181825440</v>
      </c>
      <c r="G839" s="49" t="s">
        <v>34</v>
      </c>
      <c r="H839" s="49" t="s">
        <v>1440</v>
      </c>
      <c r="I839" s="49" t="s">
        <v>346</v>
      </c>
      <c r="J839" s="316">
        <v>45715</v>
      </c>
      <c r="K839" s="360">
        <v>45079</v>
      </c>
      <c r="L839" s="363" t="s">
        <v>28</v>
      </c>
      <c r="M839" s="317" t="s">
        <v>1356</v>
      </c>
      <c r="N839" s="317">
        <v>2</v>
      </c>
      <c r="O839" s="322">
        <v>45721</v>
      </c>
      <c r="P839" s="365" t="s">
        <v>30</v>
      </c>
      <c r="Q839" s="364">
        <v>45722</v>
      </c>
      <c r="R839" s="364">
        <v>45722</v>
      </c>
      <c r="S839" s="348"/>
    </row>
    <row r="840" spans="1:19" ht="38.25" hidden="1" x14ac:dyDescent="0.25">
      <c r="A840" s="359">
        <v>0</v>
      </c>
      <c r="B840" s="49" t="s">
        <v>1441</v>
      </c>
      <c r="C840" s="49" t="s">
        <v>1403</v>
      </c>
      <c r="D840" s="49"/>
      <c r="E840" s="49">
        <v>181825</v>
      </c>
      <c r="F840" s="378">
        <v>181825441</v>
      </c>
      <c r="G840" s="49" t="s">
        <v>1346</v>
      </c>
      <c r="H840" s="49" t="s">
        <v>1442</v>
      </c>
      <c r="I840" s="49" t="s">
        <v>346</v>
      </c>
      <c r="J840" s="316">
        <v>45715</v>
      </c>
      <c r="K840" s="360">
        <v>45079</v>
      </c>
      <c r="L840" s="363" t="s">
        <v>28</v>
      </c>
      <c r="M840" s="317" t="s">
        <v>1443</v>
      </c>
      <c r="N840" s="317">
        <v>1</v>
      </c>
      <c r="O840" s="322">
        <v>45726</v>
      </c>
      <c r="P840" s="365" t="s">
        <v>30</v>
      </c>
      <c r="Q840" s="364">
        <v>45726</v>
      </c>
      <c r="R840" s="364">
        <v>45726</v>
      </c>
      <c r="S840" s="348"/>
    </row>
    <row r="841" spans="1:19" ht="25.5" x14ac:dyDescent="0.25">
      <c r="A841" s="359">
        <v>0</v>
      </c>
      <c r="B841" s="49" t="s">
        <v>1444</v>
      </c>
      <c r="C841" s="49" t="s">
        <v>1345</v>
      </c>
      <c r="D841" s="49"/>
      <c r="E841" s="49">
        <v>181825</v>
      </c>
      <c r="F841" s="378">
        <v>181825442</v>
      </c>
      <c r="G841" s="49" t="s">
        <v>1445</v>
      </c>
      <c r="H841" s="49" t="s">
        <v>1446</v>
      </c>
      <c r="I841" s="49" t="s">
        <v>346</v>
      </c>
      <c r="J841" s="316">
        <v>45721</v>
      </c>
      <c r="K841" s="360">
        <v>45079</v>
      </c>
      <c r="L841" s="363" t="s">
        <v>28</v>
      </c>
      <c r="M841" s="317" t="s">
        <v>1356</v>
      </c>
      <c r="N841" s="317">
        <v>1</v>
      </c>
      <c r="O841" s="322">
        <v>45722</v>
      </c>
      <c r="P841" s="365" t="s">
        <v>30</v>
      </c>
      <c r="Q841" s="364">
        <v>45722</v>
      </c>
      <c r="R841" s="364">
        <v>45722</v>
      </c>
      <c r="S841" s="348"/>
    </row>
    <row r="842" spans="1:19" ht="25.5" x14ac:dyDescent="0.25">
      <c r="A842" s="359">
        <v>0</v>
      </c>
      <c r="B842" s="49" t="s">
        <v>1447</v>
      </c>
      <c r="C842" s="49" t="s">
        <v>1345</v>
      </c>
      <c r="D842" s="49"/>
      <c r="E842" s="49">
        <v>181825</v>
      </c>
      <c r="F842" s="378">
        <v>181825443</v>
      </c>
      <c r="G842" s="49" t="s">
        <v>1448</v>
      </c>
      <c r="H842" s="49" t="s">
        <v>1449</v>
      </c>
      <c r="I842" s="49" t="s">
        <v>346</v>
      </c>
      <c r="J842" s="316">
        <v>45721</v>
      </c>
      <c r="K842" s="360">
        <v>45079</v>
      </c>
      <c r="L842" s="363" t="s">
        <v>47</v>
      </c>
      <c r="M842" s="317" t="s">
        <v>1363</v>
      </c>
      <c r="N842" s="317">
        <v>1</v>
      </c>
      <c r="O842" s="322">
        <v>45727</v>
      </c>
      <c r="P842" s="365" t="s">
        <v>30</v>
      </c>
      <c r="Q842" s="364">
        <v>45727</v>
      </c>
      <c r="R842" s="364">
        <v>45727</v>
      </c>
      <c r="S842" s="348"/>
    </row>
    <row r="843" spans="1:19" ht="25.5" x14ac:dyDescent="0.25">
      <c r="A843" s="359">
        <v>0</v>
      </c>
      <c r="B843" s="49" t="s">
        <v>1450</v>
      </c>
      <c r="C843" s="49" t="s">
        <v>1345</v>
      </c>
      <c r="D843" s="49"/>
      <c r="E843" s="49">
        <v>181825</v>
      </c>
      <c r="F843" s="378">
        <v>181825444</v>
      </c>
      <c r="G843" s="49" t="s">
        <v>34</v>
      </c>
      <c r="H843" s="49" t="s">
        <v>1451</v>
      </c>
      <c r="I843" s="49" t="s">
        <v>346</v>
      </c>
      <c r="J843" s="316">
        <v>45726</v>
      </c>
      <c r="K843" s="360">
        <v>45079</v>
      </c>
      <c r="L843" s="363" t="s">
        <v>47</v>
      </c>
      <c r="M843" s="317" t="s">
        <v>1366</v>
      </c>
      <c r="N843" s="317">
        <v>2</v>
      </c>
      <c r="O843" s="322">
        <v>45728</v>
      </c>
      <c r="P843" s="365" t="s">
        <v>30</v>
      </c>
      <c r="Q843" s="364">
        <v>45728</v>
      </c>
      <c r="R843" s="364">
        <v>45728</v>
      </c>
      <c r="S843" s="348"/>
    </row>
    <row r="844" spans="1:19" ht="25.5" x14ac:dyDescent="0.25">
      <c r="A844" s="359">
        <v>0</v>
      </c>
      <c r="B844" s="49" t="s">
        <v>1452</v>
      </c>
      <c r="C844" s="49" t="s">
        <v>1345</v>
      </c>
      <c r="D844" s="49"/>
      <c r="E844" s="49">
        <v>181825</v>
      </c>
      <c r="F844" s="378">
        <v>181825445</v>
      </c>
      <c r="G844" s="49" t="s">
        <v>34</v>
      </c>
      <c r="H844" s="49" t="s">
        <v>1446</v>
      </c>
      <c r="I844" s="49" t="s">
        <v>346</v>
      </c>
      <c r="J844" s="316">
        <v>45726</v>
      </c>
      <c r="K844" s="360">
        <v>45079</v>
      </c>
      <c r="L844" s="363" t="s">
        <v>47</v>
      </c>
      <c r="M844" s="317" t="s">
        <v>1356</v>
      </c>
      <c r="N844" s="317">
        <v>1</v>
      </c>
      <c r="O844" s="322">
        <v>45727</v>
      </c>
      <c r="P844" s="365" t="s">
        <v>30</v>
      </c>
      <c r="Q844" s="364">
        <v>45728</v>
      </c>
      <c r="R844" s="364">
        <v>45728</v>
      </c>
      <c r="S844" s="348"/>
    </row>
    <row r="845" spans="1:19" ht="25.5" x14ac:dyDescent="0.25">
      <c r="A845" s="359">
        <v>0</v>
      </c>
      <c r="B845" s="49" t="s">
        <v>1453</v>
      </c>
      <c r="C845" s="49" t="s">
        <v>1345</v>
      </c>
      <c r="D845" s="49"/>
      <c r="E845" s="49">
        <v>181825</v>
      </c>
      <c r="F845" s="378">
        <v>181825446</v>
      </c>
      <c r="G845" s="49" t="s">
        <v>1454</v>
      </c>
      <c r="H845" s="49" t="s">
        <v>1455</v>
      </c>
      <c r="I845" s="49" t="s">
        <v>346</v>
      </c>
      <c r="J845" s="316">
        <v>45726</v>
      </c>
      <c r="K845" s="360">
        <v>45079</v>
      </c>
      <c r="L845" s="363" t="s">
        <v>47</v>
      </c>
      <c r="M845" s="317" t="s">
        <v>1456</v>
      </c>
      <c r="N845" s="317">
        <v>1</v>
      </c>
      <c r="O845" s="322">
        <v>45727</v>
      </c>
      <c r="P845" s="365" t="s">
        <v>30</v>
      </c>
      <c r="Q845" s="364">
        <v>45728</v>
      </c>
      <c r="R845" s="364">
        <v>45728</v>
      </c>
      <c r="S845" s="348"/>
    </row>
    <row r="846" spans="1:19" ht="25.5" hidden="1" x14ac:dyDescent="0.25">
      <c r="A846" s="359">
        <v>0</v>
      </c>
      <c r="B846" s="49" t="s">
        <v>1457</v>
      </c>
      <c r="C846" s="49" t="s">
        <v>1437</v>
      </c>
      <c r="D846" s="49"/>
      <c r="E846" s="49">
        <v>181825</v>
      </c>
      <c r="F846" s="378">
        <v>181825447</v>
      </c>
      <c r="G846" s="49" t="s">
        <v>1346</v>
      </c>
      <c r="H846" s="49" t="s">
        <v>1458</v>
      </c>
      <c r="I846" s="49" t="s">
        <v>346</v>
      </c>
      <c r="J846" s="316">
        <v>45729</v>
      </c>
      <c r="K846" s="360">
        <v>45079</v>
      </c>
      <c r="L846" s="363" t="s">
        <v>28</v>
      </c>
      <c r="M846" s="317" t="s">
        <v>1443</v>
      </c>
      <c r="N846" s="317">
        <v>2</v>
      </c>
      <c r="O846" s="322">
        <v>45741</v>
      </c>
      <c r="P846" s="365" t="s">
        <v>30</v>
      </c>
      <c r="Q846" s="364">
        <v>45743</v>
      </c>
      <c r="R846" s="364">
        <v>45743</v>
      </c>
      <c r="S846" s="348"/>
    </row>
    <row r="847" spans="1:19" ht="25.5" x14ac:dyDescent="0.25">
      <c r="A847" s="359">
        <v>0</v>
      </c>
      <c r="B847" s="49" t="s">
        <v>1459</v>
      </c>
      <c r="C847" s="49" t="s">
        <v>1345</v>
      </c>
      <c r="D847" s="49"/>
      <c r="E847" s="49">
        <v>181825</v>
      </c>
      <c r="F847" s="378">
        <v>181825448</v>
      </c>
      <c r="G847" s="49" t="s">
        <v>1398</v>
      </c>
      <c r="H847" s="49" t="s">
        <v>1409</v>
      </c>
      <c r="I847" s="49" t="s">
        <v>346</v>
      </c>
      <c r="J847" s="316">
        <v>45728</v>
      </c>
      <c r="K847" s="360">
        <v>45079</v>
      </c>
      <c r="L847" s="363" t="s">
        <v>28</v>
      </c>
      <c r="M847" s="317" t="s">
        <v>1356</v>
      </c>
      <c r="N847" s="317">
        <v>1</v>
      </c>
      <c r="O847" s="322">
        <v>45733</v>
      </c>
      <c r="P847" s="365" t="s">
        <v>30</v>
      </c>
      <c r="Q847" s="364">
        <v>45733</v>
      </c>
      <c r="R847" s="364">
        <v>45733</v>
      </c>
      <c r="S847" s="348"/>
    </row>
    <row r="848" spans="1:19" ht="25.5" x14ac:dyDescent="0.25">
      <c r="A848" s="359">
        <v>0</v>
      </c>
      <c r="B848" s="49" t="s">
        <v>1460</v>
      </c>
      <c r="C848" s="49" t="s">
        <v>1345</v>
      </c>
      <c r="D848" s="49"/>
      <c r="E848" s="49">
        <v>181825</v>
      </c>
      <c r="F848" s="378">
        <v>181825449</v>
      </c>
      <c r="G848" s="49" t="s">
        <v>1385</v>
      </c>
      <c r="H848" s="49" t="s">
        <v>1461</v>
      </c>
      <c r="I848" s="49" t="s">
        <v>346</v>
      </c>
      <c r="J848" s="316">
        <v>45729</v>
      </c>
      <c r="K848" s="360">
        <v>45079</v>
      </c>
      <c r="L848" s="363" t="s">
        <v>28</v>
      </c>
      <c r="M848" s="317" t="s">
        <v>1387</v>
      </c>
      <c r="N848" s="317">
        <v>1</v>
      </c>
      <c r="O848" s="322">
        <v>45735</v>
      </c>
      <c r="P848" s="365" t="s">
        <v>30</v>
      </c>
      <c r="Q848" s="364">
        <v>45735</v>
      </c>
      <c r="R848" s="364">
        <v>45735</v>
      </c>
      <c r="S848" s="348"/>
    </row>
    <row r="849" spans="1:19" ht="25.5" x14ac:dyDescent="0.25">
      <c r="A849" s="359">
        <v>0</v>
      </c>
      <c r="B849" s="49" t="s">
        <v>1462</v>
      </c>
      <c r="C849" s="49" t="s">
        <v>1345</v>
      </c>
      <c r="D849" s="49"/>
      <c r="E849" s="49">
        <v>181825</v>
      </c>
      <c r="F849" s="378">
        <v>181825450</v>
      </c>
      <c r="G849" s="49" t="s">
        <v>1385</v>
      </c>
      <c r="H849" s="49" t="s">
        <v>1463</v>
      </c>
      <c r="I849" s="49" t="s">
        <v>346</v>
      </c>
      <c r="J849" s="316">
        <v>45734</v>
      </c>
      <c r="K849" s="360">
        <v>45079</v>
      </c>
      <c r="L849" s="363" t="s">
        <v>28</v>
      </c>
      <c r="M849" s="317" t="s">
        <v>1387</v>
      </c>
      <c r="N849" s="317">
        <v>1</v>
      </c>
      <c r="O849" s="322">
        <v>45740</v>
      </c>
      <c r="P849" s="365" t="s">
        <v>30</v>
      </c>
      <c r="Q849" s="364">
        <v>45740</v>
      </c>
      <c r="R849" s="364">
        <v>45740</v>
      </c>
      <c r="S849" s="348"/>
    </row>
    <row r="850" spans="1:19" ht="25.5" x14ac:dyDescent="0.25">
      <c r="A850" s="359">
        <v>0</v>
      </c>
      <c r="B850" s="49" t="s">
        <v>1464</v>
      </c>
      <c r="C850" s="49" t="s">
        <v>1345</v>
      </c>
      <c r="D850" s="49"/>
      <c r="E850" s="49">
        <v>181825</v>
      </c>
      <c r="F850" s="378">
        <v>181825451</v>
      </c>
      <c r="G850" s="49" t="s">
        <v>1406</v>
      </c>
      <c r="H850" s="49" t="s">
        <v>1465</v>
      </c>
      <c r="I850" s="49" t="s">
        <v>346</v>
      </c>
      <c r="J850" s="316">
        <v>45734</v>
      </c>
      <c r="K850" s="360">
        <v>45079</v>
      </c>
      <c r="L850" s="363" t="s">
        <v>28</v>
      </c>
      <c r="M850" s="317" t="s">
        <v>1466</v>
      </c>
      <c r="N850" s="317">
        <v>1</v>
      </c>
      <c r="O850" s="322">
        <v>45742</v>
      </c>
      <c r="P850" s="365" t="s">
        <v>30</v>
      </c>
      <c r="Q850" s="364">
        <v>45742</v>
      </c>
      <c r="R850" s="364">
        <v>45742</v>
      </c>
      <c r="S850" s="348"/>
    </row>
    <row r="851" spans="1:19" ht="25.5" x14ac:dyDescent="0.25">
      <c r="A851" s="359">
        <v>0</v>
      </c>
      <c r="B851" s="49" t="s">
        <v>1467</v>
      </c>
      <c r="C851" s="49" t="s">
        <v>1345</v>
      </c>
      <c r="D851" s="49"/>
      <c r="E851" s="49">
        <v>181825</v>
      </c>
      <c r="F851" s="378">
        <v>181825453</v>
      </c>
      <c r="G851" s="49" t="s">
        <v>147</v>
      </c>
      <c r="H851" s="49" t="s">
        <v>1468</v>
      </c>
      <c r="I851" s="49" t="s">
        <v>1352</v>
      </c>
      <c r="J851" s="316">
        <v>45737</v>
      </c>
      <c r="K851" s="360">
        <v>45079</v>
      </c>
      <c r="L851" s="363" t="s">
        <v>28</v>
      </c>
      <c r="M851" s="317" t="s">
        <v>1469</v>
      </c>
      <c r="N851" s="317">
        <v>2</v>
      </c>
      <c r="O851" s="322">
        <v>45741</v>
      </c>
      <c r="P851" s="365" t="s">
        <v>30</v>
      </c>
      <c r="Q851" s="364">
        <v>45742</v>
      </c>
      <c r="R851" s="364">
        <v>45742</v>
      </c>
      <c r="S851" s="348"/>
    </row>
    <row r="852" spans="1:19" ht="25.5" x14ac:dyDescent="0.25">
      <c r="A852" s="359">
        <v>0</v>
      </c>
      <c r="B852" s="49" t="s">
        <v>1470</v>
      </c>
      <c r="C852" s="49" t="s">
        <v>1345</v>
      </c>
      <c r="D852" s="49"/>
      <c r="E852" s="49">
        <v>181825</v>
      </c>
      <c r="F852" s="378">
        <v>181825452</v>
      </c>
      <c r="G852" s="49" t="s">
        <v>1471</v>
      </c>
      <c r="H852" s="49"/>
      <c r="I852" s="49"/>
      <c r="J852" s="316"/>
      <c r="K852" s="360">
        <v>45079</v>
      </c>
      <c r="L852" s="363"/>
      <c r="M852" s="317"/>
      <c r="N852" s="317"/>
      <c r="O852" s="322"/>
      <c r="P852" s="365"/>
      <c r="Q852" s="364"/>
      <c r="R852" s="364"/>
      <c r="S852" s="348"/>
    </row>
    <row r="853" spans="1:19" ht="25.5" x14ac:dyDescent="0.25">
      <c r="A853" s="359">
        <v>0</v>
      </c>
      <c r="B853" s="49" t="s">
        <v>1472</v>
      </c>
      <c r="C853" s="49" t="s">
        <v>1345</v>
      </c>
      <c r="D853" s="49"/>
      <c r="E853" s="49">
        <v>181825</v>
      </c>
      <c r="F853" s="378">
        <v>181825454</v>
      </c>
      <c r="G853" s="49" t="s">
        <v>1473</v>
      </c>
      <c r="H853" s="49"/>
      <c r="I853" s="49"/>
      <c r="J853" s="316"/>
      <c r="K853" s="360">
        <v>45079</v>
      </c>
      <c r="L853" s="363"/>
      <c r="M853" s="317"/>
      <c r="N853" s="317"/>
      <c r="O853" s="322"/>
      <c r="P853" s="365"/>
      <c r="Q853" s="364"/>
      <c r="R853" s="364"/>
      <c r="S853" s="348"/>
    </row>
    <row r="854" spans="1:19" ht="25.5" x14ac:dyDescent="0.25">
      <c r="A854" s="359">
        <v>0</v>
      </c>
      <c r="B854" s="49" t="s">
        <v>1474</v>
      </c>
      <c r="C854" s="49" t="s">
        <v>1345</v>
      </c>
      <c r="D854" s="49"/>
      <c r="E854" s="49">
        <v>181825</v>
      </c>
      <c r="F854" s="378">
        <v>181825455</v>
      </c>
      <c r="G854" s="49" t="s">
        <v>1406</v>
      </c>
      <c r="H854" s="49" t="s">
        <v>1475</v>
      </c>
      <c r="I854" s="49" t="s">
        <v>346</v>
      </c>
      <c r="J854" s="316">
        <v>45742</v>
      </c>
      <c r="K854" s="360">
        <v>45079</v>
      </c>
      <c r="L854" s="363" t="s">
        <v>28</v>
      </c>
      <c r="M854" s="317" t="s">
        <v>1359</v>
      </c>
      <c r="N854" s="317">
        <v>1</v>
      </c>
      <c r="O854" s="322">
        <v>45744</v>
      </c>
      <c r="P854" s="365" t="s">
        <v>30</v>
      </c>
      <c r="Q854" s="364">
        <v>45744</v>
      </c>
      <c r="R854" s="364">
        <v>45744</v>
      </c>
      <c r="S854" s="348"/>
    </row>
    <row r="855" spans="1:19" ht="25.5" x14ac:dyDescent="0.25">
      <c r="A855" s="359">
        <v>0</v>
      </c>
      <c r="B855" s="49" t="s">
        <v>1476</v>
      </c>
      <c r="C855" s="49" t="s">
        <v>1345</v>
      </c>
      <c r="D855" s="49"/>
      <c r="E855" s="49">
        <v>181825</v>
      </c>
      <c r="F855" s="378">
        <v>181825456</v>
      </c>
      <c r="G855" s="49" t="s">
        <v>1477</v>
      </c>
      <c r="H855" s="49" t="s">
        <v>1478</v>
      </c>
      <c r="I855" s="49" t="s">
        <v>346</v>
      </c>
      <c r="J855" s="316">
        <v>45742</v>
      </c>
      <c r="K855" s="360">
        <v>45079</v>
      </c>
      <c r="L855" s="363" t="s">
        <v>28</v>
      </c>
      <c r="M855" s="317" t="s">
        <v>1356</v>
      </c>
      <c r="N855" s="317">
        <v>1</v>
      </c>
      <c r="O855" s="322">
        <v>45743</v>
      </c>
      <c r="P855" s="365" t="s">
        <v>30</v>
      </c>
      <c r="Q855" s="364">
        <v>45743</v>
      </c>
      <c r="R855" s="364">
        <v>45743</v>
      </c>
      <c r="S855" s="348"/>
    </row>
    <row r="856" spans="1:19" ht="25.5" x14ac:dyDescent="0.25">
      <c r="A856" s="359">
        <v>0</v>
      </c>
      <c r="B856" s="49" t="s">
        <v>1479</v>
      </c>
      <c r="C856" s="49" t="s">
        <v>1345</v>
      </c>
      <c r="D856" s="49"/>
      <c r="E856" s="49">
        <v>181825</v>
      </c>
      <c r="F856" s="378">
        <v>181825457</v>
      </c>
      <c r="G856" s="49" t="s">
        <v>147</v>
      </c>
      <c r="H856" s="49" t="s">
        <v>1480</v>
      </c>
      <c r="I856" s="49" t="s">
        <v>346</v>
      </c>
      <c r="J856" s="316">
        <v>45742</v>
      </c>
      <c r="K856" s="360">
        <v>45079</v>
      </c>
      <c r="L856" s="363" t="s">
        <v>28</v>
      </c>
      <c r="M856" s="317" t="s">
        <v>1412</v>
      </c>
      <c r="N856" s="317">
        <v>1</v>
      </c>
      <c r="O856" s="322">
        <v>45743</v>
      </c>
      <c r="P856" s="365" t="s">
        <v>30</v>
      </c>
      <c r="Q856" s="364">
        <v>45743</v>
      </c>
      <c r="R856" s="364">
        <v>45743</v>
      </c>
      <c r="S856" s="348"/>
    </row>
    <row r="857" spans="1:19" ht="25.5" x14ac:dyDescent="0.25">
      <c r="A857" s="359">
        <v>0</v>
      </c>
      <c r="B857" s="49" t="s">
        <v>1481</v>
      </c>
      <c r="C857" s="49" t="s">
        <v>1345</v>
      </c>
      <c r="D857" s="49"/>
      <c r="E857" s="49">
        <v>181825</v>
      </c>
      <c r="F857" s="378">
        <v>181825458</v>
      </c>
      <c r="G857" s="49" t="s">
        <v>1406</v>
      </c>
      <c r="H857" s="49" t="s">
        <v>1482</v>
      </c>
      <c r="I857" s="49" t="s">
        <v>346</v>
      </c>
      <c r="J857" s="316">
        <v>45742</v>
      </c>
      <c r="K857" s="360">
        <v>45079</v>
      </c>
      <c r="L857" s="363" t="s">
        <v>28</v>
      </c>
      <c r="M857" s="317" t="s">
        <v>1412</v>
      </c>
      <c r="N857" s="317">
        <v>2</v>
      </c>
      <c r="O857" s="322">
        <v>45743</v>
      </c>
      <c r="P857" s="365" t="s">
        <v>30</v>
      </c>
      <c r="Q857" s="364">
        <v>45743</v>
      </c>
      <c r="R857" s="364">
        <v>45743</v>
      </c>
      <c r="S857" s="348"/>
    </row>
    <row r="858" spans="1:19" ht="25.5" hidden="1" x14ac:dyDescent="0.25">
      <c r="A858" s="359">
        <v>0</v>
      </c>
      <c r="B858" s="49" t="s">
        <v>1483</v>
      </c>
      <c r="C858" s="49" t="s">
        <v>1437</v>
      </c>
      <c r="D858" s="49"/>
      <c r="E858" s="49">
        <v>181825</v>
      </c>
      <c r="F858" s="378">
        <v>181825459</v>
      </c>
      <c r="G858" s="49" t="s">
        <v>1346</v>
      </c>
      <c r="H858" s="49" t="s">
        <v>1417</v>
      </c>
      <c r="I858" s="49" t="s">
        <v>346</v>
      </c>
      <c r="J858" s="316">
        <v>45743</v>
      </c>
      <c r="K858" s="360">
        <v>45079</v>
      </c>
      <c r="L858" s="363" t="s">
        <v>28</v>
      </c>
      <c r="M858" s="317" t="s">
        <v>1443</v>
      </c>
      <c r="N858" s="317">
        <v>3</v>
      </c>
      <c r="O858" s="322">
        <v>45744</v>
      </c>
      <c r="P858" s="365" t="s">
        <v>30</v>
      </c>
      <c r="Q858" s="364">
        <v>45747</v>
      </c>
      <c r="R858" s="364">
        <v>45747</v>
      </c>
      <c r="S858" s="348"/>
    </row>
    <row r="859" spans="1:19" ht="25.5" hidden="1" x14ac:dyDescent="0.25">
      <c r="A859" s="359">
        <v>0</v>
      </c>
      <c r="B859" s="49" t="s">
        <v>1484</v>
      </c>
      <c r="C859" s="49" t="s">
        <v>1437</v>
      </c>
      <c r="D859" s="49"/>
      <c r="E859" s="49">
        <v>181825</v>
      </c>
      <c r="F859" s="378">
        <v>181825460</v>
      </c>
      <c r="G859" s="49" t="s">
        <v>1346</v>
      </c>
      <c r="H859" s="49" t="s">
        <v>1485</v>
      </c>
      <c r="I859" s="49" t="s">
        <v>346</v>
      </c>
      <c r="J859" s="316">
        <v>45743</v>
      </c>
      <c r="K859" s="360">
        <v>45079</v>
      </c>
      <c r="L859" s="363" t="s">
        <v>28</v>
      </c>
      <c r="M859" s="317" t="s">
        <v>1443</v>
      </c>
      <c r="N859" s="317">
        <v>1</v>
      </c>
      <c r="O859" s="322">
        <v>45748</v>
      </c>
      <c r="P859" s="365" t="s">
        <v>30</v>
      </c>
      <c r="Q859" s="364">
        <v>45749</v>
      </c>
      <c r="R859" s="364">
        <v>45749</v>
      </c>
      <c r="S859" s="348"/>
    </row>
    <row r="860" spans="1:19" ht="25.5" x14ac:dyDescent="0.25">
      <c r="A860" s="359">
        <v>0</v>
      </c>
      <c r="B860" s="49" t="s">
        <v>1486</v>
      </c>
      <c r="C860" s="49" t="s">
        <v>1345</v>
      </c>
      <c r="D860" s="49"/>
      <c r="E860" s="49">
        <v>181825</v>
      </c>
      <c r="F860" s="378">
        <v>181825461</v>
      </c>
      <c r="G860" s="49" t="s">
        <v>1487</v>
      </c>
      <c r="H860" s="49" t="s">
        <v>1488</v>
      </c>
      <c r="I860" s="49" t="s">
        <v>1352</v>
      </c>
      <c r="J860" s="316">
        <v>45744</v>
      </c>
      <c r="K860" s="360">
        <v>45079</v>
      </c>
      <c r="L860" s="363" t="s">
        <v>28</v>
      </c>
      <c r="M860" s="317" t="s">
        <v>1353</v>
      </c>
      <c r="N860" s="317">
        <v>3</v>
      </c>
      <c r="O860" s="322">
        <v>45751</v>
      </c>
      <c r="P860" s="365" t="s">
        <v>30</v>
      </c>
      <c r="Q860" s="364">
        <v>45754</v>
      </c>
      <c r="R860" s="364">
        <v>45754</v>
      </c>
      <c r="S860" s="348"/>
    </row>
    <row r="861" spans="1:19" ht="25.5" x14ac:dyDescent="0.25">
      <c r="A861" s="359">
        <v>0</v>
      </c>
      <c r="B861" s="49" t="s">
        <v>1489</v>
      </c>
      <c r="C861" s="49" t="s">
        <v>1345</v>
      </c>
      <c r="D861" s="49"/>
      <c r="E861" s="49">
        <v>181825</v>
      </c>
      <c r="F861" s="49"/>
      <c r="G861" s="49"/>
      <c r="H861" s="49"/>
      <c r="I861" s="49"/>
      <c r="J861" s="316"/>
      <c r="K861" s="360">
        <v>45079</v>
      </c>
      <c r="L861" s="363"/>
      <c r="M861" s="317"/>
      <c r="N861" s="317"/>
      <c r="O861" s="322"/>
      <c r="P861" s="365"/>
      <c r="Q861" s="364"/>
      <c r="R861" s="364"/>
      <c r="S861" s="348"/>
    </row>
    <row r="862" spans="1:19" ht="25.5" x14ac:dyDescent="0.25">
      <c r="A862" s="359">
        <v>0</v>
      </c>
      <c r="B862" s="49" t="s">
        <v>1490</v>
      </c>
      <c r="C862" s="49" t="s">
        <v>1345</v>
      </c>
      <c r="D862" s="49"/>
      <c r="E862" s="49">
        <v>181825</v>
      </c>
      <c r="F862" s="378">
        <v>181825462</v>
      </c>
      <c r="G862" s="49" t="s">
        <v>147</v>
      </c>
      <c r="H862" s="49" t="s">
        <v>1491</v>
      </c>
      <c r="I862" s="49" t="s">
        <v>346</v>
      </c>
      <c r="J862" s="316">
        <v>45744</v>
      </c>
      <c r="K862" s="360">
        <v>45079</v>
      </c>
      <c r="L862" s="363" t="s">
        <v>28</v>
      </c>
      <c r="M862" s="317" t="s">
        <v>1359</v>
      </c>
      <c r="N862" s="317">
        <v>1</v>
      </c>
      <c r="O862" s="322">
        <v>45749</v>
      </c>
      <c r="P862" s="365" t="s">
        <v>30</v>
      </c>
      <c r="Q862" s="364">
        <v>45749</v>
      </c>
      <c r="R862" s="364">
        <v>45749</v>
      </c>
      <c r="S862" s="348"/>
    </row>
    <row r="863" spans="1:19" ht="25.5" x14ac:dyDescent="0.25">
      <c r="A863" s="359">
        <v>0</v>
      </c>
      <c r="B863" s="49" t="s">
        <v>1492</v>
      </c>
      <c r="C863" s="49" t="s">
        <v>1345</v>
      </c>
      <c r="D863" s="49"/>
      <c r="E863" s="49">
        <v>181825</v>
      </c>
      <c r="F863" s="378">
        <v>181825463</v>
      </c>
      <c r="G863" s="49" t="s">
        <v>1493</v>
      </c>
      <c r="H863" s="49" t="s">
        <v>1494</v>
      </c>
      <c r="I863" s="49" t="s">
        <v>1495</v>
      </c>
      <c r="J863" s="316">
        <v>45748</v>
      </c>
      <c r="K863" s="360">
        <v>45079</v>
      </c>
      <c r="L863" s="363" t="s">
        <v>28</v>
      </c>
      <c r="M863" s="317" t="s">
        <v>1496</v>
      </c>
      <c r="N863" s="317">
        <v>7</v>
      </c>
      <c r="O863" s="322">
        <v>45750</v>
      </c>
      <c r="P863" s="365" t="s">
        <v>30</v>
      </c>
      <c r="Q863" s="364">
        <v>45751</v>
      </c>
      <c r="R863" s="364">
        <v>45751</v>
      </c>
      <c r="S863" s="348"/>
    </row>
    <row r="864" spans="1:19" ht="25.5" x14ac:dyDescent="0.25">
      <c r="A864" s="359">
        <v>0</v>
      </c>
      <c r="B864" s="49" t="s">
        <v>1497</v>
      </c>
      <c r="C864" s="49" t="s">
        <v>1345</v>
      </c>
      <c r="D864" s="49"/>
      <c r="E864" s="49">
        <v>181825</v>
      </c>
      <c r="F864" s="378">
        <v>181825464</v>
      </c>
      <c r="G864" s="49" t="s">
        <v>147</v>
      </c>
      <c r="H864" s="49" t="s">
        <v>1498</v>
      </c>
      <c r="I864" s="49" t="s">
        <v>1499</v>
      </c>
      <c r="J864" s="316">
        <v>45748</v>
      </c>
      <c r="K864" s="360">
        <v>45079</v>
      </c>
      <c r="L864" s="363" t="s">
        <v>28</v>
      </c>
      <c r="M864" s="317" t="s">
        <v>1500</v>
      </c>
      <c r="N864" s="317">
        <v>2</v>
      </c>
      <c r="O864" s="322">
        <v>45754</v>
      </c>
      <c r="P864" s="365" t="s">
        <v>30</v>
      </c>
      <c r="Q864" s="364">
        <v>45755</v>
      </c>
      <c r="R864" s="364">
        <v>45755</v>
      </c>
      <c r="S864" s="348"/>
    </row>
    <row r="865" spans="1:19" ht="25.5" x14ac:dyDescent="0.25">
      <c r="A865" s="359">
        <v>0</v>
      </c>
      <c r="B865" s="49" t="s">
        <v>1501</v>
      </c>
      <c r="C865" s="49" t="s">
        <v>1345</v>
      </c>
      <c r="D865" s="49"/>
      <c r="E865" s="49">
        <v>181825</v>
      </c>
      <c r="F865" s="378">
        <v>181825469</v>
      </c>
      <c r="G865" s="49" t="s">
        <v>1502</v>
      </c>
      <c r="H865" s="49" t="s">
        <v>1503</v>
      </c>
      <c r="I865" s="49" t="s">
        <v>1504</v>
      </c>
      <c r="J865" s="316">
        <v>45754</v>
      </c>
      <c r="K865" s="360">
        <v>45079</v>
      </c>
      <c r="L865" s="363" t="s">
        <v>28</v>
      </c>
      <c r="M865" s="317" t="s">
        <v>1505</v>
      </c>
      <c r="N865" s="317">
        <v>4</v>
      </c>
      <c r="O865" s="322">
        <v>45758</v>
      </c>
      <c r="P865" s="365" t="s">
        <v>30</v>
      </c>
      <c r="Q865" s="364">
        <v>45758</v>
      </c>
      <c r="R865" s="364">
        <v>45758</v>
      </c>
      <c r="S865" s="348"/>
    </row>
    <row r="866" spans="1:19" ht="25.5" x14ac:dyDescent="0.25">
      <c r="A866" s="359">
        <v>0</v>
      </c>
      <c r="B866" s="49" t="s">
        <v>1506</v>
      </c>
      <c r="C866" s="49" t="s">
        <v>1345</v>
      </c>
      <c r="D866" s="49"/>
      <c r="E866" s="49">
        <v>181825</v>
      </c>
      <c r="F866" s="378">
        <v>181825465</v>
      </c>
      <c r="G866" s="49" t="s">
        <v>1398</v>
      </c>
      <c r="H866" s="49" t="s">
        <v>1507</v>
      </c>
      <c r="I866" s="49" t="s">
        <v>346</v>
      </c>
      <c r="J866" s="316">
        <v>45749</v>
      </c>
      <c r="K866" s="360">
        <v>45079</v>
      </c>
      <c r="L866" s="363" t="s">
        <v>28</v>
      </c>
      <c r="M866" s="317" t="s">
        <v>1363</v>
      </c>
      <c r="N866" s="317">
        <v>1</v>
      </c>
      <c r="O866" s="322">
        <v>45754</v>
      </c>
      <c r="P866" s="365" t="s">
        <v>30</v>
      </c>
      <c r="Q866" s="364">
        <v>45758</v>
      </c>
      <c r="R866" s="364">
        <v>45758</v>
      </c>
      <c r="S866" s="348"/>
    </row>
    <row r="867" spans="1:19" ht="38.25" x14ac:dyDescent="0.25">
      <c r="A867" s="359">
        <v>0</v>
      </c>
      <c r="B867" s="49" t="s">
        <v>1508</v>
      </c>
      <c r="C867" s="49" t="s">
        <v>1345</v>
      </c>
      <c r="D867" s="49"/>
      <c r="E867" s="49">
        <v>181825</v>
      </c>
      <c r="F867" s="378">
        <v>181825466</v>
      </c>
      <c r="G867" s="49" t="s">
        <v>147</v>
      </c>
      <c r="H867" s="49" t="s">
        <v>1509</v>
      </c>
      <c r="I867" s="49" t="s">
        <v>346</v>
      </c>
      <c r="J867" s="316">
        <v>45749</v>
      </c>
      <c r="K867" s="360">
        <v>45079</v>
      </c>
      <c r="L867" s="363" t="s">
        <v>28</v>
      </c>
      <c r="M867" s="317" t="s">
        <v>1412</v>
      </c>
      <c r="N867" s="317">
        <v>2</v>
      </c>
      <c r="O867" s="322">
        <v>45754</v>
      </c>
      <c r="P867" s="365" t="s">
        <v>30</v>
      </c>
      <c r="Q867" s="364">
        <v>45755</v>
      </c>
      <c r="R867" s="364">
        <v>45755</v>
      </c>
      <c r="S867" s="348"/>
    </row>
    <row r="868" spans="1:19" ht="25.5" x14ac:dyDescent="0.25">
      <c r="A868" s="359">
        <v>0</v>
      </c>
      <c r="B868" s="49" t="s">
        <v>1510</v>
      </c>
      <c r="C868" s="49" t="s">
        <v>1345</v>
      </c>
      <c r="D868" s="49"/>
      <c r="E868" s="49">
        <v>181825</v>
      </c>
      <c r="F868" s="49"/>
      <c r="G868" s="49"/>
      <c r="H868" s="49"/>
      <c r="I868" s="49"/>
      <c r="J868" s="316"/>
      <c r="K868" s="360">
        <v>45079</v>
      </c>
      <c r="L868" s="363"/>
      <c r="M868" s="317"/>
      <c r="N868" s="317"/>
      <c r="O868" s="322"/>
      <c r="P868" s="365"/>
      <c r="Q868" s="364"/>
      <c r="R868" s="364"/>
      <c r="S868" s="348"/>
    </row>
    <row r="869" spans="1:19" ht="25.5" x14ac:dyDescent="0.25">
      <c r="A869" s="359">
        <v>0</v>
      </c>
      <c r="B869" s="49" t="s">
        <v>1511</v>
      </c>
      <c r="C869" s="49" t="s">
        <v>1345</v>
      </c>
      <c r="D869" s="49"/>
      <c r="E869" s="49">
        <v>181825</v>
      </c>
      <c r="F869" s="378">
        <v>181825468</v>
      </c>
      <c r="G869" s="49" t="s">
        <v>1512</v>
      </c>
      <c r="H869" s="49" t="s">
        <v>1513</v>
      </c>
      <c r="I869" s="49" t="s">
        <v>1352</v>
      </c>
      <c r="J869" s="316">
        <v>45749</v>
      </c>
      <c r="K869" s="360">
        <v>45079</v>
      </c>
      <c r="L869" s="363" t="s">
        <v>28</v>
      </c>
      <c r="M869" s="317" t="s">
        <v>1514</v>
      </c>
      <c r="N869" s="317">
        <v>1</v>
      </c>
      <c r="O869" s="322">
        <v>45756</v>
      </c>
      <c r="P869" s="365" t="s">
        <v>30</v>
      </c>
      <c r="Q869" s="364">
        <v>45758</v>
      </c>
      <c r="R869" s="364">
        <v>45758</v>
      </c>
      <c r="S869" s="348"/>
    </row>
    <row r="870" spans="1:19" ht="25.5" x14ac:dyDescent="0.25">
      <c r="A870" s="359">
        <v>0</v>
      </c>
      <c r="B870" s="49" t="s">
        <v>1515</v>
      </c>
      <c r="C870" s="49" t="s">
        <v>1345</v>
      </c>
      <c r="D870" s="49"/>
      <c r="E870" s="49">
        <v>181825</v>
      </c>
      <c r="F870" s="378">
        <v>181825467</v>
      </c>
      <c r="G870" s="49" t="s">
        <v>34</v>
      </c>
      <c r="H870" s="49" t="s">
        <v>1516</v>
      </c>
      <c r="I870" s="49" t="s">
        <v>1517</v>
      </c>
      <c r="J870" s="316">
        <v>45749</v>
      </c>
      <c r="K870" s="360">
        <v>45079</v>
      </c>
      <c r="L870" s="363" t="s">
        <v>28</v>
      </c>
      <c r="M870" s="317" t="s">
        <v>1518</v>
      </c>
      <c r="N870" s="317">
        <v>4</v>
      </c>
      <c r="O870" s="322">
        <v>45756</v>
      </c>
      <c r="P870" s="365" t="s">
        <v>30</v>
      </c>
      <c r="Q870" s="364">
        <v>45756</v>
      </c>
      <c r="R870" s="364">
        <v>45756</v>
      </c>
      <c r="S870" s="348"/>
    </row>
    <row r="871" spans="1:19" ht="25.5" x14ac:dyDescent="0.25">
      <c r="A871" s="359">
        <v>0</v>
      </c>
      <c r="B871" s="49" t="s">
        <v>1519</v>
      </c>
      <c r="C871" s="49" t="s">
        <v>1345</v>
      </c>
      <c r="D871" s="49"/>
      <c r="E871" s="49">
        <v>181825</v>
      </c>
      <c r="F871" s="378">
        <v>181825470</v>
      </c>
      <c r="G871" s="49" t="s">
        <v>1520</v>
      </c>
      <c r="H871" s="49" t="s">
        <v>1521</v>
      </c>
      <c r="I871" s="49" t="s">
        <v>346</v>
      </c>
      <c r="J871" s="316">
        <v>45755</v>
      </c>
      <c r="K871" s="360">
        <v>45079</v>
      </c>
      <c r="L871" s="363" t="s">
        <v>28</v>
      </c>
      <c r="M871" s="317" t="s">
        <v>1359</v>
      </c>
      <c r="N871" s="317">
        <v>1</v>
      </c>
      <c r="O871" s="322">
        <v>45757</v>
      </c>
      <c r="P871" s="365" t="s">
        <v>30</v>
      </c>
      <c r="Q871" s="364">
        <v>45761</v>
      </c>
      <c r="R871" s="364">
        <v>45761</v>
      </c>
      <c r="S871" s="348"/>
    </row>
    <row r="872" spans="1:19" ht="25.5" x14ac:dyDescent="0.25">
      <c r="A872" s="359">
        <v>0</v>
      </c>
      <c r="B872" s="49" t="s">
        <v>1522</v>
      </c>
      <c r="C872" s="49" t="s">
        <v>1345</v>
      </c>
      <c r="D872" s="49"/>
      <c r="E872" s="49">
        <v>181825</v>
      </c>
      <c r="F872" s="49"/>
      <c r="G872" s="49"/>
      <c r="H872" s="49"/>
      <c r="I872" s="49"/>
      <c r="J872" s="316"/>
      <c r="K872" s="360">
        <v>45079</v>
      </c>
      <c r="L872" s="363"/>
      <c r="M872" s="317"/>
      <c r="N872" s="317"/>
      <c r="O872" s="322"/>
      <c r="P872" s="365"/>
      <c r="Q872" s="364"/>
      <c r="R872" s="364"/>
      <c r="S872" s="348"/>
    </row>
    <row r="873" spans="1:19" ht="25.5" x14ac:dyDescent="0.25">
      <c r="A873" s="359">
        <v>0</v>
      </c>
      <c r="B873" s="49" t="s">
        <v>1523</v>
      </c>
      <c r="C873" s="49" t="s">
        <v>1345</v>
      </c>
      <c r="D873" s="49" t="s">
        <v>1524</v>
      </c>
      <c r="E873" s="49">
        <v>181825</v>
      </c>
      <c r="F873" s="378">
        <v>181825471</v>
      </c>
      <c r="G873" s="49" t="s">
        <v>1445</v>
      </c>
      <c r="H873" s="49" t="s">
        <v>1451</v>
      </c>
      <c r="I873" s="49" t="s">
        <v>346</v>
      </c>
      <c r="J873" s="316">
        <v>45757</v>
      </c>
      <c r="K873" s="360">
        <v>45079</v>
      </c>
      <c r="L873" s="363" t="s">
        <v>47</v>
      </c>
      <c r="M873" s="317" t="s">
        <v>1366</v>
      </c>
      <c r="N873" s="317">
        <v>2</v>
      </c>
      <c r="O873" s="322">
        <v>45763</v>
      </c>
      <c r="P873" s="365" t="s">
        <v>464</v>
      </c>
      <c r="Q873" s="364">
        <v>45771</v>
      </c>
      <c r="R873" s="364">
        <v>45771</v>
      </c>
      <c r="S873" s="348"/>
    </row>
    <row r="874" spans="1:19" ht="25.5" x14ac:dyDescent="0.25">
      <c r="A874" s="359">
        <v>0</v>
      </c>
      <c r="B874" s="49" t="s">
        <v>1525</v>
      </c>
      <c r="C874" s="49" t="s">
        <v>1345</v>
      </c>
      <c r="D874" s="49"/>
      <c r="E874" s="49">
        <v>181825</v>
      </c>
      <c r="F874" s="378">
        <v>181825472</v>
      </c>
      <c r="G874" s="49" t="s">
        <v>1398</v>
      </c>
      <c r="H874" s="49" t="s">
        <v>1526</v>
      </c>
      <c r="I874" s="49" t="s">
        <v>346</v>
      </c>
      <c r="J874" s="316">
        <v>45757</v>
      </c>
      <c r="K874" s="360">
        <v>45079</v>
      </c>
      <c r="L874" s="363" t="s">
        <v>47</v>
      </c>
      <c r="M874" s="317" t="s">
        <v>1356</v>
      </c>
      <c r="N874" s="317">
        <v>1</v>
      </c>
      <c r="O874" s="322">
        <v>45763</v>
      </c>
      <c r="P874" s="365" t="s">
        <v>464</v>
      </c>
      <c r="Q874" s="364">
        <v>45764</v>
      </c>
      <c r="R874" s="364">
        <v>45764</v>
      </c>
      <c r="S874" s="348"/>
    </row>
    <row r="875" spans="1:19" ht="25.5" x14ac:dyDescent="0.25">
      <c r="A875" s="359">
        <v>0</v>
      </c>
      <c r="B875" s="49" t="s">
        <v>1527</v>
      </c>
      <c r="C875" s="49" t="s">
        <v>1345</v>
      </c>
      <c r="D875" s="49" t="s">
        <v>1524</v>
      </c>
      <c r="E875" s="49">
        <v>181825</v>
      </c>
      <c r="F875" s="378">
        <v>181825473</v>
      </c>
      <c r="G875" s="49" t="s">
        <v>1528</v>
      </c>
      <c r="H875" s="49" t="s">
        <v>1529</v>
      </c>
      <c r="I875" s="49" t="s">
        <v>1530</v>
      </c>
      <c r="J875" s="316">
        <v>45761</v>
      </c>
      <c r="K875" s="360">
        <v>45079</v>
      </c>
      <c r="L875" s="363" t="s">
        <v>28</v>
      </c>
      <c r="M875" s="317" t="s">
        <v>1531</v>
      </c>
      <c r="N875" s="317">
        <v>1</v>
      </c>
      <c r="O875" s="322">
        <v>45770</v>
      </c>
      <c r="P875" s="365" t="s">
        <v>464</v>
      </c>
      <c r="Q875" s="364" t="s">
        <v>1532</v>
      </c>
      <c r="R875" s="364" t="s">
        <v>1532</v>
      </c>
      <c r="S875" s="348"/>
    </row>
    <row r="876" spans="1:19" ht="25.5" x14ac:dyDescent="0.25">
      <c r="A876" s="359">
        <v>0</v>
      </c>
      <c r="B876" s="49" t="s">
        <v>1533</v>
      </c>
      <c r="C876" s="49" t="s">
        <v>1345</v>
      </c>
      <c r="D876" s="49" t="s">
        <v>1534</v>
      </c>
      <c r="E876" s="49">
        <v>181825</v>
      </c>
      <c r="F876" s="378">
        <v>181825474</v>
      </c>
      <c r="G876" s="49" t="s">
        <v>147</v>
      </c>
      <c r="H876" s="49" t="s">
        <v>1535</v>
      </c>
      <c r="I876" s="49" t="s">
        <v>1379</v>
      </c>
      <c r="J876" s="316">
        <v>45762</v>
      </c>
      <c r="K876" s="360">
        <v>45079</v>
      </c>
      <c r="L876" s="363" t="s">
        <v>28</v>
      </c>
      <c r="M876" s="317" t="s">
        <v>1536</v>
      </c>
      <c r="N876" s="317">
        <v>1</v>
      </c>
      <c r="O876" s="322">
        <v>45764</v>
      </c>
      <c r="P876" s="365" t="s">
        <v>464</v>
      </c>
      <c r="Q876" s="364">
        <v>45769</v>
      </c>
      <c r="R876" s="364">
        <v>45769</v>
      </c>
      <c r="S876" s="348"/>
    </row>
    <row r="877" spans="1:19" ht="25.5" x14ac:dyDescent="0.25">
      <c r="A877" s="359">
        <v>0</v>
      </c>
      <c r="B877" s="49" t="s">
        <v>1537</v>
      </c>
      <c r="C877" s="49" t="s">
        <v>1345</v>
      </c>
      <c r="D877" s="49" t="s">
        <v>1524</v>
      </c>
      <c r="E877" s="49">
        <v>181825</v>
      </c>
      <c r="F877" s="378">
        <v>181825477</v>
      </c>
      <c r="G877" s="49" t="s">
        <v>44</v>
      </c>
      <c r="H877" s="49" t="s">
        <v>1538</v>
      </c>
      <c r="I877" s="49" t="s">
        <v>346</v>
      </c>
      <c r="J877" s="316">
        <v>45762</v>
      </c>
      <c r="K877" s="360">
        <v>45079</v>
      </c>
      <c r="L877" s="363" t="s">
        <v>28</v>
      </c>
      <c r="M877" s="317" t="s">
        <v>1359</v>
      </c>
      <c r="N877" s="317">
        <v>2</v>
      </c>
      <c r="O877" s="322">
        <v>45769</v>
      </c>
      <c r="P877" s="365" t="s">
        <v>464</v>
      </c>
      <c r="Q877" s="364">
        <v>45771</v>
      </c>
      <c r="R877" s="364">
        <v>45771</v>
      </c>
      <c r="S877" s="348"/>
    </row>
    <row r="878" spans="1:19" ht="25.5" x14ac:dyDescent="0.25">
      <c r="A878" s="359">
        <v>0</v>
      </c>
      <c r="B878" s="49" t="s">
        <v>1539</v>
      </c>
      <c r="C878" s="49" t="s">
        <v>1345</v>
      </c>
      <c r="D878" s="49" t="s">
        <v>1524</v>
      </c>
      <c r="E878" s="49">
        <v>181825</v>
      </c>
      <c r="F878" s="378">
        <v>181825475</v>
      </c>
      <c r="G878" s="49" t="s">
        <v>1540</v>
      </c>
      <c r="H878" s="49" t="s">
        <v>1541</v>
      </c>
      <c r="I878" s="49" t="s">
        <v>346</v>
      </c>
      <c r="J878" s="316">
        <v>45762</v>
      </c>
      <c r="K878" s="360">
        <v>45079</v>
      </c>
      <c r="L878" s="363" t="s">
        <v>28</v>
      </c>
      <c r="M878" s="317" t="s">
        <v>1366</v>
      </c>
      <c r="N878" s="317">
        <v>2</v>
      </c>
      <c r="O878" s="322">
        <v>45764</v>
      </c>
      <c r="P878" s="365" t="s">
        <v>464</v>
      </c>
      <c r="Q878" s="364">
        <v>45771</v>
      </c>
      <c r="R878" s="364">
        <v>45771</v>
      </c>
      <c r="S878" s="348"/>
    </row>
    <row r="879" spans="1:19" ht="25.5" x14ac:dyDescent="0.25">
      <c r="A879" s="359">
        <v>0</v>
      </c>
      <c r="B879" s="49" t="s">
        <v>1542</v>
      </c>
      <c r="C879" s="49" t="s">
        <v>1345</v>
      </c>
      <c r="D879" s="49" t="s">
        <v>1543</v>
      </c>
      <c r="E879" s="49">
        <v>181825</v>
      </c>
      <c r="F879" s="378">
        <v>181825476</v>
      </c>
      <c r="G879" s="49" t="s">
        <v>1544</v>
      </c>
      <c r="H879" s="49" t="s">
        <v>1545</v>
      </c>
      <c r="I879" s="49" t="s">
        <v>346</v>
      </c>
      <c r="J879" s="316">
        <v>45762</v>
      </c>
      <c r="K879" s="360">
        <v>45079</v>
      </c>
      <c r="L879" s="363" t="s">
        <v>28</v>
      </c>
      <c r="M879" s="317" t="s">
        <v>1363</v>
      </c>
      <c r="N879" s="317">
        <v>2</v>
      </c>
      <c r="O879" s="322">
        <v>45764</v>
      </c>
      <c r="P879" s="365" t="s">
        <v>464</v>
      </c>
      <c r="Q879" s="364">
        <v>45770</v>
      </c>
      <c r="R879" s="364">
        <v>45770</v>
      </c>
      <c r="S879" s="348"/>
    </row>
    <row r="880" spans="1:19" ht="25.5" x14ac:dyDescent="0.25">
      <c r="A880" s="359">
        <v>0</v>
      </c>
      <c r="B880" s="49" t="s">
        <v>1546</v>
      </c>
      <c r="C880" s="49" t="s">
        <v>1345</v>
      </c>
      <c r="D880" s="49"/>
      <c r="E880" s="49">
        <v>181825</v>
      </c>
      <c r="F880" s="378">
        <v>181825478</v>
      </c>
      <c r="G880" s="49" t="s">
        <v>1544</v>
      </c>
      <c r="H880" s="49"/>
      <c r="I880" s="49"/>
      <c r="J880" s="316">
        <v>45763</v>
      </c>
      <c r="K880" s="360">
        <v>45079</v>
      </c>
      <c r="L880" s="363"/>
      <c r="M880" s="317"/>
      <c r="N880" s="317"/>
      <c r="O880" s="322"/>
      <c r="P880" s="365"/>
      <c r="Q880" s="364"/>
      <c r="R880" s="364"/>
      <c r="S880" s="348"/>
    </row>
    <row r="881" spans="1:19" ht="38.25" x14ac:dyDescent="0.25">
      <c r="A881" s="359">
        <v>0</v>
      </c>
      <c r="B881" s="49" t="s">
        <v>1547</v>
      </c>
      <c r="C881" s="49" t="s">
        <v>1345</v>
      </c>
      <c r="D881" s="49"/>
      <c r="E881" s="49">
        <v>181825</v>
      </c>
      <c r="F881" s="378">
        <v>181825480</v>
      </c>
      <c r="G881" s="49" t="s">
        <v>1548</v>
      </c>
      <c r="H881" s="49"/>
      <c r="I881" s="49"/>
      <c r="J881" s="316">
        <v>45763</v>
      </c>
      <c r="K881" s="360">
        <v>45079</v>
      </c>
      <c r="L881" s="363"/>
      <c r="M881" s="317"/>
      <c r="N881" s="317"/>
      <c r="O881" s="322"/>
      <c r="P881" s="365"/>
      <c r="Q881" s="364"/>
      <c r="R881" s="364"/>
      <c r="S881" s="348"/>
    </row>
    <row r="882" spans="1:19" ht="25.5" x14ac:dyDescent="0.25">
      <c r="A882" s="359">
        <v>0</v>
      </c>
      <c r="B882" s="49" t="s">
        <v>1549</v>
      </c>
      <c r="C882" s="49" t="s">
        <v>1345</v>
      </c>
      <c r="D882" s="49"/>
      <c r="E882" s="49">
        <v>181825</v>
      </c>
      <c r="F882" s="378">
        <v>181825483</v>
      </c>
      <c r="G882" s="49" t="s">
        <v>1550</v>
      </c>
      <c r="H882" s="49"/>
      <c r="I882" s="49"/>
      <c r="J882" s="316">
        <v>45769</v>
      </c>
      <c r="K882" s="360">
        <v>45079</v>
      </c>
      <c r="L882" s="363"/>
      <c r="M882" s="317"/>
      <c r="N882" s="317"/>
      <c r="O882" s="322"/>
      <c r="P882" s="365"/>
      <c r="Q882" s="364"/>
      <c r="R882" s="364"/>
      <c r="S882" s="348"/>
    </row>
    <row r="883" spans="1:19" ht="25.5" x14ac:dyDescent="0.25">
      <c r="A883" s="359">
        <v>0</v>
      </c>
      <c r="B883" s="49" t="s">
        <v>1551</v>
      </c>
      <c r="C883" s="49" t="s">
        <v>1345</v>
      </c>
      <c r="D883" s="49"/>
      <c r="E883" s="49">
        <v>181825</v>
      </c>
      <c r="F883" s="378">
        <v>181825481</v>
      </c>
      <c r="G883" s="49" t="s">
        <v>1552</v>
      </c>
      <c r="H883" s="49"/>
      <c r="I883" s="49"/>
      <c r="J883" s="316">
        <v>45764</v>
      </c>
      <c r="K883" s="360">
        <v>45079</v>
      </c>
      <c r="L883" s="363"/>
      <c r="M883" s="317"/>
      <c r="N883" s="317"/>
      <c r="O883" s="322"/>
      <c r="P883" s="365"/>
      <c r="Q883" s="364"/>
      <c r="R883" s="364"/>
      <c r="S883" s="348"/>
    </row>
    <row r="884" spans="1:19" ht="25.5" x14ac:dyDescent="0.25">
      <c r="A884" s="359">
        <v>0</v>
      </c>
      <c r="B884" s="49" t="s">
        <v>1553</v>
      </c>
      <c r="C884" s="49" t="s">
        <v>1345</v>
      </c>
      <c r="D884" s="49" t="s">
        <v>1524</v>
      </c>
      <c r="E884" s="49">
        <v>181825</v>
      </c>
      <c r="F884" s="378">
        <v>181825479</v>
      </c>
      <c r="G884" s="49" t="s">
        <v>1445</v>
      </c>
      <c r="H884" s="49" t="s">
        <v>1554</v>
      </c>
      <c r="I884" s="49" t="s">
        <v>346</v>
      </c>
      <c r="J884" s="316">
        <v>45763</v>
      </c>
      <c r="K884" s="360">
        <v>45079</v>
      </c>
      <c r="L884" s="363" t="s">
        <v>47</v>
      </c>
      <c r="M884" s="317" t="s">
        <v>1555</v>
      </c>
      <c r="N884" s="317">
        <v>1</v>
      </c>
      <c r="O884" s="322">
        <v>45764</v>
      </c>
      <c r="P884" s="365" t="s">
        <v>464</v>
      </c>
      <c r="Q884" s="364">
        <v>45769</v>
      </c>
      <c r="R884" s="364">
        <v>45769</v>
      </c>
      <c r="S884" s="348"/>
    </row>
    <row r="885" spans="1:19" ht="25.5" x14ac:dyDescent="0.25">
      <c r="A885" s="359">
        <v>0</v>
      </c>
      <c r="B885" s="49" t="s">
        <v>1556</v>
      </c>
      <c r="C885" s="49" t="s">
        <v>1345</v>
      </c>
      <c r="D885" s="49"/>
      <c r="E885" s="49">
        <v>181825</v>
      </c>
      <c r="F885" s="378">
        <v>181825482</v>
      </c>
      <c r="G885" s="49" t="s">
        <v>1552</v>
      </c>
      <c r="H885" s="49"/>
      <c r="I885" s="49"/>
      <c r="J885" s="316">
        <v>45764</v>
      </c>
      <c r="K885" s="360">
        <v>45079</v>
      </c>
      <c r="L885" s="363"/>
      <c r="M885" s="317"/>
      <c r="N885" s="317"/>
      <c r="O885" s="322"/>
      <c r="P885" s="365"/>
      <c r="Q885" s="364"/>
      <c r="R885" s="364"/>
      <c r="S885" s="348"/>
    </row>
    <row r="886" spans="1:19" ht="25.5" x14ac:dyDescent="0.25">
      <c r="A886" s="359">
        <v>0</v>
      </c>
      <c r="B886" s="49" t="s">
        <v>1557</v>
      </c>
      <c r="C886" s="49" t="s">
        <v>1345</v>
      </c>
      <c r="D886" s="49"/>
      <c r="E886" s="49">
        <v>181825</v>
      </c>
      <c r="F886" s="378">
        <v>181825484</v>
      </c>
      <c r="G886" s="49" t="s">
        <v>1558</v>
      </c>
      <c r="H886" s="49"/>
      <c r="I886" s="49"/>
      <c r="J886" s="316">
        <v>45770</v>
      </c>
      <c r="K886" s="360">
        <v>45079</v>
      </c>
      <c r="L886" s="363"/>
      <c r="M886" s="317"/>
      <c r="N886" s="317"/>
      <c r="O886" s="322"/>
      <c r="P886" s="365"/>
      <c r="Q886" s="364"/>
      <c r="R886" s="364"/>
      <c r="S886" s="348"/>
    </row>
    <row r="887" spans="1:19" ht="25.5" x14ac:dyDescent="0.25">
      <c r="A887" s="359">
        <v>0</v>
      </c>
      <c r="B887" s="49" t="s">
        <v>1559</v>
      </c>
      <c r="C887" s="49" t="s">
        <v>1345</v>
      </c>
      <c r="D887" s="49"/>
      <c r="E887" s="49">
        <v>181825</v>
      </c>
      <c r="F887" s="378">
        <v>181825485</v>
      </c>
      <c r="G887" s="49" t="s">
        <v>1560</v>
      </c>
      <c r="H887" s="49"/>
      <c r="I887" s="49"/>
      <c r="J887" s="316">
        <v>45771</v>
      </c>
      <c r="K887" s="360">
        <v>45079</v>
      </c>
      <c r="L887" s="363"/>
      <c r="M887" s="317"/>
      <c r="N887" s="317"/>
      <c r="O887" s="322"/>
      <c r="P887" s="365"/>
      <c r="Q887" s="364"/>
      <c r="R887" s="364"/>
      <c r="S887" s="348"/>
    </row>
    <row r="888" spans="1:19" ht="25.5" x14ac:dyDescent="0.25">
      <c r="A888" s="359">
        <v>0</v>
      </c>
      <c r="B888" s="49" t="s">
        <v>1561</v>
      </c>
      <c r="C888" s="49" t="s">
        <v>1345</v>
      </c>
      <c r="D888" s="49"/>
      <c r="E888" s="49">
        <v>181825</v>
      </c>
      <c r="F888" s="49"/>
      <c r="G888" s="49"/>
      <c r="H888" s="49"/>
      <c r="I888" s="49"/>
      <c r="J888" s="316"/>
      <c r="K888" s="360">
        <v>45079</v>
      </c>
      <c r="L888" s="363"/>
      <c r="M888" s="317"/>
      <c r="N888" s="317"/>
      <c r="O888" s="322"/>
      <c r="P888" s="365"/>
      <c r="Q888" s="364"/>
      <c r="R888" s="364"/>
      <c r="S888" s="348"/>
    </row>
    <row r="889" spans="1:19" ht="25.5" x14ac:dyDescent="0.25">
      <c r="A889" s="359">
        <v>0</v>
      </c>
      <c r="B889" s="49" t="s">
        <v>1562</v>
      </c>
      <c r="C889" s="49" t="s">
        <v>1345</v>
      </c>
      <c r="D889" s="49"/>
      <c r="E889" s="49">
        <v>181825</v>
      </c>
      <c r="F889" s="49"/>
      <c r="G889" s="49"/>
      <c r="H889" s="49"/>
      <c r="I889" s="49"/>
      <c r="J889" s="316"/>
      <c r="K889" s="360">
        <v>45079</v>
      </c>
      <c r="L889" s="363"/>
      <c r="M889" s="317"/>
      <c r="N889" s="317"/>
      <c r="O889" s="322"/>
      <c r="P889" s="365"/>
      <c r="Q889" s="364"/>
      <c r="R889" s="364"/>
      <c r="S889" s="348"/>
    </row>
    <row r="890" spans="1:19" ht="25.5" x14ac:dyDescent="0.25">
      <c r="A890" s="359">
        <v>0</v>
      </c>
      <c r="B890" s="49" t="s">
        <v>1563</v>
      </c>
      <c r="C890" s="49" t="s">
        <v>1345</v>
      </c>
      <c r="D890" s="49"/>
      <c r="E890" s="49">
        <v>181825</v>
      </c>
      <c r="F890" s="49"/>
      <c r="G890" s="49"/>
      <c r="H890" s="49"/>
      <c r="I890" s="49"/>
      <c r="J890" s="316"/>
      <c r="K890" s="360">
        <v>45079</v>
      </c>
      <c r="L890" s="363"/>
      <c r="M890" s="317"/>
      <c r="N890" s="317"/>
      <c r="O890" s="322"/>
      <c r="P890" s="365"/>
      <c r="Q890" s="364"/>
      <c r="R890" s="364"/>
      <c r="S890" s="348"/>
    </row>
    <row r="891" spans="1:19" ht="25.5" x14ac:dyDescent="0.25">
      <c r="A891" s="359">
        <v>0</v>
      </c>
      <c r="B891" s="49" t="s">
        <v>1564</v>
      </c>
      <c r="C891" s="49" t="s">
        <v>1345</v>
      </c>
      <c r="D891" s="49"/>
      <c r="E891" s="49">
        <v>181825</v>
      </c>
      <c r="F891" s="49"/>
      <c r="G891" s="49"/>
      <c r="H891" s="49"/>
      <c r="I891" s="49"/>
      <c r="J891" s="316"/>
      <c r="K891" s="360">
        <v>45079</v>
      </c>
      <c r="L891" s="363"/>
      <c r="M891" s="317"/>
      <c r="N891" s="317"/>
      <c r="O891" s="322"/>
      <c r="P891" s="365"/>
      <c r="Q891" s="364"/>
      <c r="R891" s="364"/>
      <c r="S891" s="348"/>
    </row>
    <row r="892" spans="1:19" ht="25.5" x14ac:dyDescent="0.25">
      <c r="A892" s="359">
        <v>0</v>
      </c>
      <c r="B892" s="49" t="s">
        <v>1565</v>
      </c>
      <c r="C892" s="49" t="s">
        <v>1345</v>
      </c>
      <c r="D892" s="49"/>
      <c r="E892" s="49">
        <v>181825</v>
      </c>
      <c r="F892" s="49"/>
      <c r="G892" s="49"/>
      <c r="H892" s="49"/>
      <c r="I892" s="49"/>
      <c r="J892" s="316"/>
      <c r="K892" s="360">
        <v>45079</v>
      </c>
      <c r="L892" s="363"/>
      <c r="M892" s="317"/>
      <c r="N892" s="317"/>
      <c r="O892" s="322"/>
      <c r="P892" s="365"/>
      <c r="Q892" s="364"/>
      <c r="R892" s="364"/>
      <c r="S892" s="348"/>
    </row>
    <row r="893" spans="1:19" ht="25.5" x14ac:dyDescent="0.25">
      <c r="A893" s="359">
        <v>0</v>
      </c>
      <c r="B893" s="49" t="s">
        <v>1566</v>
      </c>
      <c r="C893" s="49" t="s">
        <v>1345</v>
      </c>
      <c r="D893" s="49"/>
      <c r="E893" s="49">
        <v>181825</v>
      </c>
      <c r="F893" s="49"/>
      <c r="G893" s="49"/>
      <c r="H893" s="49"/>
      <c r="I893" s="49"/>
      <c r="J893" s="316"/>
      <c r="K893" s="360">
        <v>45079</v>
      </c>
      <c r="L893" s="363"/>
      <c r="M893" s="317"/>
      <c r="N893" s="317"/>
      <c r="O893" s="322"/>
      <c r="P893" s="365"/>
      <c r="Q893" s="364"/>
      <c r="R893" s="364"/>
      <c r="S893" s="348"/>
    </row>
    <row r="894" spans="1:19" ht="25.5" x14ac:dyDescent="0.25">
      <c r="A894" s="359">
        <v>0</v>
      </c>
      <c r="B894" s="49" t="s">
        <v>1567</v>
      </c>
      <c r="C894" s="49" t="s">
        <v>1345</v>
      </c>
      <c r="D894" s="49"/>
      <c r="E894" s="49">
        <v>181825</v>
      </c>
      <c r="F894" s="49"/>
      <c r="G894" s="49"/>
      <c r="H894" s="49"/>
      <c r="I894" s="49"/>
      <c r="J894" s="316"/>
      <c r="K894" s="360">
        <v>45079</v>
      </c>
      <c r="L894" s="363"/>
      <c r="M894" s="317"/>
      <c r="N894" s="317"/>
      <c r="O894" s="322"/>
      <c r="P894" s="365"/>
      <c r="Q894" s="364"/>
      <c r="R894" s="364"/>
      <c r="S894" s="348"/>
    </row>
    <row r="895" spans="1:19" ht="25.5" x14ac:dyDescent="0.25">
      <c r="A895" s="359">
        <v>0</v>
      </c>
      <c r="B895" s="49" t="s">
        <v>1568</v>
      </c>
      <c r="C895" s="49" t="s">
        <v>1345</v>
      </c>
      <c r="D895" s="49"/>
      <c r="E895" s="49">
        <v>181825</v>
      </c>
      <c r="F895" s="49"/>
      <c r="G895" s="49"/>
      <c r="H895" s="49"/>
      <c r="I895" s="49"/>
      <c r="J895" s="316"/>
      <c r="K895" s="360">
        <v>45079</v>
      </c>
      <c r="L895" s="363"/>
      <c r="M895" s="317"/>
      <c r="N895" s="317"/>
      <c r="O895" s="322"/>
      <c r="P895" s="365"/>
      <c r="Q895" s="364"/>
      <c r="R895" s="364"/>
      <c r="S895" s="348"/>
    </row>
    <row r="896" spans="1:19" ht="25.5" x14ac:dyDescent="0.25">
      <c r="A896" s="359">
        <v>0</v>
      </c>
      <c r="B896" s="49" t="s">
        <v>1569</v>
      </c>
      <c r="C896" s="49" t="s">
        <v>1345</v>
      </c>
      <c r="D896" s="49"/>
      <c r="E896" s="49">
        <v>181825</v>
      </c>
      <c r="F896" s="49"/>
      <c r="G896" s="49"/>
      <c r="H896" s="49"/>
      <c r="I896" s="49"/>
      <c r="J896" s="316"/>
      <c r="K896" s="360">
        <v>45079</v>
      </c>
      <c r="L896" s="363"/>
      <c r="M896" s="317"/>
      <c r="N896" s="317"/>
      <c r="O896" s="322"/>
      <c r="P896" s="365"/>
      <c r="Q896" s="364"/>
      <c r="R896" s="364"/>
      <c r="S896" s="348"/>
    </row>
    <row r="897" spans="1:19" ht="25.5" x14ac:dyDescent="0.25">
      <c r="A897" s="359">
        <v>0</v>
      </c>
      <c r="B897" s="49" t="s">
        <v>1570</v>
      </c>
      <c r="C897" s="49" t="s">
        <v>1345</v>
      </c>
      <c r="D897" s="49"/>
      <c r="E897" s="49">
        <v>181825</v>
      </c>
      <c r="F897" s="49"/>
      <c r="G897" s="49"/>
      <c r="H897" s="49"/>
      <c r="I897" s="49"/>
      <c r="J897" s="316"/>
      <c r="K897" s="360">
        <v>45079</v>
      </c>
      <c r="L897" s="363"/>
      <c r="M897" s="317"/>
      <c r="N897" s="317"/>
      <c r="O897" s="322"/>
      <c r="P897" s="365"/>
      <c r="Q897" s="364"/>
      <c r="R897" s="364"/>
      <c r="S897" s="348"/>
    </row>
    <row r="898" spans="1:19" ht="25.5" x14ac:dyDescent="0.25">
      <c r="A898" s="359">
        <v>0</v>
      </c>
      <c r="B898" s="49" t="s">
        <v>1571</v>
      </c>
      <c r="C898" s="49" t="s">
        <v>1345</v>
      </c>
      <c r="D898" s="49"/>
      <c r="E898" s="49">
        <v>181825</v>
      </c>
      <c r="F898" s="49"/>
      <c r="G898" s="49"/>
      <c r="H898" s="49"/>
      <c r="I898" s="49"/>
      <c r="J898" s="316"/>
      <c r="K898" s="360">
        <v>45079</v>
      </c>
      <c r="L898" s="363"/>
      <c r="M898" s="317"/>
      <c r="N898" s="317"/>
      <c r="O898" s="322"/>
      <c r="P898" s="365"/>
      <c r="Q898" s="364"/>
      <c r="R898" s="364"/>
      <c r="S898" s="348"/>
    </row>
    <row r="899" spans="1:19" ht="25.5" x14ac:dyDescent="0.25">
      <c r="A899" s="359">
        <v>0</v>
      </c>
      <c r="B899" s="49" t="s">
        <v>1572</v>
      </c>
      <c r="C899" s="49" t="s">
        <v>1345</v>
      </c>
      <c r="D899" s="49"/>
      <c r="E899" s="49">
        <v>181825</v>
      </c>
      <c r="F899" s="49"/>
      <c r="G899" s="49"/>
      <c r="H899" s="49"/>
      <c r="I899" s="49"/>
      <c r="J899" s="316"/>
      <c r="K899" s="360">
        <v>45079</v>
      </c>
      <c r="L899" s="363"/>
      <c r="M899" s="317"/>
      <c r="N899" s="317"/>
      <c r="O899" s="322"/>
      <c r="P899" s="365"/>
      <c r="Q899" s="364"/>
      <c r="R899" s="364"/>
      <c r="S899" s="348"/>
    </row>
    <row r="900" spans="1:19" ht="25.5" x14ac:dyDescent="0.25">
      <c r="A900" s="359">
        <v>0</v>
      </c>
      <c r="B900" s="49" t="s">
        <v>1573</v>
      </c>
      <c r="C900" s="49" t="s">
        <v>1345</v>
      </c>
      <c r="D900" s="49"/>
      <c r="E900" s="49">
        <v>181825</v>
      </c>
      <c r="F900" s="49"/>
      <c r="G900" s="49"/>
      <c r="H900" s="49"/>
      <c r="I900" s="49"/>
      <c r="J900" s="316"/>
      <c r="K900" s="360">
        <v>45079</v>
      </c>
      <c r="L900" s="363"/>
      <c r="M900" s="317"/>
      <c r="N900" s="317"/>
      <c r="O900" s="322"/>
      <c r="P900" s="365"/>
      <c r="Q900" s="364"/>
      <c r="R900" s="364"/>
      <c r="S900" s="348"/>
    </row>
    <row r="901" spans="1:19" ht="25.5" x14ac:dyDescent="0.25">
      <c r="A901" s="359">
        <v>0</v>
      </c>
      <c r="B901" s="49" t="s">
        <v>1574</v>
      </c>
      <c r="C901" s="49" t="s">
        <v>1345</v>
      </c>
      <c r="D901" s="49"/>
      <c r="E901" s="49">
        <v>181825</v>
      </c>
      <c r="F901" s="49"/>
      <c r="G901" s="49"/>
      <c r="H901" s="49"/>
      <c r="I901" s="49"/>
      <c r="J901" s="316"/>
      <c r="K901" s="360">
        <v>45079</v>
      </c>
      <c r="L901" s="363"/>
      <c r="M901" s="317"/>
      <c r="N901" s="317"/>
      <c r="O901" s="322"/>
      <c r="P901" s="365"/>
      <c r="Q901" s="364"/>
      <c r="R901" s="364"/>
      <c r="S901" s="348"/>
    </row>
    <row r="902" spans="1:19" ht="25.5" x14ac:dyDescent="0.25">
      <c r="A902" s="359">
        <v>0</v>
      </c>
      <c r="B902" s="49" t="s">
        <v>1575</v>
      </c>
      <c r="C902" s="49" t="s">
        <v>1345</v>
      </c>
      <c r="D902" s="49"/>
      <c r="E902" s="49">
        <v>181825</v>
      </c>
      <c r="F902" s="49"/>
      <c r="G902" s="49"/>
      <c r="H902" s="49"/>
      <c r="I902" s="49"/>
      <c r="J902" s="316"/>
      <c r="K902" s="360">
        <v>45079</v>
      </c>
      <c r="L902" s="363"/>
      <c r="M902" s="317"/>
      <c r="N902" s="317"/>
      <c r="O902" s="322"/>
      <c r="P902" s="365"/>
      <c r="Q902" s="364"/>
      <c r="R902" s="364"/>
      <c r="S902" s="348"/>
    </row>
    <row r="903" spans="1:19" ht="25.5" x14ac:dyDescent="0.25">
      <c r="A903" s="359">
        <v>0</v>
      </c>
      <c r="B903" s="49" t="s">
        <v>1576</v>
      </c>
      <c r="C903" s="49" t="s">
        <v>1345</v>
      </c>
      <c r="D903" s="49"/>
      <c r="E903" s="49">
        <v>181825</v>
      </c>
      <c r="F903" s="49"/>
      <c r="G903" s="49"/>
      <c r="H903" s="49"/>
      <c r="I903" s="49"/>
      <c r="J903" s="316"/>
      <c r="K903" s="360">
        <v>45079</v>
      </c>
      <c r="L903" s="363"/>
      <c r="M903" s="317"/>
      <c r="N903" s="317"/>
      <c r="O903" s="322"/>
      <c r="P903" s="365"/>
      <c r="Q903" s="364"/>
      <c r="R903" s="364"/>
      <c r="S903" s="348"/>
    </row>
    <row r="904" spans="1:19" ht="25.5" x14ac:dyDescent="0.25">
      <c r="A904" s="359">
        <v>0</v>
      </c>
      <c r="B904" s="49" t="s">
        <v>1577</v>
      </c>
      <c r="C904" s="49" t="s">
        <v>1345</v>
      </c>
      <c r="D904" s="49"/>
      <c r="E904" s="49">
        <v>181825</v>
      </c>
      <c r="F904" s="49"/>
      <c r="G904" s="49"/>
      <c r="H904" s="49"/>
      <c r="I904" s="49"/>
      <c r="J904" s="316"/>
      <c r="K904" s="360">
        <v>45079</v>
      </c>
      <c r="L904" s="363"/>
      <c r="M904" s="317"/>
      <c r="N904" s="317"/>
      <c r="O904" s="322"/>
      <c r="P904" s="365"/>
      <c r="Q904" s="364"/>
      <c r="R904" s="364"/>
      <c r="S904" s="348"/>
    </row>
    <row r="905" spans="1:19" ht="25.5" x14ac:dyDescent="0.25">
      <c r="A905" s="359">
        <v>0</v>
      </c>
      <c r="B905" s="49" t="s">
        <v>1578</v>
      </c>
      <c r="C905" s="49" t="s">
        <v>1345</v>
      </c>
      <c r="D905" s="49"/>
      <c r="E905" s="49">
        <v>181825</v>
      </c>
      <c r="F905" s="49"/>
      <c r="G905" s="49"/>
      <c r="H905" s="49"/>
      <c r="I905" s="49"/>
      <c r="J905" s="316"/>
      <c r="K905" s="360">
        <v>45079</v>
      </c>
      <c r="L905" s="363"/>
      <c r="M905" s="317"/>
      <c r="N905" s="317"/>
      <c r="O905" s="322"/>
      <c r="P905" s="365"/>
      <c r="Q905" s="364"/>
      <c r="R905" s="364"/>
      <c r="S905" s="348"/>
    </row>
    <row r="906" spans="1:19" ht="25.5" x14ac:dyDescent="0.25">
      <c r="A906" s="359">
        <v>0</v>
      </c>
      <c r="B906" s="49" t="s">
        <v>1579</v>
      </c>
      <c r="C906" s="49" t="s">
        <v>1345</v>
      </c>
      <c r="D906" s="49"/>
      <c r="E906" s="49">
        <v>181825</v>
      </c>
      <c r="F906" s="49"/>
      <c r="G906" s="49"/>
      <c r="H906" s="49"/>
      <c r="I906" s="49"/>
      <c r="J906" s="316"/>
      <c r="K906" s="360">
        <v>45079</v>
      </c>
      <c r="L906" s="363"/>
      <c r="M906" s="317"/>
      <c r="N906" s="317"/>
      <c r="O906" s="322"/>
      <c r="P906" s="365"/>
      <c r="Q906" s="364"/>
      <c r="R906" s="364"/>
      <c r="S906" s="348"/>
    </row>
    <row r="907" spans="1:19" ht="25.5" x14ac:dyDescent="0.25">
      <c r="A907" s="359">
        <v>0</v>
      </c>
      <c r="B907" s="49" t="s">
        <v>1580</v>
      </c>
      <c r="C907" s="49" t="s">
        <v>1345</v>
      </c>
      <c r="D907" s="49"/>
      <c r="E907" s="49">
        <v>181825</v>
      </c>
      <c r="F907" s="49"/>
      <c r="G907" s="49"/>
      <c r="H907" s="49"/>
      <c r="I907" s="49"/>
      <c r="J907" s="316"/>
      <c r="K907" s="360">
        <v>45079</v>
      </c>
      <c r="L907" s="363"/>
      <c r="M907" s="317"/>
      <c r="N907" s="317"/>
      <c r="O907" s="322"/>
      <c r="P907" s="365"/>
      <c r="Q907" s="364"/>
      <c r="R907" s="364"/>
      <c r="S907" s="348"/>
    </row>
    <row r="908" spans="1:19" ht="25.5" x14ac:dyDescent="0.25">
      <c r="A908" s="359">
        <v>0</v>
      </c>
      <c r="B908" s="49" t="s">
        <v>1581</v>
      </c>
      <c r="C908" s="49" t="s">
        <v>1345</v>
      </c>
      <c r="D908" s="49"/>
      <c r="E908" s="49">
        <v>181825</v>
      </c>
      <c r="F908" s="49"/>
      <c r="G908" s="49"/>
      <c r="H908" s="49"/>
      <c r="I908" s="49"/>
      <c r="J908" s="316"/>
      <c r="K908" s="360">
        <v>45079</v>
      </c>
      <c r="L908" s="363"/>
      <c r="M908" s="317"/>
      <c r="N908" s="317"/>
      <c r="O908" s="322"/>
      <c r="P908" s="365"/>
      <c r="Q908" s="364"/>
      <c r="R908" s="364"/>
      <c r="S908" s="348"/>
    </row>
    <row r="909" spans="1:19" ht="25.5" x14ac:dyDescent="0.25">
      <c r="A909" s="359">
        <v>0</v>
      </c>
      <c r="B909" s="49" t="s">
        <v>1582</v>
      </c>
      <c r="C909" s="49" t="s">
        <v>1345</v>
      </c>
      <c r="D909" s="49"/>
      <c r="E909" s="49">
        <v>181825</v>
      </c>
      <c r="F909" s="49"/>
      <c r="G909" s="49"/>
      <c r="H909" s="49"/>
      <c r="I909" s="49"/>
      <c r="J909" s="316"/>
      <c r="K909" s="360">
        <v>45079</v>
      </c>
      <c r="L909" s="363"/>
      <c r="M909" s="317"/>
      <c r="N909" s="317"/>
      <c r="O909" s="322"/>
      <c r="P909" s="365"/>
      <c r="Q909" s="364"/>
      <c r="R909" s="364"/>
      <c r="S909" s="348"/>
    </row>
    <row r="910" spans="1:19" ht="25.5" x14ac:dyDescent="0.25">
      <c r="A910" s="359">
        <v>0</v>
      </c>
      <c r="B910" s="49" t="s">
        <v>1583</v>
      </c>
      <c r="C910" s="49" t="s">
        <v>1345</v>
      </c>
      <c r="D910" s="49"/>
      <c r="E910" s="49">
        <v>181825</v>
      </c>
      <c r="F910" s="49"/>
      <c r="G910" s="49"/>
      <c r="H910" s="49"/>
      <c r="I910" s="49"/>
      <c r="J910" s="316"/>
      <c r="K910" s="360">
        <v>45079</v>
      </c>
      <c r="L910" s="363"/>
      <c r="M910" s="317"/>
      <c r="N910" s="317"/>
      <c r="O910" s="322"/>
      <c r="P910" s="365"/>
      <c r="Q910" s="364"/>
      <c r="R910" s="364"/>
      <c r="S910" s="348"/>
    </row>
    <row r="911" spans="1:19" ht="25.5" x14ac:dyDescent="0.25">
      <c r="A911" s="359">
        <v>0</v>
      </c>
      <c r="B911" s="49" t="s">
        <v>1584</v>
      </c>
      <c r="C911" s="49" t="s">
        <v>1345</v>
      </c>
      <c r="D911" s="49"/>
      <c r="E911" s="49">
        <v>181825</v>
      </c>
      <c r="F911" s="49"/>
      <c r="G911" s="49"/>
      <c r="H911" s="49"/>
      <c r="I911" s="49"/>
      <c r="J911" s="316"/>
      <c r="K911" s="360">
        <v>45079</v>
      </c>
      <c r="L911" s="363"/>
      <c r="M911" s="317"/>
      <c r="N911" s="317"/>
      <c r="O911" s="322"/>
      <c r="P911" s="365"/>
      <c r="Q911" s="364"/>
      <c r="R911" s="364"/>
      <c r="S911" s="348"/>
    </row>
    <row r="912" spans="1:19" ht="25.5" x14ac:dyDescent="0.25">
      <c r="A912" s="359">
        <v>0</v>
      </c>
      <c r="B912" s="49" t="s">
        <v>1585</v>
      </c>
      <c r="C912" s="49" t="s">
        <v>1345</v>
      </c>
      <c r="D912" s="49"/>
      <c r="E912" s="49">
        <v>181825</v>
      </c>
      <c r="F912" s="49"/>
      <c r="G912" s="49"/>
      <c r="H912" s="49"/>
      <c r="I912" s="49"/>
      <c r="J912" s="316"/>
      <c r="K912" s="360">
        <v>45079</v>
      </c>
      <c r="L912" s="363"/>
      <c r="M912" s="317"/>
      <c r="N912" s="317"/>
      <c r="O912" s="322"/>
      <c r="P912" s="365"/>
      <c r="Q912" s="364"/>
      <c r="R912" s="364"/>
      <c r="S912" s="348"/>
    </row>
    <row r="913" spans="1:19" ht="25.5" x14ac:dyDescent="0.25">
      <c r="A913" s="359">
        <v>0</v>
      </c>
      <c r="B913" s="49" t="s">
        <v>1586</v>
      </c>
      <c r="C913" s="49" t="s">
        <v>1345</v>
      </c>
      <c r="D913" s="49"/>
      <c r="E913" s="49">
        <v>181825</v>
      </c>
      <c r="F913" s="49"/>
      <c r="G913" s="49"/>
      <c r="H913" s="49"/>
      <c r="I913" s="49"/>
      <c r="J913" s="316"/>
      <c r="K913" s="360">
        <v>45079</v>
      </c>
      <c r="L913" s="363"/>
      <c r="M913" s="317"/>
      <c r="N913" s="317"/>
      <c r="O913" s="322"/>
      <c r="P913" s="365"/>
      <c r="Q913" s="364"/>
      <c r="R913" s="364"/>
      <c r="S913" s="348"/>
    </row>
    <row r="914" spans="1:19" ht="25.5" x14ac:dyDescent="0.25">
      <c r="A914" s="359">
        <v>0</v>
      </c>
      <c r="B914" s="49" t="s">
        <v>1587</v>
      </c>
      <c r="C914" s="49" t="s">
        <v>1345</v>
      </c>
      <c r="D914" s="49"/>
      <c r="E914" s="49">
        <v>181825</v>
      </c>
      <c r="F914" s="49"/>
      <c r="G914" s="49"/>
      <c r="H914" s="49"/>
      <c r="I914" s="49"/>
      <c r="J914" s="316"/>
      <c r="K914" s="360">
        <v>45079</v>
      </c>
      <c r="L914" s="363"/>
      <c r="M914" s="317"/>
      <c r="N914" s="317"/>
      <c r="O914" s="322"/>
      <c r="P914" s="365"/>
      <c r="Q914" s="364"/>
      <c r="R914" s="364"/>
      <c r="S914" s="348"/>
    </row>
    <row r="915" spans="1:19" ht="25.5" x14ac:dyDescent="0.25">
      <c r="A915" s="359">
        <v>0</v>
      </c>
      <c r="B915" s="49" t="s">
        <v>1588</v>
      </c>
      <c r="C915" s="49" t="s">
        <v>1345</v>
      </c>
      <c r="D915" s="49"/>
      <c r="E915" s="49">
        <v>181825</v>
      </c>
      <c r="F915" s="49"/>
      <c r="G915" s="49"/>
      <c r="H915" s="49"/>
      <c r="I915" s="49"/>
      <c r="J915" s="316"/>
      <c r="K915" s="360">
        <v>45079</v>
      </c>
      <c r="L915" s="363"/>
      <c r="M915" s="317"/>
      <c r="N915" s="317"/>
      <c r="O915" s="322"/>
      <c r="P915" s="365"/>
      <c r="Q915" s="364"/>
      <c r="R915" s="364"/>
      <c r="S915" s="348"/>
    </row>
    <row r="916" spans="1:19" ht="25.5" x14ac:dyDescent="0.25">
      <c r="A916" s="359">
        <v>0</v>
      </c>
      <c r="B916" s="49" t="s">
        <v>1589</v>
      </c>
      <c r="C916" s="49" t="s">
        <v>1345</v>
      </c>
      <c r="D916" s="49"/>
      <c r="E916" s="49">
        <v>181825</v>
      </c>
      <c r="F916" s="49"/>
      <c r="G916" s="49"/>
      <c r="H916" s="49"/>
      <c r="I916" s="49"/>
      <c r="J916" s="316"/>
      <c r="K916" s="360">
        <v>45079</v>
      </c>
      <c r="L916" s="363"/>
      <c r="M916" s="317"/>
      <c r="N916" s="317"/>
      <c r="O916" s="322"/>
      <c r="P916" s="365"/>
      <c r="Q916" s="364"/>
      <c r="R916" s="364"/>
      <c r="S916" s="348"/>
    </row>
    <row r="917" spans="1:19" ht="25.5" x14ac:dyDescent="0.25">
      <c r="A917" s="359">
        <v>0</v>
      </c>
      <c r="B917" s="49" t="s">
        <v>1590</v>
      </c>
      <c r="C917" s="49" t="s">
        <v>1345</v>
      </c>
      <c r="D917" s="49"/>
      <c r="E917" s="49">
        <v>181825</v>
      </c>
      <c r="F917" s="49"/>
      <c r="G917" s="49"/>
      <c r="H917" s="49"/>
      <c r="I917" s="49"/>
      <c r="J917" s="316"/>
      <c r="K917" s="360">
        <v>45079</v>
      </c>
      <c r="L917" s="363"/>
      <c r="M917" s="317"/>
      <c r="N917" s="317"/>
      <c r="O917" s="322"/>
      <c r="P917" s="365"/>
      <c r="Q917" s="364"/>
      <c r="R917" s="364"/>
      <c r="S917" s="348"/>
    </row>
    <row r="918" spans="1:19" ht="25.5" x14ac:dyDescent="0.25">
      <c r="A918" s="359">
        <v>0</v>
      </c>
      <c r="B918" s="49" t="s">
        <v>1591</v>
      </c>
      <c r="C918" s="49" t="s">
        <v>1345</v>
      </c>
      <c r="D918" s="49"/>
      <c r="E918" s="49">
        <v>181825</v>
      </c>
      <c r="F918" s="49"/>
      <c r="G918" s="49"/>
      <c r="H918" s="49"/>
      <c r="I918" s="49"/>
      <c r="J918" s="316"/>
      <c r="K918" s="360">
        <v>45079</v>
      </c>
      <c r="L918" s="363"/>
      <c r="M918" s="317"/>
      <c r="N918" s="317"/>
      <c r="O918" s="322"/>
      <c r="P918" s="365"/>
      <c r="Q918" s="364"/>
      <c r="R918" s="364"/>
      <c r="S918" s="348"/>
    </row>
    <row r="919" spans="1:19" ht="25.5" x14ac:dyDescent="0.25">
      <c r="A919" s="359">
        <v>0</v>
      </c>
      <c r="B919" s="49" t="s">
        <v>1592</v>
      </c>
      <c r="C919" s="49" t="s">
        <v>1345</v>
      </c>
      <c r="D919" s="49"/>
      <c r="E919" s="49">
        <v>181825</v>
      </c>
      <c r="F919" s="49"/>
      <c r="G919" s="49"/>
      <c r="H919" s="49"/>
      <c r="I919" s="49"/>
      <c r="J919" s="316"/>
      <c r="K919" s="360">
        <v>45079</v>
      </c>
      <c r="L919" s="363"/>
      <c r="M919" s="317"/>
      <c r="N919" s="317"/>
      <c r="O919" s="322"/>
      <c r="P919" s="365"/>
      <c r="Q919" s="364"/>
      <c r="R919" s="364"/>
      <c r="S919" s="348"/>
    </row>
    <row r="920" spans="1:19" ht="25.5" x14ac:dyDescent="0.25">
      <c r="A920" s="359">
        <v>0</v>
      </c>
      <c r="B920" s="49" t="s">
        <v>1593</v>
      </c>
      <c r="C920" s="49" t="s">
        <v>1345</v>
      </c>
      <c r="D920" s="49"/>
      <c r="E920" s="49">
        <v>181825</v>
      </c>
      <c r="F920" s="49"/>
      <c r="G920" s="49"/>
      <c r="H920" s="49"/>
      <c r="I920" s="49"/>
      <c r="J920" s="316"/>
      <c r="K920" s="360">
        <v>45079</v>
      </c>
      <c r="L920" s="363"/>
      <c r="M920" s="317"/>
      <c r="N920" s="317"/>
      <c r="O920" s="322"/>
      <c r="P920" s="365"/>
      <c r="Q920" s="364"/>
      <c r="R920" s="364"/>
      <c r="S920" s="348"/>
    </row>
    <row r="921" spans="1:19" ht="25.5" x14ac:dyDescent="0.25">
      <c r="A921" s="359">
        <v>0</v>
      </c>
      <c r="B921" s="49" t="s">
        <v>1594</v>
      </c>
      <c r="C921" s="49" t="s">
        <v>1345</v>
      </c>
      <c r="D921" s="49"/>
      <c r="E921" s="49">
        <v>181825</v>
      </c>
      <c r="F921" s="49"/>
      <c r="G921" s="49"/>
      <c r="H921" s="49"/>
      <c r="I921" s="49"/>
      <c r="J921" s="316"/>
      <c r="K921" s="360">
        <v>45079</v>
      </c>
      <c r="L921" s="363"/>
      <c r="M921" s="317"/>
      <c r="N921" s="317"/>
      <c r="O921" s="322"/>
      <c r="P921" s="365"/>
      <c r="Q921" s="364"/>
      <c r="R921" s="364"/>
      <c r="S921" s="348"/>
    </row>
    <row r="922" spans="1:19" ht="25.5" x14ac:dyDescent="0.25">
      <c r="A922" s="359">
        <v>0</v>
      </c>
      <c r="B922" s="49" t="s">
        <v>1595</v>
      </c>
      <c r="C922" s="49" t="s">
        <v>1345</v>
      </c>
      <c r="D922" s="49"/>
      <c r="E922" s="49">
        <v>181825</v>
      </c>
      <c r="F922" s="49"/>
      <c r="G922" s="49"/>
      <c r="H922" s="49"/>
      <c r="I922" s="49"/>
      <c r="J922" s="316"/>
      <c r="K922" s="360">
        <v>45079</v>
      </c>
      <c r="L922" s="363"/>
      <c r="M922" s="317"/>
      <c r="N922" s="317"/>
      <c r="O922" s="322"/>
      <c r="P922" s="365"/>
      <c r="Q922" s="364"/>
      <c r="R922" s="364"/>
      <c r="S922" s="348"/>
    </row>
    <row r="923" spans="1:19" ht="25.5" x14ac:dyDescent="0.25">
      <c r="A923" s="359">
        <v>0</v>
      </c>
      <c r="B923" s="49" t="s">
        <v>1596</v>
      </c>
      <c r="C923" s="49" t="s">
        <v>1345</v>
      </c>
      <c r="D923" s="49"/>
      <c r="E923" s="49">
        <v>181825</v>
      </c>
      <c r="F923" s="49"/>
      <c r="G923" s="49"/>
      <c r="H923" s="49"/>
      <c r="I923" s="49"/>
      <c r="J923" s="316"/>
      <c r="K923" s="360">
        <v>45079</v>
      </c>
      <c r="L923" s="363"/>
      <c r="M923" s="317"/>
      <c r="N923" s="317"/>
      <c r="O923" s="322"/>
      <c r="P923" s="365"/>
      <c r="Q923" s="364"/>
      <c r="R923" s="364"/>
      <c r="S923" s="348"/>
    </row>
    <row r="924" spans="1:19" ht="25.5" x14ac:dyDescent="0.25">
      <c r="A924" s="359">
        <v>0</v>
      </c>
      <c r="B924" s="49" t="s">
        <v>1597</v>
      </c>
      <c r="C924" s="49" t="s">
        <v>1345</v>
      </c>
      <c r="D924" s="49"/>
      <c r="E924" s="49">
        <v>181825</v>
      </c>
      <c r="F924" s="49"/>
      <c r="G924" s="49"/>
      <c r="H924" s="49"/>
      <c r="I924" s="49"/>
      <c r="J924" s="316"/>
      <c r="K924" s="360">
        <v>45079</v>
      </c>
      <c r="L924" s="363"/>
      <c r="M924" s="317"/>
      <c r="N924" s="317"/>
      <c r="O924" s="322"/>
      <c r="P924" s="365"/>
      <c r="Q924" s="364"/>
      <c r="R924" s="364"/>
      <c r="S924" s="348"/>
    </row>
    <row r="925" spans="1:19" ht="25.5" x14ac:dyDescent="0.25">
      <c r="A925" s="359">
        <v>0</v>
      </c>
      <c r="B925" s="49" t="s">
        <v>1598</v>
      </c>
      <c r="C925" s="49" t="s">
        <v>1345</v>
      </c>
      <c r="D925" s="49"/>
      <c r="E925" s="49">
        <v>181825</v>
      </c>
      <c r="F925" s="49"/>
      <c r="G925" s="49"/>
      <c r="H925" s="49"/>
      <c r="I925" s="49"/>
      <c r="J925" s="316"/>
      <c r="K925" s="360">
        <v>45079</v>
      </c>
      <c r="L925" s="363"/>
      <c r="M925" s="317"/>
      <c r="N925" s="317"/>
      <c r="O925" s="322"/>
      <c r="P925" s="365"/>
      <c r="Q925" s="364"/>
      <c r="R925" s="364"/>
      <c r="S925" s="348"/>
    </row>
    <row r="926" spans="1:19" ht="25.5" x14ac:dyDescent="0.25">
      <c r="A926" s="359">
        <v>0</v>
      </c>
      <c r="B926" s="49" t="s">
        <v>1599</v>
      </c>
      <c r="C926" s="49" t="s">
        <v>1345</v>
      </c>
      <c r="D926" s="49"/>
      <c r="E926" s="49">
        <v>181825</v>
      </c>
      <c r="F926" s="49"/>
      <c r="G926" s="49"/>
      <c r="H926" s="49"/>
      <c r="I926" s="49"/>
      <c r="J926" s="316"/>
      <c r="K926" s="360">
        <v>45079</v>
      </c>
      <c r="L926" s="363"/>
      <c r="M926" s="317"/>
      <c r="N926" s="317"/>
      <c r="O926" s="322"/>
      <c r="P926" s="365"/>
      <c r="Q926" s="364"/>
      <c r="R926" s="364"/>
      <c r="S926" s="348"/>
    </row>
    <row r="927" spans="1:19" ht="25.5" x14ac:dyDescent="0.25">
      <c r="A927" s="359">
        <v>0</v>
      </c>
      <c r="B927" s="49" t="s">
        <v>1600</v>
      </c>
      <c r="C927" s="49" t="s">
        <v>1345</v>
      </c>
      <c r="D927" s="49"/>
      <c r="E927" s="49">
        <v>181825</v>
      </c>
      <c r="F927" s="49"/>
      <c r="G927" s="49"/>
      <c r="H927" s="49"/>
      <c r="I927" s="49"/>
      <c r="J927" s="316"/>
      <c r="K927" s="360">
        <v>45079</v>
      </c>
      <c r="L927" s="363"/>
      <c r="M927" s="317"/>
      <c r="N927" s="317"/>
      <c r="O927" s="322"/>
      <c r="P927" s="365"/>
      <c r="Q927" s="364"/>
      <c r="R927" s="364"/>
      <c r="S927" s="348"/>
    </row>
    <row r="928" spans="1:19" ht="25.5" x14ac:dyDescent="0.25">
      <c r="A928" s="359">
        <v>0</v>
      </c>
      <c r="B928" s="49" t="s">
        <v>1601</v>
      </c>
      <c r="C928" s="49" t="s">
        <v>1345</v>
      </c>
      <c r="D928" s="49"/>
      <c r="E928" s="49">
        <v>181825</v>
      </c>
      <c r="F928" s="49"/>
      <c r="G928" s="49"/>
      <c r="H928" s="49"/>
      <c r="I928" s="49"/>
      <c r="J928" s="316"/>
      <c r="K928" s="360">
        <v>45079</v>
      </c>
      <c r="L928" s="363"/>
      <c r="M928" s="317"/>
      <c r="N928" s="317"/>
      <c r="O928" s="322"/>
      <c r="P928" s="365"/>
      <c r="Q928" s="364"/>
      <c r="R928" s="364"/>
      <c r="S928" s="348"/>
    </row>
    <row r="929" spans="1:19" ht="25.5" x14ac:dyDescent="0.25">
      <c r="A929" s="359">
        <v>0</v>
      </c>
      <c r="B929" s="49" t="s">
        <v>1602</v>
      </c>
      <c r="C929" s="49" t="s">
        <v>1345</v>
      </c>
      <c r="D929" s="49"/>
      <c r="E929" s="49">
        <v>181825</v>
      </c>
      <c r="F929" s="49"/>
      <c r="G929" s="49"/>
      <c r="H929" s="49"/>
      <c r="I929" s="49"/>
      <c r="J929" s="316"/>
      <c r="K929" s="360">
        <v>45079</v>
      </c>
      <c r="L929" s="363"/>
      <c r="M929" s="317"/>
      <c r="N929" s="317"/>
      <c r="O929" s="322"/>
      <c r="P929" s="365"/>
      <c r="Q929" s="364"/>
      <c r="R929" s="364"/>
      <c r="S929" s="348"/>
    </row>
    <row r="930" spans="1:19" ht="25.5" x14ac:dyDescent="0.25">
      <c r="A930" s="359">
        <v>0</v>
      </c>
      <c r="B930" s="49" t="s">
        <v>1603</v>
      </c>
      <c r="C930" s="49" t="s">
        <v>1345</v>
      </c>
      <c r="D930" s="49"/>
      <c r="E930" s="49">
        <v>181825</v>
      </c>
      <c r="F930" s="49"/>
      <c r="G930" s="49"/>
      <c r="H930" s="49"/>
      <c r="I930" s="49"/>
      <c r="J930" s="316"/>
      <c r="K930" s="360">
        <v>45079</v>
      </c>
      <c r="L930" s="363"/>
      <c r="M930" s="317"/>
      <c r="N930" s="317"/>
      <c r="O930" s="322"/>
      <c r="P930" s="365"/>
      <c r="Q930" s="364"/>
      <c r="R930" s="364"/>
      <c r="S930" s="348"/>
    </row>
    <row r="931" spans="1:19" ht="25.5" x14ac:dyDescent="0.25">
      <c r="A931" s="359">
        <v>0</v>
      </c>
      <c r="B931" s="49" t="s">
        <v>1604</v>
      </c>
      <c r="C931" s="49" t="s">
        <v>1345</v>
      </c>
      <c r="D931" s="49"/>
      <c r="E931" s="49">
        <v>181825</v>
      </c>
      <c r="F931" s="49"/>
      <c r="G931" s="49"/>
      <c r="H931" s="49"/>
      <c r="I931" s="49"/>
      <c r="J931" s="316"/>
      <c r="K931" s="360">
        <v>45079</v>
      </c>
      <c r="L931" s="363"/>
      <c r="M931" s="317"/>
      <c r="N931" s="317"/>
      <c r="O931" s="322"/>
      <c r="P931" s="365"/>
      <c r="Q931" s="364"/>
      <c r="R931" s="364"/>
      <c r="S931" s="348"/>
    </row>
    <row r="932" spans="1:19" ht="25.5" x14ac:dyDescent="0.25">
      <c r="A932" s="359">
        <v>0</v>
      </c>
      <c r="B932" s="49" t="s">
        <v>1605</v>
      </c>
      <c r="C932" s="49" t="s">
        <v>1345</v>
      </c>
      <c r="D932" s="49"/>
      <c r="E932" s="49">
        <v>181825</v>
      </c>
      <c r="F932" s="49"/>
      <c r="G932" s="49"/>
      <c r="H932" s="49"/>
      <c r="I932" s="49"/>
      <c r="J932" s="316"/>
      <c r="K932" s="360">
        <v>45079</v>
      </c>
      <c r="L932" s="363"/>
      <c r="M932" s="317"/>
      <c r="N932" s="317"/>
      <c r="O932" s="322"/>
      <c r="P932" s="365"/>
      <c r="Q932" s="364"/>
      <c r="R932" s="364"/>
      <c r="S932" s="348"/>
    </row>
    <row r="933" spans="1:19" ht="25.5" x14ac:dyDescent="0.25">
      <c r="A933" s="359">
        <v>0</v>
      </c>
      <c r="B933" s="49" t="s">
        <v>1606</v>
      </c>
      <c r="C933" s="49" t="s">
        <v>1345</v>
      </c>
      <c r="D933" s="49"/>
      <c r="E933" s="49">
        <v>181825</v>
      </c>
      <c r="F933" s="49"/>
      <c r="G933" s="49"/>
      <c r="H933" s="49"/>
      <c r="I933" s="49"/>
      <c r="J933" s="316"/>
      <c r="K933" s="360">
        <v>45079</v>
      </c>
      <c r="L933" s="363"/>
      <c r="M933" s="317"/>
      <c r="N933" s="317"/>
      <c r="O933" s="322"/>
      <c r="P933" s="365"/>
      <c r="Q933" s="364"/>
      <c r="R933" s="364"/>
      <c r="S933" s="348"/>
    </row>
    <row r="934" spans="1:19" ht="25.5" x14ac:dyDescent="0.25">
      <c r="A934" s="359">
        <v>0</v>
      </c>
      <c r="B934" s="49" t="s">
        <v>1607</v>
      </c>
      <c r="C934" s="49" t="s">
        <v>1345</v>
      </c>
      <c r="D934" s="49"/>
      <c r="E934" s="49">
        <v>181825</v>
      </c>
      <c r="F934" s="49"/>
      <c r="G934" s="49"/>
      <c r="H934" s="49"/>
      <c r="I934" s="49"/>
      <c r="J934" s="316"/>
      <c r="K934" s="360">
        <v>45079</v>
      </c>
      <c r="L934" s="363"/>
      <c r="M934" s="317"/>
      <c r="N934" s="317"/>
      <c r="O934" s="322"/>
      <c r="P934" s="365"/>
      <c r="Q934" s="364"/>
      <c r="R934" s="364"/>
      <c r="S934" s="348"/>
    </row>
    <row r="935" spans="1:19" ht="25.5" x14ac:dyDescent="0.25">
      <c r="A935" s="359">
        <v>0</v>
      </c>
      <c r="B935" s="49" t="s">
        <v>1608</v>
      </c>
      <c r="C935" s="49" t="s">
        <v>1345</v>
      </c>
      <c r="D935" s="49"/>
      <c r="E935" s="49">
        <v>181825</v>
      </c>
      <c r="F935" s="49"/>
      <c r="G935" s="49"/>
      <c r="H935" s="49"/>
      <c r="I935" s="49"/>
      <c r="J935" s="316"/>
      <c r="K935" s="360">
        <v>45079</v>
      </c>
      <c r="L935" s="363"/>
      <c r="M935" s="317"/>
      <c r="N935" s="317"/>
      <c r="O935" s="322"/>
      <c r="P935" s="365"/>
      <c r="Q935" s="364"/>
      <c r="R935" s="364"/>
      <c r="S935" s="348"/>
    </row>
    <row r="936" spans="1:19" ht="25.5" x14ac:dyDescent="0.25">
      <c r="A936" s="359">
        <v>0</v>
      </c>
      <c r="B936" s="49" t="s">
        <v>1609</v>
      </c>
      <c r="C936" s="49" t="s">
        <v>1345</v>
      </c>
      <c r="D936" s="49"/>
      <c r="E936" s="49">
        <v>181825</v>
      </c>
      <c r="F936" s="49"/>
      <c r="G936" s="49"/>
      <c r="H936" s="49"/>
      <c r="I936" s="49"/>
      <c r="J936" s="316"/>
      <c r="K936" s="360">
        <v>45079</v>
      </c>
      <c r="L936" s="363"/>
      <c r="M936" s="317"/>
      <c r="N936" s="317"/>
      <c r="O936" s="322"/>
      <c r="P936" s="365"/>
      <c r="Q936" s="364"/>
      <c r="R936" s="364"/>
      <c r="S936" s="348"/>
    </row>
    <row r="937" spans="1:19" ht="25.5" x14ac:dyDescent="0.25">
      <c r="A937" s="359">
        <v>0</v>
      </c>
      <c r="B937" s="49" t="s">
        <v>1610</v>
      </c>
      <c r="C937" s="49" t="s">
        <v>1345</v>
      </c>
      <c r="D937" s="49"/>
      <c r="E937" s="49">
        <v>181825</v>
      </c>
      <c r="F937" s="49"/>
      <c r="G937" s="49"/>
      <c r="H937" s="49"/>
      <c r="I937" s="49"/>
      <c r="J937" s="316"/>
      <c r="K937" s="360">
        <v>45079</v>
      </c>
      <c r="L937" s="363"/>
      <c r="M937" s="317"/>
      <c r="N937" s="317"/>
      <c r="O937" s="322"/>
      <c r="P937" s="365"/>
      <c r="Q937" s="364"/>
      <c r="R937" s="364"/>
      <c r="S937" s="348"/>
    </row>
    <row r="938" spans="1:19" ht="25.5" x14ac:dyDescent="0.25">
      <c r="A938" s="359">
        <v>0</v>
      </c>
      <c r="B938" s="49" t="s">
        <v>1611</v>
      </c>
      <c r="C938" s="49" t="s">
        <v>1345</v>
      </c>
      <c r="D938" s="49"/>
      <c r="E938" s="49">
        <v>181825</v>
      </c>
      <c r="F938" s="49"/>
      <c r="G938" s="49"/>
      <c r="H938" s="49"/>
      <c r="I938" s="49"/>
      <c r="J938" s="316"/>
      <c r="K938" s="360">
        <v>45079</v>
      </c>
      <c r="L938" s="363"/>
      <c r="M938" s="317"/>
      <c r="N938" s="317"/>
      <c r="O938" s="322"/>
      <c r="P938" s="365"/>
      <c r="Q938" s="364"/>
      <c r="R938" s="364"/>
      <c r="S938" s="348"/>
    </row>
    <row r="939" spans="1:19" ht="25.5" x14ac:dyDescent="0.25">
      <c r="A939" s="359">
        <v>0</v>
      </c>
      <c r="B939" s="49" t="s">
        <v>1612</v>
      </c>
      <c r="C939" s="49" t="s">
        <v>1345</v>
      </c>
      <c r="D939" s="49"/>
      <c r="E939" s="49">
        <v>181825</v>
      </c>
      <c r="F939" s="49"/>
      <c r="G939" s="49"/>
      <c r="H939" s="49"/>
      <c r="I939" s="49"/>
      <c r="J939" s="316"/>
      <c r="K939" s="360">
        <v>45079</v>
      </c>
      <c r="L939" s="363"/>
      <c r="M939" s="317"/>
      <c r="N939" s="317"/>
      <c r="O939" s="322"/>
      <c r="P939" s="365"/>
      <c r="Q939" s="364"/>
      <c r="R939" s="364"/>
      <c r="S939" s="348"/>
    </row>
    <row r="940" spans="1:19" ht="25.5" x14ac:dyDescent="0.25">
      <c r="A940" s="359">
        <v>0</v>
      </c>
      <c r="B940" s="49" t="s">
        <v>1613</v>
      </c>
      <c r="C940" s="49" t="s">
        <v>1345</v>
      </c>
      <c r="D940" s="49"/>
      <c r="E940" s="49">
        <v>181825</v>
      </c>
      <c r="F940" s="49"/>
      <c r="G940" s="49"/>
      <c r="H940" s="49"/>
      <c r="I940" s="49"/>
      <c r="J940" s="316"/>
      <c r="K940" s="360">
        <v>45079</v>
      </c>
      <c r="L940" s="363"/>
      <c r="M940" s="317"/>
      <c r="N940" s="317"/>
      <c r="O940" s="322"/>
      <c r="P940" s="365"/>
      <c r="Q940" s="364"/>
      <c r="R940" s="364"/>
      <c r="S940" s="348"/>
    </row>
    <row r="941" spans="1:19" ht="25.5" x14ac:dyDescent="0.25">
      <c r="A941" s="359">
        <v>0</v>
      </c>
      <c r="B941" s="49" t="s">
        <v>1614</v>
      </c>
      <c r="C941" s="49" t="s">
        <v>1345</v>
      </c>
      <c r="D941" s="49"/>
      <c r="E941" s="49">
        <v>181825</v>
      </c>
      <c r="F941" s="49"/>
      <c r="G941" s="49"/>
      <c r="H941" s="49"/>
      <c r="I941" s="49"/>
      <c r="J941" s="316"/>
      <c r="K941" s="360">
        <v>45079</v>
      </c>
      <c r="L941" s="363"/>
      <c r="M941" s="317"/>
      <c r="N941" s="317"/>
      <c r="O941" s="322"/>
      <c r="P941" s="365"/>
      <c r="Q941" s="364"/>
      <c r="R941" s="364"/>
      <c r="S941" s="348"/>
    </row>
    <row r="942" spans="1:19" ht="25.5" x14ac:dyDescent="0.25">
      <c r="A942" s="359">
        <v>0</v>
      </c>
      <c r="B942" s="49" t="s">
        <v>1615</v>
      </c>
      <c r="C942" s="49" t="s">
        <v>1345</v>
      </c>
      <c r="D942" s="49"/>
      <c r="E942" s="49">
        <v>181825</v>
      </c>
      <c r="F942" s="49"/>
      <c r="G942" s="49"/>
      <c r="H942" s="49"/>
      <c r="I942" s="49"/>
      <c r="J942" s="316"/>
      <c r="K942" s="360">
        <v>45079</v>
      </c>
      <c r="L942" s="363"/>
      <c r="M942" s="317"/>
      <c r="N942" s="317"/>
      <c r="O942" s="322"/>
      <c r="P942" s="365"/>
      <c r="Q942" s="364"/>
      <c r="R942" s="364"/>
      <c r="S942" s="348"/>
    </row>
    <row r="943" spans="1:19" ht="25.5" x14ac:dyDescent="0.25">
      <c r="A943" s="359">
        <v>0</v>
      </c>
      <c r="B943" s="49" t="s">
        <v>1616</v>
      </c>
      <c r="C943" s="49" t="s">
        <v>1345</v>
      </c>
      <c r="D943" s="49"/>
      <c r="E943" s="49">
        <v>181825</v>
      </c>
      <c r="F943" s="49"/>
      <c r="G943" s="49"/>
      <c r="H943" s="49"/>
      <c r="I943" s="49"/>
      <c r="J943" s="316"/>
      <c r="K943" s="360">
        <v>45079</v>
      </c>
      <c r="L943" s="363"/>
      <c r="M943" s="317"/>
      <c r="N943" s="317"/>
      <c r="O943" s="322"/>
      <c r="P943" s="365"/>
      <c r="Q943" s="364"/>
      <c r="R943" s="364"/>
      <c r="S943" s="348"/>
    </row>
    <row r="944" spans="1:19" ht="25.5" x14ac:dyDescent="0.25">
      <c r="A944" s="359">
        <v>0</v>
      </c>
      <c r="B944" s="49" t="s">
        <v>1617</v>
      </c>
      <c r="C944" s="49" t="s">
        <v>1345</v>
      </c>
      <c r="D944" s="49"/>
      <c r="E944" s="49">
        <v>181825</v>
      </c>
      <c r="F944" s="49"/>
      <c r="G944" s="49"/>
      <c r="H944" s="49"/>
      <c r="I944" s="49"/>
      <c r="J944" s="316"/>
      <c r="K944" s="360">
        <v>45079</v>
      </c>
      <c r="L944" s="363"/>
      <c r="M944" s="317"/>
      <c r="N944" s="317"/>
      <c r="O944" s="322"/>
      <c r="P944" s="365"/>
      <c r="Q944" s="364"/>
      <c r="R944" s="364"/>
      <c r="S944" s="348"/>
    </row>
    <row r="945" spans="1:19" ht="25.5" x14ac:dyDescent="0.25">
      <c r="A945" s="359">
        <v>0</v>
      </c>
      <c r="B945" s="49" t="s">
        <v>1618</v>
      </c>
      <c r="C945" s="49" t="s">
        <v>1345</v>
      </c>
      <c r="D945" s="49"/>
      <c r="E945" s="49">
        <v>181825</v>
      </c>
      <c r="F945" s="49"/>
      <c r="G945" s="49"/>
      <c r="H945" s="49"/>
      <c r="I945" s="49"/>
      <c r="J945" s="316"/>
      <c r="K945" s="360">
        <v>45079</v>
      </c>
      <c r="L945" s="363"/>
      <c r="M945" s="317"/>
      <c r="N945" s="317"/>
      <c r="O945" s="322"/>
      <c r="P945" s="365"/>
      <c r="Q945" s="364"/>
      <c r="R945" s="364"/>
      <c r="S945" s="348"/>
    </row>
    <row r="946" spans="1:19" ht="25.5" x14ac:dyDescent="0.25">
      <c r="A946" s="359">
        <v>0</v>
      </c>
      <c r="B946" s="49" t="s">
        <v>1619</v>
      </c>
      <c r="C946" s="49" t="s">
        <v>1345</v>
      </c>
      <c r="D946" s="49"/>
      <c r="E946" s="49">
        <v>181825</v>
      </c>
      <c r="F946" s="49"/>
      <c r="G946" s="49"/>
      <c r="H946" s="49"/>
      <c r="I946" s="49"/>
      <c r="J946" s="316"/>
      <c r="K946" s="360">
        <v>45079</v>
      </c>
      <c r="L946" s="363"/>
      <c r="M946" s="317"/>
      <c r="N946" s="317"/>
      <c r="O946" s="322"/>
      <c r="P946" s="365"/>
      <c r="Q946" s="364"/>
      <c r="R946" s="364"/>
      <c r="S946" s="348"/>
    </row>
    <row r="947" spans="1:19" ht="25.5" x14ac:dyDescent="0.25">
      <c r="A947" s="359">
        <v>0</v>
      </c>
      <c r="B947" s="49" t="s">
        <v>1620</v>
      </c>
      <c r="C947" s="49" t="s">
        <v>1345</v>
      </c>
      <c r="D947" s="49"/>
      <c r="E947" s="49">
        <v>181825</v>
      </c>
      <c r="F947" s="49"/>
      <c r="G947" s="49"/>
      <c r="H947" s="49"/>
      <c r="I947" s="49"/>
      <c r="J947" s="316"/>
      <c r="K947" s="360">
        <v>45079</v>
      </c>
      <c r="L947" s="363"/>
      <c r="M947" s="317"/>
      <c r="N947" s="317"/>
      <c r="O947" s="322"/>
      <c r="P947" s="365"/>
      <c r="Q947" s="364"/>
      <c r="R947" s="364"/>
      <c r="S947" s="348"/>
    </row>
    <row r="948" spans="1:19" ht="25.5" x14ac:dyDescent="0.25">
      <c r="A948" s="359">
        <v>0</v>
      </c>
      <c r="B948" s="49" t="s">
        <v>1621</v>
      </c>
      <c r="C948" s="49" t="s">
        <v>1345</v>
      </c>
      <c r="D948" s="49"/>
      <c r="E948" s="49">
        <v>181825</v>
      </c>
      <c r="F948" s="49"/>
      <c r="G948" s="49"/>
      <c r="H948" s="49"/>
      <c r="I948" s="49"/>
      <c r="J948" s="316"/>
      <c r="K948" s="360">
        <v>45079</v>
      </c>
      <c r="L948" s="363"/>
      <c r="M948" s="317"/>
      <c r="N948" s="317"/>
      <c r="O948" s="322"/>
      <c r="P948" s="365"/>
      <c r="Q948" s="364"/>
      <c r="R948" s="364"/>
      <c r="S948" s="348"/>
    </row>
    <row r="949" spans="1:19" ht="25.5" x14ac:dyDescent="0.25">
      <c r="A949" s="359">
        <v>0</v>
      </c>
      <c r="B949" s="49" t="s">
        <v>1622</v>
      </c>
      <c r="C949" s="49" t="s">
        <v>1345</v>
      </c>
      <c r="D949" s="49"/>
      <c r="E949" s="49">
        <v>181825</v>
      </c>
      <c r="F949" s="49"/>
      <c r="G949" s="49"/>
      <c r="H949" s="49"/>
      <c r="I949" s="49"/>
      <c r="J949" s="316"/>
      <c r="K949" s="360">
        <v>45079</v>
      </c>
      <c r="L949" s="363"/>
      <c r="M949" s="317"/>
      <c r="N949" s="317"/>
      <c r="O949" s="322"/>
      <c r="P949" s="365"/>
      <c r="Q949" s="364"/>
      <c r="R949" s="364"/>
      <c r="S949" s="348"/>
    </row>
    <row r="950" spans="1:19" ht="25.5" x14ac:dyDescent="0.25">
      <c r="A950" s="359">
        <v>0</v>
      </c>
      <c r="B950" s="49" t="s">
        <v>1623</v>
      </c>
      <c r="C950" s="49" t="s">
        <v>1345</v>
      </c>
      <c r="D950" s="49"/>
      <c r="E950" s="49">
        <v>181825</v>
      </c>
      <c r="F950" s="49"/>
      <c r="G950" s="49"/>
      <c r="H950" s="49"/>
      <c r="I950" s="49"/>
      <c r="J950" s="316"/>
      <c r="K950" s="360">
        <v>45079</v>
      </c>
      <c r="L950" s="363"/>
      <c r="M950" s="317"/>
      <c r="N950" s="317"/>
      <c r="O950" s="322"/>
      <c r="P950" s="365"/>
      <c r="Q950" s="364"/>
      <c r="R950" s="364"/>
      <c r="S950" s="348"/>
    </row>
    <row r="951" spans="1:19" ht="25.5" x14ac:dyDescent="0.25">
      <c r="A951" s="359">
        <v>0</v>
      </c>
      <c r="B951" s="49" t="s">
        <v>1624</v>
      </c>
      <c r="C951" s="49" t="s">
        <v>1345</v>
      </c>
      <c r="D951" s="49"/>
      <c r="E951" s="49">
        <v>181825</v>
      </c>
      <c r="F951" s="49"/>
      <c r="G951" s="49"/>
      <c r="H951" s="49"/>
      <c r="I951" s="49"/>
      <c r="J951" s="316"/>
      <c r="K951" s="360">
        <v>45079</v>
      </c>
      <c r="L951" s="363"/>
      <c r="M951" s="317"/>
      <c r="N951" s="317"/>
      <c r="O951" s="322"/>
      <c r="P951" s="365"/>
      <c r="Q951" s="364"/>
      <c r="R951" s="364"/>
      <c r="S951" s="348"/>
    </row>
    <row r="952" spans="1:19" ht="25.5" x14ac:dyDescent="0.25">
      <c r="A952" s="359">
        <v>0</v>
      </c>
      <c r="B952" s="49" t="s">
        <v>1625</v>
      </c>
      <c r="C952" s="49" t="s">
        <v>1345</v>
      </c>
      <c r="D952" s="49"/>
      <c r="E952" s="49">
        <v>181825</v>
      </c>
      <c r="F952" s="49"/>
      <c r="G952" s="49"/>
      <c r="H952" s="49"/>
      <c r="I952" s="49"/>
      <c r="J952" s="316"/>
      <c r="K952" s="360">
        <v>45079</v>
      </c>
      <c r="L952" s="363"/>
      <c r="M952" s="317"/>
      <c r="N952" s="317"/>
      <c r="O952" s="322"/>
      <c r="P952" s="365"/>
      <c r="Q952" s="364"/>
      <c r="R952" s="364"/>
      <c r="S952" s="348"/>
    </row>
    <row r="953" spans="1:19" ht="25.5" x14ac:dyDescent="0.25">
      <c r="A953" s="359">
        <v>0</v>
      </c>
      <c r="B953" s="49" t="s">
        <v>1626</v>
      </c>
      <c r="C953" s="49" t="s">
        <v>1345</v>
      </c>
      <c r="D953" s="49"/>
      <c r="E953" s="49">
        <v>181825</v>
      </c>
      <c r="F953" s="49"/>
      <c r="G953" s="49"/>
      <c r="H953" s="49"/>
      <c r="I953" s="49"/>
      <c r="J953" s="316"/>
      <c r="K953" s="360">
        <v>45079</v>
      </c>
      <c r="L953" s="363"/>
      <c r="M953" s="317"/>
      <c r="N953" s="317"/>
      <c r="O953" s="322"/>
      <c r="P953" s="365"/>
      <c r="Q953" s="364"/>
      <c r="R953" s="364"/>
      <c r="S953" s="348"/>
    </row>
    <row r="954" spans="1:19" ht="25.5" x14ac:dyDescent="0.25">
      <c r="A954" s="359">
        <v>0</v>
      </c>
      <c r="B954" s="49" t="s">
        <v>1627</v>
      </c>
      <c r="C954" s="49" t="s">
        <v>1345</v>
      </c>
      <c r="D954" s="49"/>
      <c r="E954" s="49">
        <v>181825</v>
      </c>
      <c r="F954" s="49"/>
      <c r="G954" s="49"/>
      <c r="H954" s="49"/>
      <c r="I954" s="49"/>
      <c r="J954" s="316"/>
      <c r="K954" s="360">
        <v>45079</v>
      </c>
      <c r="L954" s="363"/>
      <c r="M954" s="317"/>
      <c r="N954" s="317"/>
      <c r="O954" s="322"/>
      <c r="P954" s="365"/>
      <c r="Q954" s="364"/>
      <c r="R954" s="364"/>
      <c r="S954" s="348"/>
    </row>
    <row r="955" spans="1:19" ht="25.5" x14ac:dyDescent="0.25">
      <c r="A955" s="359">
        <v>0</v>
      </c>
      <c r="B955" s="49" t="s">
        <v>1628</v>
      </c>
      <c r="C955" s="49" t="s">
        <v>1345</v>
      </c>
      <c r="D955" s="49"/>
      <c r="E955" s="49">
        <v>181825</v>
      </c>
      <c r="F955" s="49"/>
      <c r="G955" s="49"/>
      <c r="H955" s="49"/>
      <c r="I955" s="49"/>
      <c r="J955" s="316"/>
      <c r="K955" s="360">
        <v>45079</v>
      </c>
      <c r="L955" s="363"/>
      <c r="M955" s="317"/>
      <c r="N955" s="317"/>
      <c r="O955" s="322"/>
      <c r="P955" s="365"/>
      <c r="Q955" s="364"/>
      <c r="R955" s="364"/>
      <c r="S955" s="348"/>
    </row>
    <row r="956" spans="1:19" ht="25.5" x14ac:dyDescent="0.25">
      <c r="A956" s="359">
        <v>0</v>
      </c>
      <c r="B956" s="49" t="s">
        <v>1629</v>
      </c>
      <c r="C956" s="49" t="s">
        <v>1345</v>
      </c>
      <c r="D956" s="49"/>
      <c r="E956" s="49">
        <v>181825</v>
      </c>
      <c r="F956" s="49"/>
      <c r="G956" s="49"/>
      <c r="H956" s="49"/>
      <c r="I956" s="49"/>
      <c r="J956" s="316"/>
      <c r="K956" s="360">
        <v>45079</v>
      </c>
      <c r="L956" s="363"/>
      <c r="M956" s="317"/>
      <c r="N956" s="317"/>
      <c r="O956" s="322"/>
      <c r="P956" s="365"/>
      <c r="Q956" s="364"/>
      <c r="R956" s="364"/>
      <c r="S956" s="348"/>
    </row>
    <row r="957" spans="1:19" ht="25.5" x14ac:dyDescent="0.25">
      <c r="A957" s="359">
        <v>0</v>
      </c>
      <c r="B957" s="49" t="s">
        <v>1630</v>
      </c>
      <c r="C957" s="49" t="s">
        <v>1345</v>
      </c>
      <c r="D957" s="49"/>
      <c r="E957" s="49">
        <v>181825</v>
      </c>
      <c r="F957" s="49"/>
      <c r="G957" s="49"/>
      <c r="H957" s="49"/>
      <c r="I957" s="49"/>
      <c r="J957" s="316"/>
      <c r="K957" s="360">
        <v>45079</v>
      </c>
      <c r="L957" s="363"/>
      <c r="M957" s="317"/>
      <c r="N957" s="317"/>
      <c r="O957" s="322"/>
      <c r="P957" s="365"/>
      <c r="Q957" s="364"/>
      <c r="R957" s="364"/>
      <c r="S957" s="348"/>
    </row>
    <row r="958" spans="1:19" ht="25.5" x14ac:dyDescent="0.25">
      <c r="A958" s="359">
        <v>0</v>
      </c>
      <c r="B958" s="49" t="s">
        <v>1631</v>
      </c>
      <c r="C958" s="49" t="s">
        <v>1345</v>
      </c>
      <c r="D958" s="49"/>
      <c r="E958" s="49">
        <v>181825</v>
      </c>
      <c r="F958" s="49"/>
      <c r="G958" s="49"/>
      <c r="H958" s="49"/>
      <c r="I958" s="49"/>
      <c r="J958" s="316"/>
      <c r="K958" s="360">
        <v>45079</v>
      </c>
      <c r="L958" s="363"/>
      <c r="M958" s="317"/>
      <c r="N958" s="317"/>
      <c r="O958" s="322"/>
      <c r="P958" s="365"/>
      <c r="Q958" s="364"/>
      <c r="R958" s="364"/>
      <c r="S958" s="348"/>
    </row>
    <row r="959" spans="1:19" ht="25.5" x14ac:dyDescent="0.25">
      <c r="A959" s="359">
        <v>0</v>
      </c>
      <c r="B959" s="49" t="s">
        <v>1632</v>
      </c>
      <c r="C959" s="49" t="s">
        <v>1345</v>
      </c>
      <c r="D959" s="49"/>
      <c r="E959" s="49">
        <v>181825</v>
      </c>
      <c r="F959" s="49"/>
      <c r="G959" s="49"/>
      <c r="H959" s="49"/>
      <c r="I959" s="49"/>
      <c r="J959" s="316"/>
      <c r="K959" s="360">
        <v>45079</v>
      </c>
      <c r="L959" s="363"/>
      <c r="M959" s="317"/>
      <c r="N959" s="317"/>
      <c r="O959" s="322"/>
      <c r="P959" s="365"/>
      <c r="Q959" s="364"/>
      <c r="R959" s="364"/>
      <c r="S959" s="348"/>
    </row>
    <row r="960" spans="1:19" ht="25.5" x14ac:dyDescent="0.25">
      <c r="A960" s="359">
        <v>0</v>
      </c>
      <c r="B960" s="49" t="s">
        <v>1633</v>
      </c>
      <c r="C960" s="49" t="s">
        <v>1345</v>
      </c>
      <c r="D960" s="49"/>
      <c r="E960" s="49">
        <v>181825</v>
      </c>
      <c r="F960" s="49"/>
      <c r="G960" s="49"/>
      <c r="H960" s="49"/>
      <c r="I960" s="49"/>
      <c r="J960" s="316"/>
      <c r="K960" s="360">
        <v>45079</v>
      </c>
      <c r="L960" s="363"/>
      <c r="M960" s="317"/>
      <c r="N960" s="317"/>
      <c r="O960" s="322"/>
      <c r="P960" s="365"/>
      <c r="Q960" s="364"/>
      <c r="R960" s="364"/>
      <c r="S960" s="348"/>
    </row>
    <row r="961" spans="1:19" ht="25.5" x14ac:dyDescent="0.25">
      <c r="A961" s="359">
        <v>0</v>
      </c>
      <c r="B961" s="49" t="s">
        <v>1634</v>
      </c>
      <c r="C961" s="49" t="s">
        <v>1345</v>
      </c>
      <c r="D961" s="49"/>
      <c r="E961" s="49">
        <v>181825</v>
      </c>
      <c r="F961" s="49"/>
      <c r="G961" s="49"/>
      <c r="H961" s="49"/>
      <c r="I961" s="49"/>
      <c r="J961" s="316"/>
      <c r="K961" s="360">
        <v>45079</v>
      </c>
      <c r="L961" s="363"/>
      <c r="M961" s="317"/>
      <c r="N961" s="317"/>
      <c r="O961" s="322"/>
      <c r="P961" s="365"/>
      <c r="Q961" s="364"/>
      <c r="R961" s="364"/>
      <c r="S961" s="348"/>
    </row>
    <row r="962" spans="1:19" ht="25.5" x14ac:dyDescent="0.25">
      <c r="A962" s="359">
        <v>0</v>
      </c>
      <c r="B962" s="49" t="s">
        <v>1635</v>
      </c>
      <c r="C962" s="49" t="s">
        <v>1345</v>
      </c>
      <c r="D962" s="49"/>
      <c r="E962" s="49">
        <v>181825</v>
      </c>
      <c r="F962" s="49"/>
      <c r="G962" s="49"/>
      <c r="H962" s="49"/>
      <c r="I962" s="49"/>
      <c r="J962" s="316"/>
      <c r="K962" s="360">
        <v>45079</v>
      </c>
      <c r="L962" s="363"/>
      <c r="M962" s="317"/>
      <c r="N962" s="317"/>
      <c r="O962" s="322"/>
      <c r="P962" s="365"/>
      <c r="Q962" s="364"/>
      <c r="R962" s="364"/>
      <c r="S962" s="348"/>
    </row>
    <row r="963" spans="1:19" ht="25.5" x14ac:dyDescent="0.25">
      <c r="A963" s="359">
        <v>0</v>
      </c>
      <c r="B963" s="49" t="s">
        <v>1636</v>
      </c>
      <c r="C963" s="49" t="s">
        <v>1345</v>
      </c>
      <c r="D963" s="49"/>
      <c r="E963" s="49">
        <v>181825</v>
      </c>
      <c r="F963" s="49"/>
      <c r="G963" s="49"/>
      <c r="H963" s="49"/>
      <c r="I963" s="49"/>
      <c r="J963" s="316"/>
      <c r="K963" s="360">
        <v>45079</v>
      </c>
      <c r="L963" s="363"/>
      <c r="M963" s="317"/>
      <c r="N963" s="317"/>
      <c r="O963" s="322"/>
      <c r="P963" s="365"/>
      <c r="Q963" s="364"/>
      <c r="R963" s="364"/>
      <c r="S963" s="348"/>
    </row>
    <row r="964" spans="1:19" ht="25.5" x14ac:dyDescent="0.25">
      <c r="A964" s="359">
        <v>0</v>
      </c>
      <c r="B964" s="49" t="s">
        <v>1637</v>
      </c>
      <c r="C964" s="49" t="s">
        <v>1345</v>
      </c>
      <c r="D964" s="49"/>
      <c r="E964" s="49">
        <v>181825</v>
      </c>
      <c r="F964" s="49"/>
      <c r="G964" s="49"/>
      <c r="H964" s="49"/>
      <c r="I964" s="49"/>
      <c r="J964" s="316"/>
      <c r="K964" s="360">
        <v>45079</v>
      </c>
      <c r="L964" s="363"/>
      <c r="M964" s="317"/>
      <c r="N964" s="317"/>
      <c r="O964" s="322"/>
      <c r="P964" s="365"/>
      <c r="Q964" s="364"/>
      <c r="R964" s="364"/>
      <c r="S964" s="348"/>
    </row>
    <row r="965" spans="1:19" ht="25.5" x14ac:dyDescent="0.25">
      <c r="A965" s="359">
        <v>0</v>
      </c>
      <c r="B965" s="49" t="s">
        <v>1638</v>
      </c>
      <c r="C965" s="49" t="s">
        <v>1345</v>
      </c>
      <c r="D965" s="49"/>
      <c r="E965" s="49">
        <v>181825</v>
      </c>
      <c r="F965" s="49"/>
      <c r="G965" s="49"/>
      <c r="H965" s="49"/>
      <c r="I965" s="49"/>
      <c r="J965" s="316"/>
      <c r="K965" s="360">
        <v>45079</v>
      </c>
      <c r="L965" s="363"/>
      <c r="M965" s="317"/>
      <c r="N965" s="317"/>
      <c r="O965" s="322"/>
      <c r="P965" s="365"/>
      <c r="Q965" s="364"/>
      <c r="R965" s="364"/>
      <c r="S965" s="348"/>
    </row>
    <row r="966" spans="1:19" ht="25.5" x14ac:dyDescent="0.25">
      <c r="A966" s="359">
        <v>0</v>
      </c>
      <c r="B966" s="49" t="s">
        <v>1639</v>
      </c>
      <c r="C966" s="49" t="s">
        <v>1345</v>
      </c>
      <c r="D966" s="49"/>
      <c r="E966" s="49">
        <v>181825</v>
      </c>
      <c r="F966" s="49"/>
      <c r="G966" s="49"/>
      <c r="H966" s="49"/>
      <c r="I966" s="49"/>
      <c r="J966" s="316"/>
      <c r="K966" s="360">
        <v>45079</v>
      </c>
      <c r="L966" s="363"/>
      <c r="M966" s="317"/>
      <c r="N966" s="317"/>
      <c r="O966" s="322"/>
      <c r="P966" s="365"/>
      <c r="Q966" s="364"/>
      <c r="R966" s="364"/>
      <c r="S966" s="348"/>
    </row>
    <row r="967" spans="1:19" ht="25.5" x14ac:dyDescent="0.25">
      <c r="A967" s="359">
        <v>0</v>
      </c>
      <c r="B967" s="49" t="s">
        <v>1640</v>
      </c>
      <c r="C967" s="49" t="s">
        <v>1345</v>
      </c>
      <c r="D967" s="49"/>
      <c r="E967" s="49">
        <v>181825</v>
      </c>
      <c r="F967" s="49"/>
      <c r="G967" s="49"/>
      <c r="H967" s="49"/>
      <c r="I967" s="49"/>
      <c r="J967" s="316"/>
      <c r="K967" s="360">
        <v>45079</v>
      </c>
      <c r="L967" s="363"/>
      <c r="M967" s="317"/>
      <c r="N967" s="317"/>
      <c r="O967" s="322"/>
      <c r="P967" s="365"/>
      <c r="Q967" s="364"/>
      <c r="R967" s="364"/>
      <c r="S967" s="348"/>
    </row>
    <row r="968" spans="1:19" ht="25.5" x14ac:dyDescent="0.25">
      <c r="A968" s="359">
        <v>0</v>
      </c>
      <c r="B968" s="49" t="s">
        <v>1641</v>
      </c>
      <c r="C968" s="49" t="s">
        <v>1345</v>
      </c>
      <c r="D968" s="49"/>
      <c r="E968" s="49">
        <v>181825</v>
      </c>
      <c r="F968" s="49"/>
      <c r="G968" s="49"/>
      <c r="H968" s="49"/>
      <c r="I968" s="49"/>
      <c r="J968" s="316"/>
      <c r="K968" s="360">
        <v>45079</v>
      </c>
      <c r="L968" s="363"/>
      <c r="M968" s="317"/>
      <c r="N968" s="317"/>
      <c r="O968" s="322"/>
      <c r="P968" s="365"/>
      <c r="Q968" s="364"/>
      <c r="R968" s="364"/>
      <c r="S968" s="348"/>
    </row>
    <row r="969" spans="1:19" ht="25.5" x14ac:dyDescent="0.25">
      <c r="A969" s="359">
        <v>0</v>
      </c>
      <c r="B969" s="49" t="s">
        <v>1642</v>
      </c>
      <c r="C969" s="49" t="s">
        <v>1345</v>
      </c>
      <c r="D969" s="49"/>
      <c r="E969" s="49">
        <v>181825</v>
      </c>
      <c r="F969" s="49"/>
      <c r="G969" s="49"/>
      <c r="H969" s="49"/>
      <c r="I969" s="49"/>
      <c r="J969" s="316"/>
      <c r="K969" s="360">
        <v>45079</v>
      </c>
      <c r="L969" s="363"/>
      <c r="M969" s="317"/>
      <c r="N969" s="317"/>
      <c r="O969" s="322"/>
      <c r="P969" s="365"/>
      <c r="Q969" s="364"/>
      <c r="R969" s="364"/>
      <c r="S969" s="348"/>
    </row>
    <row r="970" spans="1:19" ht="25.5" x14ac:dyDescent="0.25">
      <c r="A970" s="359">
        <v>0</v>
      </c>
      <c r="B970" s="49" t="s">
        <v>1643</v>
      </c>
      <c r="C970" s="49" t="s">
        <v>1345</v>
      </c>
      <c r="D970" s="49"/>
      <c r="E970" s="49">
        <v>181825</v>
      </c>
      <c r="F970" s="49"/>
      <c r="G970" s="49"/>
      <c r="H970" s="49"/>
      <c r="I970" s="49"/>
      <c r="J970" s="316"/>
      <c r="K970" s="360">
        <v>45079</v>
      </c>
      <c r="L970" s="363"/>
      <c r="M970" s="317"/>
      <c r="N970" s="317"/>
      <c r="O970" s="322"/>
      <c r="P970" s="365"/>
      <c r="Q970" s="364"/>
      <c r="R970" s="364"/>
      <c r="S970" s="348"/>
    </row>
    <row r="971" spans="1:19" ht="25.5" x14ac:dyDescent="0.25">
      <c r="A971" s="359">
        <v>0</v>
      </c>
      <c r="B971" s="49" t="s">
        <v>1644</v>
      </c>
      <c r="C971" s="49" t="s">
        <v>1345</v>
      </c>
      <c r="D971" s="49"/>
      <c r="E971" s="49">
        <v>181825</v>
      </c>
      <c r="F971" s="49"/>
      <c r="G971" s="49"/>
      <c r="H971" s="49"/>
      <c r="I971" s="49"/>
      <c r="J971" s="316"/>
      <c r="K971" s="360">
        <v>45079</v>
      </c>
      <c r="L971" s="363"/>
      <c r="M971" s="317"/>
      <c r="N971" s="317"/>
      <c r="O971" s="322"/>
      <c r="P971" s="365"/>
      <c r="Q971" s="364"/>
      <c r="R971" s="364"/>
      <c r="S971" s="348"/>
    </row>
    <row r="972" spans="1:19" ht="25.5" x14ac:dyDescent="0.25">
      <c r="A972" s="359">
        <v>0</v>
      </c>
      <c r="B972" s="49" t="s">
        <v>1645</v>
      </c>
      <c r="C972" s="49" t="s">
        <v>1345</v>
      </c>
      <c r="D972" s="49"/>
      <c r="E972" s="49">
        <v>181825</v>
      </c>
      <c r="F972" s="49"/>
      <c r="G972" s="49"/>
      <c r="H972" s="49"/>
      <c r="I972" s="49"/>
      <c r="J972" s="316"/>
      <c r="K972" s="360">
        <v>45079</v>
      </c>
      <c r="L972" s="363"/>
      <c r="M972" s="317"/>
      <c r="N972" s="317"/>
      <c r="O972" s="322"/>
      <c r="P972" s="365"/>
      <c r="Q972" s="364"/>
      <c r="R972" s="364"/>
      <c r="S972" s="348"/>
    </row>
    <row r="973" spans="1:19" ht="25.5" x14ac:dyDescent="0.25">
      <c r="A973" s="359">
        <v>0</v>
      </c>
      <c r="B973" s="49" t="s">
        <v>1646</v>
      </c>
      <c r="C973" s="49" t="s">
        <v>1345</v>
      </c>
      <c r="D973" s="49"/>
      <c r="E973" s="49">
        <v>181825</v>
      </c>
      <c r="F973" s="49"/>
      <c r="G973" s="49"/>
      <c r="H973" s="49"/>
      <c r="I973" s="49"/>
      <c r="J973" s="316"/>
      <c r="K973" s="360">
        <v>45079</v>
      </c>
      <c r="L973" s="363"/>
      <c r="M973" s="317"/>
      <c r="N973" s="317"/>
      <c r="O973" s="322"/>
      <c r="P973" s="365"/>
      <c r="Q973" s="364"/>
      <c r="R973" s="364"/>
      <c r="S973" s="348"/>
    </row>
    <row r="974" spans="1:19" ht="25.5" x14ac:dyDescent="0.25">
      <c r="A974" s="359">
        <v>0</v>
      </c>
      <c r="B974" s="49" t="s">
        <v>1647</v>
      </c>
      <c r="C974" s="49" t="s">
        <v>1345</v>
      </c>
      <c r="D974" s="49"/>
      <c r="E974" s="49">
        <v>181825</v>
      </c>
      <c r="F974" s="49"/>
      <c r="G974" s="49"/>
      <c r="H974" s="49"/>
      <c r="I974" s="49"/>
      <c r="J974" s="316"/>
      <c r="K974" s="360">
        <v>45079</v>
      </c>
      <c r="L974" s="363"/>
      <c r="M974" s="317"/>
      <c r="N974" s="317"/>
      <c r="O974" s="322"/>
      <c r="P974" s="365"/>
      <c r="Q974" s="364"/>
      <c r="R974" s="364"/>
      <c r="S974" s="348"/>
    </row>
    <row r="975" spans="1:19" ht="25.5" x14ac:dyDescent="0.25">
      <c r="A975" s="359">
        <v>0</v>
      </c>
      <c r="B975" s="49" t="s">
        <v>1648</v>
      </c>
      <c r="C975" s="49" t="s">
        <v>1345</v>
      </c>
      <c r="D975" s="49"/>
      <c r="E975" s="49">
        <v>181825</v>
      </c>
      <c r="F975" s="49"/>
      <c r="G975" s="49"/>
      <c r="H975" s="49"/>
      <c r="I975" s="49"/>
      <c r="J975" s="316"/>
      <c r="K975" s="360">
        <v>45079</v>
      </c>
      <c r="L975" s="363"/>
      <c r="M975" s="317"/>
      <c r="N975" s="317"/>
      <c r="O975" s="322"/>
      <c r="P975" s="365"/>
      <c r="Q975" s="364"/>
      <c r="R975" s="364"/>
      <c r="S975" s="348"/>
    </row>
    <row r="976" spans="1:19" ht="25.5" x14ac:dyDescent="0.25">
      <c r="A976" s="359">
        <v>0</v>
      </c>
      <c r="B976" s="49" t="s">
        <v>1649</v>
      </c>
      <c r="C976" s="49" t="s">
        <v>1345</v>
      </c>
      <c r="D976" s="49"/>
      <c r="E976" s="49">
        <v>181825</v>
      </c>
      <c r="F976" s="49"/>
      <c r="G976" s="49"/>
      <c r="H976" s="49"/>
      <c r="I976" s="49"/>
      <c r="J976" s="316"/>
      <c r="K976" s="360">
        <v>45079</v>
      </c>
      <c r="L976" s="363"/>
      <c r="M976" s="317"/>
      <c r="N976" s="317"/>
      <c r="O976" s="322"/>
      <c r="P976" s="365"/>
      <c r="Q976" s="364"/>
      <c r="R976" s="364"/>
      <c r="S976" s="348"/>
    </row>
    <row r="977" spans="1:19" ht="25.5" x14ac:dyDescent="0.25">
      <c r="A977" s="359">
        <v>0</v>
      </c>
      <c r="B977" s="49" t="s">
        <v>1650</v>
      </c>
      <c r="C977" s="49" t="s">
        <v>1345</v>
      </c>
      <c r="D977" s="49"/>
      <c r="E977" s="49">
        <v>181825</v>
      </c>
      <c r="F977" s="49"/>
      <c r="G977" s="49"/>
      <c r="H977" s="49"/>
      <c r="I977" s="49"/>
      <c r="J977" s="316"/>
      <c r="K977" s="360">
        <v>45079</v>
      </c>
      <c r="L977" s="363"/>
      <c r="M977" s="317"/>
      <c r="N977" s="317"/>
      <c r="O977" s="322"/>
      <c r="P977" s="365"/>
      <c r="Q977" s="364"/>
      <c r="R977" s="364"/>
      <c r="S977" s="348"/>
    </row>
    <row r="978" spans="1:19" ht="25.5" x14ac:dyDescent="0.25">
      <c r="A978" s="359">
        <v>0</v>
      </c>
      <c r="B978" s="49" t="s">
        <v>1651</v>
      </c>
      <c r="C978" s="49" t="s">
        <v>1345</v>
      </c>
      <c r="D978" s="49"/>
      <c r="E978" s="49">
        <v>181825</v>
      </c>
      <c r="F978" s="49"/>
      <c r="G978" s="49"/>
      <c r="H978" s="49"/>
      <c r="I978" s="49"/>
      <c r="J978" s="316"/>
      <c r="K978" s="360">
        <v>45079</v>
      </c>
      <c r="L978" s="363"/>
      <c r="M978" s="317"/>
      <c r="N978" s="317"/>
      <c r="O978" s="322"/>
      <c r="P978" s="365"/>
      <c r="Q978" s="364"/>
      <c r="R978" s="364"/>
      <c r="S978" s="348"/>
    </row>
    <row r="979" spans="1:19" ht="25.5" x14ac:dyDescent="0.25">
      <c r="A979" s="359">
        <v>0</v>
      </c>
      <c r="B979" s="49" t="s">
        <v>1652</v>
      </c>
      <c r="C979" s="49" t="s">
        <v>1345</v>
      </c>
      <c r="D979" s="49"/>
      <c r="E979" s="49">
        <v>181825</v>
      </c>
      <c r="F979" s="49"/>
      <c r="G979" s="49"/>
      <c r="H979" s="49"/>
      <c r="I979" s="49"/>
      <c r="J979" s="316"/>
      <c r="K979" s="360">
        <v>45079</v>
      </c>
      <c r="L979" s="363"/>
      <c r="M979" s="317"/>
      <c r="N979" s="317"/>
      <c r="O979" s="322"/>
      <c r="P979" s="365"/>
      <c r="Q979" s="364"/>
      <c r="R979" s="364"/>
      <c r="S979" s="348"/>
    </row>
    <row r="980" spans="1:19" ht="25.5" x14ac:dyDescent="0.25">
      <c r="A980" s="359">
        <v>0</v>
      </c>
      <c r="B980" s="49" t="s">
        <v>1653</v>
      </c>
      <c r="C980" s="49" t="s">
        <v>1345</v>
      </c>
      <c r="D980" s="49"/>
      <c r="E980" s="49">
        <v>181825</v>
      </c>
      <c r="F980" s="49"/>
      <c r="G980" s="49"/>
      <c r="H980" s="49"/>
      <c r="I980" s="49"/>
      <c r="J980" s="316"/>
      <c r="K980" s="360">
        <v>45079</v>
      </c>
      <c r="L980" s="363"/>
      <c r="M980" s="317"/>
      <c r="N980" s="317"/>
      <c r="O980" s="322"/>
      <c r="P980" s="365"/>
      <c r="Q980" s="364"/>
      <c r="R980" s="364"/>
      <c r="S980" s="348"/>
    </row>
    <row r="981" spans="1:19" ht="25.5" x14ac:dyDescent="0.25">
      <c r="A981" s="359">
        <v>0</v>
      </c>
      <c r="B981" s="49" t="s">
        <v>1654</v>
      </c>
      <c r="C981" s="49" t="s">
        <v>1345</v>
      </c>
      <c r="D981" s="49"/>
      <c r="E981" s="49">
        <v>181825</v>
      </c>
      <c r="F981" s="49"/>
      <c r="G981" s="49"/>
      <c r="H981" s="49"/>
      <c r="I981" s="49"/>
      <c r="J981" s="316"/>
      <c r="K981" s="360">
        <v>45079</v>
      </c>
      <c r="L981" s="363"/>
      <c r="M981" s="317"/>
      <c r="N981" s="317"/>
      <c r="O981" s="322"/>
      <c r="P981" s="365"/>
      <c r="Q981" s="364"/>
      <c r="R981" s="364"/>
      <c r="S981" s="348"/>
    </row>
    <row r="982" spans="1:19" ht="25.5" x14ac:dyDescent="0.25">
      <c r="A982" s="359">
        <v>0</v>
      </c>
      <c r="B982" s="49" t="s">
        <v>1655</v>
      </c>
      <c r="C982" s="49" t="s">
        <v>1345</v>
      </c>
      <c r="D982" s="49"/>
      <c r="E982" s="49">
        <v>181825</v>
      </c>
      <c r="F982" s="49"/>
      <c r="G982" s="49"/>
      <c r="H982" s="49"/>
      <c r="I982" s="49"/>
      <c r="J982" s="316"/>
      <c r="K982" s="360">
        <v>45079</v>
      </c>
      <c r="L982" s="363"/>
      <c r="M982" s="317"/>
      <c r="N982" s="317"/>
      <c r="O982" s="322"/>
      <c r="P982" s="365"/>
      <c r="Q982" s="364"/>
      <c r="R982" s="364"/>
      <c r="S982" s="348"/>
    </row>
    <row r="983" spans="1:19" ht="25.5" x14ac:dyDescent="0.25">
      <c r="A983" s="359">
        <v>0</v>
      </c>
      <c r="B983" s="49" t="s">
        <v>1656</v>
      </c>
      <c r="C983" s="49" t="s">
        <v>1345</v>
      </c>
      <c r="D983" s="49"/>
      <c r="E983" s="49">
        <v>181825</v>
      </c>
      <c r="F983" s="49"/>
      <c r="G983" s="49"/>
      <c r="H983" s="49"/>
      <c r="I983" s="49"/>
      <c r="J983" s="316"/>
      <c r="K983" s="360">
        <v>45079</v>
      </c>
      <c r="L983" s="363"/>
      <c r="M983" s="317"/>
      <c r="N983" s="317"/>
      <c r="O983" s="322"/>
      <c r="P983" s="365"/>
      <c r="Q983" s="364"/>
      <c r="R983" s="364"/>
      <c r="S983" s="348"/>
    </row>
    <row r="984" spans="1:19" ht="25.5" x14ac:dyDescent="0.25">
      <c r="A984" s="359">
        <v>0</v>
      </c>
      <c r="B984" s="49" t="s">
        <v>1657</v>
      </c>
      <c r="C984" s="49" t="s">
        <v>1345</v>
      </c>
      <c r="D984" s="49"/>
      <c r="E984" s="49">
        <v>181825</v>
      </c>
      <c r="F984" s="49"/>
      <c r="G984" s="49"/>
      <c r="H984" s="49"/>
      <c r="I984" s="49"/>
      <c r="J984" s="316"/>
      <c r="K984" s="360">
        <v>45079</v>
      </c>
      <c r="L984" s="363"/>
      <c r="M984" s="317"/>
      <c r="N984" s="317"/>
      <c r="O984" s="322"/>
      <c r="P984" s="365"/>
      <c r="Q984" s="364"/>
      <c r="R984" s="364"/>
      <c r="S984" s="348"/>
    </row>
    <row r="985" spans="1:19" ht="25.5" x14ac:dyDescent="0.25">
      <c r="A985" s="359">
        <v>0</v>
      </c>
      <c r="B985" s="49" t="s">
        <v>1658</v>
      </c>
      <c r="C985" s="49" t="s">
        <v>1345</v>
      </c>
      <c r="D985" s="49"/>
      <c r="E985" s="49">
        <v>181825</v>
      </c>
      <c r="F985" s="49"/>
      <c r="G985" s="49"/>
      <c r="H985" s="49"/>
      <c r="I985" s="49"/>
      <c r="J985" s="316"/>
      <c r="K985" s="360">
        <v>45079</v>
      </c>
      <c r="L985" s="363"/>
      <c r="M985" s="317"/>
      <c r="N985" s="317"/>
      <c r="O985" s="322"/>
      <c r="P985" s="365"/>
      <c r="Q985" s="364"/>
      <c r="R985" s="364"/>
      <c r="S985" s="348"/>
    </row>
    <row r="986" spans="1:19" ht="25.5" x14ac:dyDescent="0.25">
      <c r="A986" s="359">
        <v>0</v>
      </c>
      <c r="B986" s="49" t="s">
        <v>1659</v>
      </c>
      <c r="C986" s="49" t="s">
        <v>1345</v>
      </c>
      <c r="D986" s="49"/>
      <c r="E986" s="49">
        <v>181825</v>
      </c>
      <c r="F986" s="49"/>
      <c r="G986" s="49"/>
      <c r="H986" s="49"/>
      <c r="I986" s="49"/>
      <c r="J986" s="316"/>
      <c r="K986" s="360">
        <v>45079</v>
      </c>
      <c r="L986" s="363"/>
      <c r="M986" s="317"/>
      <c r="N986" s="317"/>
      <c r="O986" s="322"/>
      <c r="P986" s="365"/>
      <c r="Q986" s="364"/>
      <c r="R986" s="364"/>
      <c r="S986" s="348"/>
    </row>
    <row r="987" spans="1:19" ht="25.5" x14ac:dyDescent="0.25">
      <c r="A987" s="359">
        <v>0</v>
      </c>
      <c r="B987" s="49" t="s">
        <v>1660</v>
      </c>
      <c r="C987" s="49" t="s">
        <v>1345</v>
      </c>
      <c r="D987" s="49"/>
      <c r="E987" s="49">
        <v>181825</v>
      </c>
      <c r="F987" s="49"/>
      <c r="G987" s="49"/>
      <c r="H987" s="49"/>
      <c r="I987" s="49"/>
      <c r="J987" s="316"/>
      <c r="K987" s="360">
        <v>45079</v>
      </c>
      <c r="L987" s="363"/>
      <c r="M987" s="317"/>
      <c r="N987" s="317"/>
      <c r="O987" s="322"/>
      <c r="P987" s="365"/>
      <c r="Q987" s="364"/>
      <c r="R987" s="364"/>
      <c r="S987" s="348"/>
    </row>
    <row r="988" spans="1:19" ht="25.5" x14ac:dyDescent="0.25">
      <c r="A988" s="359">
        <v>0</v>
      </c>
      <c r="B988" s="49" t="s">
        <v>1661</v>
      </c>
      <c r="C988" s="49" t="s">
        <v>1345</v>
      </c>
      <c r="D988" s="49"/>
      <c r="E988" s="49">
        <v>181825</v>
      </c>
      <c r="F988" s="49"/>
      <c r="G988" s="49"/>
      <c r="H988" s="49"/>
      <c r="I988" s="49"/>
      <c r="J988" s="316"/>
      <c r="K988" s="360">
        <v>45079</v>
      </c>
      <c r="L988" s="363"/>
      <c r="M988" s="317"/>
      <c r="N988" s="317"/>
      <c r="O988" s="322"/>
      <c r="P988" s="365"/>
      <c r="Q988" s="364"/>
      <c r="R988" s="364"/>
      <c r="S988" s="348"/>
    </row>
    <row r="989" spans="1:19" ht="25.5" x14ac:dyDescent="0.25">
      <c r="A989" s="359">
        <v>0</v>
      </c>
      <c r="B989" s="49" t="s">
        <v>1662</v>
      </c>
      <c r="C989" s="49" t="s">
        <v>1345</v>
      </c>
      <c r="D989" s="49"/>
      <c r="E989" s="49">
        <v>181825</v>
      </c>
      <c r="F989" s="49"/>
      <c r="G989" s="49"/>
      <c r="H989" s="49"/>
      <c r="I989" s="49"/>
      <c r="J989" s="316"/>
      <c r="K989" s="360">
        <v>45079</v>
      </c>
      <c r="L989" s="363"/>
      <c r="M989" s="317"/>
      <c r="N989" s="317"/>
      <c r="O989" s="322"/>
      <c r="P989" s="365"/>
      <c r="Q989" s="364"/>
      <c r="R989" s="364"/>
      <c r="S989" s="348"/>
    </row>
    <row r="990" spans="1:19" ht="25.5" x14ac:dyDescent="0.25">
      <c r="A990" s="359">
        <v>0</v>
      </c>
      <c r="B990" s="49" t="s">
        <v>1663</v>
      </c>
      <c r="C990" s="49" t="s">
        <v>1345</v>
      </c>
      <c r="D990" s="49"/>
      <c r="E990" s="49">
        <v>181825</v>
      </c>
      <c r="F990" s="49"/>
      <c r="G990" s="49"/>
      <c r="H990" s="49"/>
      <c r="I990" s="49"/>
      <c r="J990" s="316"/>
      <c r="K990" s="360">
        <v>45079</v>
      </c>
      <c r="L990" s="363"/>
      <c r="M990" s="317"/>
      <c r="N990" s="317"/>
      <c r="O990" s="322"/>
      <c r="P990" s="365"/>
      <c r="Q990" s="364"/>
      <c r="R990" s="364"/>
      <c r="S990" s="348"/>
    </row>
    <row r="991" spans="1:19" ht="25.5" x14ac:dyDescent="0.25">
      <c r="A991" s="359">
        <v>0</v>
      </c>
      <c r="B991" s="49" t="s">
        <v>1664</v>
      </c>
      <c r="C991" s="49" t="s">
        <v>1345</v>
      </c>
      <c r="D991" s="49"/>
      <c r="E991" s="49">
        <v>181825</v>
      </c>
      <c r="F991" s="49"/>
      <c r="G991" s="49"/>
      <c r="H991" s="49"/>
      <c r="I991" s="49"/>
      <c r="J991" s="316"/>
      <c r="K991" s="360">
        <v>45079</v>
      </c>
      <c r="L991" s="363"/>
      <c r="M991" s="317"/>
      <c r="N991" s="317"/>
      <c r="O991" s="322"/>
      <c r="P991" s="365"/>
      <c r="Q991" s="364"/>
      <c r="R991" s="364"/>
      <c r="S991" s="348"/>
    </row>
    <row r="992" spans="1:19" ht="25.5" x14ac:dyDescent="0.25">
      <c r="A992" s="359">
        <v>0</v>
      </c>
      <c r="B992" s="49" t="s">
        <v>1665</v>
      </c>
      <c r="C992" s="49" t="s">
        <v>1345</v>
      </c>
      <c r="D992" s="49"/>
      <c r="E992" s="49">
        <v>181825</v>
      </c>
      <c r="F992" s="49"/>
      <c r="G992" s="49"/>
      <c r="H992" s="49"/>
      <c r="I992" s="49"/>
      <c r="J992" s="316"/>
      <c r="K992" s="360">
        <v>45079</v>
      </c>
      <c r="L992" s="363"/>
      <c r="M992" s="317"/>
      <c r="N992" s="317"/>
      <c r="O992" s="322"/>
      <c r="P992" s="365"/>
      <c r="Q992" s="364"/>
      <c r="R992" s="364"/>
      <c r="S992" s="348"/>
    </row>
    <row r="993" spans="1:19" ht="25.5" x14ac:dyDescent="0.25">
      <c r="A993" s="359">
        <v>0</v>
      </c>
      <c r="B993" s="49" t="s">
        <v>1666</v>
      </c>
      <c r="C993" s="49" t="s">
        <v>1345</v>
      </c>
      <c r="D993" s="49"/>
      <c r="E993" s="49">
        <v>181825</v>
      </c>
      <c r="F993" s="49"/>
      <c r="G993" s="49"/>
      <c r="H993" s="49"/>
      <c r="I993" s="49"/>
      <c r="J993" s="316"/>
      <c r="K993" s="360">
        <v>45079</v>
      </c>
      <c r="L993" s="363"/>
      <c r="M993" s="317"/>
      <c r="N993" s="317"/>
      <c r="O993" s="322"/>
      <c r="P993" s="365"/>
      <c r="Q993" s="364"/>
      <c r="R993" s="364"/>
      <c r="S993" s="348"/>
    </row>
    <row r="994" spans="1:19" ht="25.5" x14ac:dyDescent="0.25">
      <c r="A994" s="359">
        <v>0</v>
      </c>
      <c r="B994" s="49" t="s">
        <v>1667</v>
      </c>
      <c r="C994" s="49" t="s">
        <v>1345</v>
      </c>
      <c r="D994" s="49"/>
      <c r="E994" s="49">
        <v>181825</v>
      </c>
      <c r="F994" s="49"/>
      <c r="G994" s="49"/>
      <c r="H994" s="49"/>
      <c r="I994" s="49"/>
      <c r="J994" s="316"/>
      <c r="K994" s="360">
        <v>45079</v>
      </c>
      <c r="L994" s="363"/>
      <c r="M994" s="317"/>
      <c r="N994" s="317"/>
      <c r="O994" s="322"/>
      <c r="P994" s="365"/>
      <c r="Q994" s="364"/>
      <c r="R994" s="364"/>
      <c r="S994" s="348"/>
    </row>
    <row r="995" spans="1:19" ht="25.5" x14ac:dyDescent="0.25">
      <c r="A995" s="359">
        <v>0</v>
      </c>
      <c r="B995" s="49" t="s">
        <v>1668</v>
      </c>
      <c r="C995" s="49" t="s">
        <v>1345</v>
      </c>
      <c r="D995" s="49"/>
      <c r="E995" s="49">
        <v>181825</v>
      </c>
      <c r="F995" s="49"/>
      <c r="G995" s="49"/>
      <c r="H995" s="49"/>
      <c r="I995" s="49"/>
      <c r="J995" s="316"/>
      <c r="K995" s="360">
        <v>45079</v>
      </c>
      <c r="L995" s="363"/>
      <c r="M995" s="317"/>
      <c r="N995" s="317"/>
      <c r="O995" s="322"/>
      <c r="P995" s="365"/>
      <c r="Q995" s="364"/>
      <c r="R995" s="364"/>
      <c r="S995" s="348"/>
    </row>
    <row r="996" spans="1:19" ht="25.5" x14ac:dyDescent="0.25">
      <c r="A996" s="359">
        <v>0</v>
      </c>
      <c r="B996" s="49" t="s">
        <v>1669</v>
      </c>
      <c r="C996" s="49" t="s">
        <v>1345</v>
      </c>
      <c r="D996" s="49"/>
      <c r="E996" s="49">
        <v>181825</v>
      </c>
      <c r="F996" s="49"/>
      <c r="G996" s="49"/>
      <c r="H996" s="49"/>
      <c r="I996" s="49"/>
      <c r="J996" s="316"/>
      <c r="K996" s="360">
        <v>45079</v>
      </c>
      <c r="L996" s="363"/>
      <c r="M996" s="317"/>
      <c r="N996" s="317"/>
      <c r="O996" s="322"/>
      <c r="P996" s="365"/>
      <c r="Q996" s="364"/>
      <c r="R996" s="364"/>
      <c r="S996" s="348"/>
    </row>
    <row r="997" spans="1:19" ht="25.5" x14ac:dyDescent="0.25">
      <c r="A997" s="359">
        <v>0</v>
      </c>
      <c r="B997" s="49" t="s">
        <v>1670</v>
      </c>
      <c r="C997" s="49" t="s">
        <v>1345</v>
      </c>
      <c r="D997" s="49"/>
      <c r="E997" s="49">
        <v>181825</v>
      </c>
      <c r="F997" s="49"/>
      <c r="G997" s="49"/>
      <c r="H997" s="49"/>
      <c r="I997" s="49"/>
      <c r="J997" s="316"/>
      <c r="K997" s="360">
        <v>45079</v>
      </c>
      <c r="L997" s="363"/>
      <c r="M997" s="317"/>
      <c r="N997" s="317"/>
      <c r="O997" s="322"/>
      <c r="P997" s="365"/>
      <c r="Q997" s="364"/>
      <c r="R997" s="364"/>
      <c r="S997" s="348"/>
    </row>
    <row r="998" spans="1:19" ht="25.5" x14ac:dyDescent="0.25">
      <c r="A998" s="359">
        <v>0</v>
      </c>
      <c r="B998" s="49" t="s">
        <v>1671</v>
      </c>
      <c r="C998" s="49" t="s">
        <v>1345</v>
      </c>
      <c r="D998" s="49"/>
      <c r="E998" s="49">
        <v>181825</v>
      </c>
      <c r="F998" s="49"/>
      <c r="G998" s="49"/>
      <c r="H998" s="49"/>
      <c r="I998" s="49"/>
      <c r="J998" s="316"/>
      <c r="K998" s="360">
        <v>45079</v>
      </c>
      <c r="L998" s="363"/>
      <c r="M998" s="317"/>
      <c r="N998" s="317"/>
      <c r="O998" s="322"/>
      <c r="P998" s="365"/>
      <c r="Q998" s="364"/>
      <c r="R998" s="364"/>
      <c r="S998" s="348"/>
    </row>
    <row r="999" spans="1:19" ht="25.5" x14ac:dyDescent="0.25">
      <c r="A999" s="359">
        <v>0</v>
      </c>
      <c r="B999" s="49" t="s">
        <v>1672</v>
      </c>
      <c r="C999" s="49" t="s">
        <v>1345</v>
      </c>
      <c r="D999" s="49"/>
      <c r="E999" s="49">
        <v>181825</v>
      </c>
      <c r="F999" s="49"/>
      <c r="G999" s="49"/>
      <c r="H999" s="49"/>
      <c r="I999" s="49"/>
      <c r="J999" s="316"/>
      <c r="K999" s="360">
        <v>45079</v>
      </c>
      <c r="L999" s="363"/>
      <c r="M999" s="317"/>
      <c r="N999" s="317"/>
      <c r="O999" s="322"/>
      <c r="P999" s="365"/>
      <c r="Q999" s="364"/>
      <c r="R999" s="364"/>
      <c r="S999" s="348"/>
    </row>
    <row r="1000" spans="1:19" ht="25.5" x14ac:dyDescent="0.25">
      <c r="A1000" s="359">
        <v>0</v>
      </c>
      <c r="B1000" s="49" t="s">
        <v>1673</v>
      </c>
      <c r="C1000" s="49" t="s">
        <v>1345</v>
      </c>
      <c r="D1000" s="49"/>
      <c r="E1000" s="49">
        <v>181825</v>
      </c>
      <c r="F1000" s="49"/>
      <c r="G1000" s="49"/>
      <c r="H1000" s="49"/>
      <c r="I1000" s="49"/>
      <c r="J1000" s="316"/>
      <c r="K1000" s="360">
        <v>45079</v>
      </c>
      <c r="L1000" s="363"/>
      <c r="M1000" s="317"/>
      <c r="N1000" s="317"/>
      <c r="O1000" s="322"/>
      <c r="P1000" s="365"/>
      <c r="Q1000" s="364"/>
      <c r="R1000" s="364"/>
      <c r="S1000" s="348"/>
    </row>
    <row r="1001" spans="1:19" ht="25.5" x14ac:dyDescent="0.25">
      <c r="A1001" s="359">
        <v>0</v>
      </c>
      <c r="B1001" s="49" t="s">
        <v>1674</v>
      </c>
      <c r="C1001" s="49" t="s">
        <v>1345</v>
      </c>
      <c r="D1001" s="49"/>
      <c r="E1001" s="49">
        <v>181825</v>
      </c>
      <c r="F1001" s="49"/>
      <c r="G1001" s="49"/>
      <c r="H1001" s="49"/>
      <c r="I1001" s="49"/>
      <c r="J1001" s="316"/>
      <c r="K1001" s="360">
        <v>45079</v>
      </c>
      <c r="L1001" s="363"/>
      <c r="M1001" s="317"/>
      <c r="N1001" s="317"/>
      <c r="O1001" s="322"/>
      <c r="P1001" s="365"/>
      <c r="Q1001" s="364"/>
      <c r="R1001" s="364"/>
      <c r="S1001" s="348"/>
    </row>
    <row r="1002" spans="1:19" ht="25.5" x14ac:dyDescent="0.25">
      <c r="A1002" s="359">
        <v>0</v>
      </c>
      <c r="B1002" s="49" t="s">
        <v>1675</v>
      </c>
      <c r="C1002" s="49" t="s">
        <v>1345</v>
      </c>
      <c r="D1002" s="49"/>
      <c r="E1002" s="49">
        <v>181825</v>
      </c>
      <c r="F1002" s="49"/>
      <c r="G1002" s="49"/>
      <c r="H1002" s="49"/>
      <c r="I1002" s="49"/>
      <c r="J1002" s="316"/>
      <c r="K1002" s="360">
        <v>45079</v>
      </c>
      <c r="L1002" s="363"/>
      <c r="M1002" s="317"/>
      <c r="N1002" s="317"/>
      <c r="O1002" s="322"/>
      <c r="P1002" s="365"/>
      <c r="Q1002" s="364"/>
      <c r="R1002" s="364"/>
      <c r="S1002" s="348"/>
    </row>
    <row r="1003" spans="1:19" ht="25.5" x14ac:dyDescent="0.25">
      <c r="A1003" s="359">
        <v>0</v>
      </c>
      <c r="B1003" s="49" t="s">
        <v>1676</v>
      </c>
      <c r="C1003" s="49" t="s">
        <v>1345</v>
      </c>
      <c r="D1003" s="49"/>
      <c r="E1003" s="49">
        <v>181825</v>
      </c>
      <c r="F1003" s="49"/>
      <c r="G1003" s="49"/>
      <c r="H1003" s="49"/>
      <c r="I1003" s="49"/>
      <c r="J1003" s="316"/>
      <c r="K1003" s="360">
        <v>45079</v>
      </c>
      <c r="L1003" s="363"/>
      <c r="M1003" s="317"/>
      <c r="N1003" s="317"/>
      <c r="O1003" s="322"/>
      <c r="P1003" s="365"/>
      <c r="Q1003" s="364"/>
      <c r="R1003" s="364"/>
      <c r="S1003" s="348"/>
    </row>
    <row r="1004" spans="1:19" ht="25.5" x14ac:dyDescent="0.25">
      <c r="A1004" s="359">
        <v>0</v>
      </c>
      <c r="B1004" s="49" t="s">
        <v>1677</v>
      </c>
      <c r="C1004" s="49" t="s">
        <v>1345</v>
      </c>
      <c r="D1004" s="49"/>
      <c r="E1004" s="49">
        <v>181825</v>
      </c>
      <c r="F1004" s="49"/>
      <c r="G1004" s="49"/>
      <c r="H1004" s="49"/>
      <c r="I1004" s="49"/>
      <c r="J1004" s="316"/>
      <c r="K1004" s="360">
        <v>45079</v>
      </c>
      <c r="L1004" s="363"/>
      <c r="M1004" s="317"/>
      <c r="N1004" s="317"/>
      <c r="O1004" s="322"/>
      <c r="P1004" s="365"/>
      <c r="Q1004" s="364"/>
      <c r="R1004" s="364"/>
      <c r="S1004" s="348"/>
    </row>
    <row r="1005" spans="1:19" ht="25.5" x14ac:dyDescent="0.25">
      <c r="A1005" s="359">
        <v>0</v>
      </c>
      <c r="B1005" s="49" t="s">
        <v>1678</v>
      </c>
      <c r="C1005" s="49" t="s">
        <v>1345</v>
      </c>
      <c r="D1005" s="49"/>
      <c r="E1005" s="49">
        <v>181825</v>
      </c>
      <c r="F1005" s="49"/>
      <c r="G1005" s="49"/>
      <c r="H1005" s="49"/>
      <c r="I1005" s="49"/>
      <c r="J1005" s="316"/>
      <c r="K1005" s="360">
        <v>45079</v>
      </c>
      <c r="L1005" s="363"/>
      <c r="M1005" s="317"/>
      <c r="N1005" s="317"/>
      <c r="O1005" s="322"/>
      <c r="P1005" s="365"/>
      <c r="Q1005" s="364"/>
      <c r="R1005" s="364"/>
      <c r="S1005" s="348"/>
    </row>
  </sheetData>
  <autoFilter ref="A5:S1005" xr:uid="{9D87ADFC-4FF2-4CE1-B627-AFD24BD73A59}">
    <filterColumn colId="2">
      <filters>
        <filter val="Alutal Controles"/>
        <filter val="Alutal Controles Industriais Ltda"/>
      </filters>
    </filterColumn>
  </autoFilter>
  <mergeCells count="3">
    <mergeCell ref="A4:K4"/>
    <mergeCell ref="L4:O4"/>
    <mergeCell ref="P4:R4"/>
  </mergeCells>
  <phoneticPr fontId="6" type="noConversion"/>
  <conditionalFormatting sqref="F564 E1:F3 E411:F427 E431:F433 F428 E435:F441 E443:F451 F452 E565:F577 E578:E580 E453:F563 E5:F409 E581:F1048576">
    <cfRule type="duplicateValues" dxfId="30" priority="17"/>
  </conditionalFormatting>
  <conditionalFormatting sqref="E410:F410">
    <cfRule type="duplicateValues" dxfId="29" priority="16"/>
  </conditionalFormatting>
  <conditionalFormatting sqref="F429:F430">
    <cfRule type="duplicateValues" dxfId="28" priority="15"/>
  </conditionalFormatting>
  <conditionalFormatting sqref="E428:E429">
    <cfRule type="duplicateValues" dxfId="27" priority="14"/>
  </conditionalFormatting>
  <conditionalFormatting sqref="E430">
    <cfRule type="duplicateValues" dxfId="26" priority="13"/>
  </conditionalFormatting>
  <conditionalFormatting sqref="F430">
    <cfRule type="duplicateValues" dxfId="25" priority="12"/>
  </conditionalFormatting>
  <conditionalFormatting sqref="E434:F434">
    <cfRule type="duplicateValues" dxfId="24" priority="11"/>
  </conditionalFormatting>
  <conditionalFormatting sqref="E443:E451 E453:E563 E565:E1048576 E1:E441">
    <cfRule type="duplicateValues" dxfId="23" priority="10"/>
  </conditionalFormatting>
  <conditionalFormatting sqref="E442:F442">
    <cfRule type="duplicateValues" dxfId="22" priority="9"/>
  </conditionalFormatting>
  <conditionalFormatting sqref="E442">
    <cfRule type="duplicateValues" dxfId="21" priority="8"/>
  </conditionalFormatting>
  <conditionalFormatting sqref="F1:F78 F80:F577 F581:F1048576">
    <cfRule type="duplicateValues" dxfId="20" priority="7"/>
  </conditionalFormatting>
  <conditionalFormatting sqref="E452">
    <cfRule type="duplicateValues" dxfId="19" priority="6"/>
  </conditionalFormatting>
  <conditionalFormatting sqref="E452">
    <cfRule type="duplicateValues" dxfId="18" priority="5"/>
  </conditionalFormatting>
  <conditionalFormatting sqref="E564">
    <cfRule type="duplicateValues" dxfId="17" priority="4"/>
  </conditionalFormatting>
  <conditionalFormatting sqref="E564">
    <cfRule type="duplicateValues" dxfId="16" priority="3"/>
  </conditionalFormatting>
  <conditionalFormatting sqref="F1:F78 F80:F1048576">
    <cfRule type="duplicateValues" dxfId="15" priority="2"/>
  </conditionalFormatting>
  <conditionalFormatting sqref="F79">
    <cfRule type="duplicateValues" dxfId="14" priority="1"/>
  </conditionalFormatting>
  <dataValidations count="4">
    <dataValidation type="list" allowBlank="1" showInputMessage="1" showErrorMessage="1" sqref="P6:P126 P128:P873 P875:P1005" xr:uid="{53FAB9B0-A136-4090-9166-80B1A08CD4EF}">
      <formula1>"MP, LO"</formula1>
    </dataValidation>
    <dataValidation type="list" allowBlank="1" showInputMessage="1" showErrorMessage="1" sqref="S6:S1005" xr:uid="{E422A3CB-3324-47DA-9747-4E1CB6E784B6}">
      <formula1>"Pendente,Ok"</formula1>
    </dataValidation>
    <dataValidation type="list" allowBlank="1" showInputMessage="1" showErrorMessage="1" sqref="L6:L366 L369:L1005" xr:uid="{66ED9129-2A56-448F-AD41-34942A09BFDC}">
      <formula1>"FM,FR,LO,MP"</formula1>
    </dataValidation>
    <dataValidation type="list" allowBlank="1" showInputMessage="1" showErrorMessage="1" sqref="P127 P874" xr:uid="{9DE2D473-F387-46D9-97F0-199D2CE213EF}">
      <formula1>"MP, DT, LO"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6CA8-E1E7-4D9B-92FF-0112408E0478}">
  <sheetPr filterMode="1"/>
  <dimension ref="A1:U713"/>
  <sheetViews>
    <sheetView zoomScale="80" zoomScaleNormal="80" workbookViewId="0">
      <pane xSplit="6" ySplit="5" topLeftCell="G160" activePane="bottomRight" state="frozen"/>
      <selection pane="topRight" activeCell="F1" sqref="F1"/>
      <selection pane="bottomLeft" activeCell="A6" sqref="A6"/>
      <selection pane="bottomRight" activeCell="D491" sqref="D491"/>
    </sheetView>
  </sheetViews>
  <sheetFormatPr defaultRowHeight="15" x14ac:dyDescent="0.25"/>
  <cols>
    <col min="1" max="1" width="11.28515625" style="315" customWidth="1"/>
    <col min="2" max="2" width="16.42578125" style="315" customWidth="1"/>
    <col min="3" max="4" width="26.42578125" style="315" customWidth="1"/>
    <col min="5" max="5" width="15" style="315" customWidth="1"/>
    <col min="6" max="6" width="14.85546875" style="315" customWidth="1"/>
    <col min="7" max="7" width="24.5703125" style="315" customWidth="1"/>
    <col min="8" max="8" width="27.5703125" style="315" customWidth="1"/>
    <col min="9" max="9" width="26.5703125" style="315" customWidth="1"/>
    <col min="10" max="11" width="12.5703125" style="408" customWidth="1"/>
    <col min="12" max="12" width="13.5703125" style="315" customWidth="1"/>
    <col min="13" max="13" width="22.5703125" style="315" customWidth="1"/>
    <col min="14" max="14" width="7.42578125" style="315" customWidth="1"/>
    <col min="15" max="15" width="12.5703125" style="408" customWidth="1"/>
    <col min="16" max="16" width="13.5703125" style="315" customWidth="1"/>
    <col min="17" max="18" width="12.5703125" style="408" customWidth="1"/>
    <col min="19" max="19" width="12" style="351" customWidth="1"/>
    <col min="20" max="20" width="41.5703125" style="351" customWidth="1"/>
    <col min="21" max="21" width="9.42578125" style="351"/>
  </cols>
  <sheetData>
    <row r="1" spans="1:19" ht="14.25" x14ac:dyDescent="0.25">
      <c r="A1" s="392"/>
      <c r="B1" s="392"/>
      <c r="C1" s="392"/>
      <c r="D1" s="392"/>
      <c r="E1" s="392"/>
      <c r="F1" s="392"/>
      <c r="G1" s="392"/>
      <c r="H1" s="392"/>
      <c r="I1" s="392"/>
      <c r="J1" s="405"/>
      <c r="K1" s="405"/>
      <c r="L1" s="392"/>
      <c r="M1" s="392"/>
      <c r="N1" s="392"/>
      <c r="O1" s="405"/>
      <c r="P1" s="392"/>
      <c r="Q1" s="405"/>
      <c r="R1" s="405"/>
      <c r="S1" s="393"/>
    </row>
    <row r="2" spans="1:19" ht="14.25" x14ac:dyDescent="0.25">
      <c r="A2" s="394"/>
      <c r="B2" s="394"/>
      <c r="C2" s="394"/>
      <c r="D2" s="394"/>
      <c r="E2" s="394"/>
      <c r="F2" s="394"/>
      <c r="G2" s="394"/>
      <c r="H2" s="394"/>
      <c r="I2" s="394"/>
      <c r="J2" s="406"/>
      <c r="K2" s="406"/>
      <c r="L2" s="394"/>
      <c r="M2" s="394"/>
      <c r="N2" s="394"/>
      <c r="O2" s="406"/>
      <c r="P2" s="394"/>
      <c r="Q2" s="406"/>
      <c r="R2" s="406"/>
      <c r="S2" s="395"/>
    </row>
    <row r="3" spans="1:19" ht="34.700000000000003" customHeight="1" x14ac:dyDescent="0.25">
      <c r="A3" s="396"/>
      <c r="B3" s="396"/>
      <c r="C3" s="396"/>
      <c r="D3" s="396"/>
      <c r="E3" s="396"/>
      <c r="F3" s="396"/>
      <c r="G3" s="396"/>
      <c r="H3" s="396"/>
      <c r="I3" s="396"/>
      <c r="J3" s="407"/>
      <c r="K3" s="407"/>
      <c r="L3" s="396">
        <f>SUBTOTAL(3,L6:L1061)</f>
        <v>134</v>
      </c>
      <c r="M3" s="396"/>
      <c r="N3" s="396"/>
      <c r="O3" s="407"/>
      <c r="P3" s="396"/>
      <c r="Q3" s="407"/>
      <c r="R3" s="407"/>
      <c r="S3" s="397">
        <f>SUBTOTAL(3,S7:S1061)</f>
        <v>44</v>
      </c>
    </row>
    <row r="4" spans="1:19" ht="15" customHeight="1" x14ac:dyDescent="0.25">
      <c r="A4" s="424" t="s">
        <v>0</v>
      </c>
      <c r="B4" s="425"/>
      <c r="C4" s="425"/>
      <c r="D4" s="425"/>
      <c r="E4" s="425"/>
      <c r="F4" s="425"/>
      <c r="G4" s="425"/>
      <c r="H4" s="425"/>
      <c r="I4" s="425"/>
      <c r="J4" s="426"/>
      <c r="K4" s="427"/>
      <c r="L4" s="428" t="s">
        <v>1</v>
      </c>
      <c r="M4" s="429"/>
      <c r="N4" s="429"/>
      <c r="O4" s="430"/>
      <c r="P4" s="431" t="s">
        <v>2</v>
      </c>
      <c r="Q4" s="432"/>
      <c r="R4" s="432"/>
      <c r="S4" s="385"/>
    </row>
    <row r="5" spans="1:19" ht="51" x14ac:dyDescent="0.25">
      <c r="A5" s="297" t="s">
        <v>3</v>
      </c>
      <c r="B5" s="297" t="s">
        <v>4</v>
      </c>
      <c r="C5" s="297" t="s">
        <v>5</v>
      </c>
      <c r="D5" s="297" t="s">
        <v>6</v>
      </c>
      <c r="E5" s="297" t="s">
        <v>7</v>
      </c>
      <c r="F5" s="297" t="s">
        <v>8</v>
      </c>
      <c r="G5" s="297" t="s">
        <v>9</v>
      </c>
      <c r="H5" s="297" t="s">
        <v>10</v>
      </c>
      <c r="I5" s="297" t="s">
        <v>11</v>
      </c>
      <c r="J5" s="300" t="s">
        <v>12</v>
      </c>
      <c r="K5" s="300" t="s">
        <v>13</v>
      </c>
      <c r="L5" s="301" t="s">
        <v>14</v>
      </c>
      <c r="M5" s="301" t="s">
        <v>15</v>
      </c>
      <c r="N5" s="301" t="s">
        <v>16</v>
      </c>
      <c r="O5" s="302" t="s">
        <v>17</v>
      </c>
      <c r="P5" s="303" t="s">
        <v>18</v>
      </c>
      <c r="Q5" s="299" t="s">
        <v>19</v>
      </c>
      <c r="R5" s="299" t="s">
        <v>20</v>
      </c>
      <c r="S5" s="305" t="s">
        <v>21</v>
      </c>
    </row>
    <row r="6" spans="1:19" hidden="1" x14ac:dyDescent="0.25">
      <c r="A6" s="359">
        <v>0</v>
      </c>
      <c r="B6" s="49" t="s">
        <v>1679</v>
      </c>
      <c r="C6" s="49" t="s">
        <v>1680</v>
      </c>
      <c r="D6" s="49"/>
      <c r="E6" s="49">
        <v>183337</v>
      </c>
      <c r="F6" s="49" t="s">
        <v>1681</v>
      </c>
      <c r="G6" s="49" t="s">
        <v>1682</v>
      </c>
      <c r="H6" s="49" t="s">
        <v>1683</v>
      </c>
      <c r="I6" s="49" t="s">
        <v>1684</v>
      </c>
      <c r="J6" s="316">
        <v>45295</v>
      </c>
      <c r="K6" s="360">
        <v>45301</v>
      </c>
      <c r="L6" s="363" t="s">
        <v>47</v>
      </c>
      <c r="M6" s="317" t="s">
        <v>1685</v>
      </c>
      <c r="N6" s="317">
        <v>20</v>
      </c>
      <c r="O6" s="366">
        <v>45313</v>
      </c>
      <c r="P6" s="365" t="s">
        <v>1686</v>
      </c>
      <c r="Q6" s="364">
        <v>45313</v>
      </c>
      <c r="R6" s="364">
        <v>45313</v>
      </c>
      <c r="S6" s="348" t="s">
        <v>1687</v>
      </c>
    </row>
    <row r="7" spans="1:19" hidden="1" x14ac:dyDescent="0.25">
      <c r="A7" s="359">
        <v>0</v>
      </c>
      <c r="B7" s="49" t="s">
        <v>1688</v>
      </c>
      <c r="C7" s="49" t="s">
        <v>1680</v>
      </c>
      <c r="D7" s="49"/>
      <c r="E7" s="49">
        <v>183338</v>
      </c>
      <c r="F7" s="49" t="s">
        <v>1689</v>
      </c>
      <c r="G7" s="49" t="s">
        <v>1682</v>
      </c>
      <c r="H7" s="49" t="s">
        <v>1683</v>
      </c>
      <c r="I7" s="49" t="s">
        <v>1684</v>
      </c>
      <c r="J7" s="316">
        <v>45295</v>
      </c>
      <c r="K7" s="360">
        <v>45301</v>
      </c>
      <c r="L7" s="363" t="s">
        <v>47</v>
      </c>
      <c r="M7" s="317" t="s">
        <v>1685</v>
      </c>
      <c r="N7" s="398">
        <v>14</v>
      </c>
      <c r="O7" s="366">
        <v>45313</v>
      </c>
      <c r="P7" s="365" t="s">
        <v>1686</v>
      </c>
      <c r="Q7" s="364">
        <v>45313</v>
      </c>
      <c r="R7" s="364">
        <v>45313</v>
      </c>
      <c r="S7" s="348" t="s">
        <v>1687</v>
      </c>
    </row>
    <row r="8" spans="1:19" ht="25.5" hidden="1" x14ac:dyDescent="0.25">
      <c r="A8" s="359">
        <v>0</v>
      </c>
      <c r="B8" s="49" t="s">
        <v>1690</v>
      </c>
      <c r="C8" s="49" t="s">
        <v>1691</v>
      </c>
      <c r="D8" s="49"/>
      <c r="E8" s="49">
        <v>183336</v>
      </c>
      <c r="F8" s="49" t="s">
        <v>1692</v>
      </c>
      <c r="G8" s="49" t="s">
        <v>1693</v>
      </c>
      <c r="H8" s="49" t="s">
        <v>1694</v>
      </c>
      <c r="I8" s="49" t="s">
        <v>1695</v>
      </c>
      <c r="J8" s="316">
        <v>45295</v>
      </c>
      <c r="K8" s="316">
        <v>45316</v>
      </c>
      <c r="L8" s="363" t="s">
        <v>47</v>
      </c>
      <c r="M8" s="317" t="s">
        <v>1696</v>
      </c>
      <c r="N8" s="317">
        <v>2</v>
      </c>
      <c r="O8" s="366">
        <v>45328</v>
      </c>
      <c r="P8" s="365" t="s">
        <v>264</v>
      </c>
      <c r="Q8" s="364">
        <v>45328</v>
      </c>
      <c r="R8" s="364">
        <v>45328</v>
      </c>
      <c r="S8" s="348" t="s">
        <v>1687</v>
      </c>
    </row>
    <row r="9" spans="1:19" ht="38.25" hidden="1" x14ac:dyDescent="0.25">
      <c r="A9" s="359">
        <v>0</v>
      </c>
      <c r="B9" s="49" t="s">
        <v>1697</v>
      </c>
      <c r="C9" s="49" t="s">
        <v>1698</v>
      </c>
      <c r="D9" s="49"/>
      <c r="E9" s="49">
        <v>183303</v>
      </c>
      <c r="F9" s="49" t="s">
        <v>1699</v>
      </c>
      <c r="G9" s="49" t="s">
        <v>1700</v>
      </c>
      <c r="H9" s="49" t="s">
        <v>1701</v>
      </c>
      <c r="I9" s="49" t="s">
        <v>1702</v>
      </c>
      <c r="J9" s="316">
        <v>45296</v>
      </c>
      <c r="K9" s="360">
        <v>45324</v>
      </c>
      <c r="L9" s="363" t="s">
        <v>47</v>
      </c>
      <c r="M9" s="317" t="s">
        <v>1703</v>
      </c>
      <c r="N9" s="317">
        <v>2</v>
      </c>
      <c r="O9" s="322">
        <v>45348</v>
      </c>
      <c r="P9" s="365" t="s">
        <v>264</v>
      </c>
      <c r="Q9" s="364">
        <v>45348</v>
      </c>
      <c r="R9" s="364">
        <v>45348</v>
      </c>
      <c r="S9" s="348" t="s">
        <v>1687</v>
      </c>
    </row>
    <row r="10" spans="1:19" ht="25.5" hidden="1" x14ac:dyDescent="0.25">
      <c r="A10" s="359">
        <v>0</v>
      </c>
      <c r="B10" s="49" t="s">
        <v>1704</v>
      </c>
      <c r="C10" s="49" t="s">
        <v>1705</v>
      </c>
      <c r="D10" s="49"/>
      <c r="E10" s="49">
        <v>183345</v>
      </c>
      <c r="F10" s="49" t="s">
        <v>1706</v>
      </c>
      <c r="G10" s="49" t="s">
        <v>1707</v>
      </c>
      <c r="H10" s="49" t="s">
        <v>1708</v>
      </c>
      <c r="I10" s="49" t="s">
        <v>36</v>
      </c>
      <c r="J10" s="316">
        <v>45302</v>
      </c>
      <c r="K10" s="360">
        <v>45302</v>
      </c>
      <c r="L10" s="363" t="s">
        <v>47</v>
      </c>
      <c r="M10" s="317" t="s">
        <v>1709</v>
      </c>
      <c r="N10" s="317">
        <v>6</v>
      </c>
      <c r="O10" s="366">
        <v>45303</v>
      </c>
      <c r="P10" s="365" t="s">
        <v>1686</v>
      </c>
      <c r="Q10" s="364">
        <v>45303</v>
      </c>
      <c r="R10" s="364">
        <v>45303</v>
      </c>
      <c r="S10" s="348" t="s">
        <v>1687</v>
      </c>
    </row>
    <row r="11" spans="1:19" ht="25.5" hidden="1" x14ac:dyDescent="0.25">
      <c r="A11" s="359">
        <v>0</v>
      </c>
      <c r="B11" s="49" t="s">
        <v>1710</v>
      </c>
      <c r="C11" s="49" t="s">
        <v>1711</v>
      </c>
      <c r="D11" s="49"/>
      <c r="E11" s="49">
        <v>183343</v>
      </c>
      <c r="F11" s="49" t="s">
        <v>1712</v>
      </c>
      <c r="G11" s="49" t="s">
        <v>1713</v>
      </c>
      <c r="H11" s="49" t="s">
        <v>1714</v>
      </c>
      <c r="I11" s="49" t="s">
        <v>1715</v>
      </c>
      <c r="J11" s="316">
        <v>45302</v>
      </c>
      <c r="K11" s="360">
        <v>45302</v>
      </c>
      <c r="L11" s="363" t="s">
        <v>47</v>
      </c>
      <c r="M11" s="317" t="s">
        <v>1716</v>
      </c>
      <c r="N11" s="317">
        <v>4</v>
      </c>
      <c r="O11" s="366">
        <v>45366</v>
      </c>
      <c r="P11" s="365" t="s">
        <v>264</v>
      </c>
      <c r="Q11" s="364">
        <v>45366</v>
      </c>
      <c r="R11" s="364">
        <v>45366</v>
      </c>
      <c r="S11" s="348" t="s">
        <v>1687</v>
      </c>
    </row>
    <row r="12" spans="1:19" ht="25.5" hidden="1" x14ac:dyDescent="0.25">
      <c r="A12" s="359">
        <v>0</v>
      </c>
      <c r="B12" s="49" t="s">
        <v>1717</v>
      </c>
      <c r="C12" s="49" t="s">
        <v>1711</v>
      </c>
      <c r="D12" s="49"/>
      <c r="E12" s="49">
        <v>183344</v>
      </c>
      <c r="F12" s="49" t="s">
        <v>1718</v>
      </c>
      <c r="G12" s="49" t="s">
        <v>1719</v>
      </c>
      <c r="H12" s="49" t="s">
        <v>1720</v>
      </c>
      <c r="I12" s="49" t="s">
        <v>1715</v>
      </c>
      <c r="J12" s="316">
        <v>45302</v>
      </c>
      <c r="K12" s="360">
        <v>45302</v>
      </c>
      <c r="L12" s="363" t="s">
        <v>28</v>
      </c>
      <c r="M12" s="317" t="s">
        <v>1721</v>
      </c>
      <c r="N12" s="317">
        <v>10</v>
      </c>
      <c r="O12" s="366">
        <v>45371</v>
      </c>
      <c r="P12" s="365" t="s">
        <v>264</v>
      </c>
      <c r="Q12" s="364">
        <v>45371</v>
      </c>
      <c r="R12" s="364">
        <v>45371</v>
      </c>
      <c r="S12" s="348" t="s">
        <v>1687</v>
      </c>
    </row>
    <row r="13" spans="1:19" hidden="1" x14ac:dyDescent="0.25">
      <c r="A13" s="359">
        <v>0</v>
      </c>
      <c r="B13" s="49" t="s">
        <v>1722</v>
      </c>
      <c r="C13" s="49" t="s">
        <v>83</v>
      </c>
      <c r="D13" s="49"/>
      <c r="E13" s="49">
        <v>183348</v>
      </c>
      <c r="F13" s="49" t="s">
        <v>1723</v>
      </c>
      <c r="G13" s="49" t="s">
        <v>1724</v>
      </c>
      <c r="H13" s="49" t="s">
        <v>1725</v>
      </c>
      <c r="I13" s="49" t="s">
        <v>73</v>
      </c>
      <c r="J13" s="316">
        <v>45306</v>
      </c>
      <c r="K13" s="360">
        <v>45310</v>
      </c>
      <c r="L13" s="363" t="s">
        <v>28</v>
      </c>
      <c r="M13" s="317" t="s">
        <v>84</v>
      </c>
      <c r="N13" s="317">
        <v>2</v>
      </c>
      <c r="O13" s="366">
        <v>45337</v>
      </c>
      <c r="P13" s="365" t="s">
        <v>264</v>
      </c>
      <c r="Q13" s="364">
        <v>45337</v>
      </c>
      <c r="R13" s="364">
        <v>45337</v>
      </c>
      <c r="S13" s="348" t="s">
        <v>1687</v>
      </c>
    </row>
    <row r="14" spans="1:19" ht="25.5" hidden="1" x14ac:dyDescent="0.25">
      <c r="A14" s="359">
        <v>0</v>
      </c>
      <c r="B14" s="49" t="s">
        <v>1726</v>
      </c>
      <c r="C14" s="49" t="s">
        <v>83</v>
      </c>
      <c r="D14" s="49"/>
      <c r="E14" s="49">
        <v>183348</v>
      </c>
      <c r="F14" s="49" t="s">
        <v>1727</v>
      </c>
      <c r="G14" s="49" t="s">
        <v>1728</v>
      </c>
      <c r="H14" s="49" t="s">
        <v>1729</v>
      </c>
      <c r="I14" s="49" t="s">
        <v>1730</v>
      </c>
      <c r="J14" s="316">
        <v>45306</v>
      </c>
      <c r="K14" s="360">
        <v>45310</v>
      </c>
      <c r="L14" s="363" t="s">
        <v>28</v>
      </c>
      <c r="M14" s="317" t="s">
        <v>1731</v>
      </c>
      <c r="N14" s="317">
        <v>1</v>
      </c>
      <c r="O14" s="366">
        <v>45344</v>
      </c>
      <c r="P14" s="365" t="s">
        <v>264</v>
      </c>
      <c r="Q14" s="364">
        <v>45344</v>
      </c>
      <c r="R14" s="364">
        <v>45344</v>
      </c>
      <c r="S14" s="348" t="s">
        <v>1687</v>
      </c>
    </row>
    <row r="15" spans="1:19" ht="25.5" hidden="1" x14ac:dyDescent="0.25">
      <c r="A15" s="359">
        <v>0</v>
      </c>
      <c r="B15" s="49" t="s">
        <v>1732</v>
      </c>
      <c r="C15" s="49" t="s">
        <v>83</v>
      </c>
      <c r="D15" s="49"/>
      <c r="E15" s="49">
        <v>183348</v>
      </c>
      <c r="F15" s="49" t="s">
        <v>1733</v>
      </c>
      <c r="G15" s="49" t="s">
        <v>1734</v>
      </c>
      <c r="H15" s="49" t="s">
        <v>1735</v>
      </c>
      <c r="I15" s="49" t="s">
        <v>73</v>
      </c>
      <c r="J15" s="316">
        <v>45306</v>
      </c>
      <c r="K15" s="360">
        <v>45310</v>
      </c>
      <c r="L15" s="363" t="s">
        <v>28</v>
      </c>
      <c r="M15" s="317" t="s">
        <v>84</v>
      </c>
      <c r="N15" s="317">
        <v>1</v>
      </c>
      <c r="O15" s="366">
        <v>45363</v>
      </c>
      <c r="P15" s="365" t="s">
        <v>264</v>
      </c>
      <c r="Q15" s="364">
        <v>45363</v>
      </c>
      <c r="R15" s="364">
        <v>45364</v>
      </c>
      <c r="S15" s="348" t="s">
        <v>1687</v>
      </c>
    </row>
    <row r="16" spans="1:19" ht="25.7" hidden="1" x14ac:dyDescent="0.25">
      <c r="A16" s="359">
        <v>0</v>
      </c>
      <c r="B16" s="49" t="s">
        <v>1736</v>
      </c>
      <c r="C16" s="49" t="s">
        <v>83</v>
      </c>
      <c r="D16" s="49"/>
      <c r="E16" s="49">
        <v>183348</v>
      </c>
      <c r="F16" s="49" t="s">
        <v>1737</v>
      </c>
      <c r="G16" s="49" t="s">
        <v>1738</v>
      </c>
      <c r="H16" s="49" t="s">
        <v>1739</v>
      </c>
      <c r="I16" s="49" t="s">
        <v>1730</v>
      </c>
      <c r="J16" s="316">
        <v>45306</v>
      </c>
      <c r="K16" s="360">
        <v>45310</v>
      </c>
      <c r="L16" s="363" t="s">
        <v>28</v>
      </c>
      <c r="M16" s="317" t="s">
        <v>1740</v>
      </c>
      <c r="N16" s="317">
        <v>2</v>
      </c>
      <c r="O16" s="366">
        <v>45377</v>
      </c>
      <c r="P16" s="365" t="s">
        <v>264</v>
      </c>
      <c r="Q16" s="364">
        <v>45379</v>
      </c>
      <c r="R16" s="364">
        <v>45379</v>
      </c>
      <c r="S16" s="348" t="s">
        <v>1687</v>
      </c>
    </row>
    <row r="17" spans="1:19" ht="25.5" hidden="1" x14ac:dyDescent="0.25">
      <c r="A17" s="359">
        <v>0</v>
      </c>
      <c r="B17" s="49" t="s">
        <v>1741</v>
      </c>
      <c r="C17" s="49" t="s">
        <v>83</v>
      </c>
      <c r="D17" s="49"/>
      <c r="E17" s="49">
        <v>183348</v>
      </c>
      <c r="F17" s="49" t="s">
        <v>1742</v>
      </c>
      <c r="G17" s="49" t="s">
        <v>1743</v>
      </c>
      <c r="H17" s="49" t="s">
        <v>1744</v>
      </c>
      <c r="I17" s="49" t="s">
        <v>1730</v>
      </c>
      <c r="J17" s="316">
        <v>45306</v>
      </c>
      <c r="K17" s="360">
        <v>45310</v>
      </c>
      <c r="L17" s="363" t="s">
        <v>28</v>
      </c>
      <c r="M17" s="317" t="s">
        <v>1745</v>
      </c>
      <c r="N17" s="317">
        <v>2</v>
      </c>
      <c r="O17" s="366">
        <v>45377</v>
      </c>
      <c r="P17" s="365" t="s">
        <v>264</v>
      </c>
      <c r="Q17" s="364">
        <v>45379</v>
      </c>
      <c r="R17" s="364">
        <v>45379</v>
      </c>
      <c r="S17" s="348" t="s">
        <v>1687</v>
      </c>
    </row>
    <row r="18" spans="1:19" ht="25.7" hidden="1" x14ac:dyDescent="0.25">
      <c r="A18" s="359">
        <v>0</v>
      </c>
      <c r="B18" s="49" t="s">
        <v>1746</v>
      </c>
      <c r="C18" s="49" t="s">
        <v>83</v>
      </c>
      <c r="D18" s="49"/>
      <c r="E18" s="49">
        <v>183348</v>
      </c>
      <c r="F18" s="49" t="s">
        <v>1747</v>
      </c>
      <c r="G18" s="49" t="s">
        <v>1748</v>
      </c>
      <c r="H18" s="49" t="s">
        <v>1749</v>
      </c>
      <c r="I18" s="49" t="s">
        <v>1730</v>
      </c>
      <c r="J18" s="316">
        <v>45306</v>
      </c>
      <c r="K18" s="360">
        <v>45310</v>
      </c>
      <c r="L18" s="363" t="s">
        <v>28</v>
      </c>
      <c r="M18" s="317" t="s">
        <v>1750</v>
      </c>
      <c r="N18" s="317">
        <v>1</v>
      </c>
      <c r="O18" s="366">
        <v>45377</v>
      </c>
      <c r="P18" s="365" t="s">
        <v>264</v>
      </c>
      <c r="Q18" s="364">
        <v>45379</v>
      </c>
      <c r="R18" s="364">
        <v>45379</v>
      </c>
      <c r="S18" s="348" t="s">
        <v>1687</v>
      </c>
    </row>
    <row r="19" spans="1:19" ht="25.7" hidden="1" x14ac:dyDescent="0.25">
      <c r="A19" s="359">
        <v>0</v>
      </c>
      <c r="B19" s="49" t="s">
        <v>1751</v>
      </c>
      <c r="C19" s="49" t="s">
        <v>83</v>
      </c>
      <c r="D19" s="49"/>
      <c r="E19" s="49">
        <v>183348</v>
      </c>
      <c r="F19" s="49" t="s">
        <v>1752</v>
      </c>
      <c r="G19" s="49" t="s">
        <v>291</v>
      </c>
      <c r="H19" s="49" t="s">
        <v>1753</v>
      </c>
      <c r="I19" s="49" t="s">
        <v>1730</v>
      </c>
      <c r="J19" s="316">
        <v>45306</v>
      </c>
      <c r="K19" s="360">
        <v>45310</v>
      </c>
      <c r="L19" s="363" t="s">
        <v>28</v>
      </c>
      <c r="M19" s="317" t="s">
        <v>1754</v>
      </c>
      <c r="N19" s="317">
        <v>5</v>
      </c>
      <c r="O19" s="366">
        <v>45370</v>
      </c>
      <c r="P19" s="365" t="s">
        <v>264</v>
      </c>
      <c r="Q19" s="364">
        <v>45371</v>
      </c>
      <c r="R19" s="364">
        <v>45371</v>
      </c>
      <c r="S19" s="348" t="s">
        <v>1687</v>
      </c>
    </row>
    <row r="20" spans="1:19" hidden="1" x14ac:dyDescent="0.25">
      <c r="A20" s="359">
        <v>0</v>
      </c>
      <c r="B20" s="49" t="s">
        <v>1755</v>
      </c>
      <c r="C20" s="49" t="s">
        <v>83</v>
      </c>
      <c r="D20" s="49"/>
      <c r="E20" s="49">
        <v>183348</v>
      </c>
      <c r="F20" s="49" t="s">
        <v>1756</v>
      </c>
      <c r="G20" s="316" t="s">
        <v>1724</v>
      </c>
      <c r="H20" s="316" t="s">
        <v>1757</v>
      </c>
      <c r="I20" s="49" t="s">
        <v>1758</v>
      </c>
      <c r="J20" s="316">
        <v>45306</v>
      </c>
      <c r="K20" s="360">
        <v>45310</v>
      </c>
      <c r="L20" s="363" t="s">
        <v>28</v>
      </c>
      <c r="M20" s="366" t="s">
        <v>1759</v>
      </c>
      <c r="N20" s="317">
        <v>2</v>
      </c>
      <c r="O20" s="366">
        <v>45405</v>
      </c>
      <c r="P20" s="364" t="s">
        <v>264</v>
      </c>
      <c r="Q20" s="364">
        <v>45405</v>
      </c>
      <c r="R20" s="364">
        <v>45405</v>
      </c>
      <c r="S20" s="348" t="s">
        <v>1687</v>
      </c>
    </row>
    <row r="21" spans="1:19" hidden="1" x14ac:dyDescent="0.25">
      <c r="A21" s="359">
        <v>0</v>
      </c>
      <c r="B21" s="49" t="s">
        <v>1760</v>
      </c>
      <c r="C21" s="49" t="s">
        <v>83</v>
      </c>
      <c r="D21" s="49"/>
      <c r="E21" s="49">
        <v>183348</v>
      </c>
      <c r="F21" s="49" t="s">
        <v>1761</v>
      </c>
      <c r="G21" s="49" t="s">
        <v>71</v>
      </c>
      <c r="H21" s="49" t="s">
        <v>1762</v>
      </c>
      <c r="I21" s="49" t="s">
        <v>73</v>
      </c>
      <c r="J21" s="316">
        <v>45306</v>
      </c>
      <c r="K21" s="360">
        <v>45310</v>
      </c>
      <c r="L21" s="363" t="s">
        <v>28</v>
      </c>
      <c r="M21" s="317" t="s">
        <v>74</v>
      </c>
      <c r="N21" s="317">
        <v>2</v>
      </c>
      <c r="O21" s="366">
        <v>45418</v>
      </c>
      <c r="P21" s="365" t="s">
        <v>264</v>
      </c>
      <c r="Q21" s="364">
        <v>45418</v>
      </c>
      <c r="R21" s="364">
        <v>45418</v>
      </c>
      <c r="S21" s="348" t="s">
        <v>1687</v>
      </c>
    </row>
    <row r="22" spans="1:19" ht="25.5" hidden="1" x14ac:dyDescent="0.25">
      <c r="A22" s="359">
        <v>0</v>
      </c>
      <c r="B22" s="49" t="s">
        <v>1763</v>
      </c>
      <c r="C22" s="49" t="s">
        <v>83</v>
      </c>
      <c r="D22" s="49"/>
      <c r="E22" s="49">
        <v>183348</v>
      </c>
      <c r="F22" s="49" t="s">
        <v>1764</v>
      </c>
      <c r="G22" s="49" t="s">
        <v>1765</v>
      </c>
      <c r="H22" s="49" t="s">
        <v>1766</v>
      </c>
      <c r="I22" s="49" t="s">
        <v>73</v>
      </c>
      <c r="J22" s="316">
        <v>45306</v>
      </c>
      <c r="K22" s="360">
        <v>45310</v>
      </c>
      <c r="L22" s="363" t="s">
        <v>28</v>
      </c>
      <c r="M22" s="317" t="s">
        <v>84</v>
      </c>
      <c r="N22" s="317">
        <v>2</v>
      </c>
      <c r="O22" s="366">
        <v>45420</v>
      </c>
      <c r="P22" s="365" t="s">
        <v>264</v>
      </c>
      <c r="Q22" s="364">
        <v>45420</v>
      </c>
      <c r="R22" s="364">
        <v>45422</v>
      </c>
      <c r="S22" s="348" t="s">
        <v>1687</v>
      </c>
    </row>
    <row r="23" spans="1:19" ht="25.5" hidden="1" x14ac:dyDescent="0.25">
      <c r="A23" s="359">
        <v>0</v>
      </c>
      <c r="B23" s="49" t="s">
        <v>1767</v>
      </c>
      <c r="C23" s="49" t="s">
        <v>1768</v>
      </c>
      <c r="D23" s="49"/>
      <c r="E23" s="49">
        <v>183349</v>
      </c>
      <c r="F23" s="362" t="s">
        <v>1769</v>
      </c>
      <c r="G23" s="49" t="s">
        <v>1770</v>
      </c>
      <c r="H23" s="49" t="s">
        <v>1771</v>
      </c>
      <c r="I23" s="49" t="s">
        <v>1772</v>
      </c>
      <c r="J23" s="316">
        <v>45306</v>
      </c>
      <c r="K23" s="360">
        <v>45307</v>
      </c>
      <c r="L23" s="363" t="s">
        <v>47</v>
      </c>
      <c r="M23" s="317" t="s">
        <v>1773</v>
      </c>
      <c r="N23" s="317">
        <v>1</v>
      </c>
      <c r="O23" s="366">
        <v>45309</v>
      </c>
      <c r="P23" s="365" t="s">
        <v>1686</v>
      </c>
      <c r="Q23" s="364">
        <v>45309</v>
      </c>
      <c r="R23" s="364">
        <v>45309</v>
      </c>
      <c r="S23" s="348" t="s">
        <v>1687</v>
      </c>
    </row>
    <row r="24" spans="1:19" ht="25.5" hidden="1" x14ac:dyDescent="0.25">
      <c r="A24" s="359">
        <v>0</v>
      </c>
      <c r="B24" s="49" t="s">
        <v>1774</v>
      </c>
      <c r="C24" s="49" t="s">
        <v>1775</v>
      </c>
      <c r="D24" s="49"/>
      <c r="E24" s="49">
        <v>183351</v>
      </c>
      <c r="F24" s="49" t="s">
        <v>1776</v>
      </c>
      <c r="G24" s="49" t="s">
        <v>1777</v>
      </c>
      <c r="H24" s="49" t="s">
        <v>1778</v>
      </c>
      <c r="I24" s="49" t="s">
        <v>1779</v>
      </c>
      <c r="J24" s="316">
        <v>45307</v>
      </c>
      <c r="K24" s="360">
        <v>45308</v>
      </c>
      <c r="L24" s="363" t="s">
        <v>28</v>
      </c>
      <c r="M24" s="317" t="s">
        <v>356</v>
      </c>
      <c r="N24" s="317">
        <v>1</v>
      </c>
      <c r="O24" s="366">
        <v>45310</v>
      </c>
      <c r="P24" s="365" t="s">
        <v>1686</v>
      </c>
      <c r="Q24" s="364">
        <v>45310</v>
      </c>
      <c r="R24" s="364">
        <v>45313</v>
      </c>
      <c r="S24" s="348" t="s">
        <v>1687</v>
      </c>
    </row>
    <row r="25" spans="1:19" ht="25.5" hidden="1" x14ac:dyDescent="0.25">
      <c r="A25" s="359">
        <v>0</v>
      </c>
      <c r="B25" s="49" t="s">
        <v>1780</v>
      </c>
      <c r="C25" s="49" t="s">
        <v>1781</v>
      </c>
      <c r="D25" s="49"/>
      <c r="E25" s="49">
        <v>183352</v>
      </c>
      <c r="F25" s="49" t="s">
        <v>1782</v>
      </c>
      <c r="G25" s="49" t="s">
        <v>1783</v>
      </c>
      <c r="H25" s="49" t="s">
        <v>1784</v>
      </c>
      <c r="I25" s="49" t="s">
        <v>120</v>
      </c>
      <c r="J25" s="316">
        <v>45308</v>
      </c>
      <c r="K25" s="360">
        <v>45308</v>
      </c>
      <c r="L25" s="363" t="s">
        <v>47</v>
      </c>
      <c r="M25" s="317" t="s">
        <v>549</v>
      </c>
      <c r="N25" s="317">
        <v>2</v>
      </c>
      <c r="O25" s="366">
        <v>45309</v>
      </c>
      <c r="P25" s="365" t="s">
        <v>1686</v>
      </c>
      <c r="Q25" s="364">
        <v>45309</v>
      </c>
      <c r="R25" s="364">
        <v>45309</v>
      </c>
      <c r="S25" s="348" t="s">
        <v>1687</v>
      </c>
    </row>
    <row r="26" spans="1:19" ht="25.5" hidden="1" x14ac:dyDescent="0.25">
      <c r="A26" s="359">
        <v>0</v>
      </c>
      <c r="B26" s="49" t="s">
        <v>1785</v>
      </c>
      <c r="C26" s="49" t="s">
        <v>1691</v>
      </c>
      <c r="D26" s="49"/>
      <c r="E26" s="49">
        <v>183353</v>
      </c>
      <c r="F26" s="49" t="s">
        <v>1786</v>
      </c>
      <c r="G26" s="49" t="s">
        <v>1787</v>
      </c>
      <c r="H26" s="49" t="s">
        <v>1788</v>
      </c>
      <c r="I26" s="49" t="s">
        <v>1695</v>
      </c>
      <c r="J26" s="316">
        <v>45309</v>
      </c>
      <c r="K26" s="316">
        <v>45316</v>
      </c>
      <c r="L26" s="363" t="s">
        <v>47</v>
      </c>
      <c r="M26" s="317" t="s">
        <v>1789</v>
      </c>
      <c r="N26" s="317">
        <v>2</v>
      </c>
      <c r="O26" s="366">
        <v>45328</v>
      </c>
      <c r="P26" s="365" t="s">
        <v>264</v>
      </c>
      <c r="Q26" s="364">
        <v>45328</v>
      </c>
      <c r="R26" s="364">
        <v>45329</v>
      </c>
      <c r="S26" s="348" t="s">
        <v>1687</v>
      </c>
    </row>
    <row r="27" spans="1:19" ht="38.25" hidden="1" x14ac:dyDescent="0.25">
      <c r="A27" s="359">
        <v>0</v>
      </c>
      <c r="B27" s="49" t="s">
        <v>1790</v>
      </c>
      <c r="C27" s="49" t="s">
        <v>1791</v>
      </c>
      <c r="D27" s="49"/>
      <c r="E27" s="49">
        <v>183706</v>
      </c>
      <c r="F27" s="362" t="s">
        <v>1792</v>
      </c>
      <c r="G27" s="49" t="s">
        <v>1793</v>
      </c>
      <c r="H27" s="49" t="s">
        <v>1794</v>
      </c>
      <c r="I27" s="49" t="s">
        <v>504</v>
      </c>
      <c r="J27" s="316">
        <v>45307</v>
      </c>
      <c r="K27" s="316">
        <v>45307</v>
      </c>
      <c r="L27" s="363" t="s">
        <v>47</v>
      </c>
      <c r="M27" s="317" t="s">
        <v>505</v>
      </c>
      <c r="N27" s="317">
        <v>1</v>
      </c>
      <c r="O27" s="366">
        <v>45310</v>
      </c>
      <c r="P27" s="365" t="s">
        <v>1686</v>
      </c>
      <c r="Q27" s="364">
        <v>45310</v>
      </c>
      <c r="R27" s="364">
        <v>45310</v>
      </c>
      <c r="S27" s="348" t="s">
        <v>1687</v>
      </c>
    </row>
    <row r="28" spans="1:19" ht="25.5" hidden="1" x14ac:dyDescent="0.25">
      <c r="A28" s="359">
        <v>0</v>
      </c>
      <c r="B28" s="49" t="s">
        <v>1795</v>
      </c>
      <c r="C28" s="49" t="s">
        <v>1796</v>
      </c>
      <c r="D28" s="49"/>
      <c r="E28" s="49">
        <v>183715</v>
      </c>
      <c r="F28" s="362" t="s">
        <v>1797</v>
      </c>
      <c r="G28" s="49" t="s">
        <v>1798</v>
      </c>
      <c r="H28" s="49" t="s">
        <v>1799</v>
      </c>
      <c r="I28" s="49" t="s">
        <v>127</v>
      </c>
      <c r="J28" s="316">
        <v>45310</v>
      </c>
      <c r="K28" s="316">
        <v>45310</v>
      </c>
      <c r="L28" s="363" t="s">
        <v>28</v>
      </c>
      <c r="M28" s="317" t="s">
        <v>1800</v>
      </c>
      <c r="N28" s="317">
        <v>1</v>
      </c>
      <c r="O28" s="366">
        <v>45316</v>
      </c>
      <c r="P28" s="365" t="s">
        <v>1686</v>
      </c>
      <c r="Q28" s="364">
        <v>45317</v>
      </c>
      <c r="R28" s="364">
        <v>45317</v>
      </c>
      <c r="S28" s="348" t="s">
        <v>1687</v>
      </c>
    </row>
    <row r="29" spans="1:19" ht="38.25" hidden="1" x14ac:dyDescent="0.25">
      <c r="A29" s="359">
        <v>0</v>
      </c>
      <c r="B29" s="49" t="s">
        <v>1801</v>
      </c>
      <c r="C29" s="49" t="s">
        <v>1802</v>
      </c>
      <c r="D29" s="49"/>
      <c r="E29" s="49">
        <v>183357</v>
      </c>
      <c r="F29" s="362" t="s">
        <v>1803</v>
      </c>
      <c r="G29" s="49" t="s">
        <v>1804</v>
      </c>
      <c r="H29" s="49">
        <v>888</v>
      </c>
      <c r="I29" s="49" t="s">
        <v>1805</v>
      </c>
      <c r="J29" s="316">
        <v>45313</v>
      </c>
      <c r="K29" s="316">
        <v>45320</v>
      </c>
      <c r="L29" s="363" t="s">
        <v>28</v>
      </c>
      <c r="M29" s="317" t="s">
        <v>1806</v>
      </c>
      <c r="N29" s="317">
        <v>1</v>
      </c>
      <c r="O29" s="366">
        <v>45580</v>
      </c>
      <c r="P29" s="365" t="s">
        <v>30</v>
      </c>
      <c r="Q29" s="364">
        <v>45581</v>
      </c>
      <c r="R29" s="364">
        <v>45581</v>
      </c>
      <c r="S29" s="348"/>
    </row>
    <row r="30" spans="1:19" hidden="1" x14ac:dyDescent="0.25">
      <c r="A30" s="359">
        <v>0</v>
      </c>
      <c r="B30" s="49" t="s">
        <v>1807</v>
      </c>
      <c r="C30" s="49" t="s">
        <v>1808</v>
      </c>
      <c r="D30" s="49"/>
      <c r="E30" s="49">
        <v>183358</v>
      </c>
      <c r="F30" s="362" t="s">
        <v>1809</v>
      </c>
      <c r="G30" s="49" t="s">
        <v>1810</v>
      </c>
      <c r="H30" s="49" t="s">
        <v>1811</v>
      </c>
      <c r="I30" s="49" t="s">
        <v>1812</v>
      </c>
      <c r="J30" s="316">
        <v>45313</v>
      </c>
      <c r="K30" s="316">
        <v>45314</v>
      </c>
      <c r="L30" s="363" t="s">
        <v>47</v>
      </c>
      <c r="M30" s="317" t="s">
        <v>1813</v>
      </c>
      <c r="N30" s="317">
        <v>13</v>
      </c>
      <c r="O30" s="366">
        <v>45320</v>
      </c>
      <c r="P30" s="365" t="s">
        <v>264</v>
      </c>
      <c r="Q30" s="364">
        <v>45320</v>
      </c>
      <c r="R30" s="364">
        <v>45320</v>
      </c>
      <c r="S30" s="348" t="s">
        <v>1687</v>
      </c>
    </row>
    <row r="31" spans="1:19" ht="25.5" hidden="1" x14ac:dyDescent="0.25">
      <c r="A31" s="359">
        <v>0</v>
      </c>
      <c r="B31" s="49" t="s">
        <v>1814</v>
      </c>
      <c r="C31" s="49" t="s">
        <v>1680</v>
      </c>
      <c r="D31" s="49"/>
      <c r="E31" s="49">
        <v>183361</v>
      </c>
      <c r="F31" s="362" t="s">
        <v>1815</v>
      </c>
      <c r="G31" s="49" t="s">
        <v>1816</v>
      </c>
      <c r="H31" s="49" t="s">
        <v>1817</v>
      </c>
      <c r="I31" s="49" t="s">
        <v>1684</v>
      </c>
      <c r="J31" s="316">
        <v>45314</v>
      </c>
      <c r="K31" s="316">
        <v>45317</v>
      </c>
      <c r="L31" s="363" t="s">
        <v>28</v>
      </c>
      <c r="M31" s="317" t="s">
        <v>1818</v>
      </c>
      <c r="N31" s="317">
        <v>2</v>
      </c>
      <c r="O31" s="366">
        <v>45320</v>
      </c>
      <c r="P31" s="365" t="s">
        <v>1686</v>
      </c>
      <c r="Q31" s="364">
        <v>45320</v>
      </c>
      <c r="R31" s="364">
        <v>45320</v>
      </c>
      <c r="S31" s="348" t="s">
        <v>1687</v>
      </c>
    </row>
    <row r="32" spans="1:19" ht="25.5" hidden="1" x14ac:dyDescent="0.25">
      <c r="A32" s="359">
        <v>0</v>
      </c>
      <c r="B32" s="49" t="s">
        <v>1819</v>
      </c>
      <c r="C32" s="49" t="s">
        <v>1820</v>
      </c>
      <c r="D32" s="49"/>
      <c r="E32" s="49">
        <v>183369</v>
      </c>
      <c r="F32" s="362" t="s">
        <v>1821</v>
      </c>
      <c r="G32" s="49" t="s">
        <v>427</v>
      </c>
      <c r="H32" s="49" t="s">
        <v>1822</v>
      </c>
      <c r="I32" s="49" t="s">
        <v>588</v>
      </c>
      <c r="J32" s="316">
        <v>45316</v>
      </c>
      <c r="K32" s="360">
        <v>45320</v>
      </c>
      <c r="L32" s="363" t="s">
        <v>47</v>
      </c>
      <c r="M32" s="317" t="s">
        <v>1823</v>
      </c>
      <c r="N32" s="317">
        <v>12</v>
      </c>
      <c r="O32" s="366">
        <v>45320</v>
      </c>
      <c r="P32" s="365" t="s">
        <v>1686</v>
      </c>
      <c r="Q32" s="364">
        <v>45320</v>
      </c>
      <c r="R32" s="364">
        <v>45320</v>
      </c>
      <c r="S32" s="348" t="s">
        <v>1687</v>
      </c>
    </row>
    <row r="33" spans="1:19" ht="38.25" hidden="1" x14ac:dyDescent="0.25">
      <c r="A33" s="359">
        <v>0</v>
      </c>
      <c r="B33" s="49" t="s">
        <v>1824</v>
      </c>
      <c r="C33" s="49" t="s">
        <v>1698</v>
      </c>
      <c r="D33" s="49"/>
      <c r="E33" s="49">
        <v>182971</v>
      </c>
      <c r="F33" s="362" t="s">
        <v>1825</v>
      </c>
      <c r="G33" s="49" t="s">
        <v>1826</v>
      </c>
      <c r="H33" s="49" t="s">
        <v>1827</v>
      </c>
      <c r="I33" s="49" t="s">
        <v>1828</v>
      </c>
      <c r="J33" s="316">
        <v>45182</v>
      </c>
      <c r="K33" s="360">
        <v>45316</v>
      </c>
      <c r="L33" s="399" t="s">
        <v>47</v>
      </c>
      <c r="M33" s="322" t="s">
        <v>1829</v>
      </c>
      <c r="N33" s="317">
        <v>1</v>
      </c>
      <c r="O33" s="322"/>
      <c r="P33" s="365"/>
      <c r="Q33" s="364"/>
      <c r="R33" s="364"/>
      <c r="S33" s="348"/>
    </row>
    <row r="34" spans="1:19" ht="38.25" hidden="1" x14ac:dyDescent="0.25">
      <c r="A34" s="359">
        <v>0</v>
      </c>
      <c r="B34" s="49" t="s">
        <v>1830</v>
      </c>
      <c r="C34" s="49" t="s">
        <v>1831</v>
      </c>
      <c r="D34" s="49"/>
      <c r="E34" s="49">
        <v>183717</v>
      </c>
      <c r="F34" s="362" t="s">
        <v>1832</v>
      </c>
      <c r="G34" s="49" t="s">
        <v>44</v>
      </c>
      <c r="H34" s="49" t="s">
        <v>1833</v>
      </c>
      <c r="I34" s="49" t="s">
        <v>1834</v>
      </c>
      <c r="J34" s="316">
        <v>45317</v>
      </c>
      <c r="K34" s="360">
        <v>45317</v>
      </c>
      <c r="L34" s="363" t="s">
        <v>47</v>
      </c>
      <c r="M34" s="317" t="s">
        <v>1835</v>
      </c>
      <c r="N34" s="317">
        <v>2</v>
      </c>
      <c r="O34" s="366">
        <v>45320</v>
      </c>
      <c r="P34" s="365" t="s">
        <v>1686</v>
      </c>
      <c r="Q34" s="364">
        <v>45320</v>
      </c>
      <c r="R34" s="364">
        <v>45320</v>
      </c>
      <c r="S34" s="348" t="s">
        <v>1687</v>
      </c>
    </row>
    <row r="35" spans="1:19" ht="38.25" hidden="1" x14ac:dyDescent="0.25">
      <c r="A35" s="359">
        <v>0</v>
      </c>
      <c r="B35" s="49" t="s">
        <v>1836</v>
      </c>
      <c r="C35" s="49" t="s">
        <v>1802</v>
      </c>
      <c r="D35" s="49"/>
      <c r="E35" s="49">
        <v>183376</v>
      </c>
      <c r="F35" s="362" t="s">
        <v>1837</v>
      </c>
      <c r="G35" s="49" t="s">
        <v>1838</v>
      </c>
      <c r="H35" s="49" t="s">
        <v>1839</v>
      </c>
      <c r="I35" s="49" t="s">
        <v>1805</v>
      </c>
      <c r="J35" s="316">
        <v>45320</v>
      </c>
      <c r="K35" s="360">
        <v>45328</v>
      </c>
      <c r="L35" s="363" t="s">
        <v>28</v>
      </c>
      <c r="M35" s="317" t="s">
        <v>1840</v>
      </c>
      <c r="N35" s="317">
        <v>1</v>
      </c>
      <c r="O35" s="366">
        <v>45421</v>
      </c>
      <c r="P35" s="365" t="s">
        <v>264</v>
      </c>
      <c r="Q35" s="364">
        <v>45422</v>
      </c>
      <c r="R35" s="364">
        <v>45422</v>
      </c>
      <c r="S35" s="348" t="s">
        <v>1687</v>
      </c>
    </row>
    <row r="36" spans="1:19" ht="25.5" hidden="1" x14ac:dyDescent="0.25">
      <c r="A36" s="359">
        <v>0</v>
      </c>
      <c r="B36" s="49" t="s">
        <v>1841</v>
      </c>
      <c r="C36" s="49" t="s">
        <v>1842</v>
      </c>
      <c r="D36" s="49"/>
      <c r="E36" s="49">
        <v>183377</v>
      </c>
      <c r="F36" s="362" t="s">
        <v>1681</v>
      </c>
      <c r="G36" s="49" t="s">
        <v>1843</v>
      </c>
      <c r="H36" s="49" t="s">
        <v>1844</v>
      </c>
      <c r="I36" s="49" t="s">
        <v>1845</v>
      </c>
      <c r="J36" s="316">
        <v>45320</v>
      </c>
      <c r="K36" s="360">
        <v>45321</v>
      </c>
      <c r="L36" s="399" t="s">
        <v>47</v>
      </c>
      <c r="M36" s="317" t="s">
        <v>1846</v>
      </c>
      <c r="N36" s="317">
        <v>20</v>
      </c>
      <c r="O36" s="322">
        <v>45331</v>
      </c>
      <c r="P36" s="365" t="s">
        <v>264</v>
      </c>
      <c r="Q36" s="364">
        <v>45331</v>
      </c>
      <c r="R36" s="364">
        <v>45331</v>
      </c>
      <c r="S36" s="348" t="s">
        <v>1687</v>
      </c>
    </row>
    <row r="37" spans="1:19" ht="25.5" hidden="1" x14ac:dyDescent="0.25">
      <c r="A37" s="359">
        <v>0</v>
      </c>
      <c r="B37" s="49" t="s">
        <v>1847</v>
      </c>
      <c r="C37" s="49" t="s">
        <v>1848</v>
      </c>
      <c r="D37" s="49"/>
      <c r="E37" s="49">
        <v>183378</v>
      </c>
      <c r="F37" s="362" t="s">
        <v>1849</v>
      </c>
      <c r="G37" s="49" t="s">
        <v>71</v>
      </c>
      <c r="H37" s="49" t="s">
        <v>1850</v>
      </c>
      <c r="I37" s="49" t="s">
        <v>1851</v>
      </c>
      <c r="J37" s="316">
        <v>45320</v>
      </c>
      <c r="K37" s="360"/>
      <c r="L37" s="363"/>
      <c r="M37" s="317" t="s">
        <v>1852</v>
      </c>
      <c r="N37" s="317">
        <v>1</v>
      </c>
      <c r="O37" s="366"/>
      <c r="P37" s="365"/>
      <c r="Q37" s="364"/>
      <c r="R37" s="364"/>
      <c r="S37" s="348"/>
    </row>
    <row r="38" spans="1:19" ht="25.5" hidden="1" x14ac:dyDescent="0.25">
      <c r="A38" s="359">
        <v>0</v>
      </c>
      <c r="B38" s="49" t="s">
        <v>1853</v>
      </c>
      <c r="C38" s="49" t="s">
        <v>1854</v>
      </c>
      <c r="D38" s="49"/>
      <c r="E38" s="49">
        <v>183382</v>
      </c>
      <c r="F38" s="362" t="s">
        <v>1855</v>
      </c>
      <c r="G38" s="49" t="s">
        <v>1856</v>
      </c>
      <c r="H38" s="49" t="s">
        <v>1857</v>
      </c>
      <c r="I38" s="49" t="s">
        <v>149</v>
      </c>
      <c r="J38" s="316" t="e" vm="1">
        <v>#VALUE!</v>
      </c>
      <c r="K38" s="360">
        <v>45329</v>
      </c>
      <c r="L38" s="363" t="s">
        <v>47</v>
      </c>
      <c r="M38" s="317" t="s">
        <v>1858</v>
      </c>
      <c r="N38" s="317">
        <v>1</v>
      </c>
      <c r="O38" s="366">
        <v>45331</v>
      </c>
      <c r="P38" s="365" t="s">
        <v>264</v>
      </c>
      <c r="Q38" s="364">
        <v>45331</v>
      </c>
      <c r="R38" s="364">
        <v>45331</v>
      </c>
      <c r="S38" s="348" t="s">
        <v>1687</v>
      </c>
    </row>
    <row r="39" spans="1:19" hidden="1" x14ac:dyDescent="0.25">
      <c r="A39" s="359">
        <v>0</v>
      </c>
      <c r="B39" s="49" t="s">
        <v>1859</v>
      </c>
      <c r="C39" s="49" t="s">
        <v>1860</v>
      </c>
      <c r="D39" s="49"/>
      <c r="E39" s="49">
        <v>183381</v>
      </c>
      <c r="F39" s="362" t="s">
        <v>1861</v>
      </c>
      <c r="G39" s="49" t="s">
        <v>1862</v>
      </c>
      <c r="H39" s="49" t="s">
        <v>1863</v>
      </c>
      <c r="I39" s="49" t="s">
        <v>1864</v>
      </c>
      <c r="J39" s="316">
        <v>45321</v>
      </c>
      <c r="K39" s="316">
        <v>45323</v>
      </c>
      <c r="L39" s="363" t="s">
        <v>28</v>
      </c>
      <c r="M39" s="317" t="s">
        <v>1865</v>
      </c>
      <c r="N39" s="317">
        <v>7</v>
      </c>
      <c r="O39" s="322">
        <v>45324</v>
      </c>
      <c r="P39" s="365" t="s">
        <v>264</v>
      </c>
      <c r="Q39" s="364">
        <v>45324</v>
      </c>
      <c r="R39" s="364">
        <v>45324</v>
      </c>
      <c r="S39" s="348" t="s">
        <v>1687</v>
      </c>
    </row>
    <row r="40" spans="1:19" ht="25.5" hidden="1" x14ac:dyDescent="0.25">
      <c r="A40" s="359">
        <v>0</v>
      </c>
      <c r="B40" s="49" t="s">
        <v>1866</v>
      </c>
      <c r="C40" s="49" t="s">
        <v>1854</v>
      </c>
      <c r="D40" s="49"/>
      <c r="E40" s="49">
        <v>183384</v>
      </c>
      <c r="F40" s="362" t="s">
        <v>1867</v>
      </c>
      <c r="G40" s="49" t="s">
        <v>427</v>
      </c>
      <c r="H40" s="49" t="s">
        <v>1868</v>
      </c>
      <c r="I40" s="49" t="s">
        <v>1869</v>
      </c>
      <c r="J40" s="316">
        <v>45321</v>
      </c>
      <c r="K40" s="316">
        <v>45329</v>
      </c>
      <c r="L40" s="363" t="s">
        <v>47</v>
      </c>
      <c r="M40" s="317" t="s">
        <v>1870</v>
      </c>
      <c r="N40" s="317">
        <v>3</v>
      </c>
      <c r="O40" s="366">
        <v>45345</v>
      </c>
      <c r="P40" s="365" t="s">
        <v>264</v>
      </c>
      <c r="Q40" s="364">
        <v>45345</v>
      </c>
      <c r="R40" s="364">
        <v>45345</v>
      </c>
      <c r="S40" s="348" t="s">
        <v>1687</v>
      </c>
    </row>
    <row r="41" spans="1:19" ht="25.5" hidden="1" x14ac:dyDescent="0.25">
      <c r="A41" s="359">
        <v>0</v>
      </c>
      <c r="B41" s="49" t="s">
        <v>1871</v>
      </c>
      <c r="C41" s="49" t="s">
        <v>1872</v>
      </c>
      <c r="D41" s="49"/>
      <c r="E41" s="49">
        <v>183385</v>
      </c>
      <c r="F41" s="362" t="s">
        <v>1873</v>
      </c>
      <c r="G41" s="49" t="s">
        <v>1874</v>
      </c>
      <c r="H41" s="49" t="s">
        <v>1875</v>
      </c>
      <c r="I41" s="49" t="s">
        <v>1869</v>
      </c>
      <c r="J41" s="316">
        <v>45321</v>
      </c>
      <c r="K41" s="316">
        <v>45329</v>
      </c>
      <c r="L41" s="363" t="s">
        <v>28</v>
      </c>
      <c r="M41" s="317" t="s">
        <v>1876</v>
      </c>
      <c r="N41" s="317">
        <v>1</v>
      </c>
      <c r="O41" s="366">
        <v>45350</v>
      </c>
      <c r="P41" s="365" t="s">
        <v>264</v>
      </c>
      <c r="Q41" s="364">
        <v>45350</v>
      </c>
      <c r="R41" s="364">
        <v>45350</v>
      </c>
      <c r="S41" s="348" t="s">
        <v>1687</v>
      </c>
    </row>
    <row r="42" spans="1:19" ht="25.5" hidden="1" x14ac:dyDescent="0.25">
      <c r="A42" s="359">
        <v>0</v>
      </c>
      <c r="B42" s="49" t="s">
        <v>1877</v>
      </c>
      <c r="C42" s="49" t="s">
        <v>253</v>
      </c>
      <c r="D42" s="49"/>
      <c r="E42" s="49">
        <v>183393</v>
      </c>
      <c r="F42" s="362" t="s">
        <v>1878</v>
      </c>
      <c r="G42" s="49" t="s">
        <v>261</v>
      </c>
      <c r="H42" s="49" t="s">
        <v>1879</v>
      </c>
      <c r="I42" s="316" t="s">
        <v>257</v>
      </c>
      <c r="J42" s="316">
        <v>45323</v>
      </c>
      <c r="K42" s="316">
        <v>45323</v>
      </c>
      <c r="L42" s="363" t="s">
        <v>28</v>
      </c>
      <c r="M42" s="317" t="s">
        <v>263</v>
      </c>
      <c r="N42" s="317">
        <v>20</v>
      </c>
      <c r="O42" s="366">
        <v>45328</v>
      </c>
      <c r="P42" s="365" t="s">
        <v>264</v>
      </c>
      <c r="Q42" s="364">
        <v>45328</v>
      </c>
      <c r="R42" s="364">
        <v>45328</v>
      </c>
      <c r="S42" s="348" t="s">
        <v>1687</v>
      </c>
    </row>
    <row r="43" spans="1:19" ht="25.5" hidden="1" customHeight="1" x14ac:dyDescent="0.25">
      <c r="A43" s="359">
        <v>0</v>
      </c>
      <c r="B43" s="49" t="s">
        <v>1880</v>
      </c>
      <c r="C43" s="49" t="s">
        <v>1860</v>
      </c>
      <c r="D43" s="49"/>
      <c r="E43" s="49">
        <v>183394</v>
      </c>
      <c r="F43" s="362" t="s">
        <v>1881</v>
      </c>
      <c r="G43" s="49" t="s">
        <v>1882</v>
      </c>
      <c r="H43" s="49" t="s">
        <v>1883</v>
      </c>
      <c r="I43" s="49" t="s">
        <v>1864</v>
      </c>
      <c r="J43" s="316">
        <v>45321</v>
      </c>
      <c r="K43" s="316">
        <v>45324</v>
      </c>
      <c r="L43" s="363" t="s">
        <v>28</v>
      </c>
      <c r="M43" s="317" t="s">
        <v>1884</v>
      </c>
      <c r="N43" s="317">
        <v>1</v>
      </c>
      <c r="O43" s="322">
        <v>45324</v>
      </c>
      <c r="P43" s="365" t="s">
        <v>264</v>
      </c>
      <c r="Q43" s="364">
        <v>45324</v>
      </c>
      <c r="R43" s="364">
        <v>45324</v>
      </c>
      <c r="S43" s="348" t="s">
        <v>1687</v>
      </c>
    </row>
    <row r="44" spans="1:19" ht="25.5" hidden="1" x14ac:dyDescent="0.25">
      <c r="A44" s="359">
        <v>0</v>
      </c>
      <c r="B44" s="49" t="s">
        <v>1885</v>
      </c>
      <c r="C44" s="49" t="s">
        <v>1886</v>
      </c>
      <c r="D44" s="49"/>
      <c r="E44" s="49">
        <v>183395</v>
      </c>
      <c r="F44" s="362" t="s">
        <v>1887</v>
      </c>
      <c r="G44" s="49" t="s">
        <v>1888</v>
      </c>
      <c r="H44" s="49" t="s">
        <v>1889</v>
      </c>
      <c r="I44" s="49" t="s">
        <v>1890</v>
      </c>
      <c r="J44" s="316">
        <v>45324</v>
      </c>
      <c r="K44" s="316">
        <v>45328</v>
      </c>
      <c r="L44" s="363" t="s">
        <v>28</v>
      </c>
      <c r="M44" s="317" t="s">
        <v>1891</v>
      </c>
      <c r="N44" s="317">
        <v>6</v>
      </c>
      <c r="O44" s="366">
        <v>45328</v>
      </c>
      <c r="P44" s="365" t="s">
        <v>264</v>
      </c>
      <c r="Q44" s="364">
        <v>45328</v>
      </c>
      <c r="R44" s="364">
        <v>45329</v>
      </c>
      <c r="S44" s="348" t="s">
        <v>1687</v>
      </c>
    </row>
    <row r="45" spans="1:19" hidden="1" x14ac:dyDescent="0.25">
      <c r="A45" s="359">
        <v>0</v>
      </c>
      <c r="B45" s="49" t="s">
        <v>1892</v>
      </c>
      <c r="C45" s="49" t="s">
        <v>1680</v>
      </c>
      <c r="D45" s="49"/>
      <c r="E45" s="49">
        <v>183391</v>
      </c>
      <c r="F45" s="362" t="s">
        <v>1893</v>
      </c>
      <c r="G45" s="49" t="s">
        <v>1894</v>
      </c>
      <c r="H45" s="49" t="s">
        <v>1895</v>
      </c>
      <c r="I45" s="49" t="s">
        <v>143</v>
      </c>
      <c r="J45" s="316">
        <v>45324</v>
      </c>
      <c r="K45" s="316">
        <v>45327</v>
      </c>
      <c r="L45" s="363" t="s">
        <v>47</v>
      </c>
      <c r="M45" s="317" t="s">
        <v>1896</v>
      </c>
      <c r="N45" s="317">
        <v>1</v>
      </c>
      <c r="O45" s="366">
        <v>45328</v>
      </c>
      <c r="P45" s="365" t="s">
        <v>264</v>
      </c>
      <c r="Q45" s="364">
        <v>45328</v>
      </c>
      <c r="R45" s="364">
        <v>45328</v>
      </c>
      <c r="S45" s="348" t="s">
        <v>1687</v>
      </c>
    </row>
    <row r="46" spans="1:19" ht="25.5" hidden="1" x14ac:dyDescent="0.25">
      <c r="A46" s="359">
        <v>0</v>
      </c>
      <c r="B46" s="49" t="s">
        <v>1897</v>
      </c>
      <c r="C46" s="49" t="s">
        <v>1898</v>
      </c>
      <c r="D46" s="49"/>
      <c r="E46" s="49">
        <v>183387</v>
      </c>
      <c r="F46" s="362" t="s">
        <v>1899</v>
      </c>
      <c r="G46" s="49" t="s">
        <v>1900</v>
      </c>
      <c r="H46" s="49" t="s">
        <v>1901</v>
      </c>
      <c r="I46" s="49" t="s">
        <v>1902</v>
      </c>
      <c r="J46" s="316">
        <v>45327</v>
      </c>
      <c r="K46" s="316">
        <v>45328</v>
      </c>
      <c r="L46" s="363" t="s">
        <v>28</v>
      </c>
      <c r="M46" s="317" t="s">
        <v>235</v>
      </c>
      <c r="N46" s="317">
        <v>15</v>
      </c>
      <c r="O46" s="366">
        <v>45363</v>
      </c>
      <c r="P46" s="365" t="s">
        <v>264</v>
      </c>
      <c r="Q46" s="364">
        <v>45363</v>
      </c>
      <c r="R46" s="364">
        <v>45363</v>
      </c>
      <c r="S46" s="348" t="s">
        <v>1687</v>
      </c>
    </row>
    <row r="47" spans="1:19" ht="25.5" hidden="1" x14ac:dyDescent="0.25">
      <c r="A47" s="359">
        <v>0</v>
      </c>
      <c r="B47" s="49" t="s">
        <v>1903</v>
      </c>
      <c r="C47" s="49" t="s">
        <v>1904</v>
      </c>
      <c r="D47" s="49"/>
      <c r="E47" s="49">
        <v>183386</v>
      </c>
      <c r="F47" s="362" t="s">
        <v>1905</v>
      </c>
      <c r="G47" s="49" t="s">
        <v>1900</v>
      </c>
      <c r="H47" s="49" t="s">
        <v>1906</v>
      </c>
      <c r="I47" s="49" t="s">
        <v>1902</v>
      </c>
      <c r="J47" s="316">
        <v>45327</v>
      </c>
      <c r="K47" s="316">
        <v>45328</v>
      </c>
      <c r="L47" s="363" t="s">
        <v>28</v>
      </c>
      <c r="M47" s="317" t="s">
        <v>235</v>
      </c>
      <c r="N47" s="317">
        <v>7</v>
      </c>
      <c r="O47" s="366">
        <v>45362</v>
      </c>
      <c r="P47" s="365" t="s">
        <v>264</v>
      </c>
      <c r="Q47" s="364">
        <v>45362</v>
      </c>
      <c r="R47" s="364">
        <v>45362</v>
      </c>
      <c r="S47" s="348" t="s">
        <v>1687</v>
      </c>
    </row>
    <row r="48" spans="1:19" ht="25.5" hidden="1" x14ac:dyDescent="0.25">
      <c r="A48" s="359">
        <v>0</v>
      </c>
      <c r="B48" s="49" t="s">
        <v>1907</v>
      </c>
      <c r="C48" s="49" t="s">
        <v>1898</v>
      </c>
      <c r="D48" s="49"/>
      <c r="E48" s="49">
        <v>183388</v>
      </c>
      <c r="F48" s="362" t="s">
        <v>1908</v>
      </c>
      <c r="G48" s="49" t="s">
        <v>1909</v>
      </c>
      <c r="H48" s="49" t="s">
        <v>1910</v>
      </c>
      <c r="I48" s="49" t="s">
        <v>1902</v>
      </c>
      <c r="J48" s="316">
        <v>45327</v>
      </c>
      <c r="K48" s="316">
        <v>45328</v>
      </c>
      <c r="L48" s="363" t="s">
        <v>28</v>
      </c>
      <c r="M48" s="317" t="s">
        <v>1911</v>
      </c>
      <c r="N48" s="317">
        <v>18</v>
      </c>
      <c r="O48" s="366">
        <v>45362</v>
      </c>
      <c r="P48" s="365" t="s">
        <v>264</v>
      </c>
      <c r="Q48" s="364">
        <v>45362</v>
      </c>
      <c r="R48" s="364">
        <v>45362</v>
      </c>
      <c r="S48" s="348" t="s">
        <v>1687</v>
      </c>
    </row>
    <row r="49" spans="1:19" ht="25.5" hidden="1" x14ac:dyDescent="0.25">
      <c r="A49" s="359">
        <v>0</v>
      </c>
      <c r="B49" s="49" t="s">
        <v>1912</v>
      </c>
      <c r="C49" s="49" t="s">
        <v>1913</v>
      </c>
      <c r="D49" s="49"/>
      <c r="E49" s="49">
        <v>183371</v>
      </c>
      <c r="F49" s="362" t="s">
        <v>1914</v>
      </c>
      <c r="G49" s="49" t="s">
        <v>1915</v>
      </c>
      <c r="H49" s="49" t="s">
        <v>1916</v>
      </c>
      <c r="I49" s="49" t="s">
        <v>1917</v>
      </c>
      <c r="J49" s="316">
        <v>45316</v>
      </c>
      <c r="K49" s="316">
        <v>45323</v>
      </c>
      <c r="L49" s="363" t="s">
        <v>28</v>
      </c>
      <c r="M49" s="317" t="s">
        <v>1918</v>
      </c>
      <c r="N49" s="317">
        <v>1</v>
      </c>
      <c r="O49" s="366">
        <v>45414</v>
      </c>
      <c r="P49" s="365" t="s">
        <v>264</v>
      </c>
      <c r="Q49" s="364">
        <v>45415</v>
      </c>
      <c r="R49" s="364">
        <v>45415</v>
      </c>
      <c r="S49" s="348" t="s">
        <v>1687</v>
      </c>
    </row>
    <row r="50" spans="1:19" ht="25.5" hidden="1" x14ac:dyDescent="0.25">
      <c r="A50" s="359">
        <v>0</v>
      </c>
      <c r="B50" s="49" t="s">
        <v>1919</v>
      </c>
      <c r="C50" s="49" t="s">
        <v>1920</v>
      </c>
      <c r="D50" s="49"/>
      <c r="E50" s="49">
        <v>183313</v>
      </c>
      <c r="F50" s="362" t="s">
        <v>1921</v>
      </c>
      <c r="G50" s="49" t="s">
        <v>1922</v>
      </c>
      <c r="H50" s="49" t="s">
        <v>1923</v>
      </c>
      <c r="I50" s="49" t="s">
        <v>1924</v>
      </c>
      <c r="J50" s="316">
        <v>45278</v>
      </c>
      <c r="K50" s="316">
        <v>45279</v>
      </c>
      <c r="L50" s="363" t="s">
        <v>28</v>
      </c>
      <c r="M50" s="317" t="s">
        <v>1925</v>
      </c>
      <c r="N50" s="317">
        <v>2</v>
      </c>
      <c r="O50" s="366">
        <v>45328</v>
      </c>
      <c r="P50" s="365" t="s">
        <v>264</v>
      </c>
      <c r="Q50" s="364">
        <v>45328</v>
      </c>
      <c r="R50" s="364">
        <v>45329</v>
      </c>
      <c r="S50" s="348" t="s">
        <v>1687</v>
      </c>
    </row>
    <row r="51" spans="1:19" ht="25.5" hidden="1" x14ac:dyDescent="0.25">
      <c r="A51" s="359">
        <v>0</v>
      </c>
      <c r="B51" s="49" t="s">
        <v>1926</v>
      </c>
      <c r="C51" s="49" t="s">
        <v>1775</v>
      </c>
      <c r="D51" s="49"/>
      <c r="E51" s="49">
        <v>183399</v>
      </c>
      <c r="F51" s="362" t="s">
        <v>1927</v>
      </c>
      <c r="G51" s="49" t="s">
        <v>1928</v>
      </c>
      <c r="H51" s="49" t="s">
        <v>1929</v>
      </c>
      <c r="I51" s="49" t="s">
        <v>1930</v>
      </c>
      <c r="J51" s="316">
        <v>45329</v>
      </c>
      <c r="K51" s="316">
        <v>45330</v>
      </c>
      <c r="L51" s="363" t="s">
        <v>28</v>
      </c>
      <c r="M51" s="317" t="s">
        <v>1931</v>
      </c>
      <c r="N51" s="317">
        <v>1</v>
      </c>
      <c r="O51" s="366">
        <v>45331</v>
      </c>
      <c r="P51" s="365" t="s">
        <v>264</v>
      </c>
      <c r="Q51" s="364">
        <v>45331</v>
      </c>
      <c r="R51" s="364">
        <v>45331</v>
      </c>
      <c r="S51" s="348" t="s">
        <v>1687</v>
      </c>
    </row>
    <row r="52" spans="1:19" ht="25.5" hidden="1" x14ac:dyDescent="0.25">
      <c r="A52" s="359">
        <v>0</v>
      </c>
      <c r="B52" s="49" t="s">
        <v>1932</v>
      </c>
      <c r="C52" s="49" t="s">
        <v>1920</v>
      </c>
      <c r="D52" s="49"/>
      <c r="E52" s="49">
        <v>183400</v>
      </c>
      <c r="F52" s="362" t="s">
        <v>1933</v>
      </c>
      <c r="G52" s="49" t="s">
        <v>1922</v>
      </c>
      <c r="H52" s="49" t="s">
        <v>1934</v>
      </c>
      <c r="I52" s="49" t="s">
        <v>1924</v>
      </c>
      <c r="J52" s="316">
        <v>45328</v>
      </c>
      <c r="K52" s="316">
        <v>45330</v>
      </c>
      <c r="L52" s="363" t="s">
        <v>28</v>
      </c>
      <c r="M52" s="317" t="s">
        <v>1925</v>
      </c>
      <c r="N52" s="317">
        <v>2</v>
      </c>
      <c r="O52" s="366">
        <v>45366</v>
      </c>
      <c r="P52" s="365" t="s">
        <v>264</v>
      </c>
      <c r="Q52" s="364">
        <v>45366</v>
      </c>
      <c r="R52" s="364">
        <v>45366</v>
      </c>
      <c r="S52" s="348" t="s">
        <v>1687</v>
      </c>
    </row>
    <row r="53" spans="1:19" hidden="1" x14ac:dyDescent="0.25">
      <c r="A53" s="359">
        <v>0</v>
      </c>
      <c r="B53" s="49" t="s">
        <v>1935</v>
      </c>
      <c r="C53" s="49" t="s">
        <v>1680</v>
      </c>
      <c r="D53" s="49"/>
      <c r="E53" s="49">
        <v>183403</v>
      </c>
      <c r="F53" s="362" t="s">
        <v>1936</v>
      </c>
      <c r="G53" s="49" t="s">
        <v>1937</v>
      </c>
      <c r="H53" s="49">
        <v>350900</v>
      </c>
      <c r="I53" s="49" t="s">
        <v>1938</v>
      </c>
      <c r="J53" s="316">
        <v>45331</v>
      </c>
      <c r="K53" s="316">
        <v>45337</v>
      </c>
      <c r="L53" s="363" t="s">
        <v>28</v>
      </c>
      <c r="M53" s="317" t="s">
        <v>1939</v>
      </c>
      <c r="N53" s="317">
        <v>3</v>
      </c>
      <c r="O53" s="322">
        <v>45342</v>
      </c>
      <c r="P53" s="365" t="s">
        <v>264</v>
      </c>
      <c r="Q53" s="364">
        <v>45342</v>
      </c>
      <c r="R53" s="364">
        <v>45343</v>
      </c>
      <c r="S53" s="348" t="s">
        <v>1687</v>
      </c>
    </row>
    <row r="54" spans="1:19" ht="38.25" hidden="1" x14ac:dyDescent="0.25">
      <c r="A54" s="359">
        <v>0</v>
      </c>
      <c r="B54" s="49" t="s">
        <v>1940</v>
      </c>
      <c r="C54" s="49" t="s">
        <v>1941</v>
      </c>
      <c r="D54" s="49"/>
      <c r="E54" s="49">
        <v>183406</v>
      </c>
      <c r="F54" s="362" t="s">
        <v>1942</v>
      </c>
      <c r="G54" s="49" t="s">
        <v>1943</v>
      </c>
      <c r="H54" s="49" t="s">
        <v>1944</v>
      </c>
      <c r="I54" s="49" t="s">
        <v>1945</v>
      </c>
      <c r="J54" s="316">
        <v>45336</v>
      </c>
      <c r="K54" s="316">
        <v>45337</v>
      </c>
      <c r="L54" s="363" t="s">
        <v>28</v>
      </c>
      <c r="M54" s="317" t="s">
        <v>1946</v>
      </c>
      <c r="N54" s="317">
        <v>1</v>
      </c>
      <c r="O54" s="366">
        <v>45362</v>
      </c>
      <c r="P54" s="365" t="s">
        <v>264</v>
      </c>
      <c r="Q54" s="364">
        <v>45364</v>
      </c>
      <c r="R54" s="364">
        <v>45364</v>
      </c>
      <c r="S54" s="348" t="s">
        <v>1687</v>
      </c>
    </row>
    <row r="55" spans="1:19" ht="51.4" hidden="1" x14ac:dyDescent="0.25">
      <c r="A55" s="359">
        <v>0</v>
      </c>
      <c r="B55" s="49" t="s">
        <v>1947</v>
      </c>
      <c r="C55" s="49" t="s">
        <v>132</v>
      </c>
      <c r="D55" s="49"/>
      <c r="E55" s="49">
        <v>183407</v>
      </c>
      <c r="F55" s="362" t="s">
        <v>1948</v>
      </c>
      <c r="G55" s="49" t="s">
        <v>1949</v>
      </c>
      <c r="H55" s="49" t="s">
        <v>1950</v>
      </c>
      <c r="I55" s="49" t="s">
        <v>1951</v>
      </c>
      <c r="J55" s="316">
        <v>45336</v>
      </c>
      <c r="K55" s="316">
        <v>45337</v>
      </c>
      <c r="L55" s="363" t="s">
        <v>28</v>
      </c>
      <c r="M55" s="317" t="s">
        <v>1952</v>
      </c>
      <c r="N55" s="317">
        <v>1</v>
      </c>
      <c r="O55" s="366">
        <v>45348</v>
      </c>
      <c r="P55" s="365" t="s">
        <v>264</v>
      </c>
      <c r="Q55" s="364">
        <v>45348</v>
      </c>
      <c r="R55" s="364">
        <v>45349</v>
      </c>
      <c r="S55" s="348" t="s">
        <v>1687</v>
      </c>
    </row>
    <row r="56" spans="1:19" ht="38.25" hidden="1" x14ac:dyDescent="0.25">
      <c r="A56" s="359">
        <v>0</v>
      </c>
      <c r="B56" s="49" t="s">
        <v>1953</v>
      </c>
      <c r="C56" s="75" t="s">
        <v>1954</v>
      </c>
      <c r="D56" s="75"/>
      <c r="E56" s="49">
        <v>183410</v>
      </c>
      <c r="F56" s="362" t="s">
        <v>1955</v>
      </c>
      <c r="G56" s="49"/>
      <c r="H56" s="49"/>
      <c r="I56" s="49"/>
      <c r="J56" s="316"/>
      <c r="K56" s="316"/>
      <c r="L56" s="363"/>
      <c r="M56" s="317"/>
      <c r="N56" s="317"/>
      <c r="O56" s="366"/>
      <c r="P56" s="365"/>
      <c r="Q56" s="364"/>
      <c r="R56" s="364"/>
      <c r="S56" s="348"/>
    </row>
    <row r="57" spans="1:19" ht="25.5" hidden="1" x14ac:dyDescent="0.25">
      <c r="A57" s="359">
        <v>0</v>
      </c>
      <c r="B57" s="49" t="s">
        <v>1956</v>
      </c>
      <c r="C57" s="49" t="s">
        <v>1775</v>
      </c>
      <c r="D57" s="49"/>
      <c r="E57" s="49">
        <v>183411</v>
      </c>
      <c r="F57" s="362" t="s">
        <v>1957</v>
      </c>
      <c r="G57" s="49" t="s">
        <v>1958</v>
      </c>
      <c r="H57" s="49" t="s">
        <v>1959</v>
      </c>
      <c r="I57" s="49" t="s">
        <v>120</v>
      </c>
      <c r="J57" s="316">
        <v>45337</v>
      </c>
      <c r="K57" s="316">
        <v>45338</v>
      </c>
      <c r="L57" s="363" t="s">
        <v>28</v>
      </c>
      <c r="M57" s="317" t="s">
        <v>1960</v>
      </c>
      <c r="N57" s="317">
        <v>8</v>
      </c>
      <c r="O57" s="366">
        <v>45342</v>
      </c>
      <c r="P57" s="365" t="s">
        <v>264</v>
      </c>
      <c r="Q57" s="364">
        <v>45342</v>
      </c>
      <c r="R57" s="364">
        <v>45342</v>
      </c>
      <c r="S57" s="348" t="s">
        <v>1687</v>
      </c>
    </row>
    <row r="58" spans="1:19" ht="25.5" hidden="1" x14ac:dyDescent="0.25">
      <c r="A58" s="359">
        <v>0</v>
      </c>
      <c r="B58" s="49" t="s">
        <v>1961</v>
      </c>
      <c r="C58" s="49" t="s">
        <v>1962</v>
      </c>
      <c r="D58" s="49"/>
      <c r="E58" s="49">
        <v>183413</v>
      </c>
      <c r="F58" s="362" t="s">
        <v>1963</v>
      </c>
      <c r="G58" s="49" t="s">
        <v>1964</v>
      </c>
      <c r="H58" s="49" t="s">
        <v>1965</v>
      </c>
      <c r="I58" s="49" t="s">
        <v>1966</v>
      </c>
      <c r="J58" s="316">
        <v>45338</v>
      </c>
      <c r="K58" s="316">
        <v>45341</v>
      </c>
      <c r="L58" s="363" t="s">
        <v>28</v>
      </c>
      <c r="M58" s="317" t="s">
        <v>1967</v>
      </c>
      <c r="N58" s="317">
        <v>1</v>
      </c>
      <c r="O58" s="322">
        <v>45343</v>
      </c>
      <c r="P58" s="365" t="s">
        <v>264</v>
      </c>
      <c r="Q58" s="364">
        <v>45343</v>
      </c>
      <c r="R58" s="364">
        <v>45344</v>
      </c>
      <c r="S58" s="348" t="s">
        <v>1687</v>
      </c>
    </row>
    <row r="59" spans="1:19" ht="25.5" hidden="1" x14ac:dyDescent="0.25">
      <c r="A59" s="359">
        <v>0</v>
      </c>
      <c r="B59" s="49" t="s">
        <v>1968</v>
      </c>
      <c r="C59" s="49" t="s">
        <v>1872</v>
      </c>
      <c r="D59" s="49"/>
      <c r="E59" s="49">
        <v>183414</v>
      </c>
      <c r="F59" s="362" t="s">
        <v>1969</v>
      </c>
      <c r="G59" s="49" t="s">
        <v>1147</v>
      </c>
      <c r="H59" s="49" t="s">
        <v>1970</v>
      </c>
      <c r="I59" s="49" t="s">
        <v>1971</v>
      </c>
      <c r="J59" s="316">
        <v>45338</v>
      </c>
      <c r="K59" s="316">
        <v>45349</v>
      </c>
      <c r="L59" s="363" t="s">
        <v>28</v>
      </c>
      <c r="M59" s="317" t="s">
        <v>1876</v>
      </c>
      <c r="N59" s="317">
        <v>2</v>
      </c>
      <c r="O59" s="366">
        <v>45350</v>
      </c>
      <c r="P59" s="365" t="s">
        <v>264</v>
      </c>
      <c r="Q59" s="364">
        <v>45350</v>
      </c>
      <c r="R59" s="364">
        <v>45350</v>
      </c>
      <c r="S59" s="348" t="s">
        <v>1687</v>
      </c>
    </row>
    <row r="60" spans="1:19" ht="25.5" hidden="1" x14ac:dyDescent="0.25">
      <c r="A60" s="359">
        <v>0</v>
      </c>
      <c r="B60" s="49" t="s">
        <v>1972</v>
      </c>
      <c r="C60" s="49" t="s">
        <v>1973</v>
      </c>
      <c r="D60" s="49"/>
      <c r="E60" s="49">
        <v>183415</v>
      </c>
      <c r="F60" s="362" t="s">
        <v>1974</v>
      </c>
      <c r="G60" s="49" t="s">
        <v>44</v>
      </c>
      <c r="H60" s="49"/>
      <c r="I60" s="49" t="s">
        <v>1975</v>
      </c>
      <c r="J60" s="316">
        <v>45341</v>
      </c>
      <c r="K60" s="316"/>
      <c r="L60" s="363"/>
      <c r="M60" s="317" t="s">
        <v>1466</v>
      </c>
      <c r="N60" s="317"/>
      <c r="O60" s="366"/>
      <c r="P60" s="365"/>
      <c r="Q60" s="364"/>
      <c r="R60" s="364"/>
      <c r="S60" s="348"/>
    </row>
    <row r="61" spans="1:19" ht="25.7" hidden="1" x14ac:dyDescent="0.25">
      <c r="A61" s="359">
        <v>0</v>
      </c>
      <c r="B61" s="49" t="s">
        <v>1976</v>
      </c>
      <c r="C61" s="49" t="s">
        <v>1977</v>
      </c>
      <c r="D61" s="49"/>
      <c r="E61" s="49">
        <v>183417</v>
      </c>
      <c r="F61" s="362" t="s">
        <v>1978</v>
      </c>
      <c r="G61" s="49" t="s">
        <v>1979</v>
      </c>
      <c r="H61" s="49" t="s">
        <v>1980</v>
      </c>
      <c r="I61" s="49" t="s">
        <v>1981</v>
      </c>
      <c r="J61" s="316">
        <v>45341</v>
      </c>
      <c r="K61" s="316">
        <v>45350</v>
      </c>
      <c r="L61" s="363" t="s">
        <v>28</v>
      </c>
      <c r="M61" s="317" t="s">
        <v>1982</v>
      </c>
      <c r="N61" s="317">
        <v>13</v>
      </c>
      <c r="O61" s="366">
        <v>45439</v>
      </c>
      <c r="P61" s="365" t="s">
        <v>264</v>
      </c>
      <c r="Q61" s="364">
        <v>45439</v>
      </c>
      <c r="R61" s="364">
        <v>45439</v>
      </c>
      <c r="S61" s="348" t="s">
        <v>1687</v>
      </c>
    </row>
    <row r="62" spans="1:19" ht="25.5" hidden="1" x14ac:dyDescent="0.25">
      <c r="A62" s="359">
        <v>0</v>
      </c>
      <c r="B62" s="49" t="s">
        <v>1983</v>
      </c>
      <c r="C62" s="75" t="s">
        <v>1711</v>
      </c>
      <c r="D62" s="75"/>
      <c r="E62" s="49">
        <v>183421</v>
      </c>
      <c r="F62" s="362" t="s">
        <v>1984</v>
      </c>
      <c r="G62" s="49" t="s">
        <v>1985</v>
      </c>
      <c r="H62" s="49"/>
      <c r="I62" s="49"/>
      <c r="J62" s="316">
        <v>45343</v>
      </c>
      <c r="K62" s="316"/>
      <c r="L62" s="363"/>
      <c r="M62" s="317" t="s">
        <v>1986</v>
      </c>
      <c r="N62" s="317"/>
      <c r="O62" s="366"/>
      <c r="P62" s="365"/>
      <c r="Q62" s="364"/>
      <c r="R62" s="364"/>
      <c r="S62" s="348"/>
    </row>
    <row r="63" spans="1:19" ht="25.5" hidden="1" x14ac:dyDescent="0.25">
      <c r="A63" s="359">
        <v>0</v>
      </c>
      <c r="B63" s="49" t="s">
        <v>1987</v>
      </c>
      <c r="C63" s="49" t="s">
        <v>1988</v>
      </c>
      <c r="D63" s="49"/>
      <c r="E63" s="49">
        <v>183412</v>
      </c>
      <c r="F63" s="362" t="s">
        <v>1989</v>
      </c>
      <c r="G63" s="49" t="s">
        <v>633</v>
      </c>
      <c r="H63" s="49" t="s">
        <v>1990</v>
      </c>
      <c r="I63" s="49" t="s">
        <v>1991</v>
      </c>
      <c r="J63" s="316">
        <v>45338</v>
      </c>
      <c r="K63" s="316">
        <v>45342</v>
      </c>
      <c r="L63" s="363" t="s">
        <v>47</v>
      </c>
      <c r="M63" s="317" t="s">
        <v>1992</v>
      </c>
      <c r="N63" s="317">
        <v>1</v>
      </c>
      <c r="O63" s="366">
        <v>45343</v>
      </c>
      <c r="P63" s="365" t="s">
        <v>264</v>
      </c>
      <c r="Q63" s="364">
        <v>45343</v>
      </c>
      <c r="R63" s="364">
        <v>45343</v>
      </c>
      <c r="S63" s="348" t="s">
        <v>1687</v>
      </c>
    </row>
    <row r="64" spans="1:19" ht="38.25" hidden="1" x14ac:dyDescent="0.25">
      <c r="A64" s="359">
        <v>0</v>
      </c>
      <c r="B64" s="49" t="s">
        <v>1993</v>
      </c>
      <c r="C64" s="49" t="s">
        <v>1802</v>
      </c>
      <c r="D64" s="49"/>
      <c r="E64" s="319">
        <v>183425</v>
      </c>
      <c r="F64" s="401" t="s">
        <v>1994</v>
      </c>
      <c r="G64" s="49" t="s">
        <v>1995</v>
      </c>
      <c r="H64" s="49" t="s">
        <v>1996</v>
      </c>
      <c r="I64" s="49" t="s">
        <v>1805</v>
      </c>
      <c r="J64" s="316">
        <v>45315</v>
      </c>
      <c r="K64" s="316">
        <v>45358</v>
      </c>
      <c r="L64" s="363" t="s">
        <v>28</v>
      </c>
      <c r="M64" s="317" t="s">
        <v>1997</v>
      </c>
      <c r="N64" s="317">
        <v>1</v>
      </c>
      <c r="O64" s="366">
        <v>45520</v>
      </c>
      <c r="P64" s="365" t="s">
        <v>264</v>
      </c>
      <c r="Q64" s="364">
        <v>45520</v>
      </c>
      <c r="R64" s="364">
        <v>45520</v>
      </c>
      <c r="S64" s="348"/>
    </row>
    <row r="65" spans="1:19" hidden="1" x14ac:dyDescent="0.25">
      <c r="A65" s="359">
        <v>0</v>
      </c>
      <c r="B65" s="49" t="s">
        <v>1998</v>
      </c>
      <c r="C65" s="49" t="s">
        <v>1680</v>
      </c>
      <c r="D65" s="49"/>
      <c r="E65" s="49">
        <v>183423</v>
      </c>
      <c r="F65" s="362" t="s">
        <v>1999</v>
      </c>
      <c r="G65" s="49" t="s">
        <v>1937</v>
      </c>
      <c r="H65" s="49" t="s">
        <v>2000</v>
      </c>
      <c r="I65" s="49" t="s">
        <v>1938</v>
      </c>
      <c r="J65" s="316">
        <v>45342</v>
      </c>
      <c r="K65" s="316">
        <v>45343</v>
      </c>
      <c r="L65" s="363" t="s">
        <v>28</v>
      </c>
      <c r="M65" s="317" t="s">
        <v>1939</v>
      </c>
      <c r="N65" s="317">
        <v>1</v>
      </c>
      <c r="O65" s="366">
        <v>45344</v>
      </c>
      <c r="P65" s="365" t="s">
        <v>264</v>
      </c>
      <c r="Q65" s="364">
        <v>45344</v>
      </c>
      <c r="R65" s="364">
        <v>45344</v>
      </c>
      <c r="S65" s="348" t="s">
        <v>1687</v>
      </c>
    </row>
    <row r="66" spans="1:19" hidden="1" x14ac:dyDescent="0.25">
      <c r="A66" s="359">
        <v>0</v>
      </c>
      <c r="B66" s="49" t="s">
        <v>2001</v>
      </c>
      <c r="C66" s="49" t="s">
        <v>1680</v>
      </c>
      <c r="D66" s="49"/>
      <c r="E66" s="49">
        <v>183424</v>
      </c>
      <c r="F66" s="362" t="s">
        <v>2002</v>
      </c>
      <c r="G66" s="49" t="s">
        <v>1937</v>
      </c>
      <c r="H66" s="49" t="s">
        <v>2000</v>
      </c>
      <c r="I66" s="49" t="s">
        <v>1938</v>
      </c>
      <c r="J66" s="316">
        <v>45342</v>
      </c>
      <c r="K66" s="316">
        <v>45343</v>
      </c>
      <c r="L66" s="363" t="s">
        <v>28</v>
      </c>
      <c r="M66" s="317" t="s">
        <v>1939</v>
      </c>
      <c r="N66" s="317">
        <v>2</v>
      </c>
      <c r="O66" s="366">
        <v>45344</v>
      </c>
      <c r="P66" s="365" t="s">
        <v>264</v>
      </c>
      <c r="Q66" s="364">
        <v>45344</v>
      </c>
      <c r="R66" s="364">
        <v>45344</v>
      </c>
      <c r="S66" s="348" t="s">
        <v>1687</v>
      </c>
    </row>
    <row r="67" spans="1:19" ht="25.5" hidden="1" x14ac:dyDescent="0.25">
      <c r="A67" s="359">
        <v>0</v>
      </c>
      <c r="B67" s="49" t="s">
        <v>2003</v>
      </c>
      <c r="C67" s="49" t="s">
        <v>1796</v>
      </c>
      <c r="D67" s="49"/>
      <c r="E67" s="49">
        <v>183427</v>
      </c>
      <c r="F67" s="362" t="s">
        <v>2004</v>
      </c>
      <c r="G67" s="49" t="s">
        <v>1798</v>
      </c>
      <c r="H67" s="49" t="s">
        <v>1799</v>
      </c>
      <c r="I67" s="49" t="s">
        <v>127</v>
      </c>
      <c r="J67" s="316">
        <v>45343</v>
      </c>
      <c r="K67" s="316">
        <v>45343</v>
      </c>
      <c r="L67" s="363" t="s">
        <v>47</v>
      </c>
      <c r="M67" s="317" t="s">
        <v>1800</v>
      </c>
      <c r="N67" s="317">
        <v>2</v>
      </c>
      <c r="O67" s="366">
        <v>45344</v>
      </c>
      <c r="P67" s="365" t="s">
        <v>264</v>
      </c>
      <c r="Q67" s="364">
        <v>45344</v>
      </c>
      <c r="R67" s="364">
        <v>45344</v>
      </c>
      <c r="S67" s="348" t="s">
        <v>1687</v>
      </c>
    </row>
    <row r="68" spans="1:19" ht="25.5" hidden="1" x14ac:dyDescent="0.25">
      <c r="A68" s="359">
        <v>0</v>
      </c>
      <c r="B68" s="49" t="s">
        <v>2005</v>
      </c>
      <c r="C68" s="49" t="s">
        <v>1962</v>
      </c>
      <c r="D68" s="49"/>
      <c r="E68" s="49">
        <v>183426</v>
      </c>
      <c r="F68" s="362" t="s">
        <v>2006</v>
      </c>
      <c r="G68" s="49" t="s">
        <v>2007</v>
      </c>
      <c r="H68" s="49" t="s">
        <v>2008</v>
      </c>
      <c r="I68" s="49" t="s">
        <v>1966</v>
      </c>
      <c r="J68" s="316">
        <v>45342</v>
      </c>
      <c r="K68" s="316">
        <v>45343</v>
      </c>
      <c r="L68" s="363" t="s">
        <v>28</v>
      </c>
      <c r="M68" s="317" t="s">
        <v>2009</v>
      </c>
      <c r="N68" s="317">
        <v>1</v>
      </c>
      <c r="O68" s="322">
        <v>45343</v>
      </c>
      <c r="P68" s="365" t="s">
        <v>264</v>
      </c>
      <c r="Q68" s="364">
        <v>45343</v>
      </c>
      <c r="R68" s="364">
        <v>45344</v>
      </c>
      <c r="S68" s="348" t="s">
        <v>1687</v>
      </c>
    </row>
    <row r="69" spans="1:19" ht="25.5" hidden="1" x14ac:dyDescent="0.25">
      <c r="A69" s="359">
        <v>0</v>
      </c>
      <c r="B69" s="49" t="s">
        <v>2010</v>
      </c>
      <c r="C69" s="49" t="s">
        <v>132</v>
      </c>
      <c r="D69" s="49"/>
      <c r="E69" s="49">
        <v>183435</v>
      </c>
      <c r="F69" s="362" t="s">
        <v>2011</v>
      </c>
      <c r="G69" s="49" t="s">
        <v>448</v>
      </c>
      <c r="H69" s="49" t="s">
        <v>2012</v>
      </c>
      <c r="I69" s="49" t="s">
        <v>2013</v>
      </c>
      <c r="J69" s="316">
        <v>45345</v>
      </c>
      <c r="K69" s="360">
        <v>45345</v>
      </c>
      <c r="L69" s="363" t="s">
        <v>28</v>
      </c>
      <c r="M69" s="317" t="s">
        <v>450</v>
      </c>
      <c r="N69" s="317">
        <v>1</v>
      </c>
      <c r="O69" s="366">
        <v>45348</v>
      </c>
      <c r="P69" s="365" t="s">
        <v>264</v>
      </c>
      <c r="Q69" s="364">
        <v>45348</v>
      </c>
      <c r="R69" s="364">
        <v>45349</v>
      </c>
      <c r="S69" s="348" t="s">
        <v>1687</v>
      </c>
    </row>
    <row r="70" spans="1:19" ht="25.7" hidden="1" x14ac:dyDescent="0.25">
      <c r="A70" s="359">
        <v>0</v>
      </c>
      <c r="B70" s="49" t="s">
        <v>2014</v>
      </c>
      <c r="C70" s="49" t="s">
        <v>132</v>
      </c>
      <c r="D70" s="49"/>
      <c r="E70" s="49">
        <v>183436</v>
      </c>
      <c r="F70" s="362" t="s">
        <v>2015</v>
      </c>
      <c r="G70" s="316" t="s">
        <v>2016</v>
      </c>
      <c r="H70" s="49" t="s">
        <v>2017</v>
      </c>
      <c r="I70" s="316" t="s">
        <v>1951</v>
      </c>
      <c r="J70" s="316">
        <v>45345</v>
      </c>
      <c r="K70" s="360">
        <v>45345</v>
      </c>
      <c r="L70" s="363" t="s">
        <v>28</v>
      </c>
      <c r="M70" s="317">
        <v>1871347</v>
      </c>
      <c r="N70" s="317">
        <v>1</v>
      </c>
      <c r="O70" s="322">
        <v>45348</v>
      </c>
      <c r="P70" s="365" t="s">
        <v>264</v>
      </c>
      <c r="Q70" s="364">
        <v>45348</v>
      </c>
      <c r="R70" s="364">
        <v>45349</v>
      </c>
      <c r="S70" s="348" t="s">
        <v>1687</v>
      </c>
    </row>
    <row r="71" spans="1:19" ht="38.25" hidden="1" x14ac:dyDescent="0.25">
      <c r="A71" s="359">
        <v>0</v>
      </c>
      <c r="B71" s="49" t="s">
        <v>2018</v>
      </c>
      <c r="C71" s="49" t="s">
        <v>2019</v>
      </c>
      <c r="D71" s="49"/>
      <c r="E71" s="49">
        <v>183434</v>
      </c>
      <c r="F71" s="362" t="s">
        <v>2020</v>
      </c>
      <c r="G71" s="49" t="s">
        <v>433</v>
      </c>
      <c r="H71" s="49" t="s">
        <v>2021</v>
      </c>
      <c r="I71" s="49" t="s">
        <v>2022</v>
      </c>
      <c r="J71" s="316">
        <v>45345</v>
      </c>
      <c r="K71" s="360">
        <v>45345</v>
      </c>
      <c r="L71" s="363" t="s">
        <v>28</v>
      </c>
      <c r="M71" s="317" t="s">
        <v>2023</v>
      </c>
      <c r="N71" s="317">
        <v>8</v>
      </c>
      <c r="O71" s="322">
        <v>45378</v>
      </c>
      <c r="P71" s="365" t="s">
        <v>264</v>
      </c>
      <c r="Q71" s="364">
        <v>45379</v>
      </c>
      <c r="R71" s="364">
        <v>45379</v>
      </c>
      <c r="S71" s="348" t="s">
        <v>1687</v>
      </c>
    </row>
    <row r="72" spans="1:19" ht="38.25" hidden="1" x14ac:dyDescent="0.25">
      <c r="A72" s="359">
        <v>0</v>
      </c>
      <c r="B72" s="49" t="s">
        <v>2024</v>
      </c>
      <c r="C72" s="49" t="s">
        <v>2019</v>
      </c>
      <c r="D72" s="49"/>
      <c r="E72" s="49">
        <v>183433</v>
      </c>
      <c r="F72" s="362" t="s">
        <v>2025</v>
      </c>
      <c r="G72" s="49" t="s">
        <v>2026</v>
      </c>
      <c r="H72" s="49" t="s">
        <v>2027</v>
      </c>
      <c r="I72" s="49" t="s">
        <v>2022</v>
      </c>
      <c r="J72" s="316">
        <v>45345</v>
      </c>
      <c r="K72" s="360">
        <v>45345</v>
      </c>
      <c r="L72" s="363" t="s">
        <v>28</v>
      </c>
      <c r="M72" s="317" t="s">
        <v>2028</v>
      </c>
      <c r="N72" s="317">
        <v>2</v>
      </c>
      <c r="O72" s="322">
        <v>45378</v>
      </c>
      <c r="P72" s="365" t="s">
        <v>264</v>
      </c>
      <c r="Q72" s="364">
        <v>45379</v>
      </c>
      <c r="R72" s="364">
        <v>45379</v>
      </c>
      <c r="S72" s="348" t="s">
        <v>1687</v>
      </c>
    </row>
    <row r="73" spans="1:19" ht="38.25" hidden="1" x14ac:dyDescent="0.25">
      <c r="A73" s="359">
        <v>0</v>
      </c>
      <c r="B73" s="49" t="s">
        <v>2029</v>
      </c>
      <c r="C73" s="49" t="s">
        <v>2030</v>
      </c>
      <c r="D73" s="49"/>
      <c r="E73" s="49">
        <v>183448</v>
      </c>
      <c r="F73" s="362" t="s">
        <v>2031</v>
      </c>
      <c r="G73" s="49" t="s">
        <v>2032</v>
      </c>
      <c r="H73" s="49" t="s">
        <v>2033</v>
      </c>
      <c r="I73" s="49" t="s">
        <v>2034</v>
      </c>
      <c r="J73" s="316">
        <v>45345</v>
      </c>
      <c r="K73" s="316">
        <v>45349</v>
      </c>
      <c r="L73" s="363" t="s">
        <v>28</v>
      </c>
      <c r="M73" s="317" t="s">
        <v>2035</v>
      </c>
      <c r="N73" s="317">
        <v>6</v>
      </c>
      <c r="O73" s="366">
        <v>45358</v>
      </c>
      <c r="P73" s="365" t="s">
        <v>264</v>
      </c>
      <c r="Q73" s="364">
        <v>45358</v>
      </c>
      <c r="R73" s="364">
        <v>45358</v>
      </c>
      <c r="S73" s="348" t="s">
        <v>1687</v>
      </c>
    </row>
    <row r="74" spans="1:19" ht="25.5" hidden="1" x14ac:dyDescent="0.25">
      <c r="A74" s="359">
        <v>0</v>
      </c>
      <c r="B74" s="49" t="s">
        <v>2036</v>
      </c>
      <c r="C74" s="49" t="s">
        <v>1775</v>
      </c>
      <c r="D74" s="49"/>
      <c r="E74" s="49">
        <v>183440</v>
      </c>
      <c r="F74" s="362" t="s">
        <v>2037</v>
      </c>
      <c r="G74" s="49" t="s">
        <v>2038</v>
      </c>
      <c r="H74" s="49" t="s">
        <v>2039</v>
      </c>
      <c r="I74" s="49" t="s">
        <v>2040</v>
      </c>
      <c r="J74" s="316">
        <v>45348</v>
      </c>
      <c r="K74" s="316">
        <v>45350</v>
      </c>
      <c r="L74" s="363" t="s">
        <v>28</v>
      </c>
      <c r="M74" s="317" t="s">
        <v>2041</v>
      </c>
      <c r="N74" s="317">
        <v>1</v>
      </c>
      <c r="O74" s="366">
        <v>45366</v>
      </c>
      <c r="P74" s="365" t="s">
        <v>264</v>
      </c>
      <c r="Q74" s="364">
        <v>45366</v>
      </c>
      <c r="R74" s="364">
        <v>45369</v>
      </c>
      <c r="S74" s="348" t="s">
        <v>1687</v>
      </c>
    </row>
    <row r="75" spans="1:19" ht="25.5" hidden="1" x14ac:dyDescent="0.25">
      <c r="A75" s="359">
        <v>0</v>
      </c>
      <c r="B75" s="49" t="s">
        <v>2042</v>
      </c>
      <c r="C75" s="49" t="s">
        <v>1711</v>
      </c>
      <c r="D75" s="49"/>
      <c r="E75" s="49">
        <v>183444</v>
      </c>
      <c r="F75" s="362" t="s">
        <v>2043</v>
      </c>
      <c r="G75" s="49" t="s">
        <v>2044</v>
      </c>
      <c r="H75" s="49"/>
      <c r="I75" s="49" t="s">
        <v>1715</v>
      </c>
      <c r="J75" s="316"/>
      <c r="K75" s="316"/>
      <c r="L75" s="363"/>
      <c r="M75" s="317" t="s">
        <v>1721</v>
      </c>
      <c r="N75" s="317"/>
      <c r="O75" s="366"/>
      <c r="P75" s="365"/>
      <c r="Q75" s="364"/>
      <c r="R75" s="364"/>
      <c r="S75" s="348"/>
    </row>
    <row r="76" spans="1:19" ht="25.5" hidden="1" x14ac:dyDescent="0.25">
      <c r="A76" s="359">
        <v>0</v>
      </c>
      <c r="B76" s="49" t="s">
        <v>2045</v>
      </c>
      <c r="C76" s="49" t="s">
        <v>1711</v>
      </c>
      <c r="D76" s="49"/>
      <c r="E76" s="49">
        <v>183445</v>
      </c>
      <c r="F76" s="362" t="s">
        <v>2046</v>
      </c>
      <c r="G76" s="49" t="s">
        <v>2047</v>
      </c>
      <c r="H76" s="49" t="s">
        <v>2048</v>
      </c>
      <c r="I76" s="49" t="s">
        <v>2049</v>
      </c>
      <c r="J76" s="316">
        <v>45348</v>
      </c>
      <c r="K76" s="316">
        <v>45348</v>
      </c>
      <c r="L76" s="363" t="s">
        <v>47</v>
      </c>
      <c r="M76" s="317" t="s">
        <v>2050</v>
      </c>
      <c r="N76" s="317">
        <v>8</v>
      </c>
      <c r="O76" s="366">
        <v>45406</v>
      </c>
      <c r="P76" s="365" t="s">
        <v>264</v>
      </c>
      <c r="Q76" s="364">
        <v>45406</v>
      </c>
      <c r="R76" s="364">
        <v>45406</v>
      </c>
      <c r="S76" s="348" t="s">
        <v>1687</v>
      </c>
    </row>
    <row r="77" spans="1:19" ht="25.5" hidden="1" x14ac:dyDescent="0.25">
      <c r="A77" s="359">
        <v>0</v>
      </c>
      <c r="B77" s="49" t="s">
        <v>2051</v>
      </c>
      <c r="C77" s="49" t="s">
        <v>1711</v>
      </c>
      <c r="D77" s="49"/>
      <c r="E77" s="49">
        <v>183446</v>
      </c>
      <c r="F77" s="362" t="s">
        <v>2052</v>
      </c>
      <c r="G77" s="49"/>
      <c r="H77" s="49"/>
      <c r="I77" s="49"/>
      <c r="J77" s="316"/>
      <c r="K77" s="316"/>
      <c r="L77" s="363"/>
      <c r="M77" s="317"/>
      <c r="N77" s="317"/>
      <c r="O77" s="366"/>
      <c r="P77" s="365"/>
      <c r="Q77" s="364"/>
      <c r="R77" s="364"/>
      <c r="S77" s="348"/>
    </row>
    <row r="78" spans="1:19" ht="25.7" hidden="1" x14ac:dyDescent="0.25">
      <c r="A78" s="359">
        <v>0</v>
      </c>
      <c r="B78" s="49" t="s">
        <v>2053</v>
      </c>
      <c r="C78" s="49" t="s">
        <v>1977</v>
      </c>
      <c r="D78" s="49"/>
      <c r="E78" s="49">
        <v>183653</v>
      </c>
      <c r="F78" s="362" t="s">
        <v>2054</v>
      </c>
      <c r="G78" s="49" t="s">
        <v>1979</v>
      </c>
      <c r="H78" s="49" t="s">
        <v>1980</v>
      </c>
      <c r="I78" s="49" t="s">
        <v>1981</v>
      </c>
      <c r="J78" s="316">
        <v>45457</v>
      </c>
      <c r="K78" s="316">
        <v>45472</v>
      </c>
      <c r="L78" s="363" t="s">
        <v>28</v>
      </c>
      <c r="M78" s="317" t="s">
        <v>1982</v>
      </c>
      <c r="N78" s="317">
        <v>5</v>
      </c>
      <c r="O78" s="366">
        <v>45545</v>
      </c>
      <c r="P78" s="365" t="s">
        <v>264</v>
      </c>
      <c r="Q78" s="364">
        <v>45545</v>
      </c>
      <c r="R78" s="364">
        <v>45545</v>
      </c>
      <c r="S78" s="348"/>
    </row>
    <row r="79" spans="1:19" ht="27.95" hidden="1" customHeight="1" x14ac:dyDescent="0.25">
      <c r="A79" s="359">
        <v>0</v>
      </c>
      <c r="B79" s="49" t="s">
        <v>2055</v>
      </c>
      <c r="C79" s="49" t="s">
        <v>1705</v>
      </c>
      <c r="D79" s="49"/>
      <c r="E79" s="49">
        <v>183449</v>
      </c>
      <c r="F79" s="362" t="s">
        <v>2056</v>
      </c>
      <c r="G79" s="49" t="s">
        <v>547</v>
      </c>
      <c r="H79" s="49" t="s">
        <v>2057</v>
      </c>
      <c r="I79" s="49" t="s">
        <v>36</v>
      </c>
      <c r="J79" s="316">
        <v>45349</v>
      </c>
      <c r="K79" s="316">
        <v>45350</v>
      </c>
      <c r="L79" s="363" t="s">
        <v>28</v>
      </c>
      <c r="M79" s="317" t="s">
        <v>1709</v>
      </c>
      <c r="N79" s="317">
        <v>14</v>
      </c>
      <c r="O79" s="366">
        <v>45351</v>
      </c>
      <c r="P79" s="365" t="s">
        <v>264</v>
      </c>
      <c r="Q79" s="364">
        <v>45351</v>
      </c>
      <c r="R79" s="364">
        <v>45352</v>
      </c>
      <c r="S79" s="348" t="s">
        <v>1687</v>
      </c>
    </row>
    <row r="80" spans="1:19" ht="25.5" hidden="1" x14ac:dyDescent="0.25">
      <c r="A80" s="359">
        <v>0</v>
      </c>
      <c r="B80" s="49" t="s">
        <v>2058</v>
      </c>
      <c r="C80" s="49" t="s">
        <v>2059</v>
      </c>
      <c r="D80" s="49"/>
      <c r="E80" s="49">
        <v>183458</v>
      </c>
      <c r="F80" s="362" t="s">
        <v>2060</v>
      </c>
      <c r="G80" s="49" t="s">
        <v>2061</v>
      </c>
      <c r="H80" s="49" t="s">
        <v>2062</v>
      </c>
      <c r="I80" s="49" t="s">
        <v>2063</v>
      </c>
      <c r="J80" s="316">
        <v>45348</v>
      </c>
      <c r="K80" s="360">
        <v>45362</v>
      </c>
      <c r="L80" s="363" t="s">
        <v>28</v>
      </c>
      <c r="M80" s="317" t="s">
        <v>2064</v>
      </c>
      <c r="N80" s="317">
        <v>8</v>
      </c>
      <c r="O80" s="366">
        <v>45363</v>
      </c>
      <c r="P80" s="365" t="s">
        <v>264</v>
      </c>
      <c r="Q80" s="364">
        <v>45363</v>
      </c>
      <c r="R80" s="364">
        <v>45363</v>
      </c>
      <c r="S80" s="348" t="s">
        <v>1687</v>
      </c>
    </row>
    <row r="81" spans="1:19" ht="25.5" hidden="1" x14ac:dyDescent="0.25">
      <c r="A81" s="359">
        <v>0</v>
      </c>
      <c r="B81" s="49" t="s">
        <v>2065</v>
      </c>
      <c r="C81" s="49" t="s">
        <v>1775</v>
      </c>
      <c r="D81" s="49"/>
      <c r="E81" s="49">
        <v>183452</v>
      </c>
      <c r="F81" s="362" t="s">
        <v>2066</v>
      </c>
      <c r="G81" s="49" t="s">
        <v>1882</v>
      </c>
      <c r="H81" s="49" t="s">
        <v>2067</v>
      </c>
      <c r="I81" s="49" t="s">
        <v>1864</v>
      </c>
      <c r="J81" s="316">
        <v>45351</v>
      </c>
      <c r="K81" s="316">
        <v>45355</v>
      </c>
      <c r="L81" s="363" t="s">
        <v>28</v>
      </c>
      <c r="M81" s="317" t="s">
        <v>2068</v>
      </c>
      <c r="N81" s="317">
        <v>5</v>
      </c>
      <c r="O81" s="322">
        <v>45356</v>
      </c>
      <c r="P81" s="365" t="s">
        <v>264</v>
      </c>
      <c r="Q81" s="364">
        <v>45356</v>
      </c>
      <c r="R81" s="364">
        <v>45356</v>
      </c>
      <c r="S81" s="348" t="s">
        <v>1687</v>
      </c>
    </row>
    <row r="82" spans="1:19" ht="25.5" hidden="1" x14ac:dyDescent="0.25">
      <c r="A82" s="359">
        <v>0</v>
      </c>
      <c r="B82" s="49" t="s">
        <v>2069</v>
      </c>
      <c r="C82" s="49" t="s">
        <v>2070</v>
      </c>
      <c r="D82" s="49"/>
      <c r="E82" s="49">
        <v>183455</v>
      </c>
      <c r="F82" s="362" t="s">
        <v>2071</v>
      </c>
      <c r="G82" s="49" t="s">
        <v>494</v>
      </c>
      <c r="H82" s="49" t="s">
        <v>495</v>
      </c>
      <c r="I82" s="49" t="s">
        <v>489</v>
      </c>
      <c r="J82" s="316">
        <v>45355</v>
      </c>
      <c r="K82" s="316">
        <v>45355</v>
      </c>
      <c r="L82" s="363" t="s">
        <v>47</v>
      </c>
      <c r="M82" s="317" t="s">
        <v>490</v>
      </c>
      <c r="N82" s="317">
        <v>20</v>
      </c>
      <c r="O82" s="366">
        <v>45356</v>
      </c>
      <c r="P82" s="365" t="s">
        <v>264</v>
      </c>
      <c r="Q82" s="364">
        <v>45356</v>
      </c>
      <c r="R82" s="364">
        <v>45356</v>
      </c>
      <c r="S82" s="348" t="s">
        <v>1687</v>
      </c>
    </row>
    <row r="83" spans="1:19" ht="25.5" hidden="1" x14ac:dyDescent="0.25">
      <c r="A83" s="359">
        <v>0</v>
      </c>
      <c r="B83" s="49" t="s">
        <v>2072</v>
      </c>
      <c r="C83" s="49" t="s">
        <v>2073</v>
      </c>
      <c r="D83" s="49"/>
      <c r="E83" s="49">
        <v>183460</v>
      </c>
      <c r="F83" s="378" t="s">
        <v>2074</v>
      </c>
      <c r="G83" s="49" t="s">
        <v>1528</v>
      </c>
      <c r="H83" s="49" t="s">
        <v>2075</v>
      </c>
      <c r="I83" s="49" t="s">
        <v>2076</v>
      </c>
      <c r="J83" s="316">
        <v>45356</v>
      </c>
      <c r="K83" s="360">
        <v>45357</v>
      </c>
      <c r="L83" s="363" t="s">
        <v>28</v>
      </c>
      <c r="M83" s="317" t="s">
        <v>2077</v>
      </c>
      <c r="N83" s="317">
        <v>1</v>
      </c>
      <c r="O83" s="366">
        <v>45359</v>
      </c>
      <c r="P83" s="365" t="s">
        <v>264</v>
      </c>
      <c r="Q83" s="364">
        <v>45362</v>
      </c>
      <c r="R83" s="364">
        <v>45362</v>
      </c>
      <c r="S83" s="348" t="s">
        <v>1687</v>
      </c>
    </row>
    <row r="84" spans="1:19" ht="25.5" hidden="1" x14ac:dyDescent="0.25">
      <c r="A84" s="359">
        <v>0</v>
      </c>
      <c r="B84" s="49" t="s">
        <v>2078</v>
      </c>
      <c r="C84" s="49" t="s">
        <v>253</v>
      </c>
      <c r="D84" s="49"/>
      <c r="E84" s="49">
        <v>183453</v>
      </c>
      <c r="F84" s="378" t="s">
        <v>2079</v>
      </c>
      <c r="G84" s="49" t="s">
        <v>261</v>
      </c>
      <c r="H84" s="49" t="s">
        <v>2080</v>
      </c>
      <c r="I84" s="316" t="s">
        <v>257</v>
      </c>
      <c r="J84" s="316">
        <v>45352</v>
      </c>
      <c r="K84" s="316">
        <v>45356</v>
      </c>
      <c r="L84" s="363" t="s">
        <v>47</v>
      </c>
      <c r="M84" s="317" t="s">
        <v>258</v>
      </c>
      <c r="N84" s="317">
        <v>20</v>
      </c>
      <c r="O84" s="366">
        <v>45359</v>
      </c>
      <c r="P84" s="365" t="s">
        <v>264</v>
      </c>
      <c r="Q84" s="364">
        <v>45359</v>
      </c>
      <c r="R84" s="364">
        <v>45359</v>
      </c>
      <c r="S84" s="348" t="s">
        <v>1687</v>
      </c>
    </row>
    <row r="85" spans="1:19" ht="38.25" hidden="1" x14ac:dyDescent="0.25">
      <c r="A85" s="359">
        <v>0</v>
      </c>
      <c r="B85" s="49" t="s">
        <v>2081</v>
      </c>
      <c r="C85" s="49" t="s">
        <v>1954</v>
      </c>
      <c r="D85" s="49"/>
      <c r="E85" s="49">
        <v>183465</v>
      </c>
      <c r="F85" s="362" t="s">
        <v>2082</v>
      </c>
      <c r="G85" s="49" t="s">
        <v>2083</v>
      </c>
      <c r="H85" s="49" t="s">
        <v>2084</v>
      </c>
      <c r="I85" s="49" t="s">
        <v>555</v>
      </c>
      <c r="J85" s="316">
        <v>45359</v>
      </c>
      <c r="K85" s="316">
        <v>45359</v>
      </c>
      <c r="L85" s="363" t="s">
        <v>47</v>
      </c>
      <c r="M85" s="317" t="s">
        <v>556</v>
      </c>
      <c r="N85" s="317">
        <v>1</v>
      </c>
      <c r="O85" s="366">
        <v>45362</v>
      </c>
      <c r="P85" s="365" t="s">
        <v>264</v>
      </c>
      <c r="Q85" s="364">
        <v>45363</v>
      </c>
      <c r="R85" s="364">
        <v>45363</v>
      </c>
      <c r="S85" s="348" t="s">
        <v>1687</v>
      </c>
    </row>
    <row r="86" spans="1:19" ht="25.5" hidden="1" x14ac:dyDescent="0.25">
      <c r="A86" s="359">
        <v>0</v>
      </c>
      <c r="B86" s="49" t="s">
        <v>2085</v>
      </c>
      <c r="C86" s="49" t="s">
        <v>2086</v>
      </c>
      <c r="D86" s="49"/>
      <c r="E86" s="49">
        <v>183462</v>
      </c>
      <c r="F86" s="362" t="s">
        <v>2087</v>
      </c>
      <c r="G86" s="49" t="s">
        <v>2088</v>
      </c>
      <c r="H86" s="49" t="s">
        <v>2089</v>
      </c>
      <c r="I86" s="49" t="s">
        <v>2090</v>
      </c>
      <c r="J86" s="316">
        <v>45363</v>
      </c>
      <c r="K86" s="316">
        <v>45364</v>
      </c>
      <c r="L86" s="363" t="s">
        <v>47</v>
      </c>
      <c r="M86" s="317" t="s">
        <v>2091</v>
      </c>
      <c r="N86" s="317">
        <v>15</v>
      </c>
      <c r="O86" s="366">
        <v>45365</v>
      </c>
      <c r="P86" s="365" t="s">
        <v>264</v>
      </c>
      <c r="Q86" s="364">
        <v>45365</v>
      </c>
      <c r="R86" s="364">
        <v>45365</v>
      </c>
      <c r="S86" s="348" t="s">
        <v>1687</v>
      </c>
    </row>
    <row r="87" spans="1:19" ht="25.5" hidden="1" x14ac:dyDescent="0.25">
      <c r="A87" s="359">
        <v>0</v>
      </c>
      <c r="B87" s="49" t="s">
        <v>2092</v>
      </c>
      <c r="C87" s="49" t="s">
        <v>1820</v>
      </c>
      <c r="D87" s="49"/>
      <c r="E87" s="49">
        <v>183467</v>
      </c>
      <c r="F87" s="362" t="s">
        <v>2093</v>
      </c>
      <c r="G87" s="49" t="s">
        <v>427</v>
      </c>
      <c r="H87" s="49" t="s">
        <v>2094</v>
      </c>
      <c r="I87" s="49" t="s">
        <v>588</v>
      </c>
      <c r="J87" s="316">
        <v>45362</v>
      </c>
      <c r="K87" s="316">
        <v>45362</v>
      </c>
      <c r="L87" s="363" t="s">
        <v>47</v>
      </c>
      <c r="M87" s="317" t="s">
        <v>2095</v>
      </c>
      <c r="N87" s="317">
        <v>4</v>
      </c>
      <c r="O87" s="366">
        <v>45363</v>
      </c>
      <c r="P87" s="365" t="s">
        <v>264</v>
      </c>
      <c r="Q87" s="364">
        <v>45364</v>
      </c>
      <c r="R87" s="364">
        <v>45364</v>
      </c>
      <c r="S87" s="348" t="s">
        <v>1687</v>
      </c>
    </row>
    <row r="88" spans="1:19" ht="38.25" hidden="1" x14ac:dyDescent="0.25">
      <c r="A88" s="359">
        <v>0</v>
      </c>
      <c r="B88" s="49" t="s">
        <v>2096</v>
      </c>
      <c r="C88" s="49" t="s">
        <v>1954</v>
      </c>
      <c r="D88" s="49"/>
      <c r="E88" s="49">
        <v>183469</v>
      </c>
      <c r="F88" s="362" t="s">
        <v>2097</v>
      </c>
      <c r="G88" s="49" t="s">
        <v>2098</v>
      </c>
      <c r="H88" s="49">
        <v>573</v>
      </c>
      <c r="I88" s="49" t="s">
        <v>2099</v>
      </c>
      <c r="J88" s="316">
        <v>45365</v>
      </c>
      <c r="K88" s="316">
        <v>45365</v>
      </c>
      <c r="L88" s="363" t="s">
        <v>47</v>
      </c>
      <c r="M88" s="317" t="s">
        <v>2100</v>
      </c>
      <c r="N88" s="317">
        <v>3</v>
      </c>
      <c r="O88" s="366"/>
      <c r="P88" s="365"/>
      <c r="Q88" s="364"/>
      <c r="R88" s="364"/>
      <c r="S88" s="348"/>
    </row>
    <row r="89" spans="1:19" ht="25.5" hidden="1" x14ac:dyDescent="0.25">
      <c r="A89" s="359">
        <v>0</v>
      </c>
      <c r="B89" s="49" t="s">
        <v>2101</v>
      </c>
      <c r="C89" s="49" t="s">
        <v>132</v>
      </c>
      <c r="D89" s="49"/>
      <c r="E89" s="49">
        <v>183476</v>
      </c>
      <c r="F89" s="362" t="s">
        <v>2102</v>
      </c>
      <c r="G89" s="49" t="s">
        <v>2103</v>
      </c>
      <c r="H89" s="49" t="s">
        <v>2104</v>
      </c>
      <c r="I89" s="49" t="s">
        <v>2105</v>
      </c>
      <c r="J89" s="316">
        <v>45365</v>
      </c>
      <c r="K89" s="316">
        <v>45365</v>
      </c>
      <c r="L89" s="363" t="s">
        <v>28</v>
      </c>
      <c r="M89" s="317" t="s">
        <v>2106</v>
      </c>
      <c r="N89" s="317">
        <v>1</v>
      </c>
      <c r="O89" s="366">
        <v>45369</v>
      </c>
      <c r="P89" s="365" t="s">
        <v>264</v>
      </c>
      <c r="Q89" s="364">
        <v>45369</v>
      </c>
      <c r="R89" s="364">
        <v>45369</v>
      </c>
      <c r="S89" s="348" t="s">
        <v>1687</v>
      </c>
    </row>
    <row r="90" spans="1:19" ht="25.5" hidden="1" x14ac:dyDescent="0.25">
      <c r="A90" s="359">
        <v>0</v>
      </c>
      <c r="B90" s="49" t="s">
        <v>2107</v>
      </c>
      <c r="C90" s="49" t="s">
        <v>1920</v>
      </c>
      <c r="D90" s="49"/>
      <c r="E90" s="49">
        <v>183480</v>
      </c>
      <c r="F90" s="362" t="s">
        <v>2108</v>
      </c>
      <c r="G90" s="49" t="s">
        <v>2109</v>
      </c>
      <c r="H90" s="49" t="s">
        <v>2110</v>
      </c>
      <c r="I90" s="49" t="s">
        <v>2111</v>
      </c>
      <c r="J90" s="316">
        <v>45369</v>
      </c>
      <c r="K90" s="316">
        <v>45370</v>
      </c>
      <c r="L90" s="363" t="s">
        <v>28</v>
      </c>
      <c r="M90" s="317" t="s">
        <v>2112</v>
      </c>
      <c r="N90" s="317">
        <v>11</v>
      </c>
      <c r="O90" s="366">
        <v>45370</v>
      </c>
      <c r="P90" s="365" t="s">
        <v>264</v>
      </c>
      <c r="Q90" s="364">
        <v>45370</v>
      </c>
      <c r="R90" s="364">
        <v>45370</v>
      </c>
      <c r="S90" s="348" t="s">
        <v>1687</v>
      </c>
    </row>
    <row r="91" spans="1:19" ht="25.5" hidden="1" x14ac:dyDescent="0.25">
      <c r="A91" s="359">
        <v>0</v>
      </c>
      <c r="B91" s="49" t="s">
        <v>2113</v>
      </c>
      <c r="C91" s="49" t="s">
        <v>1920</v>
      </c>
      <c r="D91" s="49"/>
      <c r="E91" s="49">
        <v>183481</v>
      </c>
      <c r="F91" s="362" t="s">
        <v>2114</v>
      </c>
      <c r="G91" s="49" t="s">
        <v>2115</v>
      </c>
      <c r="H91" s="49" t="s">
        <v>2116</v>
      </c>
      <c r="I91" s="49" t="s">
        <v>2111</v>
      </c>
      <c r="J91" s="316">
        <v>45369</v>
      </c>
      <c r="K91" s="316">
        <v>45370</v>
      </c>
      <c r="L91" s="363" t="s">
        <v>28</v>
      </c>
      <c r="M91" s="317" t="s">
        <v>2112</v>
      </c>
      <c r="N91" s="317">
        <v>11</v>
      </c>
      <c r="O91" s="366">
        <v>45370</v>
      </c>
      <c r="P91" s="365" t="s">
        <v>264</v>
      </c>
      <c r="Q91" s="364">
        <v>45370</v>
      </c>
      <c r="R91" s="364">
        <v>45370</v>
      </c>
      <c r="S91" s="348" t="s">
        <v>1687</v>
      </c>
    </row>
    <row r="92" spans="1:19" ht="25.5" hidden="1" x14ac:dyDescent="0.25">
      <c r="A92" s="359">
        <v>0</v>
      </c>
      <c r="B92" s="49" t="s">
        <v>2117</v>
      </c>
      <c r="C92" s="49" t="s">
        <v>2059</v>
      </c>
      <c r="D92" s="49"/>
      <c r="E92" s="49">
        <v>183491</v>
      </c>
      <c r="F92" s="362" t="s">
        <v>2118</v>
      </c>
      <c r="G92" s="49" t="s">
        <v>2119</v>
      </c>
      <c r="H92" s="49" t="s">
        <v>2120</v>
      </c>
      <c r="I92" s="49" t="s">
        <v>2121</v>
      </c>
      <c r="J92" s="316">
        <v>45376</v>
      </c>
      <c r="K92" s="316">
        <v>45379</v>
      </c>
      <c r="L92" s="363" t="s">
        <v>28</v>
      </c>
      <c r="M92" s="317" t="s">
        <v>2122</v>
      </c>
      <c r="N92" s="317">
        <v>2</v>
      </c>
      <c r="O92" s="322">
        <v>45383</v>
      </c>
      <c r="P92" s="365" t="s">
        <v>264</v>
      </c>
      <c r="Q92" s="364">
        <v>45383</v>
      </c>
      <c r="R92" s="364">
        <v>45383</v>
      </c>
      <c r="S92" s="348" t="s">
        <v>1687</v>
      </c>
    </row>
    <row r="93" spans="1:19" ht="25.5" hidden="1" x14ac:dyDescent="0.25">
      <c r="A93" s="359">
        <v>0</v>
      </c>
      <c r="B93" s="49" t="s">
        <v>2123</v>
      </c>
      <c r="C93" s="49" t="s">
        <v>1711</v>
      </c>
      <c r="D93" s="49"/>
      <c r="E93" s="49">
        <v>183365</v>
      </c>
      <c r="F93" s="362" t="s">
        <v>2124</v>
      </c>
      <c r="G93" s="49" t="s">
        <v>2125</v>
      </c>
      <c r="H93" s="49" t="s">
        <v>2126</v>
      </c>
      <c r="I93" s="49" t="s">
        <v>1715</v>
      </c>
      <c r="J93" s="316">
        <v>45315</v>
      </c>
      <c r="K93" s="360">
        <v>45315</v>
      </c>
      <c r="L93" s="363" t="s">
        <v>47</v>
      </c>
      <c r="M93" s="317" t="s">
        <v>2127</v>
      </c>
      <c r="N93" s="317">
        <v>5</v>
      </c>
      <c r="O93" s="366">
        <v>45434</v>
      </c>
      <c r="P93" s="365" t="s">
        <v>264</v>
      </c>
      <c r="Q93" s="364">
        <v>45434</v>
      </c>
      <c r="R93" s="364">
        <v>45434</v>
      </c>
      <c r="S93" s="348" t="s">
        <v>1687</v>
      </c>
    </row>
    <row r="94" spans="1:19" ht="38.25" hidden="1" x14ac:dyDescent="0.25">
      <c r="A94" s="359">
        <v>0</v>
      </c>
      <c r="B94" s="49" t="s">
        <v>2128</v>
      </c>
      <c r="C94" s="49" t="s">
        <v>1941</v>
      </c>
      <c r="D94" s="49"/>
      <c r="E94" s="49">
        <v>183637</v>
      </c>
      <c r="F94" s="362" t="s">
        <v>2129</v>
      </c>
      <c r="G94" s="49" t="s">
        <v>2130</v>
      </c>
      <c r="H94" s="49" t="s">
        <v>2131</v>
      </c>
      <c r="I94" s="49" t="s">
        <v>2132</v>
      </c>
      <c r="J94" s="316">
        <v>45441</v>
      </c>
      <c r="K94" s="316">
        <v>45441</v>
      </c>
      <c r="L94" s="363" t="s">
        <v>28</v>
      </c>
      <c r="M94" s="317" t="s">
        <v>2133</v>
      </c>
      <c r="N94" s="317">
        <v>3</v>
      </c>
      <c r="O94" s="366">
        <v>45441</v>
      </c>
      <c r="P94" s="365" t="s">
        <v>264</v>
      </c>
      <c r="Q94" s="364">
        <v>45441</v>
      </c>
      <c r="R94" s="364">
        <v>45441</v>
      </c>
      <c r="S94" s="348" t="s">
        <v>1687</v>
      </c>
    </row>
    <row r="95" spans="1:19" hidden="1" x14ac:dyDescent="0.25">
      <c r="A95" s="359">
        <v>0</v>
      </c>
      <c r="B95" s="49" t="s">
        <v>2134</v>
      </c>
      <c r="C95" s="49" t="s">
        <v>83</v>
      </c>
      <c r="D95" s="49"/>
      <c r="E95" s="49">
        <v>183954</v>
      </c>
      <c r="F95" s="362" t="s">
        <v>2135</v>
      </c>
      <c r="G95" s="49" t="s">
        <v>2136</v>
      </c>
      <c r="H95" s="49" t="s">
        <v>2137</v>
      </c>
      <c r="I95" s="49" t="s">
        <v>73</v>
      </c>
      <c r="J95" s="316">
        <v>45455</v>
      </c>
      <c r="K95" s="316">
        <v>45456</v>
      </c>
      <c r="L95" s="363" t="s">
        <v>28</v>
      </c>
      <c r="M95" s="317" t="s">
        <v>2138</v>
      </c>
      <c r="N95" s="317">
        <v>8</v>
      </c>
      <c r="O95" s="366">
        <v>45461</v>
      </c>
      <c r="P95" s="365" t="s">
        <v>264</v>
      </c>
      <c r="Q95" s="364">
        <v>45461</v>
      </c>
      <c r="R95" s="364">
        <v>45461</v>
      </c>
      <c r="S95" s="348" t="s">
        <v>1687</v>
      </c>
    </row>
    <row r="96" spans="1:19" ht="25.5" hidden="1" x14ac:dyDescent="0.25">
      <c r="A96" s="359">
        <v>0</v>
      </c>
      <c r="B96" s="49" t="s">
        <v>2139</v>
      </c>
      <c r="C96" s="49" t="s">
        <v>132</v>
      </c>
      <c r="D96" s="49"/>
      <c r="E96" s="49">
        <v>184052</v>
      </c>
      <c r="F96" s="362" t="s">
        <v>2140</v>
      </c>
      <c r="G96" s="49" t="s">
        <v>448</v>
      </c>
      <c r="H96" s="49" t="s">
        <v>2141</v>
      </c>
      <c r="I96" s="49" t="s">
        <v>2142</v>
      </c>
      <c r="J96" s="316">
        <v>45477</v>
      </c>
      <c r="K96" s="360">
        <v>45477</v>
      </c>
      <c r="L96" s="322" t="s">
        <v>28</v>
      </c>
      <c r="M96" s="317" t="s">
        <v>450</v>
      </c>
      <c r="N96" s="317">
        <v>1</v>
      </c>
      <c r="O96" s="366">
        <v>45478</v>
      </c>
      <c r="P96" s="365" t="s">
        <v>264</v>
      </c>
      <c r="Q96" s="364">
        <v>45481</v>
      </c>
      <c r="R96" s="364">
        <v>45481</v>
      </c>
      <c r="S96" s="348"/>
    </row>
    <row r="97" spans="1:19" ht="25.7" hidden="1" x14ac:dyDescent="0.25">
      <c r="A97" s="359">
        <v>0</v>
      </c>
      <c r="B97" s="49" t="s">
        <v>2143</v>
      </c>
      <c r="C97" s="49" t="s">
        <v>132</v>
      </c>
      <c r="D97" s="49"/>
      <c r="E97" s="49">
        <v>184055</v>
      </c>
      <c r="F97" s="362" t="s">
        <v>2144</v>
      </c>
      <c r="G97" s="49" t="s">
        <v>2145</v>
      </c>
      <c r="H97" s="49" t="s">
        <v>2146</v>
      </c>
      <c r="I97" s="49" t="s">
        <v>2147</v>
      </c>
      <c r="J97" s="316">
        <v>45477</v>
      </c>
      <c r="K97" s="360">
        <v>45477</v>
      </c>
      <c r="L97" s="322" t="s">
        <v>28</v>
      </c>
      <c r="M97" s="317" t="s">
        <v>2148</v>
      </c>
      <c r="N97" s="317">
        <v>3</v>
      </c>
      <c r="O97" s="366">
        <v>45481</v>
      </c>
      <c r="P97" s="365" t="s">
        <v>264</v>
      </c>
      <c r="Q97" s="364">
        <v>45478</v>
      </c>
      <c r="R97" s="364">
        <v>45478</v>
      </c>
      <c r="S97" s="348"/>
    </row>
    <row r="98" spans="1:19" ht="25.7" hidden="1" x14ac:dyDescent="0.25">
      <c r="A98" s="359">
        <v>0</v>
      </c>
      <c r="B98" s="49" t="s">
        <v>2149</v>
      </c>
      <c r="C98" s="49" t="s">
        <v>83</v>
      </c>
      <c r="D98" s="49"/>
      <c r="E98" s="49">
        <v>184076</v>
      </c>
      <c r="F98" s="362" t="s">
        <v>2150</v>
      </c>
      <c r="G98" s="49" t="s">
        <v>2151</v>
      </c>
      <c r="H98" s="49" t="s">
        <v>2152</v>
      </c>
      <c r="I98" s="49" t="s">
        <v>73</v>
      </c>
      <c r="J98" s="316">
        <v>45490</v>
      </c>
      <c r="K98" s="360">
        <v>45495</v>
      </c>
      <c r="L98" s="322" t="s">
        <v>28</v>
      </c>
      <c r="M98" s="409" t="s">
        <v>2138</v>
      </c>
      <c r="N98" s="317">
        <v>13</v>
      </c>
      <c r="O98" s="366">
        <v>45498</v>
      </c>
      <c r="P98" s="365" t="s">
        <v>264</v>
      </c>
      <c r="Q98" s="364">
        <v>45498</v>
      </c>
      <c r="R98" s="364">
        <v>45498</v>
      </c>
      <c r="S98" s="348"/>
    </row>
    <row r="99" spans="1:19" ht="25.5" hidden="1" x14ac:dyDescent="0.25">
      <c r="A99" s="359">
        <v>0</v>
      </c>
      <c r="B99" s="49" t="s">
        <v>2153</v>
      </c>
      <c r="C99" s="49" t="s">
        <v>83</v>
      </c>
      <c r="D99" s="49"/>
      <c r="E99" s="49">
        <v>184076</v>
      </c>
      <c r="F99" s="362" t="s">
        <v>2154</v>
      </c>
      <c r="G99" s="49" t="s">
        <v>2155</v>
      </c>
      <c r="H99" s="49" t="s">
        <v>2156</v>
      </c>
      <c r="I99" s="49" t="s">
        <v>73</v>
      </c>
      <c r="J99" s="316">
        <v>45490</v>
      </c>
      <c r="K99" s="360">
        <v>45495</v>
      </c>
      <c r="L99" s="322" t="s">
        <v>28</v>
      </c>
      <c r="M99" s="317" t="s">
        <v>2157</v>
      </c>
      <c r="N99" s="317">
        <v>4</v>
      </c>
      <c r="O99" s="366">
        <v>45502</v>
      </c>
      <c r="P99" s="365" t="s">
        <v>264</v>
      </c>
      <c r="Q99" s="364">
        <v>45502</v>
      </c>
      <c r="R99" s="364">
        <v>45502</v>
      </c>
      <c r="S99" s="348"/>
    </row>
    <row r="100" spans="1:19" ht="38.25" hidden="1" x14ac:dyDescent="0.25">
      <c r="A100" s="359">
        <v>0</v>
      </c>
      <c r="B100" s="49" t="s">
        <v>2158</v>
      </c>
      <c r="C100" s="49" t="s">
        <v>2019</v>
      </c>
      <c r="D100" s="49"/>
      <c r="E100" s="49">
        <v>184067</v>
      </c>
      <c r="F100" s="362" t="s">
        <v>2159</v>
      </c>
      <c r="G100" s="49"/>
      <c r="H100" s="49"/>
      <c r="I100" s="49"/>
      <c r="J100" s="316"/>
      <c r="K100" s="360"/>
      <c r="L100" s="322"/>
      <c r="M100" s="317"/>
      <c r="N100" s="317"/>
      <c r="O100" s="366"/>
      <c r="P100" s="365"/>
      <c r="Q100" s="364"/>
      <c r="R100" s="364"/>
      <c r="S100" s="348"/>
    </row>
    <row r="101" spans="1:19" ht="38.25" hidden="1" x14ac:dyDescent="0.25">
      <c r="A101" s="359">
        <v>0</v>
      </c>
      <c r="B101" s="49" t="s">
        <v>2160</v>
      </c>
      <c r="C101" s="49" t="s">
        <v>2019</v>
      </c>
      <c r="D101" s="49"/>
      <c r="E101" s="49">
        <v>184068</v>
      </c>
      <c r="F101" s="362" t="s">
        <v>2161</v>
      </c>
      <c r="G101" s="49" t="s">
        <v>2162</v>
      </c>
      <c r="H101" s="49" t="s">
        <v>2163</v>
      </c>
      <c r="I101" s="49" t="s">
        <v>2164</v>
      </c>
      <c r="J101" s="316">
        <v>45487</v>
      </c>
      <c r="K101" s="360">
        <v>45488</v>
      </c>
      <c r="L101" s="322" t="s">
        <v>47</v>
      </c>
      <c r="M101" s="317" t="s">
        <v>2165</v>
      </c>
      <c r="N101" s="317">
        <v>6</v>
      </c>
      <c r="O101" s="366">
        <v>45518</v>
      </c>
      <c r="P101" s="365" t="s">
        <v>264</v>
      </c>
      <c r="Q101" s="364">
        <v>45520</v>
      </c>
      <c r="R101" s="364">
        <v>45520</v>
      </c>
      <c r="S101" s="348"/>
    </row>
    <row r="102" spans="1:19" ht="38.25" hidden="1" x14ac:dyDescent="0.25">
      <c r="A102" s="359">
        <v>0</v>
      </c>
      <c r="B102" s="49" t="s">
        <v>2166</v>
      </c>
      <c r="C102" s="49" t="s">
        <v>2019</v>
      </c>
      <c r="D102" s="49"/>
      <c r="E102" s="49">
        <v>184069</v>
      </c>
      <c r="F102" s="362" t="s">
        <v>2167</v>
      </c>
      <c r="G102" s="49"/>
      <c r="H102" s="49"/>
      <c r="I102" s="49"/>
      <c r="J102" s="316"/>
      <c r="K102" s="360"/>
      <c r="L102" s="322"/>
      <c r="M102" s="317"/>
      <c r="N102" s="317"/>
      <c r="O102" s="366"/>
      <c r="P102" s="365"/>
      <c r="Q102" s="364"/>
      <c r="R102" s="364"/>
      <c r="S102" s="348"/>
    </row>
    <row r="103" spans="1:19" ht="25.5" hidden="1" x14ac:dyDescent="0.25">
      <c r="A103" s="359">
        <v>0</v>
      </c>
      <c r="B103" s="49" t="s">
        <v>2168</v>
      </c>
      <c r="C103" s="49" t="s">
        <v>132</v>
      </c>
      <c r="D103" s="49"/>
      <c r="E103" s="49">
        <v>184081</v>
      </c>
      <c r="F103" s="362" t="s">
        <v>2169</v>
      </c>
      <c r="G103" s="49" t="s">
        <v>2170</v>
      </c>
      <c r="H103" s="49" t="s">
        <v>2171</v>
      </c>
      <c r="I103" s="49" t="s">
        <v>2172</v>
      </c>
      <c r="J103" s="316">
        <v>45497</v>
      </c>
      <c r="K103" s="360">
        <v>45498</v>
      </c>
      <c r="L103" s="322" t="s">
        <v>28</v>
      </c>
      <c r="M103" s="317">
        <v>2033214</v>
      </c>
      <c r="N103" s="317">
        <v>3</v>
      </c>
      <c r="O103" s="366">
        <v>45505</v>
      </c>
      <c r="P103" s="365" t="s">
        <v>264</v>
      </c>
      <c r="Q103" s="364">
        <v>45505</v>
      </c>
      <c r="R103" s="364">
        <v>45505</v>
      </c>
      <c r="S103" s="348"/>
    </row>
    <row r="104" spans="1:19" ht="14.25" hidden="1" x14ac:dyDescent="0.25">
      <c r="A104" s="359">
        <v>0</v>
      </c>
      <c r="B104" s="49" t="s">
        <v>2173</v>
      </c>
      <c r="C104" s="49" t="s">
        <v>1904</v>
      </c>
      <c r="D104" s="49"/>
      <c r="E104" s="49">
        <v>184098</v>
      </c>
      <c r="F104" s="362" t="s">
        <v>2174</v>
      </c>
      <c r="G104" s="49"/>
      <c r="H104" s="49"/>
      <c r="I104" s="49"/>
      <c r="J104" s="316"/>
      <c r="K104" s="360"/>
      <c r="L104" s="322"/>
      <c r="M104" s="317"/>
      <c r="N104" s="317"/>
      <c r="O104" s="366"/>
      <c r="P104" s="365"/>
      <c r="Q104" s="364"/>
      <c r="R104" s="364"/>
      <c r="S104" s="348"/>
    </row>
    <row r="105" spans="1:19" ht="14.25" hidden="1" x14ac:dyDescent="0.25">
      <c r="A105" s="359">
        <v>0</v>
      </c>
      <c r="B105" s="49" t="s">
        <v>2175</v>
      </c>
      <c r="C105" s="49" t="s">
        <v>1904</v>
      </c>
      <c r="D105" s="49"/>
      <c r="E105" s="49">
        <v>184099</v>
      </c>
      <c r="F105" s="362" t="s">
        <v>2176</v>
      </c>
      <c r="G105" s="49"/>
      <c r="H105" s="49"/>
      <c r="I105" s="49"/>
      <c r="J105" s="316"/>
      <c r="K105" s="360"/>
      <c r="L105" s="322"/>
      <c r="M105" s="317"/>
      <c r="N105" s="317"/>
      <c r="O105" s="366"/>
      <c r="P105" s="365"/>
      <c r="Q105" s="364"/>
      <c r="R105" s="364"/>
      <c r="S105" s="348"/>
    </row>
    <row r="106" spans="1:19" ht="25.5" hidden="1" x14ac:dyDescent="0.25">
      <c r="A106" s="359">
        <v>0</v>
      </c>
      <c r="B106" s="49" t="s">
        <v>2177</v>
      </c>
      <c r="C106" s="49" t="s">
        <v>2030</v>
      </c>
      <c r="D106" s="49"/>
      <c r="E106" s="49">
        <v>184110</v>
      </c>
      <c r="F106" s="362" t="s">
        <v>2178</v>
      </c>
      <c r="G106" s="49" t="s">
        <v>2179</v>
      </c>
      <c r="H106" s="49" t="s">
        <v>2180</v>
      </c>
      <c r="I106" s="49" t="s">
        <v>2181</v>
      </c>
      <c r="J106" s="316">
        <v>45504</v>
      </c>
      <c r="K106" s="360">
        <v>45505</v>
      </c>
      <c r="L106" s="322" t="s">
        <v>28</v>
      </c>
      <c r="M106" s="317" t="s">
        <v>2182</v>
      </c>
      <c r="N106" s="317">
        <v>1</v>
      </c>
      <c r="O106" s="366">
        <v>45553</v>
      </c>
      <c r="P106" s="365" t="s">
        <v>264</v>
      </c>
      <c r="Q106" s="364">
        <v>45554</v>
      </c>
      <c r="R106" s="364">
        <v>45554</v>
      </c>
      <c r="S106" s="348"/>
    </row>
    <row r="107" spans="1:19" ht="14.25" hidden="1" x14ac:dyDescent="0.25">
      <c r="A107" s="359">
        <v>0</v>
      </c>
      <c r="B107" s="49" t="s">
        <v>2183</v>
      </c>
      <c r="C107" s="49" t="s">
        <v>2184</v>
      </c>
      <c r="D107" s="49"/>
      <c r="E107" s="49">
        <v>184201</v>
      </c>
      <c r="F107" s="362" t="s">
        <v>2185</v>
      </c>
      <c r="G107" s="49"/>
      <c r="H107" s="49"/>
      <c r="I107" s="49"/>
      <c r="J107" s="316"/>
      <c r="K107" s="360"/>
      <c r="L107" s="322"/>
      <c r="M107" s="317"/>
      <c r="N107" s="317"/>
      <c r="O107" s="366"/>
      <c r="P107" s="365"/>
      <c r="Q107" s="364"/>
      <c r="R107" s="364"/>
      <c r="S107" s="348"/>
    </row>
    <row r="108" spans="1:19" ht="25.7" hidden="1" x14ac:dyDescent="0.25">
      <c r="A108" s="359">
        <v>0</v>
      </c>
      <c r="B108" s="49" t="s">
        <v>2186</v>
      </c>
      <c r="C108" s="49" t="s">
        <v>2187</v>
      </c>
      <c r="D108" s="49"/>
      <c r="E108" s="49">
        <v>184194</v>
      </c>
      <c r="F108" s="362" t="s">
        <v>2188</v>
      </c>
      <c r="G108" s="49"/>
      <c r="H108" s="49"/>
      <c r="I108" s="49"/>
      <c r="J108" s="316"/>
      <c r="K108" s="360"/>
      <c r="L108" s="322"/>
      <c r="M108" s="317"/>
      <c r="N108" s="317"/>
      <c r="O108" s="366"/>
      <c r="P108" s="365"/>
      <c r="Q108" s="364"/>
      <c r="R108" s="364"/>
      <c r="S108" s="348"/>
    </row>
    <row r="109" spans="1:19" ht="25.5" hidden="1" x14ac:dyDescent="0.25">
      <c r="A109" s="359">
        <v>0</v>
      </c>
      <c r="B109" s="49" t="s">
        <v>2189</v>
      </c>
      <c r="C109" s="49" t="s">
        <v>1973</v>
      </c>
      <c r="D109" s="49"/>
      <c r="E109" s="49">
        <v>184162</v>
      </c>
      <c r="F109" s="49" t="s">
        <v>2190</v>
      </c>
      <c r="G109" s="49" t="s">
        <v>2191</v>
      </c>
      <c r="H109" s="49" t="s">
        <v>2192</v>
      </c>
      <c r="I109" s="49" t="s">
        <v>594</v>
      </c>
      <c r="J109" s="316">
        <v>45512</v>
      </c>
      <c r="K109" s="360">
        <v>45517</v>
      </c>
      <c r="L109" s="322" t="s">
        <v>28</v>
      </c>
      <c r="M109" s="317" t="s">
        <v>2193</v>
      </c>
      <c r="N109" s="317">
        <v>2</v>
      </c>
      <c r="O109" s="366">
        <v>45554</v>
      </c>
      <c r="P109" s="365" t="s">
        <v>264</v>
      </c>
      <c r="Q109" s="364">
        <v>45554</v>
      </c>
      <c r="R109" s="364">
        <v>45554</v>
      </c>
      <c r="S109" s="348"/>
    </row>
    <row r="110" spans="1:19" ht="25.5" hidden="1" x14ac:dyDescent="0.25">
      <c r="A110" s="359">
        <v>0</v>
      </c>
      <c r="B110" s="49" t="s">
        <v>2194</v>
      </c>
      <c r="C110" s="49" t="s">
        <v>2195</v>
      </c>
      <c r="D110" s="49"/>
      <c r="E110" s="49">
        <v>181825</v>
      </c>
      <c r="F110" s="362" t="s">
        <v>2196</v>
      </c>
      <c r="G110" s="49" t="s">
        <v>1406</v>
      </c>
      <c r="H110" s="49" t="s">
        <v>2197</v>
      </c>
      <c r="I110" s="49" t="s">
        <v>346</v>
      </c>
      <c r="J110" s="316">
        <v>45303</v>
      </c>
      <c r="K110" s="360">
        <v>45079</v>
      </c>
      <c r="L110" s="363" t="s">
        <v>28</v>
      </c>
      <c r="M110" s="317" t="s">
        <v>2198</v>
      </c>
      <c r="N110" s="317">
        <v>1</v>
      </c>
      <c r="O110" s="366">
        <v>45306</v>
      </c>
      <c r="P110" s="365" t="s">
        <v>1686</v>
      </c>
      <c r="Q110" s="364">
        <v>45308</v>
      </c>
      <c r="R110" s="364">
        <v>45308</v>
      </c>
      <c r="S110" s="348" t="s">
        <v>1687</v>
      </c>
    </row>
    <row r="111" spans="1:19" ht="25.5" x14ac:dyDescent="0.25">
      <c r="A111" s="359">
        <v>0</v>
      </c>
      <c r="B111" s="49" t="s">
        <v>2199</v>
      </c>
      <c r="C111" s="49" t="s">
        <v>1345</v>
      </c>
      <c r="D111" s="49"/>
      <c r="E111" s="49">
        <v>181825</v>
      </c>
      <c r="F111" s="362" t="s">
        <v>2200</v>
      </c>
      <c r="G111" s="49" t="s">
        <v>1406</v>
      </c>
      <c r="H111" s="49" t="s">
        <v>2201</v>
      </c>
      <c r="I111" s="49" t="s">
        <v>346</v>
      </c>
      <c r="J111" s="316">
        <v>45303</v>
      </c>
      <c r="K111" s="360">
        <v>45079</v>
      </c>
      <c r="L111" s="363" t="s">
        <v>28</v>
      </c>
      <c r="M111" s="317" t="s">
        <v>1412</v>
      </c>
      <c r="N111" s="317">
        <v>2</v>
      </c>
      <c r="O111" s="366">
        <v>45306</v>
      </c>
      <c r="P111" s="365" t="s">
        <v>1686</v>
      </c>
      <c r="Q111" s="364">
        <v>45308</v>
      </c>
      <c r="R111" s="364">
        <v>45308</v>
      </c>
      <c r="S111" s="348" t="s">
        <v>1687</v>
      </c>
    </row>
    <row r="112" spans="1:19" ht="25.5" x14ac:dyDescent="0.25">
      <c r="A112" s="359">
        <v>0</v>
      </c>
      <c r="B112" s="49" t="s">
        <v>2202</v>
      </c>
      <c r="C112" s="49" t="s">
        <v>1345</v>
      </c>
      <c r="D112" s="49"/>
      <c r="E112" s="49">
        <v>181825</v>
      </c>
      <c r="F112" s="362" t="s">
        <v>2203</v>
      </c>
      <c r="G112" s="49" t="s">
        <v>547</v>
      </c>
      <c r="H112" s="49" t="s">
        <v>2204</v>
      </c>
      <c r="I112" s="49" t="s">
        <v>346</v>
      </c>
      <c r="J112" s="316">
        <v>45314</v>
      </c>
      <c r="K112" s="360">
        <v>45079</v>
      </c>
      <c r="L112" s="363" t="s">
        <v>28</v>
      </c>
      <c r="M112" s="317" t="s">
        <v>2205</v>
      </c>
      <c r="N112" s="317">
        <v>1</v>
      </c>
      <c r="O112" s="366">
        <v>45315</v>
      </c>
      <c r="P112" s="365" t="s">
        <v>1686</v>
      </c>
      <c r="Q112" s="364">
        <v>45315</v>
      </c>
      <c r="R112" s="364">
        <v>45316</v>
      </c>
      <c r="S112" s="348" t="s">
        <v>1687</v>
      </c>
    </row>
    <row r="113" spans="1:19" ht="25.5" x14ac:dyDescent="0.25">
      <c r="A113" s="359">
        <v>0</v>
      </c>
      <c r="B113" s="49" t="s">
        <v>2206</v>
      </c>
      <c r="C113" s="49" t="s">
        <v>1345</v>
      </c>
      <c r="D113" s="49"/>
      <c r="E113" s="49">
        <v>181825</v>
      </c>
      <c r="F113" s="362" t="s">
        <v>2207</v>
      </c>
      <c r="G113" s="49" t="s">
        <v>1406</v>
      </c>
      <c r="H113" s="49" t="s">
        <v>2208</v>
      </c>
      <c r="I113" s="49" t="s">
        <v>346</v>
      </c>
      <c r="J113" s="316">
        <v>45314</v>
      </c>
      <c r="K113" s="360">
        <v>45079</v>
      </c>
      <c r="L113" s="363" t="s">
        <v>28</v>
      </c>
      <c r="M113" s="317" t="s">
        <v>2209</v>
      </c>
      <c r="N113" s="317">
        <v>1</v>
      </c>
      <c r="O113" s="322">
        <v>45315</v>
      </c>
      <c r="P113" s="364" t="s">
        <v>1686</v>
      </c>
      <c r="Q113" s="364">
        <v>45315</v>
      </c>
      <c r="R113" s="364">
        <v>45316</v>
      </c>
      <c r="S113" s="348" t="s">
        <v>1687</v>
      </c>
    </row>
    <row r="114" spans="1:19" ht="25.5" hidden="1" x14ac:dyDescent="0.25">
      <c r="A114" s="359">
        <v>0</v>
      </c>
      <c r="B114" s="49" t="s">
        <v>2210</v>
      </c>
      <c r="C114" s="49" t="s">
        <v>2195</v>
      </c>
      <c r="D114" s="49"/>
      <c r="E114" s="49">
        <v>181825</v>
      </c>
      <c r="F114" s="362" t="s">
        <v>2211</v>
      </c>
      <c r="G114" s="49" t="s">
        <v>1406</v>
      </c>
      <c r="H114" s="49" t="s">
        <v>2212</v>
      </c>
      <c r="I114" s="49" t="s">
        <v>346</v>
      </c>
      <c r="J114" s="316">
        <v>45315</v>
      </c>
      <c r="K114" s="360">
        <v>45079</v>
      </c>
      <c r="L114" s="363" t="s">
        <v>28</v>
      </c>
      <c r="M114" s="317" t="s">
        <v>2198</v>
      </c>
      <c r="N114" s="317">
        <v>1</v>
      </c>
      <c r="O114" s="322">
        <v>45315</v>
      </c>
      <c r="P114" s="364" t="s">
        <v>1686</v>
      </c>
      <c r="Q114" s="364">
        <v>45315</v>
      </c>
      <c r="R114" s="364">
        <v>45316</v>
      </c>
      <c r="S114" s="348" t="s">
        <v>1687</v>
      </c>
    </row>
    <row r="115" spans="1:19" ht="25.5" x14ac:dyDescent="0.25">
      <c r="A115" s="359">
        <v>0</v>
      </c>
      <c r="B115" s="49" t="s">
        <v>2213</v>
      </c>
      <c r="C115" s="49" t="s">
        <v>1345</v>
      </c>
      <c r="D115" s="49"/>
      <c r="E115" s="49">
        <v>181825</v>
      </c>
      <c r="F115" s="362" t="s">
        <v>2214</v>
      </c>
      <c r="G115" s="49" t="s">
        <v>1406</v>
      </c>
      <c r="H115" s="49" t="s">
        <v>2215</v>
      </c>
      <c r="I115" s="49" t="s">
        <v>346</v>
      </c>
      <c r="J115" s="316">
        <v>45316</v>
      </c>
      <c r="K115" s="360">
        <v>45079</v>
      </c>
      <c r="L115" s="363" t="s">
        <v>28</v>
      </c>
      <c r="M115" s="317" t="s">
        <v>2216</v>
      </c>
      <c r="N115" s="317">
        <v>1</v>
      </c>
      <c r="O115" s="322">
        <v>45316</v>
      </c>
      <c r="P115" s="365" t="s">
        <v>1686</v>
      </c>
      <c r="Q115" s="364">
        <v>45317</v>
      </c>
      <c r="R115" s="364">
        <v>45317</v>
      </c>
      <c r="S115" s="348" t="s">
        <v>1687</v>
      </c>
    </row>
    <row r="116" spans="1:19" ht="25.5" x14ac:dyDescent="0.25">
      <c r="A116" s="359">
        <v>0</v>
      </c>
      <c r="B116" s="49" t="s">
        <v>2217</v>
      </c>
      <c r="C116" s="49" t="s">
        <v>1345</v>
      </c>
      <c r="D116" s="49"/>
      <c r="E116" s="49">
        <v>181825</v>
      </c>
      <c r="F116" s="362" t="s">
        <v>2218</v>
      </c>
      <c r="G116" s="49" t="s">
        <v>1406</v>
      </c>
      <c r="H116" s="49" t="s">
        <v>2219</v>
      </c>
      <c r="I116" s="49" t="s">
        <v>346</v>
      </c>
      <c r="J116" s="316">
        <v>45316</v>
      </c>
      <c r="K116" s="360">
        <v>45079</v>
      </c>
      <c r="L116" s="363" t="s">
        <v>28</v>
      </c>
      <c r="M116" s="317" t="s">
        <v>2216</v>
      </c>
      <c r="N116" s="317">
        <v>1</v>
      </c>
      <c r="O116" s="322">
        <v>45316</v>
      </c>
      <c r="P116" s="365" t="s">
        <v>1686</v>
      </c>
      <c r="Q116" s="364">
        <v>45317</v>
      </c>
      <c r="R116" s="364">
        <v>45317</v>
      </c>
      <c r="S116" s="348" t="s">
        <v>1687</v>
      </c>
    </row>
    <row r="117" spans="1:19" ht="25.5" x14ac:dyDescent="0.25">
      <c r="A117" s="359">
        <v>0</v>
      </c>
      <c r="B117" s="49" t="s">
        <v>2220</v>
      </c>
      <c r="C117" s="49" t="s">
        <v>1345</v>
      </c>
      <c r="D117" s="49"/>
      <c r="E117" s="49">
        <v>181825</v>
      </c>
      <c r="F117" s="362" t="s">
        <v>2221</v>
      </c>
      <c r="G117" s="49" t="s">
        <v>1406</v>
      </c>
      <c r="H117" s="49" t="s">
        <v>2222</v>
      </c>
      <c r="I117" s="49" t="s">
        <v>346</v>
      </c>
      <c r="J117" s="316">
        <v>45328</v>
      </c>
      <c r="K117" s="360">
        <v>45079</v>
      </c>
      <c r="L117" s="363" t="s">
        <v>28</v>
      </c>
      <c r="M117" s="317" t="s">
        <v>2223</v>
      </c>
      <c r="N117" s="317">
        <v>6</v>
      </c>
      <c r="O117" s="322">
        <v>45328</v>
      </c>
      <c r="P117" s="365" t="s">
        <v>264</v>
      </c>
      <c r="Q117" s="364">
        <v>45328</v>
      </c>
      <c r="R117" s="364">
        <v>45329</v>
      </c>
      <c r="S117" s="348" t="s">
        <v>1687</v>
      </c>
    </row>
    <row r="118" spans="1:19" ht="25.5" x14ac:dyDescent="0.25">
      <c r="A118" s="359">
        <v>0</v>
      </c>
      <c r="B118" s="49" t="s">
        <v>2224</v>
      </c>
      <c r="C118" s="49" t="s">
        <v>1345</v>
      </c>
      <c r="D118" s="49"/>
      <c r="E118" s="49">
        <v>181825</v>
      </c>
      <c r="F118" s="362" t="s">
        <v>2225</v>
      </c>
      <c r="G118" s="49" t="s">
        <v>547</v>
      </c>
      <c r="H118" s="49" t="s">
        <v>2226</v>
      </c>
      <c r="I118" s="49" t="s">
        <v>346</v>
      </c>
      <c r="J118" s="316">
        <v>45327</v>
      </c>
      <c r="K118" s="360">
        <v>45079</v>
      </c>
      <c r="L118" s="363" t="s">
        <v>28</v>
      </c>
      <c r="M118" s="317" t="s">
        <v>2227</v>
      </c>
      <c r="N118" s="317">
        <v>2</v>
      </c>
      <c r="O118" s="322">
        <v>45328</v>
      </c>
      <c r="P118" s="365" t="s">
        <v>264</v>
      </c>
      <c r="Q118" s="364">
        <v>45328</v>
      </c>
      <c r="R118" s="364">
        <v>45328</v>
      </c>
      <c r="S118" s="348" t="s">
        <v>1687</v>
      </c>
    </row>
    <row r="119" spans="1:19" ht="38.25" x14ac:dyDescent="0.25">
      <c r="A119" s="359">
        <v>0</v>
      </c>
      <c r="B119" s="49" t="s">
        <v>2228</v>
      </c>
      <c r="C119" s="49" t="s">
        <v>1345</v>
      </c>
      <c r="D119" s="49"/>
      <c r="E119" s="49">
        <v>181825</v>
      </c>
      <c r="F119" s="362" t="s">
        <v>2229</v>
      </c>
      <c r="G119" s="49" t="s">
        <v>1406</v>
      </c>
      <c r="H119" s="49" t="s">
        <v>2230</v>
      </c>
      <c r="I119" s="49" t="s">
        <v>346</v>
      </c>
      <c r="J119" s="316">
        <v>45328</v>
      </c>
      <c r="K119" s="360">
        <v>45079</v>
      </c>
      <c r="L119" s="363" t="s">
        <v>28</v>
      </c>
      <c r="M119" s="317" t="s">
        <v>2231</v>
      </c>
      <c r="N119" s="317">
        <v>2</v>
      </c>
      <c r="O119" s="322">
        <v>45329</v>
      </c>
      <c r="P119" s="365" t="s">
        <v>264</v>
      </c>
      <c r="Q119" s="364">
        <v>45329</v>
      </c>
      <c r="R119" s="364">
        <v>45329</v>
      </c>
      <c r="S119" s="348" t="s">
        <v>1687</v>
      </c>
    </row>
    <row r="120" spans="1:19" ht="25.5" x14ac:dyDescent="0.25">
      <c r="A120" s="359">
        <v>0</v>
      </c>
      <c r="B120" s="49" t="s">
        <v>2232</v>
      </c>
      <c r="C120" s="49" t="s">
        <v>1345</v>
      </c>
      <c r="D120" s="49"/>
      <c r="E120" s="49">
        <v>181825</v>
      </c>
      <c r="F120" s="362" t="s">
        <v>2233</v>
      </c>
      <c r="G120" s="49" t="s">
        <v>547</v>
      </c>
      <c r="H120" s="49" t="s">
        <v>2234</v>
      </c>
      <c r="I120" s="49" t="s">
        <v>346</v>
      </c>
      <c r="J120" s="316">
        <v>45331</v>
      </c>
      <c r="K120" s="360">
        <v>45079</v>
      </c>
      <c r="L120" s="363" t="s">
        <v>28</v>
      </c>
      <c r="M120" s="317" t="s">
        <v>2235</v>
      </c>
      <c r="N120" s="317">
        <v>2</v>
      </c>
      <c r="O120" s="322">
        <v>45337</v>
      </c>
      <c r="P120" s="365" t="s">
        <v>264</v>
      </c>
      <c r="Q120" s="364">
        <v>45337</v>
      </c>
      <c r="R120" s="364">
        <v>45337</v>
      </c>
      <c r="S120" s="348" t="s">
        <v>1687</v>
      </c>
    </row>
    <row r="121" spans="1:19" ht="25.5" x14ac:dyDescent="0.25">
      <c r="A121" s="359">
        <v>0</v>
      </c>
      <c r="B121" s="49" t="s">
        <v>2236</v>
      </c>
      <c r="C121" s="49" t="s">
        <v>1345</v>
      </c>
      <c r="D121" s="49"/>
      <c r="E121" s="49">
        <v>181825</v>
      </c>
      <c r="F121" s="362" t="s">
        <v>2237</v>
      </c>
      <c r="G121" s="49" t="s">
        <v>1406</v>
      </c>
      <c r="H121" s="49" t="s">
        <v>1378</v>
      </c>
      <c r="I121" s="49" t="s">
        <v>1379</v>
      </c>
      <c r="J121" s="316">
        <v>45341</v>
      </c>
      <c r="K121" s="360">
        <v>45079</v>
      </c>
      <c r="L121" s="363" t="s">
        <v>28</v>
      </c>
      <c r="M121" s="317" t="s">
        <v>1380</v>
      </c>
      <c r="N121" s="317">
        <v>1</v>
      </c>
      <c r="O121" s="366">
        <v>45341</v>
      </c>
      <c r="P121" s="365" t="s">
        <v>264</v>
      </c>
      <c r="Q121" s="364">
        <v>45341</v>
      </c>
      <c r="R121" s="364">
        <v>45341</v>
      </c>
      <c r="S121" s="348" t="s">
        <v>1687</v>
      </c>
    </row>
    <row r="122" spans="1:19" ht="25.5" x14ac:dyDescent="0.25">
      <c r="A122" s="359">
        <v>0</v>
      </c>
      <c r="B122" s="49" t="s">
        <v>2238</v>
      </c>
      <c r="C122" s="49" t="s">
        <v>1345</v>
      </c>
      <c r="D122" s="49"/>
      <c r="E122" s="49">
        <v>181825</v>
      </c>
      <c r="F122" s="362" t="s">
        <v>2239</v>
      </c>
      <c r="G122" s="49" t="s">
        <v>547</v>
      </c>
      <c r="H122" s="49" t="s">
        <v>2240</v>
      </c>
      <c r="I122" s="49" t="s">
        <v>346</v>
      </c>
      <c r="J122" s="316">
        <v>45348</v>
      </c>
      <c r="K122" s="360">
        <v>45079</v>
      </c>
      <c r="L122" s="363" t="s">
        <v>28</v>
      </c>
      <c r="M122" s="317" t="s">
        <v>2227</v>
      </c>
      <c r="N122" s="317">
        <v>1</v>
      </c>
      <c r="O122" s="366">
        <v>45349</v>
      </c>
      <c r="P122" s="365" t="s">
        <v>264</v>
      </c>
      <c r="Q122" s="364">
        <v>45349</v>
      </c>
      <c r="R122" s="364">
        <v>45349</v>
      </c>
      <c r="S122" s="348" t="s">
        <v>1687</v>
      </c>
    </row>
    <row r="123" spans="1:19" ht="25.5" x14ac:dyDescent="0.25">
      <c r="A123" s="359">
        <v>0</v>
      </c>
      <c r="B123" s="49" t="s">
        <v>2241</v>
      </c>
      <c r="C123" s="49" t="s">
        <v>1345</v>
      </c>
      <c r="D123" s="49"/>
      <c r="E123" s="49">
        <v>181825</v>
      </c>
      <c r="F123" s="362" t="s">
        <v>2242</v>
      </c>
      <c r="G123" s="49" t="s">
        <v>547</v>
      </c>
      <c r="H123" s="49" t="s">
        <v>2243</v>
      </c>
      <c r="I123" s="49" t="s">
        <v>346</v>
      </c>
      <c r="J123" s="316">
        <v>45349</v>
      </c>
      <c r="K123" s="360">
        <v>45079</v>
      </c>
      <c r="L123" s="363" t="s">
        <v>28</v>
      </c>
      <c r="M123" s="317" t="s">
        <v>1356</v>
      </c>
      <c r="N123" s="317">
        <v>1</v>
      </c>
      <c r="O123" s="322">
        <v>45349</v>
      </c>
      <c r="P123" s="365" t="s">
        <v>264</v>
      </c>
      <c r="Q123" s="364">
        <v>45349</v>
      </c>
      <c r="R123" s="364">
        <v>45349</v>
      </c>
      <c r="S123" s="348" t="s">
        <v>1687</v>
      </c>
    </row>
    <row r="124" spans="1:19" ht="25.5" x14ac:dyDescent="0.25">
      <c r="A124" s="359">
        <v>0</v>
      </c>
      <c r="B124" s="49" t="s">
        <v>2244</v>
      </c>
      <c r="C124" s="49" t="s">
        <v>1345</v>
      </c>
      <c r="D124" s="49"/>
      <c r="E124" s="49">
        <v>181825</v>
      </c>
      <c r="F124" s="362" t="s">
        <v>2245</v>
      </c>
      <c r="G124" s="49" t="s">
        <v>1406</v>
      </c>
      <c r="H124" s="49" t="s">
        <v>2246</v>
      </c>
      <c r="I124" s="49" t="s">
        <v>346</v>
      </c>
      <c r="J124" s="316">
        <v>45365</v>
      </c>
      <c r="K124" s="360">
        <v>45079</v>
      </c>
      <c r="L124" s="363" t="s">
        <v>28</v>
      </c>
      <c r="M124" s="317" t="s">
        <v>2247</v>
      </c>
      <c r="N124" s="317">
        <v>2</v>
      </c>
      <c r="O124" s="366">
        <v>45365</v>
      </c>
      <c r="P124" s="365" t="s">
        <v>264</v>
      </c>
      <c r="Q124" s="364">
        <v>45365</v>
      </c>
      <c r="R124" s="364">
        <v>45365</v>
      </c>
      <c r="S124" s="348" t="s">
        <v>1687</v>
      </c>
    </row>
    <row r="125" spans="1:19" ht="25.5" x14ac:dyDescent="0.25">
      <c r="A125" s="359">
        <v>0</v>
      </c>
      <c r="B125" s="49" t="s">
        <v>2248</v>
      </c>
      <c r="C125" s="49" t="s">
        <v>1345</v>
      </c>
      <c r="D125" s="49"/>
      <c r="E125" s="49">
        <v>181825</v>
      </c>
      <c r="F125" s="362" t="s">
        <v>2249</v>
      </c>
      <c r="G125" s="49" t="s">
        <v>1406</v>
      </c>
      <c r="H125" s="49" t="s">
        <v>2250</v>
      </c>
      <c r="I125" s="49" t="s">
        <v>1379</v>
      </c>
      <c r="J125" s="316">
        <v>45365</v>
      </c>
      <c r="K125" s="360">
        <v>45079</v>
      </c>
      <c r="L125" s="363" t="s">
        <v>28</v>
      </c>
      <c r="M125" s="317" t="s">
        <v>1536</v>
      </c>
      <c r="N125" s="317">
        <v>2</v>
      </c>
      <c r="O125" s="366">
        <v>45365</v>
      </c>
      <c r="P125" s="365" t="s">
        <v>264</v>
      </c>
      <c r="Q125" s="364">
        <v>45365</v>
      </c>
      <c r="R125" s="364">
        <v>45365</v>
      </c>
      <c r="S125" s="348" t="s">
        <v>1687</v>
      </c>
    </row>
    <row r="126" spans="1:19" ht="25.5" x14ac:dyDescent="0.25">
      <c r="A126" s="359">
        <v>0</v>
      </c>
      <c r="B126" s="49" t="s">
        <v>2251</v>
      </c>
      <c r="C126" s="49" t="s">
        <v>1345</v>
      </c>
      <c r="D126" s="49"/>
      <c r="E126" s="49">
        <v>181825</v>
      </c>
      <c r="F126" s="362" t="s">
        <v>2252</v>
      </c>
      <c r="G126" s="49" t="s">
        <v>547</v>
      </c>
      <c r="H126" s="49" t="s">
        <v>2253</v>
      </c>
      <c r="I126" s="49" t="s">
        <v>346</v>
      </c>
      <c r="J126" s="316">
        <v>45366</v>
      </c>
      <c r="K126" s="360">
        <v>45079</v>
      </c>
      <c r="L126" s="363" t="s">
        <v>28</v>
      </c>
      <c r="M126" s="317" t="s">
        <v>2227</v>
      </c>
      <c r="N126" s="317">
        <v>1</v>
      </c>
      <c r="O126" s="366">
        <v>45366</v>
      </c>
      <c r="P126" s="365" t="s">
        <v>264</v>
      </c>
      <c r="Q126" s="364">
        <v>45366</v>
      </c>
      <c r="R126" s="364">
        <v>45369</v>
      </c>
      <c r="S126" s="348" t="s">
        <v>1687</v>
      </c>
    </row>
    <row r="127" spans="1:19" ht="25.5" x14ac:dyDescent="0.25">
      <c r="A127" s="359">
        <v>0</v>
      </c>
      <c r="B127" s="49" t="s">
        <v>2254</v>
      </c>
      <c r="C127" s="49" t="s">
        <v>1345</v>
      </c>
      <c r="D127" s="49"/>
      <c r="E127" s="49">
        <v>181825</v>
      </c>
      <c r="F127" s="362" t="s">
        <v>2255</v>
      </c>
      <c r="G127" s="49" t="s">
        <v>547</v>
      </c>
      <c r="H127" s="49" t="s">
        <v>1355</v>
      </c>
      <c r="I127" s="49" t="s">
        <v>346</v>
      </c>
      <c r="J127" s="316">
        <v>45367</v>
      </c>
      <c r="K127" s="360">
        <v>45079</v>
      </c>
      <c r="L127" s="363" t="s">
        <v>28</v>
      </c>
      <c r="M127" s="317" t="s">
        <v>1356</v>
      </c>
      <c r="N127" s="317">
        <v>1</v>
      </c>
      <c r="O127" s="322">
        <v>45369</v>
      </c>
      <c r="P127" s="365" t="s">
        <v>264</v>
      </c>
      <c r="Q127" s="364">
        <v>45369</v>
      </c>
      <c r="R127" s="364">
        <v>45369</v>
      </c>
      <c r="S127" s="348" t="s">
        <v>1687</v>
      </c>
    </row>
    <row r="128" spans="1:19" ht="25.5" x14ac:dyDescent="0.25">
      <c r="A128" s="359">
        <v>0</v>
      </c>
      <c r="B128" s="49" t="s">
        <v>2256</v>
      </c>
      <c r="C128" s="49" t="s">
        <v>1345</v>
      </c>
      <c r="D128" s="49"/>
      <c r="E128" s="49">
        <v>181825</v>
      </c>
      <c r="F128" s="362" t="s">
        <v>2257</v>
      </c>
      <c r="G128" s="49" t="s">
        <v>1406</v>
      </c>
      <c r="H128" s="49" t="s">
        <v>2258</v>
      </c>
      <c r="I128" s="49" t="s">
        <v>346</v>
      </c>
      <c r="J128" s="316">
        <v>45369</v>
      </c>
      <c r="K128" s="360">
        <v>45079</v>
      </c>
      <c r="L128" s="363" t="s">
        <v>28</v>
      </c>
      <c r="M128" s="317" t="s">
        <v>2198</v>
      </c>
      <c r="N128" s="317">
        <v>2</v>
      </c>
      <c r="O128" s="366" t="s">
        <v>2259</v>
      </c>
      <c r="P128" s="365" t="s">
        <v>264</v>
      </c>
      <c r="Q128" s="364">
        <v>45369</v>
      </c>
      <c r="R128" s="364">
        <v>45369</v>
      </c>
      <c r="S128" s="348" t="s">
        <v>1687</v>
      </c>
    </row>
    <row r="129" spans="1:19" ht="25.5" x14ac:dyDescent="0.25">
      <c r="A129" s="359">
        <v>0</v>
      </c>
      <c r="B129" s="49" t="s">
        <v>2260</v>
      </c>
      <c r="C129" s="49" t="s">
        <v>1345</v>
      </c>
      <c r="D129" s="49"/>
      <c r="E129" s="49">
        <v>181825</v>
      </c>
      <c r="F129" s="362" t="s">
        <v>2261</v>
      </c>
      <c r="G129" s="49" t="s">
        <v>547</v>
      </c>
      <c r="H129" s="49" t="s">
        <v>2262</v>
      </c>
      <c r="I129" s="49" t="s">
        <v>346</v>
      </c>
      <c r="J129" s="316">
        <v>45370</v>
      </c>
      <c r="K129" s="360">
        <v>45079</v>
      </c>
      <c r="L129" s="363" t="s">
        <v>28</v>
      </c>
      <c r="M129" s="317" t="s">
        <v>1356</v>
      </c>
      <c r="N129" s="317">
        <v>2</v>
      </c>
      <c r="O129" s="366">
        <v>45370</v>
      </c>
      <c r="P129" s="365" t="s">
        <v>264</v>
      </c>
      <c r="Q129" s="364">
        <v>45370</v>
      </c>
      <c r="R129" s="364">
        <v>45370</v>
      </c>
      <c r="S129" s="348" t="s">
        <v>1687</v>
      </c>
    </row>
    <row r="130" spans="1:19" ht="25.5" x14ac:dyDescent="0.25">
      <c r="A130" s="359">
        <v>0</v>
      </c>
      <c r="B130" s="49" t="s">
        <v>2263</v>
      </c>
      <c r="C130" s="49" t="s">
        <v>1345</v>
      </c>
      <c r="D130" s="49"/>
      <c r="E130" s="49">
        <v>181825</v>
      </c>
      <c r="F130" s="362" t="s">
        <v>2264</v>
      </c>
      <c r="G130" s="49" t="s">
        <v>2265</v>
      </c>
      <c r="H130" s="49" t="s">
        <v>2266</v>
      </c>
      <c r="I130" s="49" t="s">
        <v>346</v>
      </c>
      <c r="J130" s="316">
        <v>45377</v>
      </c>
      <c r="K130" s="360">
        <v>45374</v>
      </c>
      <c r="L130" s="363" t="s">
        <v>28</v>
      </c>
      <c r="M130" s="317" t="s">
        <v>1387</v>
      </c>
      <c r="N130" s="317">
        <v>1</v>
      </c>
      <c r="O130" s="322">
        <v>45378</v>
      </c>
      <c r="P130" s="365" t="s">
        <v>264</v>
      </c>
      <c r="Q130" s="364">
        <v>45378</v>
      </c>
      <c r="R130" s="364">
        <v>45378</v>
      </c>
      <c r="S130" s="348" t="s">
        <v>1687</v>
      </c>
    </row>
    <row r="131" spans="1:19" ht="25.5" x14ac:dyDescent="0.25">
      <c r="A131" s="359">
        <v>0</v>
      </c>
      <c r="B131" s="49" t="s">
        <v>2267</v>
      </c>
      <c r="C131" s="49" t="s">
        <v>1345</v>
      </c>
      <c r="D131" s="49"/>
      <c r="E131" s="49">
        <v>181825</v>
      </c>
      <c r="F131" s="362" t="s">
        <v>2268</v>
      </c>
      <c r="G131" s="49" t="s">
        <v>547</v>
      </c>
      <c r="H131" s="49" t="s">
        <v>2269</v>
      </c>
      <c r="I131" s="49" t="s">
        <v>346</v>
      </c>
      <c r="J131" s="316">
        <v>45377</v>
      </c>
      <c r="K131" s="360">
        <v>45374</v>
      </c>
      <c r="L131" s="363" t="s">
        <v>28</v>
      </c>
      <c r="M131" s="317" t="s">
        <v>1356</v>
      </c>
      <c r="N131" s="317">
        <v>2</v>
      </c>
      <c r="O131" s="322">
        <v>45378</v>
      </c>
      <c r="P131" s="365" t="s">
        <v>264</v>
      </c>
      <c r="Q131" s="364">
        <v>45378</v>
      </c>
      <c r="R131" s="364">
        <v>45378</v>
      </c>
      <c r="S131" s="348" t="s">
        <v>1687</v>
      </c>
    </row>
    <row r="132" spans="1:19" ht="38.25" x14ac:dyDescent="0.25">
      <c r="A132" s="359">
        <v>0</v>
      </c>
      <c r="B132" s="49" t="s">
        <v>2270</v>
      </c>
      <c r="C132" s="49" t="s">
        <v>1345</v>
      </c>
      <c r="D132" s="49"/>
      <c r="E132" s="49">
        <v>181825</v>
      </c>
      <c r="F132" s="362" t="s">
        <v>2271</v>
      </c>
      <c r="G132" s="49" t="s">
        <v>2265</v>
      </c>
      <c r="H132" s="49" t="s">
        <v>2272</v>
      </c>
      <c r="I132" s="49" t="s">
        <v>346</v>
      </c>
      <c r="J132" s="316">
        <v>45378</v>
      </c>
      <c r="K132" s="360">
        <v>45374</v>
      </c>
      <c r="L132" s="363" t="s">
        <v>28</v>
      </c>
      <c r="M132" s="317" t="s">
        <v>1387</v>
      </c>
      <c r="N132" s="317">
        <v>3</v>
      </c>
      <c r="O132" s="366">
        <v>45379</v>
      </c>
      <c r="P132" s="365" t="s">
        <v>264</v>
      </c>
      <c r="Q132" s="364">
        <v>45379</v>
      </c>
      <c r="R132" s="364">
        <v>45379</v>
      </c>
      <c r="S132" s="348" t="s">
        <v>1687</v>
      </c>
    </row>
    <row r="133" spans="1:19" ht="25.5" x14ac:dyDescent="0.25">
      <c r="A133" s="359">
        <v>0</v>
      </c>
      <c r="B133" s="49" t="s">
        <v>2273</v>
      </c>
      <c r="C133" s="49" t="s">
        <v>1345</v>
      </c>
      <c r="D133" s="49"/>
      <c r="E133" s="49">
        <v>181825</v>
      </c>
      <c r="F133" s="362" t="s">
        <v>2274</v>
      </c>
      <c r="G133" s="49" t="s">
        <v>1406</v>
      </c>
      <c r="H133" s="49" t="s">
        <v>2275</v>
      </c>
      <c r="I133" s="49" t="s">
        <v>346</v>
      </c>
      <c r="J133" s="316">
        <v>45400</v>
      </c>
      <c r="K133" s="360">
        <v>45374</v>
      </c>
      <c r="L133" s="363" t="s">
        <v>28</v>
      </c>
      <c r="M133" s="317" t="s">
        <v>2198</v>
      </c>
      <c r="N133" s="317">
        <v>1</v>
      </c>
      <c r="O133" s="322">
        <v>45400</v>
      </c>
      <c r="P133" s="365" t="s">
        <v>264</v>
      </c>
      <c r="Q133" s="364">
        <v>45400</v>
      </c>
      <c r="R133" s="364">
        <v>45400</v>
      </c>
      <c r="S133" s="348" t="s">
        <v>1687</v>
      </c>
    </row>
    <row r="134" spans="1:19" ht="25.5" x14ac:dyDescent="0.25">
      <c r="A134" s="359">
        <v>0</v>
      </c>
      <c r="B134" s="49" t="s">
        <v>2276</v>
      </c>
      <c r="C134" s="49" t="s">
        <v>1345</v>
      </c>
      <c r="D134" s="49"/>
      <c r="E134" s="49">
        <v>181825</v>
      </c>
      <c r="F134" s="362" t="s">
        <v>2277</v>
      </c>
      <c r="G134" s="49" t="s">
        <v>2265</v>
      </c>
      <c r="H134" s="49" t="s">
        <v>2278</v>
      </c>
      <c r="I134" s="49" t="s">
        <v>346</v>
      </c>
      <c r="J134" s="316">
        <v>45404</v>
      </c>
      <c r="K134" s="360">
        <v>45374</v>
      </c>
      <c r="L134" s="363" t="s">
        <v>28</v>
      </c>
      <c r="M134" s="317" t="s">
        <v>1387</v>
      </c>
      <c r="N134" s="317">
        <v>6</v>
      </c>
      <c r="O134" s="322">
        <v>45405</v>
      </c>
      <c r="P134" s="365" t="s">
        <v>264</v>
      </c>
      <c r="Q134" s="364">
        <v>45405</v>
      </c>
      <c r="R134" s="364">
        <v>45405</v>
      </c>
      <c r="S134" s="348" t="s">
        <v>1687</v>
      </c>
    </row>
    <row r="135" spans="1:19" ht="25.5" x14ac:dyDescent="0.25">
      <c r="A135" s="359">
        <v>0</v>
      </c>
      <c r="B135" s="49" t="s">
        <v>2279</v>
      </c>
      <c r="C135" s="49" t="s">
        <v>1345</v>
      </c>
      <c r="D135" s="49"/>
      <c r="E135" s="49">
        <v>181825</v>
      </c>
      <c r="F135" s="362" t="s">
        <v>2280</v>
      </c>
      <c r="G135" s="49" t="s">
        <v>2265</v>
      </c>
      <c r="H135" s="49" t="s">
        <v>2281</v>
      </c>
      <c r="I135" s="49" t="s">
        <v>346</v>
      </c>
      <c r="J135" s="316">
        <v>45405</v>
      </c>
      <c r="K135" s="360">
        <v>45374</v>
      </c>
      <c r="L135" s="363" t="s">
        <v>28</v>
      </c>
      <c r="M135" s="317" t="s">
        <v>1387</v>
      </c>
      <c r="N135" s="317">
        <v>1</v>
      </c>
      <c r="O135" s="322">
        <v>45346</v>
      </c>
      <c r="P135" s="365" t="s">
        <v>264</v>
      </c>
      <c r="Q135" s="364">
        <v>45407</v>
      </c>
      <c r="R135" s="364">
        <v>45407</v>
      </c>
      <c r="S135" s="348" t="s">
        <v>1687</v>
      </c>
    </row>
    <row r="136" spans="1:19" ht="38.25" x14ac:dyDescent="0.25">
      <c r="A136" s="359">
        <v>0</v>
      </c>
      <c r="B136" s="49" t="s">
        <v>2282</v>
      </c>
      <c r="C136" s="49" t="s">
        <v>1345</v>
      </c>
      <c r="D136" s="49"/>
      <c r="E136" s="49">
        <v>181825</v>
      </c>
      <c r="F136" s="362" t="s">
        <v>2283</v>
      </c>
      <c r="G136" s="49" t="s">
        <v>2265</v>
      </c>
      <c r="H136" s="49" t="s">
        <v>2284</v>
      </c>
      <c r="I136" s="49" t="s">
        <v>346</v>
      </c>
      <c r="J136" s="316">
        <v>45409</v>
      </c>
      <c r="K136" s="360">
        <v>45374</v>
      </c>
      <c r="L136" s="363" t="s">
        <v>28</v>
      </c>
      <c r="M136" s="317" t="s">
        <v>1387</v>
      </c>
      <c r="N136" s="317">
        <v>2</v>
      </c>
      <c r="O136" s="322">
        <v>45412</v>
      </c>
      <c r="P136" s="365" t="s">
        <v>264</v>
      </c>
      <c r="Q136" s="364">
        <v>45412</v>
      </c>
      <c r="R136" s="364">
        <v>45412</v>
      </c>
      <c r="S136" s="348" t="s">
        <v>1687</v>
      </c>
    </row>
    <row r="137" spans="1:19" ht="25.5" x14ac:dyDescent="0.25">
      <c r="A137" s="359">
        <v>0</v>
      </c>
      <c r="B137" s="49" t="s">
        <v>2285</v>
      </c>
      <c r="C137" s="49" t="s">
        <v>1345</v>
      </c>
      <c r="D137" s="49"/>
      <c r="E137" s="49">
        <v>181825</v>
      </c>
      <c r="F137" s="362" t="s">
        <v>2286</v>
      </c>
      <c r="G137" s="49" t="s">
        <v>547</v>
      </c>
      <c r="H137" s="49" t="s">
        <v>2287</v>
      </c>
      <c r="I137" s="49" t="s">
        <v>346</v>
      </c>
      <c r="J137" s="316">
        <v>45409</v>
      </c>
      <c r="K137" s="360">
        <v>45374</v>
      </c>
      <c r="L137" s="363" t="s">
        <v>28</v>
      </c>
      <c r="M137" s="317" t="s">
        <v>1555</v>
      </c>
      <c r="N137" s="317">
        <v>1</v>
      </c>
      <c r="O137" s="322">
        <v>45412</v>
      </c>
      <c r="P137" s="365" t="s">
        <v>264</v>
      </c>
      <c r="Q137" s="364">
        <v>45412</v>
      </c>
      <c r="R137" s="364">
        <v>45412</v>
      </c>
      <c r="S137" s="348" t="s">
        <v>1687</v>
      </c>
    </row>
    <row r="138" spans="1:19" ht="38.25" x14ac:dyDescent="0.25">
      <c r="A138" s="359">
        <v>0</v>
      </c>
      <c r="B138" s="49" t="s">
        <v>2288</v>
      </c>
      <c r="C138" s="49" t="s">
        <v>1345</v>
      </c>
      <c r="D138" s="49"/>
      <c r="E138" s="49">
        <v>181825</v>
      </c>
      <c r="F138" s="362" t="s">
        <v>2289</v>
      </c>
      <c r="G138" s="49" t="s">
        <v>1406</v>
      </c>
      <c r="H138" s="49" t="s">
        <v>2290</v>
      </c>
      <c r="I138" s="49" t="s">
        <v>346</v>
      </c>
      <c r="J138" s="316">
        <v>45409</v>
      </c>
      <c r="K138" s="360">
        <v>45374</v>
      </c>
      <c r="L138" s="363" t="s">
        <v>28</v>
      </c>
      <c r="M138" s="317" t="s">
        <v>2198</v>
      </c>
      <c r="N138" s="317">
        <v>3</v>
      </c>
      <c r="O138" s="322">
        <v>45412</v>
      </c>
      <c r="P138" s="365" t="s">
        <v>264</v>
      </c>
      <c r="Q138" s="364">
        <v>45412</v>
      </c>
      <c r="R138" s="364">
        <v>45412</v>
      </c>
      <c r="S138" s="348" t="s">
        <v>1687</v>
      </c>
    </row>
    <row r="139" spans="1:19" ht="25.5" x14ac:dyDescent="0.25">
      <c r="A139" s="359">
        <v>0</v>
      </c>
      <c r="B139" s="49" t="s">
        <v>2291</v>
      </c>
      <c r="C139" s="49" t="s">
        <v>1345</v>
      </c>
      <c r="D139" s="49"/>
      <c r="E139" s="49">
        <v>181825</v>
      </c>
      <c r="F139" s="362" t="s">
        <v>2292</v>
      </c>
      <c r="G139" s="49" t="s">
        <v>1406</v>
      </c>
      <c r="H139" s="49" t="s">
        <v>2293</v>
      </c>
      <c r="I139" s="49" t="s">
        <v>346</v>
      </c>
      <c r="J139" s="316">
        <v>45409</v>
      </c>
      <c r="K139" s="360">
        <v>45374</v>
      </c>
      <c r="L139" s="363" t="s">
        <v>28</v>
      </c>
      <c r="M139" s="317" t="s">
        <v>2198</v>
      </c>
      <c r="N139" s="317">
        <v>2</v>
      </c>
      <c r="O139" s="322">
        <v>45412</v>
      </c>
      <c r="P139" s="365" t="s">
        <v>264</v>
      </c>
      <c r="Q139" s="364">
        <v>45412</v>
      </c>
      <c r="R139" s="364">
        <v>45412</v>
      </c>
      <c r="S139" s="348" t="s">
        <v>1687</v>
      </c>
    </row>
    <row r="140" spans="1:19" ht="25.5" x14ac:dyDescent="0.25">
      <c r="A140" s="359">
        <v>0</v>
      </c>
      <c r="B140" s="49" t="s">
        <v>2294</v>
      </c>
      <c r="C140" s="49" t="s">
        <v>1345</v>
      </c>
      <c r="D140" s="49"/>
      <c r="E140" s="49">
        <v>181825</v>
      </c>
      <c r="F140" s="362" t="s">
        <v>2295</v>
      </c>
      <c r="G140" s="49" t="s">
        <v>547</v>
      </c>
      <c r="H140" s="49" t="s">
        <v>2296</v>
      </c>
      <c r="I140" s="49" t="s">
        <v>346</v>
      </c>
      <c r="J140" s="316">
        <v>45409</v>
      </c>
      <c r="K140" s="360">
        <v>45374</v>
      </c>
      <c r="L140" s="363" t="s">
        <v>28</v>
      </c>
      <c r="M140" s="317" t="s">
        <v>2205</v>
      </c>
      <c r="N140" s="317">
        <v>1</v>
      </c>
      <c r="O140" s="322">
        <v>45412</v>
      </c>
      <c r="P140" s="365" t="s">
        <v>264</v>
      </c>
      <c r="Q140" s="364">
        <v>45412</v>
      </c>
      <c r="R140" s="364">
        <v>45412</v>
      </c>
      <c r="S140" s="348" t="s">
        <v>1687</v>
      </c>
    </row>
    <row r="141" spans="1:19" ht="25.5" x14ac:dyDescent="0.25">
      <c r="A141" s="359">
        <v>0</v>
      </c>
      <c r="B141" s="49" t="s">
        <v>2297</v>
      </c>
      <c r="C141" s="49" t="s">
        <v>1345</v>
      </c>
      <c r="D141" s="49"/>
      <c r="E141" s="49">
        <v>181825</v>
      </c>
      <c r="F141" s="362" t="s">
        <v>2298</v>
      </c>
      <c r="G141" s="49" t="s">
        <v>2265</v>
      </c>
      <c r="H141" s="49" t="s">
        <v>2299</v>
      </c>
      <c r="I141" s="49" t="s">
        <v>346</v>
      </c>
      <c r="J141" s="316">
        <v>45411</v>
      </c>
      <c r="K141" s="360">
        <v>45374</v>
      </c>
      <c r="L141" s="363" t="s">
        <v>28</v>
      </c>
      <c r="M141" s="317" t="s">
        <v>1387</v>
      </c>
      <c r="N141" s="317">
        <v>1</v>
      </c>
      <c r="O141" s="322">
        <v>45412</v>
      </c>
      <c r="P141" s="365" t="s">
        <v>264</v>
      </c>
      <c r="Q141" s="364">
        <v>45412</v>
      </c>
      <c r="R141" s="364">
        <v>45412</v>
      </c>
      <c r="S141" s="348" t="s">
        <v>1687</v>
      </c>
    </row>
    <row r="142" spans="1:19" ht="25.5" x14ac:dyDescent="0.25">
      <c r="A142" s="359">
        <v>0</v>
      </c>
      <c r="B142" s="49" t="s">
        <v>2300</v>
      </c>
      <c r="C142" s="49" t="s">
        <v>1345</v>
      </c>
      <c r="D142" s="49"/>
      <c r="E142" s="49">
        <v>181825</v>
      </c>
      <c r="F142" s="362" t="s">
        <v>2301</v>
      </c>
      <c r="G142" s="49" t="s">
        <v>547</v>
      </c>
      <c r="H142" s="49" t="s">
        <v>2302</v>
      </c>
      <c r="I142" s="49" t="s">
        <v>346</v>
      </c>
      <c r="J142" s="316">
        <v>45420</v>
      </c>
      <c r="K142" s="360">
        <v>45374</v>
      </c>
      <c r="L142" s="363" t="s">
        <v>28</v>
      </c>
      <c r="M142" s="317" t="s">
        <v>1356</v>
      </c>
      <c r="N142" s="317">
        <v>1</v>
      </c>
      <c r="O142" s="366">
        <v>45420</v>
      </c>
      <c r="P142" s="365" t="s">
        <v>264</v>
      </c>
      <c r="Q142" s="364">
        <v>45420</v>
      </c>
      <c r="R142" s="364">
        <v>45422</v>
      </c>
      <c r="S142" s="348" t="s">
        <v>1687</v>
      </c>
    </row>
    <row r="143" spans="1:19" ht="25.5" x14ac:dyDescent="0.25">
      <c r="A143" s="359">
        <v>0</v>
      </c>
      <c r="B143" s="49" t="s">
        <v>2303</v>
      </c>
      <c r="C143" s="49" t="s">
        <v>1345</v>
      </c>
      <c r="D143" s="49"/>
      <c r="E143" s="49">
        <v>181825</v>
      </c>
      <c r="F143" s="362" t="s">
        <v>2304</v>
      </c>
      <c r="G143" s="49" t="s">
        <v>547</v>
      </c>
      <c r="H143" s="49" t="s">
        <v>2305</v>
      </c>
      <c r="I143" s="49" t="s">
        <v>346</v>
      </c>
      <c r="J143" s="316">
        <v>45422</v>
      </c>
      <c r="K143" s="360">
        <v>45374</v>
      </c>
      <c r="L143" s="363" t="s">
        <v>28</v>
      </c>
      <c r="M143" s="317" t="s">
        <v>2227</v>
      </c>
      <c r="N143" s="317">
        <v>2</v>
      </c>
      <c r="O143" s="366">
        <v>45422</v>
      </c>
      <c r="P143" s="365" t="s">
        <v>264</v>
      </c>
      <c r="Q143" s="364">
        <v>45422</v>
      </c>
      <c r="R143" s="364">
        <v>45425</v>
      </c>
      <c r="S143" s="348" t="s">
        <v>1687</v>
      </c>
    </row>
    <row r="144" spans="1:19" ht="25.5" x14ac:dyDescent="0.25">
      <c r="A144" s="359">
        <v>0</v>
      </c>
      <c r="B144" s="49" t="s">
        <v>2306</v>
      </c>
      <c r="C144" s="49" t="s">
        <v>1345</v>
      </c>
      <c r="D144" s="49"/>
      <c r="E144" s="49">
        <v>181825</v>
      </c>
      <c r="F144" s="362" t="s">
        <v>2307</v>
      </c>
      <c r="G144" s="49" t="s">
        <v>1385</v>
      </c>
      <c r="H144" s="49" t="s">
        <v>2308</v>
      </c>
      <c r="I144" s="49" t="s">
        <v>346</v>
      </c>
      <c r="J144" s="316">
        <v>45439</v>
      </c>
      <c r="K144" s="360">
        <v>45374</v>
      </c>
      <c r="L144" s="363" t="s">
        <v>28</v>
      </c>
      <c r="M144" s="317" t="s">
        <v>1387</v>
      </c>
      <c r="N144" s="317">
        <v>1</v>
      </c>
      <c r="O144" s="322">
        <v>45439</v>
      </c>
      <c r="P144" s="365" t="s">
        <v>264</v>
      </c>
      <c r="Q144" s="364">
        <v>45439</v>
      </c>
      <c r="R144" s="364">
        <v>45440</v>
      </c>
      <c r="S144" s="348" t="s">
        <v>1687</v>
      </c>
    </row>
    <row r="145" spans="1:19" ht="25.5" x14ac:dyDescent="0.25">
      <c r="A145" s="359">
        <v>0</v>
      </c>
      <c r="B145" s="49" t="s">
        <v>2309</v>
      </c>
      <c r="C145" s="49" t="s">
        <v>1345</v>
      </c>
      <c r="D145" s="49"/>
      <c r="E145" s="49">
        <v>181825</v>
      </c>
      <c r="F145" s="362" t="s">
        <v>2310</v>
      </c>
      <c r="G145" s="49" t="s">
        <v>547</v>
      </c>
      <c r="H145" s="49" t="s">
        <v>2311</v>
      </c>
      <c r="I145" s="49" t="s">
        <v>346</v>
      </c>
      <c r="J145" s="316">
        <v>45439</v>
      </c>
      <c r="K145" s="360">
        <v>45374</v>
      </c>
      <c r="L145" s="363" t="s">
        <v>28</v>
      </c>
      <c r="M145" s="317" t="s">
        <v>1356</v>
      </c>
      <c r="N145" s="317">
        <v>1</v>
      </c>
      <c r="O145" s="322">
        <v>45439</v>
      </c>
      <c r="P145" s="365" t="s">
        <v>264</v>
      </c>
      <c r="Q145" s="364">
        <v>45440</v>
      </c>
      <c r="R145" s="364">
        <v>45440</v>
      </c>
      <c r="S145" s="348" t="s">
        <v>1687</v>
      </c>
    </row>
    <row r="146" spans="1:19" ht="25.5" x14ac:dyDescent="0.25">
      <c r="A146" s="359">
        <v>0</v>
      </c>
      <c r="B146" s="49" t="s">
        <v>2312</v>
      </c>
      <c r="C146" s="49" t="s">
        <v>1345</v>
      </c>
      <c r="D146" s="49"/>
      <c r="E146" s="49">
        <v>181825</v>
      </c>
      <c r="F146" s="362" t="s">
        <v>2313</v>
      </c>
      <c r="G146" s="49" t="s">
        <v>1406</v>
      </c>
      <c r="H146" s="49" t="s">
        <v>2314</v>
      </c>
      <c r="I146" s="49" t="s">
        <v>346</v>
      </c>
      <c r="J146" s="316">
        <v>45440</v>
      </c>
      <c r="K146" s="360">
        <v>45374</v>
      </c>
      <c r="L146" s="363" t="s">
        <v>28</v>
      </c>
      <c r="M146" s="317" t="s">
        <v>2315</v>
      </c>
      <c r="N146" s="317">
        <v>1</v>
      </c>
      <c r="O146" s="322">
        <v>45441</v>
      </c>
      <c r="P146" s="365" t="s">
        <v>264</v>
      </c>
      <c r="Q146" s="364">
        <v>45441</v>
      </c>
      <c r="R146" s="364">
        <v>45441</v>
      </c>
      <c r="S146" s="348" t="s">
        <v>1687</v>
      </c>
    </row>
    <row r="147" spans="1:19" ht="25.5" x14ac:dyDescent="0.25">
      <c r="A147" s="359">
        <v>0</v>
      </c>
      <c r="B147" s="49" t="s">
        <v>2316</v>
      </c>
      <c r="C147" s="49" t="s">
        <v>1345</v>
      </c>
      <c r="D147" s="49"/>
      <c r="E147" s="49">
        <v>181825</v>
      </c>
      <c r="F147" s="362" t="s">
        <v>2317</v>
      </c>
      <c r="G147" s="49" t="s">
        <v>547</v>
      </c>
      <c r="H147" s="49" t="s">
        <v>2318</v>
      </c>
      <c r="I147" s="49" t="s">
        <v>346</v>
      </c>
      <c r="J147" s="316">
        <v>45449</v>
      </c>
      <c r="K147" s="360">
        <v>45374</v>
      </c>
      <c r="L147" s="363" t="s">
        <v>28</v>
      </c>
      <c r="M147" s="317" t="s">
        <v>1555</v>
      </c>
      <c r="N147" s="317">
        <v>1</v>
      </c>
      <c r="O147" s="322">
        <v>45449</v>
      </c>
      <c r="P147" s="365" t="s">
        <v>264</v>
      </c>
      <c r="Q147" s="364">
        <v>45450</v>
      </c>
      <c r="R147" s="364">
        <v>45450</v>
      </c>
      <c r="S147" s="348" t="s">
        <v>1687</v>
      </c>
    </row>
    <row r="148" spans="1:19" ht="25.5" x14ac:dyDescent="0.25">
      <c r="A148" s="359">
        <v>0</v>
      </c>
      <c r="B148" s="49" t="s">
        <v>2319</v>
      </c>
      <c r="C148" s="49" t="s">
        <v>1345</v>
      </c>
      <c r="D148" s="49"/>
      <c r="E148" s="49">
        <v>181825</v>
      </c>
      <c r="F148" s="362" t="s">
        <v>2320</v>
      </c>
      <c r="G148" s="49" t="s">
        <v>1406</v>
      </c>
      <c r="H148" s="49" t="s">
        <v>2321</v>
      </c>
      <c r="I148" s="49" t="s">
        <v>346</v>
      </c>
      <c r="J148" s="316">
        <v>45453</v>
      </c>
      <c r="K148" s="360">
        <v>45374</v>
      </c>
      <c r="L148" s="317" t="s">
        <v>28</v>
      </c>
      <c r="M148" s="317" t="s">
        <v>1456</v>
      </c>
      <c r="N148" s="317">
        <v>1</v>
      </c>
      <c r="O148" s="366">
        <v>45455</v>
      </c>
      <c r="P148" s="365" t="s">
        <v>264</v>
      </c>
      <c r="Q148" s="364">
        <v>45456</v>
      </c>
      <c r="R148" s="364">
        <v>45456</v>
      </c>
      <c r="S148" s="348" t="s">
        <v>1687</v>
      </c>
    </row>
    <row r="149" spans="1:19" ht="25.5" x14ac:dyDescent="0.25">
      <c r="A149" s="359">
        <v>0</v>
      </c>
      <c r="B149" s="49" t="s">
        <v>2322</v>
      </c>
      <c r="C149" s="49" t="s">
        <v>1345</v>
      </c>
      <c r="D149" s="49"/>
      <c r="E149" s="49">
        <v>181825</v>
      </c>
      <c r="F149" s="362" t="s">
        <v>2323</v>
      </c>
      <c r="G149" s="49" t="s">
        <v>1406</v>
      </c>
      <c r="H149" s="49" t="s">
        <v>2324</v>
      </c>
      <c r="I149" s="49" t="s">
        <v>346</v>
      </c>
      <c r="J149" s="316">
        <v>45453</v>
      </c>
      <c r="K149" s="360">
        <v>45374</v>
      </c>
      <c r="L149" s="317" t="s">
        <v>28</v>
      </c>
      <c r="M149" s="317" t="s">
        <v>1456</v>
      </c>
      <c r="N149" s="317">
        <v>1</v>
      </c>
      <c r="O149" s="366">
        <v>45455</v>
      </c>
      <c r="P149" s="365" t="s">
        <v>264</v>
      </c>
      <c r="Q149" s="364">
        <v>45456</v>
      </c>
      <c r="R149" s="364">
        <v>45456</v>
      </c>
      <c r="S149" s="348" t="s">
        <v>1687</v>
      </c>
    </row>
    <row r="150" spans="1:19" ht="25.5" x14ac:dyDescent="0.25">
      <c r="A150" s="359">
        <v>0</v>
      </c>
      <c r="B150" s="49" t="s">
        <v>2325</v>
      </c>
      <c r="C150" s="49" t="s">
        <v>1345</v>
      </c>
      <c r="D150" s="49"/>
      <c r="E150" s="49">
        <v>181825</v>
      </c>
      <c r="F150" s="362" t="s">
        <v>2326</v>
      </c>
      <c r="G150" s="49" t="s">
        <v>1406</v>
      </c>
      <c r="H150" s="49" t="s">
        <v>2327</v>
      </c>
      <c r="I150" s="49" t="s">
        <v>346</v>
      </c>
      <c r="J150" s="316">
        <v>45453</v>
      </c>
      <c r="K150" s="360">
        <v>45374</v>
      </c>
      <c r="L150" s="317" t="s">
        <v>28</v>
      </c>
      <c r="M150" s="317" t="s">
        <v>1456</v>
      </c>
      <c r="N150" s="317">
        <v>1</v>
      </c>
      <c r="O150" s="366">
        <v>45455</v>
      </c>
      <c r="P150" s="365" t="s">
        <v>264</v>
      </c>
      <c r="Q150" s="364">
        <v>45456</v>
      </c>
      <c r="R150" s="364">
        <v>45456</v>
      </c>
      <c r="S150" s="348" t="s">
        <v>1687</v>
      </c>
    </row>
    <row r="151" spans="1:19" ht="25.5" x14ac:dyDescent="0.25">
      <c r="A151" s="359">
        <v>0</v>
      </c>
      <c r="B151" s="49" t="s">
        <v>2328</v>
      </c>
      <c r="C151" s="49" t="s">
        <v>1345</v>
      </c>
      <c r="D151" s="49"/>
      <c r="E151" s="49">
        <v>181825</v>
      </c>
      <c r="F151" s="362" t="s">
        <v>2329</v>
      </c>
      <c r="G151" s="49" t="s">
        <v>1406</v>
      </c>
      <c r="H151" s="49" t="s">
        <v>2330</v>
      </c>
      <c r="I151" s="49" t="s">
        <v>346</v>
      </c>
      <c r="J151" s="316">
        <v>45453</v>
      </c>
      <c r="K151" s="360">
        <v>45374</v>
      </c>
      <c r="L151" s="317" t="s">
        <v>28</v>
      </c>
      <c r="M151" s="317" t="s">
        <v>1456</v>
      </c>
      <c r="N151" s="317">
        <v>2</v>
      </c>
      <c r="O151" s="366">
        <v>45455</v>
      </c>
      <c r="P151" s="365" t="s">
        <v>264</v>
      </c>
      <c r="Q151" s="364">
        <v>45456</v>
      </c>
      <c r="R151" s="364">
        <v>45456</v>
      </c>
      <c r="S151" s="348" t="s">
        <v>1687</v>
      </c>
    </row>
    <row r="152" spans="1:19" ht="25.5" x14ac:dyDescent="0.25">
      <c r="A152" s="359">
        <v>0</v>
      </c>
      <c r="B152" s="49" t="s">
        <v>2331</v>
      </c>
      <c r="C152" s="49" t="s">
        <v>1345</v>
      </c>
      <c r="D152" s="49"/>
      <c r="E152" s="49">
        <v>181825</v>
      </c>
      <c r="F152" s="362" t="s">
        <v>2332</v>
      </c>
      <c r="G152" s="49" t="s">
        <v>1406</v>
      </c>
      <c r="H152" s="49" t="s">
        <v>2333</v>
      </c>
      <c r="I152" s="49" t="s">
        <v>346</v>
      </c>
      <c r="J152" s="316">
        <v>45453</v>
      </c>
      <c r="K152" s="360">
        <v>45374</v>
      </c>
      <c r="L152" s="363" t="s">
        <v>47</v>
      </c>
      <c r="M152" s="317" t="s">
        <v>1359</v>
      </c>
      <c r="N152" s="317">
        <v>1</v>
      </c>
      <c r="O152" s="366">
        <v>45454</v>
      </c>
      <c r="P152" s="365" t="s">
        <v>264</v>
      </c>
      <c r="Q152" s="364">
        <v>45454</v>
      </c>
      <c r="R152" s="364">
        <v>45454</v>
      </c>
      <c r="S152" s="348" t="s">
        <v>1687</v>
      </c>
    </row>
    <row r="153" spans="1:19" ht="25.5" x14ac:dyDescent="0.25">
      <c r="A153" s="359">
        <v>0</v>
      </c>
      <c r="B153" s="49" t="s">
        <v>2334</v>
      </c>
      <c r="C153" s="49" t="s">
        <v>1345</v>
      </c>
      <c r="D153" s="49"/>
      <c r="E153" s="49">
        <v>181825</v>
      </c>
      <c r="F153" s="362" t="s">
        <v>2335</v>
      </c>
      <c r="G153" s="49" t="s">
        <v>2336</v>
      </c>
      <c r="H153" s="49" t="s">
        <v>2337</v>
      </c>
      <c r="I153" s="49" t="s">
        <v>2338</v>
      </c>
      <c r="J153" s="316">
        <v>45457</v>
      </c>
      <c r="K153" s="360">
        <v>45374</v>
      </c>
      <c r="L153" s="363" t="s">
        <v>28</v>
      </c>
      <c r="M153" s="317" t="s">
        <v>2339</v>
      </c>
      <c r="N153" s="317">
        <v>2</v>
      </c>
      <c r="O153" s="366">
        <v>45460</v>
      </c>
      <c r="P153" s="365" t="s">
        <v>264</v>
      </c>
      <c r="Q153" s="364">
        <v>45460</v>
      </c>
      <c r="R153" s="364">
        <v>45460</v>
      </c>
      <c r="S153" s="348" t="s">
        <v>1687</v>
      </c>
    </row>
    <row r="154" spans="1:19" ht="25.5" x14ac:dyDescent="0.25">
      <c r="A154" s="359">
        <v>0</v>
      </c>
      <c r="B154" s="49" t="s">
        <v>2340</v>
      </c>
      <c r="C154" s="49" t="s">
        <v>1345</v>
      </c>
      <c r="D154" s="49"/>
      <c r="E154" s="49">
        <v>181825</v>
      </c>
      <c r="F154" s="362" t="s">
        <v>2341</v>
      </c>
      <c r="G154" s="49" t="s">
        <v>1406</v>
      </c>
      <c r="H154" s="49" t="s">
        <v>2314</v>
      </c>
      <c r="I154" s="49" t="s">
        <v>346</v>
      </c>
      <c r="J154" s="316">
        <v>45462</v>
      </c>
      <c r="K154" s="360">
        <v>45374</v>
      </c>
      <c r="L154" s="363" t="s">
        <v>28</v>
      </c>
      <c r="M154" s="317" t="s">
        <v>2315</v>
      </c>
      <c r="N154" s="317">
        <v>4</v>
      </c>
      <c r="O154" s="322">
        <v>45463</v>
      </c>
      <c r="P154" s="365" t="s">
        <v>264</v>
      </c>
      <c r="Q154" s="364">
        <v>45463</v>
      </c>
      <c r="R154" s="364">
        <v>45463</v>
      </c>
      <c r="S154" s="348" t="s">
        <v>1687</v>
      </c>
    </row>
    <row r="155" spans="1:19" ht="25.5" x14ac:dyDescent="0.25">
      <c r="A155" s="359">
        <v>0</v>
      </c>
      <c r="B155" s="49" t="s">
        <v>2342</v>
      </c>
      <c r="C155" s="49" t="s">
        <v>1345</v>
      </c>
      <c r="D155" s="49"/>
      <c r="E155" s="49">
        <v>181825</v>
      </c>
      <c r="F155" s="362" t="s">
        <v>2343</v>
      </c>
      <c r="G155" s="49" t="s">
        <v>1406</v>
      </c>
      <c r="H155" s="49" t="s">
        <v>2344</v>
      </c>
      <c r="I155" s="49" t="s">
        <v>346</v>
      </c>
      <c r="J155" s="316">
        <v>45463</v>
      </c>
      <c r="K155" s="360">
        <v>45374</v>
      </c>
      <c r="L155" s="363" t="s">
        <v>28</v>
      </c>
      <c r="M155" s="317" t="s">
        <v>1456</v>
      </c>
      <c r="N155" s="317">
        <v>2</v>
      </c>
      <c r="O155" s="322">
        <v>45463</v>
      </c>
      <c r="P155" s="365" t="s">
        <v>264</v>
      </c>
      <c r="Q155" s="364">
        <v>45463</v>
      </c>
      <c r="R155" s="364">
        <v>45463</v>
      </c>
      <c r="S155" s="348" t="s">
        <v>1687</v>
      </c>
    </row>
    <row r="156" spans="1:19" ht="25.5" x14ac:dyDescent="0.25">
      <c r="A156" s="359">
        <v>0</v>
      </c>
      <c r="B156" s="49" t="s">
        <v>2345</v>
      </c>
      <c r="C156" s="49" t="s">
        <v>1345</v>
      </c>
      <c r="D156" s="49"/>
      <c r="E156" s="49">
        <v>181825</v>
      </c>
      <c r="F156" s="362" t="s">
        <v>2346</v>
      </c>
      <c r="G156" s="49" t="s">
        <v>2347</v>
      </c>
      <c r="H156" s="49" t="s">
        <v>2348</v>
      </c>
      <c r="I156" s="49" t="s">
        <v>346</v>
      </c>
      <c r="J156" s="316">
        <v>45469</v>
      </c>
      <c r="K156" s="360">
        <v>45374</v>
      </c>
      <c r="L156" s="363" t="s">
        <v>28</v>
      </c>
      <c r="M156" s="317" t="s">
        <v>1363</v>
      </c>
      <c r="N156" s="317">
        <v>1</v>
      </c>
      <c r="O156" s="322">
        <v>45469</v>
      </c>
      <c r="P156" s="365" t="s">
        <v>264</v>
      </c>
      <c r="Q156" s="364">
        <v>45469</v>
      </c>
      <c r="R156" s="364">
        <v>45469</v>
      </c>
      <c r="S156" s="348"/>
    </row>
    <row r="157" spans="1:19" ht="51" x14ac:dyDescent="0.25">
      <c r="A157" s="359">
        <v>0</v>
      </c>
      <c r="B157" s="49" t="s">
        <v>2349</v>
      </c>
      <c r="C157" s="49" t="s">
        <v>1345</v>
      </c>
      <c r="D157" s="49"/>
      <c r="E157" s="49">
        <v>181825</v>
      </c>
      <c r="F157" s="362" t="s">
        <v>2350</v>
      </c>
      <c r="G157" s="49" t="s">
        <v>2347</v>
      </c>
      <c r="H157" s="49" t="s">
        <v>2351</v>
      </c>
      <c r="I157" s="49" t="s">
        <v>346</v>
      </c>
      <c r="J157" s="316">
        <v>45470</v>
      </c>
      <c r="K157" s="360">
        <v>45374</v>
      </c>
      <c r="L157" s="363" t="s">
        <v>28</v>
      </c>
      <c r="M157" s="317" t="s">
        <v>1363</v>
      </c>
      <c r="N157" s="317">
        <v>9</v>
      </c>
      <c r="O157" s="322">
        <v>45470</v>
      </c>
      <c r="P157" s="365" t="s">
        <v>264</v>
      </c>
      <c r="Q157" s="364">
        <v>45471</v>
      </c>
      <c r="R157" s="364">
        <v>45471</v>
      </c>
      <c r="S157" s="348"/>
    </row>
    <row r="158" spans="1:19" ht="25.5" x14ac:dyDescent="0.25">
      <c r="A158" s="359">
        <v>0</v>
      </c>
      <c r="B158" s="49" t="s">
        <v>2352</v>
      </c>
      <c r="C158" s="49" t="s">
        <v>1345</v>
      </c>
      <c r="D158" s="49"/>
      <c r="E158" s="49">
        <v>181825</v>
      </c>
      <c r="F158" s="362" t="s">
        <v>2353</v>
      </c>
      <c r="G158" s="49" t="s">
        <v>2347</v>
      </c>
      <c r="H158" s="49" t="s">
        <v>2354</v>
      </c>
      <c r="I158" s="49" t="s">
        <v>346</v>
      </c>
      <c r="J158" s="316">
        <v>45470</v>
      </c>
      <c r="K158" s="360">
        <v>45374</v>
      </c>
      <c r="L158" s="363" t="s">
        <v>28</v>
      </c>
      <c r="M158" s="317" t="s">
        <v>1363</v>
      </c>
      <c r="N158" s="317">
        <v>1</v>
      </c>
      <c r="O158" s="322">
        <v>45470</v>
      </c>
      <c r="P158" s="365" t="s">
        <v>264</v>
      </c>
      <c r="Q158" s="364">
        <v>45471</v>
      </c>
      <c r="R158" s="364">
        <v>45471</v>
      </c>
      <c r="S158" s="348"/>
    </row>
    <row r="159" spans="1:19" ht="25.5" x14ac:dyDescent="0.25">
      <c r="A159" s="359">
        <v>0</v>
      </c>
      <c r="B159" s="49" t="s">
        <v>2355</v>
      </c>
      <c r="C159" s="49" t="s">
        <v>1345</v>
      </c>
      <c r="D159" s="49"/>
      <c r="E159" s="49">
        <v>181825</v>
      </c>
      <c r="F159" s="362" t="s">
        <v>2356</v>
      </c>
      <c r="G159" s="49" t="s">
        <v>547</v>
      </c>
      <c r="H159" s="49" t="s">
        <v>2357</v>
      </c>
      <c r="I159" s="49" t="s">
        <v>346</v>
      </c>
      <c r="J159" s="316">
        <v>45470</v>
      </c>
      <c r="K159" s="360">
        <v>45374</v>
      </c>
      <c r="L159" s="363" t="s">
        <v>28</v>
      </c>
      <c r="M159" s="317" t="s">
        <v>1555</v>
      </c>
      <c r="N159" s="317">
        <v>1</v>
      </c>
      <c r="O159" s="322">
        <v>45471</v>
      </c>
      <c r="P159" s="365" t="s">
        <v>264</v>
      </c>
      <c r="Q159" s="364">
        <v>45471</v>
      </c>
      <c r="R159" s="364">
        <v>45471</v>
      </c>
      <c r="S159" s="348"/>
    </row>
    <row r="160" spans="1:19" ht="25.5" x14ac:dyDescent="0.25">
      <c r="A160" s="359">
        <v>0</v>
      </c>
      <c r="B160" s="49" t="s">
        <v>2358</v>
      </c>
      <c r="C160" s="49" t="s">
        <v>1345</v>
      </c>
      <c r="D160" s="49"/>
      <c r="E160" s="49">
        <v>181825</v>
      </c>
      <c r="F160" s="362" t="s">
        <v>2359</v>
      </c>
      <c r="G160" s="49" t="s">
        <v>2347</v>
      </c>
      <c r="H160" s="49" t="s">
        <v>2360</v>
      </c>
      <c r="I160" s="49" t="s">
        <v>346</v>
      </c>
      <c r="J160" s="316">
        <v>45471</v>
      </c>
      <c r="K160" s="360">
        <v>45374</v>
      </c>
      <c r="L160" s="363" t="s">
        <v>28</v>
      </c>
      <c r="M160" s="317" t="s">
        <v>1363</v>
      </c>
      <c r="N160" s="317">
        <v>4</v>
      </c>
      <c r="O160" s="322">
        <v>45471</v>
      </c>
      <c r="P160" s="365" t="s">
        <v>264</v>
      </c>
      <c r="Q160" s="364">
        <v>45471</v>
      </c>
      <c r="R160" s="364">
        <v>45471</v>
      </c>
      <c r="S160" s="348"/>
    </row>
    <row r="161" spans="1:19" ht="25.5" x14ac:dyDescent="0.25">
      <c r="A161" s="359">
        <v>0</v>
      </c>
      <c r="B161" s="49" t="s">
        <v>2361</v>
      </c>
      <c r="C161" s="49" t="s">
        <v>1345</v>
      </c>
      <c r="D161" s="49"/>
      <c r="E161" s="49">
        <v>181825</v>
      </c>
      <c r="F161" s="362" t="s">
        <v>2362</v>
      </c>
      <c r="G161" s="49" t="s">
        <v>2347</v>
      </c>
      <c r="H161" s="49" t="s">
        <v>2363</v>
      </c>
      <c r="I161" s="49" t="s">
        <v>346</v>
      </c>
      <c r="J161" s="316">
        <v>45471</v>
      </c>
      <c r="K161" s="360">
        <v>45374</v>
      </c>
      <c r="L161" s="363" t="s">
        <v>28</v>
      </c>
      <c r="M161" s="317" t="s">
        <v>1363</v>
      </c>
      <c r="N161" s="317">
        <v>10</v>
      </c>
      <c r="O161" s="322">
        <v>45471</v>
      </c>
      <c r="P161" s="365" t="s">
        <v>264</v>
      </c>
      <c r="Q161" s="364">
        <v>45471</v>
      </c>
      <c r="R161" s="364">
        <v>45471</v>
      </c>
      <c r="S161" s="348"/>
    </row>
    <row r="162" spans="1:19" ht="38.25" hidden="1" x14ac:dyDescent="0.25">
      <c r="A162" s="359">
        <v>0</v>
      </c>
      <c r="B162" s="49" t="s">
        <v>2364</v>
      </c>
      <c r="C162" s="49" t="s">
        <v>2365</v>
      </c>
      <c r="D162" s="49"/>
      <c r="E162" s="49">
        <v>181825</v>
      </c>
      <c r="F162" s="362" t="s">
        <v>2366</v>
      </c>
      <c r="G162" s="49" t="s">
        <v>2347</v>
      </c>
      <c r="H162" s="49" t="s">
        <v>2367</v>
      </c>
      <c r="I162" s="49" t="s">
        <v>346</v>
      </c>
      <c r="J162" s="316">
        <v>45471</v>
      </c>
      <c r="K162" s="360">
        <v>45374</v>
      </c>
      <c r="L162" s="363" t="s">
        <v>28</v>
      </c>
      <c r="M162" s="317" t="s">
        <v>1363</v>
      </c>
      <c r="N162" s="317">
        <v>3</v>
      </c>
      <c r="O162" s="322">
        <v>45471</v>
      </c>
      <c r="P162" s="365" t="s">
        <v>264</v>
      </c>
      <c r="Q162" s="364">
        <v>45474</v>
      </c>
      <c r="R162" s="364">
        <v>45474</v>
      </c>
      <c r="S162" s="348"/>
    </row>
    <row r="163" spans="1:19" ht="25.5" x14ac:dyDescent="0.25">
      <c r="A163" s="359">
        <v>0</v>
      </c>
      <c r="B163" s="49" t="s">
        <v>2368</v>
      </c>
      <c r="C163" s="49" t="s">
        <v>1345</v>
      </c>
      <c r="D163" s="49"/>
      <c r="E163" s="49">
        <v>181825</v>
      </c>
      <c r="F163" s="362" t="s">
        <v>2369</v>
      </c>
      <c r="G163" s="49" t="s">
        <v>2347</v>
      </c>
      <c r="H163" s="49" t="s">
        <v>2370</v>
      </c>
      <c r="I163" s="49" t="s">
        <v>346</v>
      </c>
      <c r="J163" s="316">
        <v>45471</v>
      </c>
      <c r="K163" s="360">
        <v>45374</v>
      </c>
      <c r="L163" s="363" t="s">
        <v>28</v>
      </c>
      <c r="M163" s="317" t="s">
        <v>1363</v>
      </c>
      <c r="N163" s="317">
        <v>3</v>
      </c>
      <c r="O163" s="322">
        <v>45471</v>
      </c>
      <c r="P163" s="365" t="s">
        <v>264</v>
      </c>
      <c r="Q163" s="364">
        <v>45471</v>
      </c>
      <c r="R163" s="364">
        <v>45471</v>
      </c>
      <c r="S163" s="348"/>
    </row>
    <row r="164" spans="1:19" ht="25.5" x14ac:dyDescent="0.25">
      <c r="A164" s="359">
        <v>0</v>
      </c>
      <c r="B164" s="49" t="s">
        <v>2371</v>
      </c>
      <c r="C164" s="49" t="s">
        <v>1345</v>
      </c>
      <c r="D164" s="49"/>
      <c r="E164" s="49">
        <v>181825</v>
      </c>
      <c r="F164" s="362" t="s">
        <v>2372</v>
      </c>
      <c r="G164" s="49" t="s">
        <v>1406</v>
      </c>
      <c r="H164" s="49" t="s">
        <v>2373</v>
      </c>
      <c r="I164" s="49" t="s">
        <v>346</v>
      </c>
      <c r="J164" s="316">
        <v>45491</v>
      </c>
      <c r="K164" s="360">
        <v>45374</v>
      </c>
      <c r="L164" s="363" t="s">
        <v>28</v>
      </c>
      <c r="M164" s="317" t="s">
        <v>1359</v>
      </c>
      <c r="N164" s="317">
        <v>3</v>
      </c>
      <c r="O164" s="322">
        <v>45492</v>
      </c>
      <c r="P164" s="365" t="s">
        <v>264</v>
      </c>
      <c r="Q164" s="364">
        <v>45492</v>
      </c>
      <c r="R164" s="364">
        <v>45492</v>
      </c>
      <c r="S164" s="348"/>
    </row>
    <row r="165" spans="1:19" ht="38.25" hidden="1" x14ac:dyDescent="0.25">
      <c r="A165" s="359">
        <v>0</v>
      </c>
      <c r="B165" s="49" t="s">
        <v>2374</v>
      </c>
      <c r="C165" s="49" t="s">
        <v>2365</v>
      </c>
      <c r="D165" s="49"/>
      <c r="E165" s="49">
        <v>181825</v>
      </c>
      <c r="F165" s="362" t="s">
        <v>2375</v>
      </c>
      <c r="G165" s="49" t="s">
        <v>2347</v>
      </c>
      <c r="H165" s="368" t="s">
        <v>2376</v>
      </c>
      <c r="I165" s="49" t="s">
        <v>346</v>
      </c>
      <c r="J165" s="316">
        <v>45491</v>
      </c>
      <c r="K165" s="360">
        <v>45374</v>
      </c>
      <c r="L165" s="363" t="s">
        <v>28</v>
      </c>
      <c r="M165" s="317" t="s">
        <v>1363</v>
      </c>
      <c r="N165" s="317">
        <v>2</v>
      </c>
      <c r="O165" s="322">
        <v>45492</v>
      </c>
      <c r="P165" s="365" t="s">
        <v>264</v>
      </c>
      <c r="Q165" s="364">
        <v>45492</v>
      </c>
      <c r="R165" s="364">
        <v>45492</v>
      </c>
      <c r="S165" s="348"/>
    </row>
    <row r="166" spans="1:19" ht="25.5" x14ac:dyDescent="0.25">
      <c r="A166" s="359">
        <v>0</v>
      </c>
      <c r="B166" s="49" t="s">
        <v>2377</v>
      </c>
      <c r="C166" s="49" t="s">
        <v>1345</v>
      </c>
      <c r="D166" s="49"/>
      <c r="E166" s="49">
        <v>181825</v>
      </c>
      <c r="F166" s="362" t="s">
        <v>2378</v>
      </c>
      <c r="G166" s="49" t="s">
        <v>147</v>
      </c>
      <c r="H166" s="316" t="s">
        <v>1378</v>
      </c>
      <c r="I166" s="49" t="s">
        <v>2379</v>
      </c>
      <c r="J166" s="316">
        <v>45495</v>
      </c>
      <c r="K166" s="360">
        <v>45374</v>
      </c>
      <c r="L166" s="363" t="s">
        <v>28</v>
      </c>
      <c r="M166" s="317" t="s">
        <v>1380</v>
      </c>
      <c r="N166" s="317">
        <v>1</v>
      </c>
      <c r="O166" s="366">
        <v>45495</v>
      </c>
      <c r="P166" s="365" t="s">
        <v>264</v>
      </c>
      <c r="Q166" s="364">
        <v>45496</v>
      </c>
      <c r="R166" s="364">
        <v>45496</v>
      </c>
      <c r="S166" s="348"/>
    </row>
    <row r="167" spans="1:19" ht="25.5" x14ac:dyDescent="0.25">
      <c r="A167" s="359">
        <v>0</v>
      </c>
      <c r="B167" s="49" t="s">
        <v>2380</v>
      </c>
      <c r="C167" s="49" t="s">
        <v>1345</v>
      </c>
      <c r="D167" s="49"/>
      <c r="E167" s="49">
        <v>181825</v>
      </c>
      <c r="F167" s="362" t="s">
        <v>2381</v>
      </c>
      <c r="G167" s="49" t="s">
        <v>147</v>
      </c>
      <c r="H167" s="49" t="s">
        <v>2382</v>
      </c>
      <c r="I167" s="49" t="s">
        <v>346</v>
      </c>
      <c r="J167" s="316">
        <v>45502</v>
      </c>
      <c r="K167" s="360">
        <v>45374</v>
      </c>
      <c r="L167" s="363" t="s">
        <v>28</v>
      </c>
      <c r="M167" s="317" t="s">
        <v>1466</v>
      </c>
      <c r="N167" s="317">
        <v>2</v>
      </c>
      <c r="O167" s="366">
        <v>45503</v>
      </c>
      <c r="P167" s="365" t="s">
        <v>264</v>
      </c>
      <c r="Q167" s="364">
        <v>45503</v>
      </c>
      <c r="R167" s="364">
        <v>45503</v>
      </c>
      <c r="S167" s="377"/>
    </row>
    <row r="168" spans="1:19" ht="25.5" x14ac:dyDescent="0.25">
      <c r="A168" s="359">
        <v>0</v>
      </c>
      <c r="B168" s="49" t="s">
        <v>2383</v>
      </c>
      <c r="C168" s="49" t="s">
        <v>1345</v>
      </c>
      <c r="D168" s="49"/>
      <c r="E168" s="49">
        <v>181825</v>
      </c>
      <c r="F168" s="362" t="s">
        <v>2384</v>
      </c>
      <c r="G168" s="49" t="s">
        <v>147</v>
      </c>
      <c r="H168" s="49" t="s">
        <v>2385</v>
      </c>
      <c r="I168" s="49" t="s">
        <v>1975</v>
      </c>
      <c r="J168" s="316">
        <v>45516</v>
      </c>
      <c r="K168" s="360">
        <v>45374</v>
      </c>
      <c r="L168" s="363" t="s">
        <v>28</v>
      </c>
      <c r="M168" s="317" t="s">
        <v>1466</v>
      </c>
      <c r="N168" s="317">
        <v>3</v>
      </c>
      <c r="O168" s="366">
        <v>45516</v>
      </c>
      <c r="P168" s="365" t="s">
        <v>264</v>
      </c>
      <c r="Q168" s="364">
        <v>45519</v>
      </c>
      <c r="R168" s="364">
        <v>45519</v>
      </c>
      <c r="S168" s="348"/>
    </row>
    <row r="169" spans="1:19" ht="25.5" x14ac:dyDescent="0.25">
      <c r="A169" s="359">
        <v>0</v>
      </c>
      <c r="B169" s="49" t="s">
        <v>2386</v>
      </c>
      <c r="C169" s="49" t="s">
        <v>1345</v>
      </c>
      <c r="D169" s="49"/>
      <c r="E169" s="49">
        <v>181825</v>
      </c>
      <c r="F169" s="362" t="s">
        <v>2387</v>
      </c>
      <c r="G169" s="49" t="s">
        <v>2388</v>
      </c>
      <c r="H169" s="49" t="s">
        <v>2389</v>
      </c>
      <c r="I169" s="49" t="s">
        <v>2390</v>
      </c>
      <c r="J169" s="316">
        <v>45516</v>
      </c>
      <c r="K169" s="360">
        <v>45374</v>
      </c>
      <c r="L169" s="363" t="s">
        <v>28</v>
      </c>
      <c r="M169" s="317" t="s">
        <v>1536</v>
      </c>
      <c r="N169" s="317">
        <v>1</v>
      </c>
      <c r="O169" s="366">
        <v>45516</v>
      </c>
      <c r="P169" s="365" t="s">
        <v>264</v>
      </c>
      <c r="Q169" s="364">
        <v>45519</v>
      </c>
      <c r="R169" s="364">
        <v>45519</v>
      </c>
      <c r="S169" s="348"/>
    </row>
    <row r="170" spans="1:19" ht="25.5" x14ac:dyDescent="0.25">
      <c r="A170" s="359">
        <v>0</v>
      </c>
      <c r="B170" s="49" t="s">
        <v>2391</v>
      </c>
      <c r="C170" s="49" t="s">
        <v>1345</v>
      </c>
      <c r="D170" s="49"/>
      <c r="E170" s="49">
        <v>181825</v>
      </c>
      <c r="F170" s="362" t="s">
        <v>2392</v>
      </c>
      <c r="G170" s="49" t="s">
        <v>2393</v>
      </c>
      <c r="H170" s="49" t="s">
        <v>2394</v>
      </c>
      <c r="I170" s="49" t="s">
        <v>2395</v>
      </c>
      <c r="J170" s="316">
        <v>45516</v>
      </c>
      <c r="K170" s="360">
        <v>45374</v>
      </c>
      <c r="L170" s="363" t="s">
        <v>28</v>
      </c>
      <c r="M170" s="317" t="s">
        <v>1348</v>
      </c>
      <c r="N170" s="317">
        <v>1</v>
      </c>
      <c r="O170" s="366">
        <v>45517</v>
      </c>
      <c r="P170" s="365" t="s">
        <v>264</v>
      </c>
      <c r="Q170" s="364">
        <v>45519</v>
      </c>
      <c r="R170" s="364">
        <v>45519</v>
      </c>
      <c r="S170" s="348"/>
    </row>
    <row r="171" spans="1:19" ht="25.5" x14ac:dyDescent="0.25">
      <c r="A171" s="359">
        <v>0</v>
      </c>
      <c r="B171" s="49" t="s">
        <v>2396</v>
      </c>
      <c r="C171" s="49" t="s">
        <v>1345</v>
      </c>
      <c r="D171" s="49"/>
      <c r="E171" s="49">
        <v>181825</v>
      </c>
      <c r="F171" s="362" t="s">
        <v>2397</v>
      </c>
      <c r="G171" s="49" t="s">
        <v>34</v>
      </c>
      <c r="H171" s="49" t="s">
        <v>2398</v>
      </c>
      <c r="I171" s="49" t="s">
        <v>1975</v>
      </c>
      <c r="J171" s="316">
        <v>45517</v>
      </c>
      <c r="K171" s="360">
        <v>45374</v>
      </c>
      <c r="L171" s="363" t="s">
        <v>28</v>
      </c>
      <c r="M171" s="317" t="s">
        <v>2399</v>
      </c>
      <c r="N171" s="317">
        <v>1</v>
      </c>
      <c r="O171" s="366">
        <v>45518</v>
      </c>
      <c r="P171" s="365" t="s">
        <v>264</v>
      </c>
      <c r="Q171" s="364">
        <v>45520</v>
      </c>
      <c r="R171" s="364">
        <v>45520</v>
      </c>
      <c r="S171" s="348"/>
    </row>
    <row r="172" spans="1:19" ht="63.75" x14ac:dyDescent="0.25">
      <c r="A172" s="359">
        <v>0</v>
      </c>
      <c r="B172" s="49" t="s">
        <v>2400</v>
      </c>
      <c r="C172" s="49" t="s">
        <v>1345</v>
      </c>
      <c r="D172" s="49"/>
      <c r="E172" s="49">
        <v>181825</v>
      </c>
      <c r="F172" s="362" t="s">
        <v>2401</v>
      </c>
      <c r="G172" s="49" t="s">
        <v>2402</v>
      </c>
      <c r="H172" s="49" t="s">
        <v>2403</v>
      </c>
      <c r="I172" s="49" t="s">
        <v>1975</v>
      </c>
      <c r="J172" s="316">
        <v>45520</v>
      </c>
      <c r="K172" s="360">
        <v>45374</v>
      </c>
      <c r="L172" s="363" t="s">
        <v>47</v>
      </c>
      <c r="M172" s="317" t="s">
        <v>1466</v>
      </c>
      <c r="N172" s="317">
        <v>7</v>
      </c>
      <c r="O172" s="366">
        <v>45525</v>
      </c>
      <c r="P172" s="365" t="s">
        <v>264</v>
      </c>
      <c r="Q172" s="364">
        <v>45525</v>
      </c>
      <c r="R172" s="364">
        <v>45525</v>
      </c>
      <c r="S172" s="348"/>
    </row>
    <row r="173" spans="1:19" ht="25.5" x14ac:dyDescent="0.25">
      <c r="A173" s="359">
        <v>0</v>
      </c>
      <c r="B173" s="49" t="s">
        <v>2404</v>
      </c>
      <c r="C173" s="49" t="s">
        <v>1345</v>
      </c>
      <c r="D173" s="49"/>
      <c r="E173" s="49">
        <v>181825</v>
      </c>
      <c r="F173" s="362" t="s">
        <v>2405</v>
      </c>
      <c r="G173" s="49" t="s">
        <v>2406</v>
      </c>
      <c r="H173" s="49" t="s">
        <v>2407</v>
      </c>
      <c r="I173" s="49" t="s">
        <v>1975</v>
      </c>
      <c r="J173" s="316">
        <v>45520</v>
      </c>
      <c r="K173" s="360">
        <v>45374</v>
      </c>
      <c r="L173" s="363" t="s">
        <v>28</v>
      </c>
      <c r="M173" s="317" t="s">
        <v>2205</v>
      </c>
      <c r="N173" s="317">
        <v>2</v>
      </c>
      <c r="O173" s="366">
        <v>45524</v>
      </c>
      <c r="P173" s="365" t="s">
        <v>264</v>
      </c>
      <c r="Q173" s="364">
        <v>45524</v>
      </c>
      <c r="R173" s="364">
        <v>45524</v>
      </c>
      <c r="S173" s="348"/>
    </row>
    <row r="174" spans="1:19" ht="25.5" x14ac:dyDescent="0.25">
      <c r="A174" s="359">
        <v>0</v>
      </c>
      <c r="B174" s="49" t="s">
        <v>2408</v>
      </c>
      <c r="C174" s="49" t="s">
        <v>1345</v>
      </c>
      <c r="D174" s="49"/>
      <c r="E174" s="49">
        <v>181825</v>
      </c>
      <c r="F174" s="378">
        <v>181825319</v>
      </c>
      <c r="G174" s="49" t="s">
        <v>1445</v>
      </c>
      <c r="H174" s="49" t="s">
        <v>2409</v>
      </c>
      <c r="I174" s="49" t="s">
        <v>1975</v>
      </c>
      <c r="J174" s="316">
        <v>45524</v>
      </c>
      <c r="K174" s="360">
        <v>45374</v>
      </c>
      <c r="L174" s="363" t="s">
        <v>47</v>
      </c>
      <c r="M174" s="317" t="s">
        <v>1555</v>
      </c>
      <c r="N174" s="317">
        <v>2</v>
      </c>
      <c r="O174" s="366">
        <v>45525</v>
      </c>
      <c r="P174" s="365" t="s">
        <v>264</v>
      </c>
      <c r="Q174" s="364">
        <v>45526</v>
      </c>
      <c r="R174" s="364">
        <v>45526</v>
      </c>
      <c r="S174" s="348"/>
    </row>
    <row r="175" spans="1:19" ht="25.5" x14ac:dyDescent="0.25">
      <c r="A175" s="359">
        <v>0</v>
      </c>
      <c r="B175" s="49" t="s">
        <v>2410</v>
      </c>
      <c r="C175" s="49" t="s">
        <v>1345</v>
      </c>
      <c r="D175" s="49"/>
      <c r="E175" s="49">
        <v>181825</v>
      </c>
      <c r="F175" s="378">
        <v>181825320</v>
      </c>
      <c r="G175" s="49" t="s">
        <v>147</v>
      </c>
      <c r="H175" s="49" t="s">
        <v>2411</v>
      </c>
      <c r="I175" s="49" t="s">
        <v>1975</v>
      </c>
      <c r="J175" s="316">
        <v>45524</v>
      </c>
      <c r="K175" s="360">
        <v>45374</v>
      </c>
      <c r="L175" s="363" t="s">
        <v>47</v>
      </c>
      <c r="M175" s="317" t="s">
        <v>1456</v>
      </c>
      <c r="N175" s="317">
        <v>1</v>
      </c>
      <c r="O175" s="366">
        <v>45525</v>
      </c>
      <c r="P175" s="365" t="s">
        <v>264</v>
      </c>
      <c r="Q175" s="364">
        <v>45525</v>
      </c>
      <c r="R175" s="364">
        <v>45525</v>
      </c>
      <c r="S175" s="348"/>
    </row>
    <row r="176" spans="1:19" ht="25.5" x14ac:dyDescent="0.25">
      <c r="A176" s="359">
        <v>0</v>
      </c>
      <c r="B176" s="49" t="s">
        <v>2412</v>
      </c>
      <c r="C176" s="49" t="s">
        <v>1345</v>
      </c>
      <c r="D176" s="49"/>
      <c r="E176" s="49">
        <v>181825</v>
      </c>
      <c r="F176" s="378">
        <v>181825321</v>
      </c>
      <c r="G176" s="49" t="s">
        <v>147</v>
      </c>
      <c r="H176" s="49" t="s">
        <v>2413</v>
      </c>
      <c r="I176" s="49" t="s">
        <v>346</v>
      </c>
      <c r="J176" s="316">
        <v>45525</v>
      </c>
      <c r="K176" s="360">
        <v>45374</v>
      </c>
      <c r="L176" s="317" t="s">
        <v>28</v>
      </c>
      <c r="M176" s="317" t="s">
        <v>2414</v>
      </c>
      <c r="N176" s="317">
        <v>1</v>
      </c>
      <c r="O176" s="366">
        <v>45526</v>
      </c>
      <c r="P176" s="365" t="s">
        <v>264</v>
      </c>
      <c r="Q176" s="364">
        <v>45526</v>
      </c>
      <c r="R176" s="364">
        <v>45526</v>
      </c>
      <c r="S176" s="348"/>
    </row>
    <row r="177" spans="1:19" ht="25.7" x14ac:dyDescent="0.25">
      <c r="A177" s="359">
        <v>0</v>
      </c>
      <c r="B177" s="49" t="s">
        <v>2415</v>
      </c>
      <c r="C177" s="49" t="s">
        <v>1345</v>
      </c>
      <c r="D177" s="49"/>
      <c r="E177" s="49">
        <v>181825</v>
      </c>
      <c r="F177" s="49"/>
      <c r="G177" s="49"/>
      <c r="H177" s="49"/>
      <c r="I177" s="49"/>
      <c r="J177" s="316"/>
      <c r="K177" s="360">
        <v>45374</v>
      </c>
      <c r="L177" s="363"/>
      <c r="M177" s="317"/>
      <c r="N177" s="317"/>
      <c r="O177" s="366"/>
      <c r="P177" s="365"/>
      <c r="Q177" s="364"/>
      <c r="R177" s="364"/>
      <c r="S177" s="348"/>
    </row>
    <row r="178" spans="1:19" ht="25.5" x14ac:dyDescent="0.25">
      <c r="A178" s="359">
        <v>0</v>
      </c>
      <c r="B178" s="49" t="s">
        <v>2416</v>
      </c>
      <c r="C178" s="49" t="s">
        <v>1345</v>
      </c>
      <c r="D178" s="49"/>
      <c r="E178" s="49">
        <v>181825</v>
      </c>
      <c r="F178" s="362" t="s">
        <v>2417</v>
      </c>
      <c r="G178" s="49" t="s">
        <v>2418</v>
      </c>
      <c r="H178" s="49" t="s">
        <v>2389</v>
      </c>
      <c r="I178" s="49" t="s">
        <v>2419</v>
      </c>
      <c r="J178" s="316">
        <v>45530</v>
      </c>
      <c r="K178" s="360">
        <v>45374</v>
      </c>
      <c r="L178" s="363" t="s">
        <v>47</v>
      </c>
      <c r="M178" s="317" t="s">
        <v>2420</v>
      </c>
      <c r="N178" s="317">
        <v>2</v>
      </c>
      <c r="O178" s="366">
        <v>45532</v>
      </c>
      <c r="P178" s="365" t="s">
        <v>264</v>
      </c>
      <c r="Q178" s="364">
        <v>45532</v>
      </c>
      <c r="R178" s="364">
        <v>45532</v>
      </c>
      <c r="S178" s="348"/>
    </row>
    <row r="179" spans="1:19" ht="25.5" x14ac:dyDescent="0.25">
      <c r="A179" s="359">
        <v>0</v>
      </c>
      <c r="B179" s="49" t="s">
        <v>2421</v>
      </c>
      <c r="C179" s="49" t="s">
        <v>1345</v>
      </c>
      <c r="D179" s="49"/>
      <c r="E179" s="49">
        <v>181825</v>
      </c>
      <c r="F179" s="378">
        <v>181825323</v>
      </c>
      <c r="G179" s="49" t="s">
        <v>1520</v>
      </c>
      <c r="H179" s="49" t="s">
        <v>1378</v>
      </c>
      <c r="I179" s="49" t="s">
        <v>2419</v>
      </c>
      <c r="J179" s="316">
        <v>45531</v>
      </c>
      <c r="K179" s="360">
        <v>45374</v>
      </c>
      <c r="L179" s="322" t="s">
        <v>28</v>
      </c>
      <c r="M179" s="322" t="s">
        <v>1380</v>
      </c>
      <c r="N179" s="317">
        <v>1</v>
      </c>
      <c r="O179" s="322">
        <v>45531</v>
      </c>
      <c r="P179" s="364" t="s">
        <v>264</v>
      </c>
      <c r="Q179" s="364">
        <v>45532</v>
      </c>
      <c r="R179" s="364">
        <v>45532</v>
      </c>
      <c r="S179" s="377"/>
    </row>
    <row r="180" spans="1:19" ht="25.5" x14ac:dyDescent="0.25">
      <c r="A180" s="359">
        <v>0</v>
      </c>
      <c r="B180" s="49" t="s">
        <v>2422</v>
      </c>
      <c r="C180" s="49" t="s">
        <v>1345</v>
      </c>
      <c r="D180" s="49"/>
      <c r="E180" s="49">
        <v>181825</v>
      </c>
      <c r="F180" s="378">
        <v>181825324</v>
      </c>
      <c r="G180" s="49" t="s">
        <v>1385</v>
      </c>
      <c r="H180" s="49" t="s">
        <v>2423</v>
      </c>
      <c r="I180" s="49" t="s">
        <v>346</v>
      </c>
      <c r="J180" s="316">
        <v>45532</v>
      </c>
      <c r="K180" s="360">
        <v>45374</v>
      </c>
      <c r="L180" s="363" t="s">
        <v>28</v>
      </c>
      <c r="M180" s="317" t="s">
        <v>1387</v>
      </c>
      <c r="N180" s="317">
        <v>1</v>
      </c>
      <c r="O180" s="366">
        <v>45533</v>
      </c>
      <c r="P180" s="365" t="s">
        <v>264</v>
      </c>
      <c r="Q180" s="364">
        <v>45533</v>
      </c>
      <c r="R180" s="364">
        <v>45533</v>
      </c>
      <c r="S180" s="348"/>
    </row>
    <row r="181" spans="1:19" ht="25.5" x14ac:dyDescent="0.25">
      <c r="A181" s="359">
        <v>0</v>
      </c>
      <c r="B181" s="49" t="s">
        <v>2424</v>
      </c>
      <c r="C181" s="49" t="s">
        <v>1345</v>
      </c>
      <c r="D181" s="49"/>
      <c r="E181" s="49">
        <v>181825</v>
      </c>
      <c r="F181" s="378">
        <v>181825325</v>
      </c>
      <c r="G181" s="49" t="s">
        <v>1385</v>
      </c>
      <c r="H181" s="49" t="s">
        <v>2425</v>
      </c>
      <c r="I181" s="49" t="s">
        <v>346</v>
      </c>
      <c r="J181" s="316">
        <v>45532</v>
      </c>
      <c r="K181" s="360">
        <v>45374</v>
      </c>
      <c r="L181" s="363" t="s">
        <v>47</v>
      </c>
      <c r="M181" s="317" t="s">
        <v>2426</v>
      </c>
      <c r="N181" s="317">
        <v>3</v>
      </c>
      <c r="O181" s="366">
        <v>45534</v>
      </c>
      <c r="P181" s="365" t="s">
        <v>264</v>
      </c>
      <c r="Q181" s="364">
        <v>45534</v>
      </c>
      <c r="R181" s="364">
        <v>45534</v>
      </c>
      <c r="S181" s="348"/>
    </row>
    <row r="182" spans="1:19" ht="25.5" x14ac:dyDescent="0.25">
      <c r="A182" s="359">
        <v>0</v>
      </c>
      <c r="B182" s="49" t="s">
        <v>2427</v>
      </c>
      <c r="C182" s="49" t="s">
        <v>1345</v>
      </c>
      <c r="D182" s="49"/>
      <c r="E182" s="49">
        <v>181825</v>
      </c>
      <c r="F182" s="378">
        <v>181825326</v>
      </c>
      <c r="G182" s="49" t="s">
        <v>2428</v>
      </c>
      <c r="H182" s="49" t="s">
        <v>2429</v>
      </c>
      <c r="I182" s="49" t="s">
        <v>346</v>
      </c>
      <c r="J182" s="316">
        <v>45533</v>
      </c>
      <c r="K182" s="360">
        <v>45374</v>
      </c>
      <c r="L182" s="363" t="s">
        <v>28</v>
      </c>
      <c r="M182" s="317" t="s">
        <v>1363</v>
      </c>
      <c r="N182" s="317">
        <v>1</v>
      </c>
      <c r="O182" s="366">
        <v>45534</v>
      </c>
      <c r="P182" s="365" t="s">
        <v>264</v>
      </c>
      <c r="Q182" s="364">
        <v>45537</v>
      </c>
      <c r="R182" s="364">
        <v>45537</v>
      </c>
      <c r="S182" s="348"/>
    </row>
    <row r="183" spans="1:19" ht="25.5" x14ac:dyDescent="0.25">
      <c r="A183" s="359">
        <v>0</v>
      </c>
      <c r="B183" s="49" t="s">
        <v>2430</v>
      </c>
      <c r="C183" s="49" t="s">
        <v>1345</v>
      </c>
      <c r="D183" s="49"/>
      <c r="E183" s="49">
        <v>181825</v>
      </c>
      <c r="F183" s="378">
        <v>181825327</v>
      </c>
      <c r="G183" s="49" t="s">
        <v>34</v>
      </c>
      <c r="H183" s="49" t="s">
        <v>2431</v>
      </c>
      <c r="I183" s="49" t="s">
        <v>346</v>
      </c>
      <c r="J183" s="316">
        <v>45538</v>
      </c>
      <c r="K183" s="360">
        <v>45374</v>
      </c>
      <c r="L183" s="363" t="s">
        <v>28</v>
      </c>
      <c r="M183" s="317" t="s">
        <v>2227</v>
      </c>
      <c r="N183" s="317">
        <v>2</v>
      </c>
      <c r="O183" s="366">
        <v>45538</v>
      </c>
      <c r="P183" s="365" t="s">
        <v>264</v>
      </c>
      <c r="Q183" s="364">
        <v>45539</v>
      </c>
      <c r="R183" s="364">
        <v>45539</v>
      </c>
      <c r="S183" s="348"/>
    </row>
    <row r="184" spans="1:19" ht="25.5" x14ac:dyDescent="0.25">
      <c r="A184" s="359">
        <v>0</v>
      </c>
      <c r="B184" s="49" t="s">
        <v>2432</v>
      </c>
      <c r="C184" s="49" t="s">
        <v>1345</v>
      </c>
      <c r="D184" s="49"/>
      <c r="E184" s="49">
        <v>181825</v>
      </c>
      <c r="F184" s="378">
        <v>181825328</v>
      </c>
      <c r="G184" s="49" t="s">
        <v>147</v>
      </c>
      <c r="H184" s="49" t="s">
        <v>2433</v>
      </c>
      <c r="I184" s="49" t="s">
        <v>346</v>
      </c>
      <c r="J184" s="316">
        <v>45533</v>
      </c>
      <c r="K184" s="360">
        <v>45374</v>
      </c>
      <c r="L184" s="363" t="s">
        <v>28</v>
      </c>
      <c r="M184" s="317" t="s">
        <v>1466</v>
      </c>
      <c r="N184" s="317">
        <v>2</v>
      </c>
      <c r="O184" s="366">
        <v>45534</v>
      </c>
      <c r="P184" s="365" t="s">
        <v>264</v>
      </c>
      <c r="Q184" s="364">
        <v>45534</v>
      </c>
      <c r="R184" s="364">
        <v>45534</v>
      </c>
      <c r="S184" s="348"/>
    </row>
    <row r="185" spans="1:19" ht="25.5" x14ac:dyDescent="0.25">
      <c r="A185" s="359">
        <v>0</v>
      </c>
      <c r="B185" s="49" t="s">
        <v>2434</v>
      </c>
      <c r="C185" s="49" t="s">
        <v>1345</v>
      </c>
      <c r="D185" s="49"/>
      <c r="E185" s="49">
        <v>181825</v>
      </c>
      <c r="F185" s="378">
        <v>181825329</v>
      </c>
      <c r="G185" s="49" t="s">
        <v>147</v>
      </c>
      <c r="H185" s="49" t="s">
        <v>2435</v>
      </c>
      <c r="I185" s="49" t="s">
        <v>346</v>
      </c>
      <c r="J185" s="316">
        <v>45533</v>
      </c>
      <c r="K185" s="360">
        <v>45374</v>
      </c>
      <c r="L185" s="363" t="s">
        <v>28</v>
      </c>
      <c r="M185" s="317" t="s">
        <v>1376</v>
      </c>
      <c r="N185" s="317">
        <v>1</v>
      </c>
      <c r="O185" s="322">
        <v>45538</v>
      </c>
      <c r="P185" s="365" t="s">
        <v>264</v>
      </c>
      <c r="Q185" s="364">
        <v>45538</v>
      </c>
      <c r="R185" s="364">
        <v>45538</v>
      </c>
      <c r="S185" s="348"/>
    </row>
    <row r="186" spans="1:19" ht="25.5" x14ac:dyDescent="0.25">
      <c r="A186" s="359">
        <v>0</v>
      </c>
      <c r="B186" s="49" t="s">
        <v>2436</v>
      </c>
      <c r="C186" s="49" t="s">
        <v>1345</v>
      </c>
      <c r="D186" s="49"/>
      <c r="E186" s="49">
        <v>181825</v>
      </c>
      <c r="F186" s="378">
        <v>181825330</v>
      </c>
      <c r="G186" s="49" t="s">
        <v>34</v>
      </c>
      <c r="H186" s="49" t="s">
        <v>2437</v>
      </c>
      <c r="I186" s="49" t="s">
        <v>346</v>
      </c>
      <c r="J186" s="316">
        <v>45534</v>
      </c>
      <c r="K186" s="360">
        <v>45374</v>
      </c>
      <c r="L186" s="363" t="s">
        <v>28</v>
      </c>
      <c r="M186" s="317" t="s">
        <v>1356</v>
      </c>
      <c r="N186" s="317">
        <v>1</v>
      </c>
      <c r="O186" s="366">
        <v>45538</v>
      </c>
      <c r="P186" s="365" t="s">
        <v>264</v>
      </c>
      <c r="Q186" s="364">
        <v>45538</v>
      </c>
      <c r="R186" s="364">
        <v>45538</v>
      </c>
      <c r="S186" s="348"/>
    </row>
    <row r="187" spans="1:19" ht="38.25" hidden="1" x14ac:dyDescent="0.25">
      <c r="A187" s="359">
        <v>0</v>
      </c>
      <c r="B187" s="49" t="s">
        <v>2438</v>
      </c>
      <c r="C187" s="49" t="s">
        <v>2365</v>
      </c>
      <c r="D187" s="49"/>
      <c r="E187" s="49">
        <v>181825</v>
      </c>
      <c r="F187" s="378">
        <v>181825331</v>
      </c>
      <c r="G187" s="49" t="s">
        <v>2428</v>
      </c>
      <c r="H187" s="49" t="s">
        <v>2439</v>
      </c>
      <c r="I187" s="49" t="s">
        <v>2440</v>
      </c>
      <c r="J187" s="316">
        <v>45534</v>
      </c>
      <c r="K187" s="360">
        <v>45374</v>
      </c>
      <c r="L187" s="363" t="s">
        <v>28</v>
      </c>
      <c r="M187" s="317" t="s">
        <v>1363</v>
      </c>
      <c r="N187" s="317">
        <v>1</v>
      </c>
      <c r="O187" s="366">
        <v>45537</v>
      </c>
      <c r="P187" s="365" t="s">
        <v>264</v>
      </c>
      <c r="Q187" s="364">
        <v>45538</v>
      </c>
      <c r="R187" s="364">
        <v>45538</v>
      </c>
      <c r="S187" s="348"/>
    </row>
    <row r="188" spans="1:19" ht="25.5" x14ac:dyDescent="0.25">
      <c r="A188" s="359">
        <v>0</v>
      </c>
      <c r="B188" s="49" t="s">
        <v>2441</v>
      </c>
      <c r="C188" s="49" t="s">
        <v>1345</v>
      </c>
      <c r="D188" s="49"/>
      <c r="E188" s="49">
        <v>181825</v>
      </c>
      <c r="F188" s="378">
        <v>181825332</v>
      </c>
      <c r="G188" s="49" t="s">
        <v>147</v>
      </c>
      <c r="H188" s="49" t="s">
        <v>1378</v>
      </c>
      <c r="I188" s="49" t="s">
        <v>1379</v>
      </c>
      <c r="J188" s="316">
        <v>45537</v>
      </c>
      <c r="K188" s="360">
        <v>45374</v>
      </c>
      <c r="L188" s="363" t="s">
        <v>28</v>
      </c>
      <c r="M188" s="317" t="s">
        <v>2442</v>
      </c>
      <c r="N188" s="317">
        <v>1</v>
      </c>
      <c r="O188" s="366">
        <v>45538</v>
      </c>
      <c r="P188" s="365" t="s">
        <v>264</v>
      </c>
      <c r="Q188" s="364">
        <v>45538</v>
      </c>
      <c r="R188" s="364">
        <v>45538</v>
      </c>
      <c r="S188" s="348"/>
    </row>
    <row r="189" spans="1:19" ht="38.25" hidden="1" x14ac:dyDescent="0.25">
      <c r="A189" s="359">
        <v>0</v>
      </c>
      <c r="B189" s="49" t="s">
        <v>2443</v>
      </c>
      <c r="C189" s="49" t="s">
        <v>2365</v>
      </c>
      <c r="D189" s="49"/>
      <c r="E189" s="49">
        <v>181825</v>
      </c>
      <c r="F189" s="378">
        <v>181825333</v>
      </c>
      <c r="G189" s="49" t="s">
        <v>2428</v>
      </c>
      <c r="H189" s="49" t="s">
        <v>2444</v>
      </c>
      <c r="I189" s="49" t="s">
        <v>346</v>
      </c>
      <c r="J189" s="316">
        <v>45544</v>
      </c>
      <c r="K189" s="360">
        <v>45374</v>
      </c>
      <c r="L189" s="363" t="s">
        <v>28</v>
      </c>
      <c r="M189" s="317" t="s">
        <v>1363</v>
      </c>
      <c r="N189" s="317">
        <v>2</v>
      </c>
      <c r="O189" s="366">
        <v>45544</v>
      </c>
      <c r="P189" s="365" t="s">
        <v>264</v>
      </c>
      <c r="Q189" s="364">
        <v>45546</v>
      </c>
      <c r="R189" s="364">
        <v>45546</v>
      </c>
      <c r="S189" s="348"/>
    </row>
    <row r="190" spans="1:19" ht="25.5" x14ac:dyDescent="0.25">
      <c r="A190" s="359">
        <v>0</v>
      </c>
      <c r="B190" s="49" t="s">
        <v>2445</v>
      </c>
      <c r="C190" s="49" t="s">
        <v>1345</v>
      </c>
      <c r="D190" s="49"/>
      <c r="E190" s="49">
        <v>181825</v>
      </c>
      <c r="F190" s="378">
        <v>181825334</v>
      </c>
      <c r="G190" s="49" t="s">
        <v>547</v>
      </c>
      <c r="H190" s="49" t="s">
        <v>1372</v>
      </c>
      <c r="I190" s="49" t="s">
        <v>346</v>
      </c>
      <c r="J190" s="316">
        <v>45545</v>
      </c>
      <c r="K190" s="360">
        <v>45374</v>
      </c>
      <c r="L190" s="363" t="s">
        <v>28</v>
      </c>
      <c r="M190" s="317" t="s">
        <v>1356</v>
      </c>
      <c r="N190" s="317">
        <v>1</v>
      </c>
      <c r="O190" s="366">
        <v>45545</v>
      </c>
      <c r="P190" s="365" t="s">
        <v>264</v>
      </c>
      <c r="Q190" s="364">
        <v>45545</v>
      </c>
      <c r="R190" s="364">
        <v>45545</v>
      </c>
      <c r="S190" s="348"/>
    </row>
    <row r="191" spans="1:19" ht="25.5" x14ac:dyDescent="0.25">
      <c r="A191" s="359">
        <v>0</v>
      </c>
      <c r="B191" s="49" t="s">
        <v>2446</v>
      </c>
      <c r="C191" s="49" t="s">
        <v>1345</v>
      </c>
      <c r="D191" s="49"/>
      <c r="E191" s="49">
        <v>181825</v>
      </c>
      <c r="F191" s="378">
        <v>181825335</v>
      </c>
      <c r="G191" s="49" t="s">
        <v>1385</v>
      </c>
      <c r="H191" s="49" t="s">
        <v>2447</v>
      </c>
      <c r="I191" s="49" t="s">
        <v>346</v>
      </c>
      <c r="J191" s="316">
        <v>45546</v>
      </c>
      <c r="K191" s="360">
        <v>45374</v>
      </c>
      <c r="L191" s="363" t="s">
        <v>28</v>
      </c>
      <c r="M191" s="317" t="s">
        <v>2448</v>
      </c>
      <c r="N191" s="317">
        <v>4</v>
      </c>
      <c r="O191" s="366">
        <v>45546</v>
      </c>
      <c r="P191" s="365" t="s">
        <v>264</v>
      </c>
      <c r="Q191" s="364">
        <v>45546</v>
      </c>
      <c r="R191" s="364">
        <v>45546</v>
      </c>
      <c r="S191" s="348"/>
    </row>
    <row r="192" spans="1:19" ht="25.5" x14ac:dyDescent="0.25">
      <c r="A192" s="359">
        <v>0</v>
      </c>
      <c r="B192" s="49" t="s">
        <v>2449</v>
      </c>
      <c r="C192" s="49" t="s">
        <v>1345</v>
      </c>
      <c r="D192" s="49"/>
      <c r="E192" s="49">
        <v>181825</v>
      </c>
      <c r="F192" s="378">
        <v>181825336</v>
      </c>
      <c r="G192" s="49" t="s">
        <v>34</v>
      </c>
      <c r="H192" s="49" t="s">
        <v>1355</v>
      </c>
      <c r="I192" s="49" t="s">
        <v>346</v>
      </c>
      <c r="J192" s="316">
        <v>45547</v>
      </c>
      <c r="K192" s="360">
        <v>45374</v>
      </c>
      <c r="L192" s="363" t="s">
        <v>28</v>
      </c>
      <c r="M192" s="317" t="s">
        <v>1356</v>
      </c>
      <c r="N192" s="317">
        <v>5</v>
      </c>
      <c r="O192" s="366">
        <v>45547</v>
      </c>
      <c r="P192" s="365" t="s">
        <v>264</v>
      </c>
      <c r="Q192" s="364">
        <v>45547</v>
      </c>
      <c r="R192" s="364">
        <v>45547</v>
      </c>
      <c r="S192" s="348"/>
    </row>
    <row r="193" spans="1:19" ht="25.5" x14ac:dyDescent="0.25">
      <c r="A193" s="359">
        <v>0</v>
      </c>
      <c r="B193" s="49" t="s">
        <v>2450</v>
      </c>
      <c r="C193" s="49" t="s">
        <v>1345</v>
      </c>
      <c r="D193" s="49"/>
      <c r="E193" s="49">
        <v>181825</v>
      </c>
      <c r="F193" s="378">
        <v>181825337</v>
      </c>
      <c r="G193" s="49" t="s">
        <v>147</v>
      </c>
      <c r="H193" s="49" t="s">
        <v>2451</v>
      </c>
      <c r="I193" s="49" t="s">
        <v>346</v>
      </c>
      <c r="J193" s="316">
        <v>45546</v>
      </c>
      <c r="K193" s="360">
        <v>45374</v>
      </c>
      <c r="L193" s="363" t="s">
        <v>28</v>
      </c>
      <c r="M193" s="317" t="s">
        <v>1456</v>
      </c>
      <c r="N193" s="317">
        <v>2</v>
      </c>
      <c r="O193" s="366">
        <v>45547</v>
      </c>
      <c r="P193" s="365" t="s">
        <v>264</v>
      </c>
      <c r="Q193" s="364">
        <v>45547</v>
      </c>
      <c r="R193" s="364">
        <v>45547</v>
      </c>
      <c r="S193" s="348"/>
    </row>
    <row r="194" spans="1:19" ht="25.5" x14ac:dyDescent="0.25">
      <c r="A194" s="359">
        <v>0</v>
      </c>
      <c r="B194" s="49" t="s">
        <v>2452</v>
      </c>
      <c r="C194" s="49" t="s">
        <v>1345</v>
      </c>
      <c r="D194" s="49"/>
      <c r="E194" s="49">
        <v>181825</v>
      </c>
      <c r="F194" s="378">
        <v>181825338</v>
      </c>
      <c r="G194" s="49" t="s">
        <v>147</v>
      </c>
      <c r="H194" s="49" t="s">
        <v>2453</v>
      </c>
      <c r="I194" s="49" t="s">
        <v>1352</v>
      </c>
      <c r="J194" s="316">
        <v>45546</v>
      </c>
      <c r="K194" s="360">
        <v>45374</v>
      </c>
      <c r="L194" s="363" t="s">
        <v>28</v>
      </c>
      <c r="M194" s="317" t="s">
        <v>1514</v>
      </c>
      <c r="N194" s="317">
        <v>2</v>
      </c>
      <c r="O194" s="366">
        <v>45546</v>
      </c>
      <c r="P194" s="365" t="s">
        <v>264</v>
      </c>
      <c r="Q194" s="364">
        <v>45546</v>
      </c>
      <c r="R194" s="364">
        <v>45546</v>
      </c>
      <c r="S194" s="348"/>
    </row>
    <row r="195" spans="1:19" ht="25.5" x14ac:dyDescent="0.25">
      <c r="A195" s="359">
        <v>0</v>
      </c>
      <c r="B195" s="49" t="s">
        <v>2454</v>
      </c>
      <c r="C195" s="49" t="s">
        <v>1345</v>
      </c>
      <c r="D195" s="49" t="s">
        <v>1524</v>
      </c>
      <c r="E195" s="49">
        <v>181825</v>
      </c>
      <c r="F195" s="378">
        <v>181825348</v>
      </c>
      <c r="G195" s="49" t="s">
        <v>147</v>
      </c>
      <c r="H195" s="49" t="s">
        <v>2314</v>
      </c>
      <c r="I195" s="49" t="s">
        <v>346</v>
      </c>
      <c r="J195" s="316">
        <v>45568</v>
      </c>
      <c r="K195" s="360">
        <v>45374</v>
      </c>
      <c r="L195" s="363" t="s">
        <v>47</v>
      </c>
      <c r="M195" s="317" t="s">
        <v>2315</v>
      </c>
      <c r="N195" s="317">
        <v>1</v>
      </c>
      <c r="O195" s="366">
        <v>45569</v>
      </c>
      <c r="P195" s="365" t="s">
        <v>30</v>
      </c>
      <c r="Q195" s="364">
        <v>45569</v>
      </c>
      <c r="R195" s="364">
        <v>45569</v>
      </c>
      <c r="S195" s="348"/>
    </row>
    <row r="196" spans="1:19" ht="25.5" x14ac:dyDescent="0.25">
      <c r="A196" s="359">
        <v>0</v>
      </c>
      <c r="B196" s="49" t="s">
        <v>2455</v>
      </c>
      <c r="C196" s="49" t="s">
        <v>1345</v>
      </c>
      <c r="D196" s="49"/>
      <c r="E196" s="49">
        <v>181825</v>
      </c>
      <c r="F196" s="378">
        <v>181825343</v>
      </c>
      <c r="G196" s="49" t="s">
        <v>34</v>
      </c>
      <c r="H196" s="49" t="s">
        <v>2456</v>
      </c>
      <c r="I196" s="49" t="s">
        <v>346</v>
      </c>
      <c r="J196" s="316">
        <v>45554</v>
      </c>
      <c r="K196" s="360">
        <v>45374</v>
      </c>
      <c r="L196" s="363" t="s">
        <v>28</v>
      </c>
      <c r="M196" s="317" t="s">
        <v>1555</v>
      </c>
      <c r="N196" s="317">
        <v>2</v>
      </c>
      <c r="O196" s="366">
        <v>45554</v>
      </c>
      <c r="P196" s="365" t="s">
        <v>264</v>
      </c>
      <c r="Q196" s="364">
        <v>45554</v>
      </c>
      <c r="R196" s="364">
        <v>45554</v>
      </c>
      <c r="S196" s="348"/>
    </row>
    <row r="197" spans="1:19" ht="25.5" x14ac:dyDescent="0.25">
      <c r="A197" s="359">
        <v>0</v>
      </c>
      <c r="B197" s="49" t="s">
        <v>2457</v>
      </c>
      <c r="C197" s="49" t="s">
        <v>1345</v>
      </c>
      <c r="D197" s="49"/>
      <c r="E197" s="49">
        <v>181825</v>
      </c>
      <c r="F197" s="378">
        <v>181825344</v>
      </c>
      <c r="G197" s="49" t="s">
        <v>2428</v>
      </c>
      <c r="H197" s="49" t="s">
        <v>2458</v>
      </c>
      <c r="I197" s="49" t="s">
        <v>346</v>
      </c>
      <c r="J197" s="316">
        <v>45555</v>
      </c>
      <c r="K197" s="360">
        <v>45374</v>
      </c>
      <c r="L197" s="363" t="s">
        <v>28</v>
      </c>
      <c r="M197" s="317" t="s">
        <v>1363</v>
      </c>
      <c r="N197" s="317">
        <v>1</v>
      </c>
      <c r="O197" s="366">
        <v>45555</v>
      </c>
      <c r="P197" s="365" t="s">
        <v>264</v>
      </c>
      <c r="Q197" s="364">
        <v>45555</v>
      </c>
      <c r="R197" s="364">
        <v>45555</v>
      </c>
      <c r="S197" s="348"/>
    </row>
    <row r="198" spans="1:19" ht="25.5" x14ac:dyDescent="0.25">
      <c r="A198" s="359">
        <v>0</v>
      </c>
      <c r="B198" s="49" t="s">
        <v>2459</v>
      </c>
      <c r="C198" s="49" t="s">
        <v>1345</v>
      </c>
      <c r="D198" s="49"/>
      <c r="E198" s="49">
        <v>181825</v>
      </c>
      <c r="F198" s="378">
        <v>181825349</v>
      </c>
      <c r="G198" s="49" t="s">
        <v>2460</v>
      </c>
      <c r="H198" s="49" t="s">
        <v>2461</v>
      </c>
      <c r="I198" s="49" t="s">
        <v>1379</v>
      </c>
      <c r="J198" s="316">
        <v>45575</v>
      </c>
      <c r="K198" s="360">
        <v>45374</v>
      </c>
      <c r="L198" s="363" t="s">
        <v>47</v>
      </c>
      <c r="M198" s="317" t="s">
        <v>2462</v>
      </c>
      <c r="N198" s="317">
        <v>1</v>
      </c>
      <c r="O198" s="366">
        <v>45575</v>
      </c>
      <c r="P198" s="365" t="s">
        <v>30</v>
      </c>
      <c r="Q198" s="364">
        <v>45575</v>
      </c>
      <c r="R198" s="364">
        <v>45575</v>
      </c>
      <c r="S198" s="348"/>
    </row>
    <row r="199" spans="1:19" ht="25.5" x14ac:dyDescent="0.25">
      <c r="A199" s="359">
        <v>0</v>
      </c>
      <c r="B199" s="49" t="s">
        <v>2463</v>
      </c>
      <c r="C199" s="49" t="s">
        <v>1345</v>
      </c>
      <c r="D199" s="49"/>
      <c r="E199" s="49">
        <v>181825</v>
      </c>
      <c r="F199" s="378">
        <v>181825340</v>
      </c>
      <c r="G199" s="49" t="s">
        <v>147</v>
      </c>
      <c r="H199" s="49" t="s">
        <v>2411</v>
      </c>
      <c r="I199" s="49" t="s">
        <v>346</v>
      </c>
      <c r="J199" s="316">
        <v>45554</v>
      </c>
      <c r="K199" s="360">
        <v>45374</v>
      </c>
      <c r="L199" s="363" t="s">
        <v>28</v>
      </c>
      <c r="M199" s="317" t="s">
        <v>1359</v>
      </c>
      <c r="N199" s="317">
        <v>1</v>
      </c>
      <c r="O199" s="366">
        <v>45554</v>
      </c>
      <c r="P199" s="365" t="s">
        <v>264</v>
      </c>
      <c r="Q199" s="364">
        <v>45554</v>
      </c>
      <c r="R199" s="364">
        <v>45554</v>
      </c>
      <c r="S199" s="377"/>
    </row>
    <row r="200" spans="1:19" ht="25.5" x14ac:dyDescent="0.25">
      <c r="A200" s="359">
        <v>0</v>
      </c>
      <c r="B200" s="49" t="s">
        <v>2464</v>
      </c>
      <c r="C200" s="49" t="s">
        <v>1345</v>
      </c>
      <c r="D200" s="49"/>
      <c r="E200" s="49">
        <v>181825</v>
      </c>
      <c r="F200" s="378">
        <v>181825341</v>
      </c>
      <c r="G200" s="49" t="s">
        <v>147</v>
      </c>
      <c r="H200" s="49" t="s">
        <v>2411</v>
      </c>
      <c r="I200" s="49" t="s">
        <v>346</v>
      </c>
      <c r="J200" s="316">
        <v>45554</v>
      </c>
      <c r="K200" s="360">
        <v>45374</v>
      </c>
      <c r="L200" s="363" t="s">
        <v>28</v>
      </c>
      <c r="M200" s="317" t="s">
        <v>1359</v>
      </c>
      <c r="N200" s="317">
        <v>2</v>
      </c>
      <c r="O200" s="366">
        <v>45554</v>
      </c>
      <c r="P200" s="365" t="s">
        <v>264</v>
      </c>
      <c r="Q200" s="364">
        <v>45554</v>
      </c>
      <c r="R200" s="364">
        <v>45554</v>
      </c>
      <c r="S200" s="348"/>
    </row>
    <row r="201" spans="1:19" ht="25.5" x14ac:dyDescent="0.25">
      <c r="A201" s="359">
        <v>0</v>
      </c>
      <c r="B201" s="49" t="s">
        <v>2465</v>
      </c>
      <c r="C201" s="49" t="s">
        <v>1345</v>
      </c>
      <c r="D201" s="49"/>
      <c r="E201" s="49">
        <v>181825</v>
      </c>
      <c r="F201" s="378">
        <v>181825342</v>
      </c>
      <c r="G201" s="49" t="s">
        <v>147</v>
      </c>
      <c r="H201" s="49" t="s">
        <v>2411</v>
      </c>
      <c r="I201" s="49" t="s">
        <v>346</v>
      </c>
      <c r="J201" s="316">
        <v>45554</v>
      </c>
      <c r="K201" s="360">
        <v>45374</v>
      </c>
      <c r="L201" s="363" t="s">
        <v>28</v>
      </c>
      <c r="M201" s="317" t="s">
        <v>1359</v>
      </c>
      <c r="N201" s="317">
        <v>3</v>
      </c>
      <c r="O201" s="366">
        <v>45554</v>
      </c>
      <c r="P201" s="365" t="s">
        <v>264</v>
      </c>
      <c r="Q201" s="364">
        <v>45554</v>
      </c>
      <c r="R201" s="364">
        <v>45554</v>
      </c>
      <c r="S201" s="348"/>
    </row>
    <row r="202" spans="1:19" ht="25.5" x14ac:dyDescent="0.25">
      <c r="A202" s="359">
        <v>0</v>
      </c>
      <c r="B202" s="49" t="s">
        <v>2466</v>
      </c>
      <c r="C202" s="49" t="s">
        <v>1345</v>
      </c>
      <c r="D202" s="49"/>
      <c r="E202" s="49">
        <v>181825</v>
      </c>
      <c r="F202" s="378">
        <v>181825339</v>
      </c>
      <c r="G202" s="49" t="s">
        <v>147</v>
      </c>
      <c r="H202" s="49" t="s">
        <v>2314</v>
      </c>
      <c r="I202" s="49" t="s">
        <v>346</v>
      </c>
      <c r="J202" s="316">
        <v>45551</v>
      </c>
      <c r="K202" s="360">
        <v>45374</v>
      </c>
      <c r="L202" s="363" t="s">
        <v>47</v>
      </c>
      <c r="M202" s="317" t="s">
        <v>2315</v>
      </c>
      <c r="N202" s="317">
        <v>4</v>
      </c>
      <c r="O202" s="366">
        <v>45551</v>
      </c>
      <c r="P202" s="365" t="s">
        <v>264</v>
      </c>
      <c r="Q202" s="364">
        <v>45552</v>
      </c>
      <c r="R202" s="364">
        <v>45552</v>
      </c>
      <c r="S202" s="348"/>
    </row>
    <row r="203" spans="1:19" ht="25.5" x14ac:dyDescent="0.25">
      <c r="A203" s="359">
        <v>0</v>
      </c>
      <c r="B203" s="49" t="s">
        <v>2467</v>
      </c>
      <c r="C203" s="49" t="s">
        <v>1345</v>
      </c>
      <c r="D203" s="49"/>
      <c r="E203" s="49">
        <v>181825</v>
      </c>
      <c r="F203" s="378">
        <v>181825347</v>
      </c>
      <c r="G203" s="49" t="s">
        <v>147</v>
      </c>
      <c r="H203" s="49" t="s">
        <v>2246</v>
      </c>
      <c r="I203" s="49" t="s">
        <v>346</v>
      </c>
      <c r="J203" s="316">
        <v>45561</v>
      </c>
      <c r="K203" s="360">
        <v>45374</v>
      </c>
      <c r="L203" s="363" t="s">
        <v>28</v>
      </c>
      <c r="M203" s="317" t="s">
        <v>2247</v>
      </c>
      <c r="N203" s="317">
        <v>1</v>
      </c>
      <c r="O203" s="366">
        <v>45562</v>
      </c>
      <c r="P203" s="365" t="s">
        <v>264</v>
      </c>
      <c r="Q203" s="364">
        <v>45562</v>
      </c>
      <c r="R203" s="364">
        <v>45562</v>
      </c>
      <c r="S203" s="348"/>
    </row>
    <row r="204" spans="1:19" ht="25.5" x14ac:dyDescent="0.25">
      <c r="A204" s="359">
        <v>0</v>
      </c>
      <c r="B204" s="49" t="s">
        <v>2468</v>
      </c>
      <c r="C204" s="49" t="s">
        <v>1345</v>
      </c>
      <c r="D204" s="49"/>
      <c r="E204" s="49">
        <v>181825</v>
      </c>
      <c r="F204" s="378">
        <v>181825345</v>
      </c>
      <c r="G204" s="49" t="s">
        <v>2428</v>
      </c>
      <c r="H204" s="49" t="s">
        <v>1392</v>
      </c>
      <c r="I204" s="49" t="s">
        <v>346</v>
      </c>
      <c r="J204" s="316">
        <v>45555</v>
      </c>
      <c r="K204" s="360">
        <v>45374</v>
      </c>
      <c r="L204" s="363" t="s">
        <v>28</v>
      </c>
      <c r="M204" s="317" t="s">
        <v>1363</v>
      </c>
      <c r="N204" s="317">
        <v>1</v>
      </c>
      <c r="O204" s="366">
        <v>45555</v>
      </c>
      <c r="P204" s="365" t="s">
        <v>264</v>
      </c>
      <c r="Q204" s="364">
        <v>45555</v>
      </c>
      <c r="R204" s="364">
        <v>45555</v>
      </c>
      <c r="S204" s="348"/>
    </row>
    <row r="205" spans="1:19" ht="25.7" hidden="1" x14ac:dyDescent="0.25">
      <c r="A205" s="359">
        <v>0</v>
      </c>
      <c r="B205" s="49" t="s">
        <v>2469</v>
      </c>
      <c r="C205" s="49" t="s">
        <v>2470</v>
      </c>
      <c r="D205" s="49"/>
      <c r="E205" s="49">
        <v>183493</v>
      </c>
      <c r="F205" s="49" t="s">
        <v>2471</v>
      </c>
      <c r="G205" s="49" t="s">
        <v>2472</v>
      </c>
      <c r="H205" s="49" t="s">
        <v>2473</v>
      </c>
      <c r="I205" s="316" t="s">
        <v>2474</v>
      </c>
      <c r="J205" s="316">
        <v>45377</v>
      </c>
      <c r="K205" s="360">
        <v>45377</v>
      </c>
      <c r="L205" s="363" t="s">
        <v>28</v>
      </c>
      <c r="M205" s="317" t="s">
        <v>2475</v>
      </c>
      <c r="N205" s="317">
        <v>11</v>
      </c>
      <c r="O205" s="366">
        <v>45379</v>
      </c>
      <c r="P205" s="365" t="s">
        <v>264</v>
      </c>
      <c r="Q205" s="364">
        <v>45379</v>
      </c>
      <c r="R205" s="364">
        <v>45379</v>
      </c>
      <c r="S205" s="348" t="s">
        <v>1687</v>
      </c>
    </row>
    <row r="206" spans="1:19" ht="25.5" hidden="1" x14ac:dyDescent="0.25">
      <c r="A206" s="359">
        <v>0</v>
      </c>
      <c r="B206" s="49" t="s">
        <v>2476</v>
      </c>
      <c r="C206" s="49" t="s">
        <v>2477</v>
      </c>
      <c r="D206" s="49"/>
      <c r="E206" s="49">
        <v>183495</v>
      </c>
      <c r="F206" s="49" t="s">
        <v>2478</v>
      </c>
      <c r="G206" s="49" t="s">
        <v>2479</v>
      </c>
      <c r="H206" s="49" t="s">
        <v>2480</v>
      </c>
      <c r="I206" s="316" t="s">
        <v>2481</v>
      </c>
      <c r="J206" s="316">
        <v>45377</v>
      </c>
      <c r="K206" s="316">
        <v>45539</v>
      </c>
      <c r="L206" s="363" t="s">
        <v>28</v>
      </c>
      <c r="M206" s="317" t="s">
        <v>2482</v>
      </c>
      <c r="N206" s="317">
        <v>20</v>
      </c>
      <c r="O206" s="366">
        <v>45614</v>
      </c>
      <c r="P206" s="365" t="s">
        <v>30</v>
      </c>
      <c r="Q206" s="364">
        <v>45614</v>
      </c>
      <c r="R206" s="364">
        <v>45614</v>
      </c>
      <c r="S206" s="348"/>
    </row>
    <row r="207" spans="1:19" ht="25.5" hidden="1" x14ac:dyDescent="0.25">
      <c r="A207" s="359">
        <v>0</v>
      </c>
      <c r="B207" s="49" t="s">
        <v>2483</v>
      </c>
      <c r="C207" s="49" t="s">
        <v>2477</v>
      </c>
      <c r="D207" s="49"/>
      <c r="E207" s="49">
        <v>183496</v>
      </c>
      <c r="F207" s="49" t="s">
        <v>2484</v>
      </c>
      <c r="G207" s="49" t="s">
        <v>2485</v>
      </c>
      <c r="H207" s="49" t="s">
        <v>2486</v>
      </c>
      <c r="I207" s="49" t="s">
        <v>2481</v>
      </c>
      <c r="J207" s="316">
        <v>45377</v>
      </c>
      <c r="K207" s="360">
        <v>45539</v>
      </c>
      <c r="L207" s="363" t="s">
        <v>28</v>
      </c>
      <c r="M207" s="317" t="s">
        <v>2487</v>
      </c>
      <c r="N207" s="317">
        <v>20</v>
      </c>
      <c r="O207" s="366">
        <v>45614</v>
      </c>
      <c r="P207" s="365" t="s">
        <v>30</v>
      </c>
      <c r="Q207" s="364">
        <v>45614</v>
      </c>
      <c r="R207" s="364">
        <v>45614</v>
      </c>
      <c r="S207" s="348"/>
    </row>
    <row r="208" spans="1:19" ht="25.5" hidden="1" x14ac:dyDescent="0.25">
      <c r="A208" s="359">
        <v>0</v>
      </c>
      <c r="B208" s="49" t="s">
        <v>2488</v>
      </c>
      <c r="C208" s="49" t="s">
        <v>2477</v>
      </c>
      <c r="D208" s="49"/>
      <c r="E208" s="49">
        <v>183497</v>
      </c>
      <c r="F208" s="49" t="s">
        <v>2489</v>
      </c>
      <c r="G208" s="49" t="s">
        <v>2490</v>
      </c>
      <c r="H208" s="49" t="s">
        <v>2491</v>
      </c>
      <c r="I208" s="49" t="s">
        <v>2492</v>
      </c>
      <c r="J208" s="316">
        <v>45377</v>
      </c>
      <c r="K208" s="360">
        <v>45499</v>
      </c>
      <c r="L208" s="363" t="s">
        <v>28</v>
      </c>
      <c r="M208" s="317" t="s">
        <v>2493</v>
      </c>
      <c r="N208" s="317">
        <v>1</v>
      </c>
      <c r="O208" s="366">
        <v>45510</v>
      </c>
      <c r="P208" s="365" t="s">
        <v>264</v>
      </c>
      <c r="Q208" s="364">
        <v>45510</v>
      </c>
      <c r="R208" s="364">
        <v>45510</v>
      </c>
      <c r="S208" s="348"/>
    </row>
    <row r="209" spans="1:20" ht="38.25" hidden="1" x14ac:dyDescent="0.25">
      <c r="A209" s="359">
        <v>0</v>
      </c>
      <c r="B209" s="49" t="s">
        <v>2494</v>
      </c>
      <c r="C209" s="49" t="s">
        <v>1802</v>
      </c>
      <c r="D209" s="49"/>
      <c r="E209" s="49">
        <v>183498</v>
      </c>
      <c r="F209" s="49" t="s">
        <v>2495</v>
      </c>
      <c r="G209" s="49" t="s">
        <v>2496</v>
      </c>
      <c r="H209" s="49" t="s">
        <v>2497</v>
      </c>
      <c r="I209" s="49" t="s">
        <v>2498</v>
      </c>
      <c r="J209" s="316">
        <v>45378</v>
      </c>
      <c r="K209" s="316">
        <v>45383</v>
      </c>
      <c r="L209" s="363" t="s">
        <v>28</v>
      </c>
      <c r="M209" s="317" t="s">
        <v>2499</v>
      </c>
      <c r="N209" s="317">
        <v>6</v>
      </c>
      <c r="O209" s="366">
        <v>45562</v>
      </c>
      <c r="P209" s="365" t="s">
        <v>264</v>
      </c>
      <c r="Q209" s="364">
        <v>45565</v>
      </c>
      <c r="R209" s="364">
        <v>45565</v>
      </c>
      <c r="S209" s="348"/>
    </row>
    <row r="210" spans="1:20" ht="38.25" hidden="1" x14ac:dyDescent="0.25">
      <c r="A210" s="359">
        <v>0</v>
      </c>
      <c r="B210" s="49" t="s">
        <v>2500</v>
      </c>
      <c r="C210" s="49" t="s">
        <v>1941</v>
      </c>
      <c r="D210" s="49"/>
      <c r="E210" s="49">
        <v>183501</v>
      </c>
      <c r="F210" s="362" t="s">
        <v>2501</v>
      </c>
      <c r="G210" s="49" t="s">
        <v>2502</v>
      </c>
      <c r="H210" s="49" t="s">
        <v>2503</v>
      </c>
      <c r="I210" s="49" t="s">
        <v>2504</v>
      </c>
      <c r="J210" s="316">
        <v>45372</v>
      </c>
      <c r="K210" s="360">
        <v>45383</v>
      </c>
      <c r="L210" s="363" t="s">
        <v>28</v>
      </c>
      <c r="M210" s="317" t="s">
        <v>2505</v>
      </c>
      <c r="N210" s="317">
        <v>1</v>
      </c>
      <c r="O210" s="366">
        <v>45384</v>
      </c>
      <c r="P210" s="365" t="s">
        <v>264</v>
      </c>
      <c r="Q210" s="364">
        <v>45384</v>
      </c>
      <c r="R210" s="364">
        <v>45385</v>
      </c>
      <c r="S210" s="348" t="s">
        <v>1687</v>
      </c>
    </row>
    <row r="211" spans="1:20" ht="25.5" hidden="1" x14ac:dyDescent="0.25">
      <c r="A211" s="359">
        <v>0</v>
      </c>
      <c r="B211" s="49" t="s">
        <v>2506</v>
      </c>
      <c r="C211" s="49" t="s">
        <v>132</v>
      </c>
      <c r="D211" s="49"/>
      <c r="E211" s="49">
        <v>183509</v>
      </c>
      <c r="F211" s="49" t="s">
        <v>2507</v>
      </c>
      <c r="G211" s="49" t="s">
        <v>448</v>
      </c>
      <c r="H211" s="49" t="s">
        <v>2141</v>
      </c>
      <c r="I211" s="49" t="s">
        <v>2013</v>
      </c>
      <c r="J211" s="316">
        <v>45383</v>
      </c>
      <c r="K211" s="360">
        <v>45384</v>
      </c>
      <c r="L211" s="363" t="s">
        <v>28</v>
      </c>
      <c r="M211" s="317" t="s">
        <v>450</v>
      </c>
      <c r="N211" s="317">
        <v>1</v>
      </c>
      <c r="O211" s="322">
        <v>45385</v>
      </c>
      <c r="P211" s="365" t="s">
        <v>264</v>
      </c>
      <c r="Q211" s="364">
        <v>45385</v>
      </c>
      <c r="R211" s="364">
        <v>45385</v>
      </c>
      <c r="S211" s="348" t="s">
        <v>1687</v>
      </c>
    </row>
    <row r="212" spans="1:20" ht="25.5" hidden="1" x14ac:dyDescent="0.25">
      <c r="A212" s="359">
        <v>0</v>
      </c>
      <c r="B212" s="49" t="s">
        <v>2508</v>
      </c>
      <c r="C212" s="49" t="s">
        <v>132</v>
      </c>
      <c r="D212" s="49"/>
      <c r="E212" s="49">
        <v>183510</v>
      </c>
      <c r="F212" s="49" t="s">
        <v>2509</v>
      </c>
      <c r="G212" s="49" t="s">
        <v>2510</v>
      </c>
      <c r="H212" s="49" t="s">
        <v>2511</v>
      </c>
      <c r="I212" s="49" t="s">
        <v>2512</v>
      </c>
      <c r="J212" s="316">
        <v>45383</v>
      </c>
      <c r="K212" s="360">
        <v>45384</v>
      </c>
      <c r="L212" s="363" t="s">
        <v>28</v>
      </c>
      <c r="M212" s="317" t="s">
        <v>2513</v>
      </c>
      <c r="N212" s="317">
        <v>1</v>
      </c>
      <c r="O212" s="322">
        <v>45385</v>
      </c>
      <c r="P212" s="365" t="s">
        <v>264</v>
      </c>
      <c r="Q212" s="364">
        <v>45385</v>
      </c>
      <c r="R212" s="364">
        <v>45385</v>
      </c>
      <c r="S212" s="348" t="s">
        <v>1687</v>
      </c>
    </row>
    <row r="213" spans="1:20" ht="25.5" hidden="1" x14ac:dyDescent="0.25">
      <c r="A213" s="359">
        <v>0</v>
      </c>
      <c r="B213" s="49" t="s">
        <v>2514</v>
      </c>
      <c r="C213" s="49" t="s">
        <v>132</v>
      </c>
      <c r="D213" s="49"/>
      <c r="E213" s="49">
        <v>183511</v>
      </c>
      <c r="F213" s="49" t="s">
        <v>2515</v>
      </c>
      <c r="G213" s="49" t="s">
        <v>1937</v>
      </c>
      <c r="H213" s="49" t="s">
        <v>2516</v>
      </c>
      <c r="I213" s="49" t="s">
        <v>2517</v>
      </c>
      <c r="J213" s="316">
        <v>45383</v>
      </c>
      <c r="K213" s="360">
        <v>45384</v>
      </c>
      <c r="L213" s="363" t="s">
        <v>28</v>
      </c>
      <c r="M213" s="317" t="s">
        <v>2518</v>
      </c>
      <c r="N213" s="317">
        <v>2</v>
      </c>
      <c r="O213" s="366">
        <v>45385</v>
      </c>
      <c r="P213" s="365" t="s">
        <v>264</v>
      </c>
      <c r="Q213" s="364">
        <v>45385</v>
      </c>
      <c r="R213" s="364">
        <v>45385</v>
      </c>
      <c r="S213" s="348" t="s">
        <v>1687</v>
      </c>
    </row>
    <row r="214" spans="1:20" ht="25.5" hidden="1" x14ac:dyDescent="0.25">
      <c r="A214" s="359">
        <v>0</v>
      </c>
      <c r="B214" s="49" t="s">
        <v>2519</v>
      </c>
      <c r="C214" s="49" t="s">
        <v>1775</v>
      </c>
      <c r="D214" s="49"/>
      <c r="E214" s="49">
        <v>183504</v>
      </c>
      <c r="F214" s="49" t="s">
        <v>2520</v>
      </c>
      <c r="G214" s="49" t="s">
        <v>2521</v>
      </c>
      <c r="H214" s="49" t="s">
        <v>2522</v>
      </c>
      <c r="I214" s="49" t="s">
        <v>2523</v>
      </c>
      <c r="J214" s="316">
        <v>45383</v>
      </c>
      <c r="K214" s="360">
        <v>45385</v>
      </c>
      <c r="L214" s="363" t="s">
        <v>28</v>
      </c>
      <c r="M214" s="317" t="s">
        <v>2524</v>
      </c>
      <c r="N214" s="317">
        <v>2</v>
      </c>
      <c r="O214" s="322">
        <v>45391</v>
      </c>
      <c r="P214" s="365" t="s">
        <v>264</v>
      </c>
      <c r="Q214" s="364">
        <v>45391</v>
      </c>
      <c r="R214" s="364">
        <v>45391</v>
      </c>
      <c r="S214" s="348" t="s">
        <v>1687</v>
      </c>
    </row>
    <row r="215" spans="1:20" ht="25.5" hidden="1" x14ac:dyDescent="0.25">
      <c r="A215" s="359">
        <v>0</v>
      </c>
      <c r="B215" s="49" t="s">
        <v>2525</v>
      </c>
      <c r="C215" s="49" t="s">
        <v>2526</v>
      </c>
      <c r="D215" s="49"/>
      <c r="E215" s="49">
        <v>183512</v>
      </c>
      <c r="F215" s="49" t="s">
        <v>2527</v>
      </c>
      <c r="G215" s="49" t="s">
        <v>1874</v>
      </c>
      <c r="H215" s="49">
        <v>11301</v>
      </c>
      <c r="I215" s="49" t="s">
        <v>2528</v>
      </c>
      <c r="J215" s="316">
        <v>45496</v>
      </c>
      <c r="K215" s="360">
        <v>45505</v>
      </c>
      <c r="L215" s="363" t="s">
        <v>28</v>
      </c>
      <c r="M215" s="317" t="s">
        <v>2529</v>
      </c>
      <c r="N215" s="317">
        <v>15</v>
      </c>
      <c r="O215" s="366">
        <v>45545</v>
      </c>
      <c r="P215" s="365" t="s">
        <v>264</v>
      </c>
      <c r="Q215" s="364">
        <v>45545</v>
      </c>
      <c r="R215" s="364">
        <v>45545</v>
      </c>
      <c r="S215" s="348"/>
    </row>
    <row r="216" spans="1:20" ht="25.5" hidden="1" x14ac:dyDescent="0.25">
      <c r="A216" s="359">
        <v>0</v>
      </c>
      <c r="B216" s="49" t="s">
        <v>2530</v>
      </c>
      <c r="C216" s="49" t="s">
        <v>42</v>
      </c>
      <c r="D216" s="49"/>
      <c r="E216" s="49">
        <v>183507</v>
      </c>
      <c r="F216" s="49" t="s">
        <v>2531</v>
      </c>
      <c r="G216" s="49" t="s">
        <v>2532</v>
      </c>
      <c r="H216" s="49" t="s">
        <v>2533</v>
      </c>
      <c r="I216" s="49" t="s">
        <v>2534</v>
      </c>
      <c r="J216" s="316">
        <v>45383</v>
      </c>
      <c r="K216" s="360">
        <v>45388</v>
      </c>
      <c r="L216" s="322" t="s">
        <v>28</v>
      </c>
      <c r="M216" s="366" t="s">
        <v>150</v>
      </c>
      <c r="N216" s="317">
        <v>1</v>
      </c>
      <c r="O216" s="366">
        <v>45523</v>
      </c>
      <c r="P216" s="365" t="s">
        <v>264</v>
      </c>
      <c r="Q216" s="364">
        <v>45525</v>
      </c>
      <c r="R216" s="364">
        <v>45525</v>
      </c>
      <c r="S216" s="348"/>
      <c r="T216" s="386"/>
    </row>
    <row r="217" spans="1:20" ht="25.5" hidden="1" x14ac:dyDescent="0.25">
      <c r="A217" s="359">
        <v>0</v>
      </c>
      <c r="B217" s="49" t="s">
        <v>2535</v>
      </c>
      <c r="C217" s="49" t="s">
        <v>1872</v>
      </c>
      <c r="D217" s="49"/>
      <c r="E217" s="49">
        <v>183508</v>
      </c>
      <c r="F217" s="49" t="s">
        <v>2536</v>
      </c>
      <c r="G217" s="49" t="s">
        <v>1147</v>
      </c>
      <c r="H217" s="49" t="s">
        <v>2537</v>
      </c>
      <c r="I217" s="49" t="s">
        <v>1869</v>
      </c>
      <c r="J217" s="316">
        <v>45383</v>
      </c>
      <c r="K217" s="360">
        <v>45385</v>
      </c>
      <c r="L217" s="322" t="s">
        <v>28</v>
      </c>
      <c r="M217" s="366" t="s">
        <v>1876</v>
      </c>
      <c r="N217" s="317">
        <v>2</v>
      </c>
      <c r="O217" s="366">
        <v>45391</v>
      </c>
      <c r="P217" s="365" t="s">
        <v>264</v>
      </c>
      <c r="Q217" s="364">
        <v>45391</v>
      </c>
      <c r="R217" s="364">
        <v>45391</v>
      </c>
      <c r="S217" s="348" t="s">
        <v>1687</v>
      </c>
      <c r="T217" s="386"/>
    </row>
    <row r="218" spans="1:20" ht="25.7" hidden="1" x14ac:dyDescent="0.25">
      <c r="A218" s="359">
        <v>0</v>
      </c>
      <c r="B218" s="49" t="s">
        <v>2538</v>
      </c>
      <c r="C218" s="49" t="s">
        <v>1680</v>
      </c>
      <c r="D218" s="49"/>
      <c r="E218" s="49">
        <v>183513</v>
      </c>
      <c r="F218" s="49" t="s">
        <v>2539</v>
      </c>
      <c r="G218" s="49" t="s">
        <v>2540</v>
      </c>
      <c r="H218" s="49" t="s">
        <v>2541</v>
      </c>
      <c r="I218" s="49" t="s">
        <v>1730</v>
      </c>
      <c r="J218" s="316">
        <v>45384</v>
      </c>
      <c r="K218" s="316">
        <v>45387</v>
      </c>
      <c r="L218" s="363" t="s">
        <v>28</v>
      </c>
      <c r="M218" s="317" t="s">
        <v>2542</v>
      </c>
      <c r="N218" s="317">
        <v>2</v>
      </c>
      <c r="O218" s="322">
        <v>45390</v>
      </c>
      <c r="P218" s="365" t="s">
        <v>264</v>
      </c>
      <c r="Q218" s="364">
        <v>45390</v>
      </c>
      <c r="R218" s="364">
        <v>45390</v>
      </c>
      <c r="S218" s="348" t="s">
        <v>1687</v>
      </c>
    </row>
    <row r="219" spans="1:20" ht="38.25" hidden="1" x14ac:dyDescent="0.25">
      <c r="A219" s="359">
        <v>0</v>
      </c>
      <c r="B219" s="49" t="s">
        <v>2543</v>
      </c>
      <c r="C219" s="49" t="s">
        <v>2544</v>
      </c>
      <c r="D219" s="49"/>
      <c r="E219" s="49">
        <v>183520</v>
      </c>
      <c r="F219" s="49" t="s">
        <v>2545</v>
      </c>
      <c r="G219" s="49" t="s">
        <v>2546</v>
      </c>
      <c r="H219" s="49" t="s">
        <v>2547</v>
      </c>
      <c r="I219" s="49" t="s">
        <v>160</v>
      </c>
      <c r="J219" s="316">
        <v>45385</v>
      </c>
      <c r="K219" s="360"/>
      <c r="L219" s="363" t="s">
        <v>47</v>
      </c>
      <c r="M219" s="317" t="s">
        <v>274</v>
      </c>
      <c r="N219" s="391">
        <v>20</v>
      </c>
      <c r="O219" s="366">
        <v>45387</v>
      </c>
      <c r="P219" s="365" t="s">
        <v>264</v>
      </c>
      <c r="Q219" s="364">
        <v>45387</v>
      </c>
      <c r="R219" s="364">
        <v>45387</v>
      </c>
      <c r="S219" s="348" t="s">
        <v>1687</v>
      </c>
    </row>
    <row r="220" spans="1:20" ht="51" hidden="1" x14ac:dyDescent="0.25">
      <c r="A220" s="359">
        <v>0</v>
      </c>
      <c r="B220" s="49" t="s">
        <v>2548</v>
      </c>
      <c r="C220" s="49" t="s">
        <v>2544</v>
      </c>
      <c r="D220" s="49"/>
      <c r="E220" s="49">
        <v>183521</v>
      </c>
      <c r="F220" s="49" t="s">
        <v>2549</v>
      </c>
      <c r="G220" s="49" t="s">
        <v>2550</v>
      </c>
      <c r="H220" s="49" t="s">
        <v>2551</v>
      </c>
      <c r="I220" s="49" t="s">
        <v>160</v>
      </c>
      <c r="J220" s="316">
        <v>45385</v>
      </c>
      <c r="K220" s="360"/>
      <c r="L220" s="363" t="s">
        <v>47</v>
      </c>
      <c r="M220" s="317" t="s">
        <v>192</v>
      </c>
      <c r="N220" s="317">
        <v>13</v>
      </c>
      <c r="O220" s="366">
        <v>45387</v>
      </c>
      <c r="P220" s="365" t="s">
        <v>264</v>
      </c>
      <c r="Q220" s="364">
        <v>45387</v>
      </c>
      <c r="R220" s="364">
        <v>45387</v>
      </c>
      <c r="S220" s="348" t="s">
        <v>1687</v>
      </c>
    </row>
    <row r="221" spans="1:20" ht="25.5" hidden="1" x14ac:dyDescent="0.25">
      <c r="A221" s="359">
        <v>0</v>
      </c>
      <c r="B221" s="49" t="s">
        <v>2552</v>
      </c>
      <c r="C221" s="49" t="s">
        <v>2187</v>
      </c>
      <c r="D221" s="49"/>
      <c r="E221" s="49">
        <v>183515</v>
      </c>
      <c r="F221" s="49" t="s">
        <v>2553</v>
      </c>
      <c r="G221" s="49" t="s">
        <v>2554</v>
      </c>
      <c r="H221" s="49" t="s">
        <v>2555</v>
      </c>
      <c r="I221" s="49" t="s">
        <v>2556</v>
      </c>
      <c r="J221" s="316">
        <v>45384</v>
      </c>
      <c r="K221" s="316">
        <v>45401</v>
      </c>
      <c r="L221" s="363" t="s">
        <v>47</v>
      </c>
      <c r="M221" s="317" t="s">
        <v>2557</v>
      </c>
      <c r="N221" s="317">
        <v>4</v>
      </c>
      <c r="O221" s="366">
        <v>45418</v>
      </c>
      <c r="P221" s="365" t="s">
        <v>264</v>
      </c>
      <c r="Q221" s="364">
        <v>45419</v>
      </c>
      <c r="R221" s="364">
        <v>45419</v>
      </c>
      <c r="S221" s="348" t="s">
        <v>1687</v>
      </c>
    </row>
    <row r="222" spans="1:20" ht="25.5" hidden="1" x14ac:dyDescent="0.25">
      <c r="A222" s="359">
        <v>0</v>
      </c>
      <c r="B222" s="49" t="s">
        <v>2558</v>
      </c>
      <c r="C222" s="49" t="s">
        <v>2187</v>
      </c>
      <c r="D222" s="49"/>
      <c r="E222" s="49">
        <v>183523</v>
      </c>
      <c r="F222" s="49" t="s">
        <v>2559</v>
      </c>
      <c r="G222" s="49" t="s">
        <v>2560</v>
      </c>
      <c r="H222" s="49" t="s">
        <v>2561</v>
      </c>
      <c r="I222" s="49" t="s">
        <v>2556</v>
      </c>
      <c r="J222" s="316">
        <v>45384</v>
      </c>
      <c r="K222" s="316">
        <v>45401</v>
      </c>
      <c r="L222" s="363" t="s">
        <v>47</v>
      </c>
      <c r="M222" s="317" t="s">
        <v>2562</v>
      </c>
      <c r="N222" s="317">
        <v>1</v>
      </c>
      <c r="O222" s="366">
        <v>45418</v>
      </c>
      <c r="P222" s="365" t="s">
        <v>264</v>
      </c>
      <c r="Q222" s="364">
        <v>45419</v>
      </c>
      <c r="R222" s="364">
        <v>45419</v>
      </c>
      <c r="S222" s="348" t="s">
        <v>1687</v>
      </c>
    </row>
    <row r="223" spans="1:20" ht="25.5" hidden="1" x14ac:dyDescent="0.25">
      <c r="A223" s="359">
        <v>0</v>
      </c>
      <c r="B223" s="49" t="s">
        <v>2563</v>
      </c>
      <c r="C223" s="49" t="s">
        <v>1781</v>
      </c>
      <c r="D223" s="49"/>
      <c r="E223" s="49">
        <v>183514</v>
      </c>
      <c r="F223" s="49" t="s">
        <v>2564</v>
      </c>
      <c r="G223" s="49" t="s">
        <v>1406</v>
      </c>
      <c r="H223" s="49" t="s">
        <v>2565</v>
      </c>
      <c r="I223" s="49" t="s">
        <v>2566</v>
      </c>
      <c r="J223" s="316">
        <v>45384</v>
      </c>
      <c r="K223" s="360">
        <v>45385</v>
      </c>
      <c r="L223" s="363" t="s">
        <v>28</v>
      </c>
      <c r="M223" s="317" t="s">
        <v>2567</v>
      </c>
      <c r="N223" s="317">
        <v>2</v>
      </c>
      <c r="O223" s="322">
        <v>45387</v>
      </c>
      <c r="P223" s="365" t="s">
        <v>264</v>
      </c>
      <c r="Q223" s="364">
        <v>45390</v>
      </c>
      <c r="R223" s="364">
        <v>45390</v>
      </c>
      <c r="S223" s="348" t="s">
        <v>1687</v>
      </c>
    </row>
    <row r="224" spans="1:20" ht="25.5" hidden="1" x14ac:dyDescent="0.25">
      <c r="A224" s="359">
        <v>0</v>
      </c>
      <c r="B224" s="49" t="s">
        <v>2568</v>
      </c>
      <c r="C224" s="49" t="s">
        <v>1711</v>
      </c>
      <c r="D224" s="49"/>
      <c r="E224" s="49">
        <v>183525</v>
      </c>
      <c r="F224" s="49" t="s">
        <v>2569</v>
      </c>
      <c r="G224" s="49" t="s">
        <v>2570</v>
      </c>
      <c r="H224" s="49" t="s">
        <v>2571</v>
      </c>
      <c r="I224" s="49" t="s">
        <v>2572</v>
      </c>
      <c r="J224" s="316">
        <v>45386</v>
      </c>
      <c r="K224" s="360">
        <v>45386</v>
      </c>
      <c r="L224" s="363" t="s">
        <v>28</v>
      </c>
      <c r="M224" s="317" t="s">
        <v>2573</v>
      </c>
      <c r="N224" s="317">
        <v>2</v>
      </c>
      <c r="O224" s="366">
        <v>45391</v>
      </c>
      <c r="P224" s="365" t="s">
        <v>264</v>
      </c>
      <c r="Q224" s="364">
        <v>45391</v>
      </c>
      <c r="R224" s="364">
        <v>45391</v>
      </c>
      <c r="S224" s="348" t="s">
        <v>1687</v>
      </c>
    </row>
    <row r="225" spans="1:19" ht="25.5" hidden="1" x14ac:dyDescent="0.25">
      <c r="A225" s="359">
        <v>0</v>
      </c>
      <c r="B225" s="49" t="s">
        <v>2574</v>
      </c>
      <c r="C225" s="49" t="s">
        <v>2059</v>
      </c>
      <c r="D225" s="49"/>
      <c r="E225" s="49">
        <v>183527</v>
      </c>
      <c r="F225" s="49" t="s">
        <v>2575</v>
      </c>
      <c r="G225" s="49" t="s">
        <v>2119</v>
      </c>
      <c r="H225" s="49" t="s">
        <v>2576</v>
      </c>
      <c r="I225" s="49" t="s">
        <v>2121</v>
      </c>
      <c r="J225" s="316">
        <v>45386</v>
      </c>
      <c r="K225" s="402">
        <v>45392</v>
      </c>
      <c r="L225" s="363" t="s">
        <v>28</v>
      </c>
      <c r="M225" s="317" t="s">
        <v>2122</v>
      </c>
      <c r="N225" s="317">
        <v>2</v>
      </c>
      <c r="O225" s="366">
        <v>45392</v>
      </c>
      <c r="P225" s="365" t="s">
        <v>264</v>
      </c>
      <c r="Q225" s="364">
        <v>45392</v>
      </c>
      <c r="R225" s="364">
        <v>45392</v>
      </c>
      <c r="S225" s="348" t="s">
        <v>1687</v>
      </c>
    </row>
    <row r="226" spans="1:19" ht="25.5" hidden="1" x14ac:dyDescent="0.25">
      <c r="A226" s="359">
        <v>0</v>
      </c>
      <c r="B226" s="49" t="s">
        <v>2577</v>
      </c>
      <c r="C226" s="49" t="s">
        <v>1904</v>
      </c>
      <c r="D226" s="49"/>
      <c r="E226" s="49">
        <v>183516</v>
      </c>
      <c r="F226" s="49" t="s">
        <v>2578</v>
      </c>
      <c r="G226" s="49" t="s">
        <v>1909</v>
      </c>
      <c r="H226" s="49" t="s">
        <v>1910</v>
      </c>
      <c r="I226" s="49" t="s">
        <v>1902</v>
      </c>
      <c r="J226" s="316">
        <v>45385</v>
      </c>
      <c r="K226" s="360">
        <v>45390</v>
      </c>
      <c r="L226" s="363" t="s">
        <v>47</v>
      </c>
      <c r="M226" s="317">
        <v>44340</v>
      </c>
      <c r="N226" s="317">
        <v>18</v>
      </c>
      <c r="O226" s="366">
        <v>45412</v>
      </c>
      <c r="P226" s="365" t="s">
        <v>264</v>
      </c>
      <c r="Q226" s="364">
        <v>45412</v>
      </c>
      <c r="R226" s="364">
        <v>45412</v>
      </c>
      <c r="S226" s="348" t="s">
        <v>1687</v>
      </c>
    </row>
    <row r="227" spans="1:19" ht="25.5" hidden="1" x14ac:dyDescent="0.25">
      <c r="A227" s="359">
        <v>0</v>
      </c>
      <c r="B227" s="49" t="s">
        <v>2579</v>
      </c>
      <c r="C227" s="49" t="s">
        <v>1904</v>
      </c>
      <c r="D227" s="49"/>
      <c r="E227" s="49">
        <v>183517</v>
      </c>
      <c r="F227" s="49" t="s">
        <v>2580</v>
      </c>
      <c r="G227" s="49" t="s">
        <v>2581</v>
      </c>
      <c r="H227" s="49" t="s">
        <v>2582</v>
      </c>
      <c r="I227" s="49" t="s">
        <v>1902</v>
      </c>
      <c r="J227" s="316">
        <v>45385</v>
      </c>
      <c r="K227" s="360">
        <v>45390</v>
      </c>
      <c r="L227" s="317" t="s">
        <v>47</v>
      </c>
      <c r="M227" s="317" t="s">
        <v>235</v>
      </c>
      <c r="N227" s="317">
        <v>18</v>
      </c>
      <c r="O227" s="366">
        <v>45412</v>
      </c>
      <c r="P227" s="365" t="s">
        <v>264</v>
      </c>
      <c r="Q227" s="364">
        <v>45412</v>
      </c>
      <c r="R227" s="364">
        <v>45412</v>
      </c>
      <c r="S227" s="348" t="s">
        <v>1687</v>
      </c>
    </row>
    <row r="228" spans="1:19" ht="25.5" hidden="1" x14ac:dyDescent="0.25">
      <c r="A228" s="359">
        <v>0</v>
      </c>
      <c r="B228" s="49" t="s">
        <v>2583</v>
      </c>
      <c r="C228" s="49" t="s">
        <v>1904</v>
      </c>
      <c r="D228" s="49"/>
      <c r="E228" s="49">
        <v>183518</v>
      </c>
      <c r="F228" s="49" t="s">
        <v>2584</v>
      </c>
      <c r="G228" s="49" t="s">
        <v>2581</v>
      </c>
      <c r="H228" s="49" t="s">
        <v>2585</v>
      </c>
      <c r="I228" s="49" t="s">
        <v>1902</v>
      </c>
      <c r="J228" s="316">
        <v>45385</v>
      </c>
      <c r="K228" s="360">
        <v>45390</v>
      </c>
      <c r="L228" s="317" t="s">
        <v>47</v>
      </c>
      <c r="M228" s="317" t="s">
        <v>235</v>
      </c>
      <c r="N228" s="367">
        <v>14</v>
      </c>
      <c r="O228" s="366">
        <v>45412</v>
      </c>
      <c r="P228" s="365" t="s">
        <v>264</v>
      </c>
      <c r="Q228" s="364">
        <v>45412</v>
      </c>
      <c r="R228" s="364">
        <v>45412</v>
      </c>
      <c r="S228" s="348" t="s">
        <v>1687</v>
      </c>
    </row>
    <row r="229" spans="1:19" ht="25.5" hidden="1" x14ac:dyDescent="0.25">
      <c r="A229" s="359">
        <v>0</v>
      </c>
      <c r="B229" s="49" t="s">
        <v>2586</v>
      </c>
      <c r="C229" s="49" t="s">
        <v>1904</v>
      </c>
      <c r="D229" s="49"/>
      <c r="E229" s="49">
        <v>183519</v>
      </c>
      <c r="F229" s="49" t="s">
        <v>2587</v>
      </c>
      <c r="G229" s="49" t="s">
        <v>1909</v>
      </c>
      <c r="H229" s="49" t="s">
        <v>229</v>
      </c>
      <c r="I229" s="49" t="s">
        <v>1902</v>
      </c>
      <c r="J229" s="316">
        <v>45385</v>
      </c>
      <c r="K229" s="360">
        <v>45390</v>
      </c>
      <c r="L229" s="363" t="s">
        <v>47</v>
      </c>
      <c r="M229" s="317" t="s">
        <v>231</v>
      </c>
      <c r="N229" s="367">
        <v>5</v>
      </c>
      <c r="O229" s="366">
        <v>45412</v>
      </c>
      <c r="P229" s="365" t="s">
        <v>264</v>
      </c>
      <c r="Q229" s="364">
        <v>45412</v>
      </c>
      <c r="R229" s="364">
        <v>45412</v>
      </c>
      <c r="S229" s="348" t="s">
        <v>1687</v>
      </c>
    </row>
    <row r="230" spans="1:19" ht="38.25" hidden="1" x14ac:dyDescent="0.25">
      <c r="A230" s="359">
        <v>0</v>
      </c>
      <c r="B230" s="49" t="s">
        <v>2588</v>
      </c>
      <c r="C230" s="49" t="s">
        <v>2589</v>
      </c>
      <c r="D230" s="49"/>
      <c r="E230" s="49">
        <v>183526</v>
      </c>
      <c r="F230" s="49" t="s">
        <v>2590</v>
      </c>
      <c r="G230" s="316" t="s">
        <v>2591</v>
      </c>
      <c r="H230" s="316" t="s">
        <v>2592</v>
      </c>
      <c r="I230" s="316" t="s">
        <v>2593</v>
      </c>
      <c r="J230" s="316">
        <v>45385</v>
      </c>
      <c r="K230" s="360">
        <v>45393</v>
      </c>
      <c r="L230" s="322" t="s">
        <v>47</v>
      </c>
      <c r="M230" s="367" t="s">
        <v>2594</v>
      </c>
      <c r="N230" s="367">
        <v>4</v>
      </c>
      <c r="O230" s="366">
        <v>45401</v>
      </c>
      <c r="P230" s="365" t="s">
        <v>264</v>
      </c>
      <c r="Q230" s="364">
        <v>45401</v>
      </c>
      <c r="R230" s="364">
        <v>45401</v>
      </c>
      <c r="S230" s="348" t="s">
        <v>1687</v>
      </c>
    </row>
    <row r="231" spans="1:19" hidden="1" x14ac:dyDescent="0.25">
      <c r="A231" s="359">
        <v>0</v>
      </c>
      <c r="B231" s="49" t="s">
        <v>2595</v>
      </c>
      <c r="C231" s="49" t="s">
        <v>2596</v>
      </c>
      <c r="D231" s="49"/>
      <c r="E231" s="49">
        <v>183533</v>
      </c>
      <c r="F231" s="49" t="s">
        <v>2597</v>
      </c>
      <c r="G231" s="316" t="s">
        <v>1147</v>
      </c>
      <c r="H231" s="316" t="s">
        <v>2598</v>
      </c>
      <c r="I231" s="316" t="s">
        <v>2599</v>
      </c>
      <c r="J231" s="316">
        <v>45390</v>
      </c>
      <c r="K231" s="360">
        <v>45393</v>
      </c>
      <c r="L231" s="363" t="s">
        <v>47</v>
      </c>
      <c r="M231" s="367" t="s">
        <v>2600</v>
      </c>
      <c r="N231" s="367">
        <v>2</v>
      </c>
      <c r="O231" s="366">
        <v>45415</v>
      </c>
      <c r="P231" s="364" t="s">
        <v>264</v>
      </c>
      <c r="Q231" s="364">
        <v>45415</v>
      </c>
      <c r="R231" s="364">
        <v>45415</v>
      </c>
      <c r="S231" s="348" t="s">
        <v>1687</v>
      </c>
    </row>
    <row r="232" spans="1:19" ht="25.5" hidden="1" x14ac:dyDescent="0.25">
      <c r="A232" s="359">
        <v>0</v>
      </c>
      <c r="B232" s="49" t="s">
        <v>2601</v>
      </c>
      <c r="C232" s="49" t="s">
        <v>1820</v>
      </c>
      <c r="D232" s="49"/>
      <c r="E232" s="49">
        <v>183532</v>
      </c>
      <c r="F232" s="49" t="s">
        <v>2602</v>
      </c>
      <c r="G232" s="49" t="s">
        <v>427</v>
      </c>
      <c r="H232" s="49" t="s">
        <v>2603</v>
      </c>
      <c r="I232" s="49" t="s">
        <v>2604</v>
      </c>
      <c r="J232" s="316">
        <v>45392</v>
      </c>
      <c r="K232" s="360">
        <v>45394</v>
      </c>
      <c r="L232" s="363" t="s">
        <v>47</v>
      </c>
      <c r="M232" s="317" t="s">
        <v>2605</v>
      </c>
      <c r="N232" s="317">
        <v>1</v>
      </c>
      <c r="O232" s="366">
        <v>45399</v>
      </c>
      <c r="P232" s="365" t="s">
        <v>264</v>
      </c>
      <c r="Q232" s="364">
        <v>45400</v>
      </c>
      <c r="R232" s="364">
        <v>45400</v>
      </c>
      <c r="S232" s="348" t="s">
        <v>1687</v>
      </c>
    </row>
    <row r="233" spans="1:19" ht="25.5" hidden="1" x14ac:dyDescent="0.25">
      <c r="A233" s="359">
        <v>0</v>
      </c>
      <c r="B233" s="49" t="s">
        <v>2606</v>
      </c>
      <c r="C233" s="49" t="s">
        <v>1775</v>
      </c>
      <c r="D233" s="49"/>
      <c r="E233" s="49">
        <v>183534</v>
      </c>
      <c r="F233" s="49"/>
      <c r="G233" s="49"/>
      <c r="H233" s="49"/>
      <c r="I233" s="49"/>
      <c r="J233" s="316"/>
      <c r="K233" s="360"/>
      <c r="L233" s="322"/>
      <c r="M233" s="317"/>
      <c r="N233" s="317"/>
      <c r="O233" s="366"/>
      <c r="P233" s="365"/>
      <c r="Q233" s="364"/>
      <c r="R233" s="364"/>
      <c r="S233" s="348"/>
    </row>
    <row r="234" spans="1:19" ht="25.5" hidden="1" x14ac:dyDescent="0.25">
      <c r="A234" s="359">
        <v>0</v>
      </c>
      <c r="B234" s="49" t="s">
        <v>2607</v>
      </c>
      <c r="C234" s="49" t="s">
        <v>1775</v>
      </c>
      <c r="D234" s="49"/>
      <c r="E234" s="49">
        <v>183535</v>
      </c>
      <c r="F234" s="49"/>
      <c r="G234" s="49"/>
      <c r="H234" s="49"/>
      <c r="I234" s="49"/>
      <c r="J234" s="316"/>
      <c r="K234" s="360"/>
      <c r="L234" s="322"/>
      <c r="M234" s="317"/>
      <c r="N234" s="317"/>
      <c r="O234" s="366"/>
      <c r="P234" s="365"/>
      <c r="Q234" s="364"/>
      <c r="R234" s="364"/>
      <c r="S234" s="348"/>
    </row>
    <row r="235" spans="1:19" ht="25.5" hidden="1" x14ac:dyDescent="0.25">
      <c r="A235" s="359">
        <v>0</v>
      </c>
      <c r="B235" s="49" t="s">
        <v>2608</v>
      </c>
      <c r="C235" s="49" t="s">
        <v>1775</v>
      </c>
      <c r="D235" s="49"/>
      <c r="E235" s="49">
        <v>183536</v>
      </c>
      <c r="F235" s="49"/>
      <c r="G235" s="49"/>
      <c r="H235" s="49"/>
      <c r="I235" s="49"/>
      <c r="J235" s="316"/>
      <c r="K235" s="360"/>
      <c r="L235" s="322"/>
      <c r="M235" s="317"/>
      <c r="N235" s="317"/>
      <c r="O235" s="366"/>
      <c r="P235" s="365"/>
      <c r="Q235" s="364"/>
      <c r="R235" s="364"/>
      <c r="S235" s="348"/>
    </row>
    <row r="236" spans="1:19" ht="25.5" hidden="1" x14ac:dyDescent="0.25">
      <c r="A236" s="359">
        <v>0</v>
      </c>
      <c r="B236" s="49" t="s">
        <v>2609</v>
      </c>
      <c r="C236" s="49" t="s">
        <v>2059</v>
      </c>
      <c r="D236" s="49"/>
      <c r="E236" s="49">
        <v>183502</v>
      </c>
      <c r="F236" s="49" t="s">
        <v>2610</v>
      </c>
      <c r="G236" s="49" t="s">
        <v>2611</v>
      </c>
      <c r="H236" s="49" t="s">
        <v>2612</v>
      </c>
      <c r="I236" s="49" t="s">
        <v>2613</v>
      </c>
      <c r="J236" s="316">
        <v>45383</v>
      </c>
      <c r="K236" s="360">
        <v>45387</v>
      </c>
      <c r="L236" s="363" t="s">
        <v>47</v>
      </c>
      <c r="M236" s="317">
        <v>2134179</v>
      </c>
      <c r="N236" s="317">
        <v>1</v>
      </c>
      <c r="O236" s="366">
        <v>45399</v>
      </c>
      <c r="P236" s="365" t="s">
        <v>264</v>
      </c>
      <c r="Q236" s="364">
        <v>45400</v>
      </c>
      <c r="R236" s="364">
        <v>45400</v>
      </c>
      <c r="S236" s="348" t="s">
        <v>1687</v>
      </c>
    </row>
    <row r="237" spans="1:19" ht="38.25" hidden="1" x14ac:dyDescent="0.25">
      <c r="A237" s="359">
        <v>0</v>
      </c>
      <c r="B237" s="49" t="s">
        <v>2614</v>
      </c>
      <c r="C237" s="49" t="s">
        <v>1791</v>
      </c>
      <c r="D237" s="49"/>
      <c r="E237" s="49">
        <v>183539</v>
      </c>
      <c r="F237" s="49" t="s">
        <v>2615</v>
      </c>
      <c r="G237" s="49" t="s">
        <v>2616</v>
      </c>
      <c r="H237" s="49" t="s">
        <v>2617</v>
      </c>
      <c r="I237" s="49" t="s">
        <v>2618</v>
      </c>
      <c r="J237" s="316">
        <v>45394</v>
      </c>
      <c r="K237" s="360">
        <v>45407</v>
      </c>
      <c r="L237" s="322" t="s">
        <v>47</v>
      </c>
      <c r="M237" s="317" t="s">
        <v>2619</v>
      </c>
      <c r="N237" s="317">
        <v>8</v>
      </c>
      <c r="O237" s="366">
        <v>45512</v>
      </c>
      <c r="P237" s="365" t="s">
        <v>264</v>
      </c>
      <c r="Q237" s="364">
        <v>45512</v>
      </c>
      <c r="R237" s="364">
        <v>45512</v>
      </c>
      <c r="S237" s="348"/>
    </row>
    <row r="238" spans="1:19" ht="14.25" hidden="1" x14ac:dyDescent="0.25">
      <c r="A238" s="359">
        <v>0</v>
      </c>
      <c r="B238" s="49" t="s">
        <v>2620</v>
      </c>
      <c r="C238" s="49" t="s">
        <v>1680</v>
      </c>
      <c r="D238" s="49"/>
      <c r="E238" s="49">
        <v>183541</v>
      </c>
      <c r="F238" s="49" t="s">
        <v>2621</v>
      </c>
      <c r="G238" s="49" t="s">
        <v>2622</v>
      </c>
      <c r="H238" s="49" t="s">
        <v>2623</v>
      </c>
      <c r="I238" s="49" t="s">
        <v>143</v>
      </c>
      <c r="J238" s="316">
        <v>45397</v>
      </c>
      <c r="K238" s="360">
        <v>45398</v>
      </c>
      <c r="L238" s="363" t="s">
        <v>28</v>
      </c>
      <c r="M238" s="317" t="s">
        <v>2624</v>
      </c>
      <c r="N238" s="317">
        <v>1</v>
      </c>
      <c r="O238" s="366">
        <v>45400</v>
      </c>
      <c r="P238" s="365" t="s">
        <v>264</v>
      </c>
      <c r="Q238" s="364">
        <v>45400</v>
      </c>
      <c r="R238" s="364">
        <v>45400</v>
      </c>
      <c r="S238" s="348" t="s">
        <v>1687</v>
      </c>
    </row>
    <row r="239" spans="1:19" ht="38.25" hidden="1" x14ac:dyDescent="0.25">
      <c r="A239" s="359">
        <v>0</v>
      </c>
      <c r="B239" s="49" t="s">
        <v>2625</v>
      </c>
      <c r="C239" s="49" t="s">
        <v>2626</v>
      </c>
      <c r="D239" s="49"/>
      <c r="E239" s="49">
        <v>183542</v>
      </c>
      <c r="F239" s="49" t="s">
        <v>2627</v>
      </c>
      <c r="G239" s="49" t="s">
        <v>2628</v>
      </c>
      <c r="H239" s="49" t="s">
        <v>2629</v>
      </c>
      <c r="I239" s="49" t="s">
        <v>2630</v>
      </c>
      <c r="J239" s="316"/>
      <c r="K239" s="316"/>
      <c r="L239" s="363" t="s">
        <v>47</v>
      </c>
      <c r="M239" s="317" t="s">
        <v>2631</v>
      </c>
      <c r="N239" s="317">
        <v>2</v>
      </c>
      <c r="O239" s="366">
        <v>45450</v>
      </c>
      <c r="P239" s="365" t="s">
        <v>264</v>
      </c>
      <c r="Q239" s="364">
        <v>45450</v>
      </c>
      <c r="R239" s="364">
        <v>45450</v>
      </c>
      <c r="S239" s="348" t="s">
        <v>1687</v>
      </c>
    </row>
    <row r="240" spans="1:19" ht="38.25" hidden="1" x14ac:dyDescent="0.25">
      <c r="A240" s="359">
        <v>0</v>
      </c>
      <c r="B240" s="49" t="s">
        <v>2632</v>
      </c>
      <c r="C240" s="49" t="s">
        <v>2626</v>
      </c>
      <c r="D240" s="49"/>
      <c r="E240" s="49">
        <v>183543</v>
      </c>
      <c r="F240" s="49" t="s">
        <v>2633</v>
      </c>
      <c r="G240" s="49" t="s">
        <v>2634</v>
      </c>
      <c r="H240" s="49" t="s">
        <v>2635</v>
      </c>
      <c r="I240" s="49" t="s">
        <v>2630</v>
      </c>
      <c r="J240" s="316"/>
      <c r="K240" s="360"/>
      <c r="L240" s="363" t="s">
        <v>47</v>
      </c>
      <c r="M240" s="317" t="s">
        <v>2636</v>
      </c>
      <c r="N240" s="317">
        <v>2</v>
      </c>
      <c r="O240" s="366">
        <v>45450</v>
      </c>
      <c r="P240" s="365" t="s">
        <v>264</v>
      </c>
      <c r="Q240" s="364">
        <v>45450</v>
      </c>
      <c r="R240" s="364">
        <v>45450</v>
      </c>
      <c r="S240" s="348" t="s">
        <v>1687</v>
      </c>
    </row>
    <row r="241" spans="1:19" ht="25.5" hidden="1" x14ac:dyDescent="0.25">
      <c r="A241" s="359">
        <v>0</v>
      </c>
      <c r="B241" s="49" t="s">
        <v>2637</v>
      </c>
      <c r="C241" s="49" t="s">
        <v>1820</v>
      </c>
      <c r="D241" s="49"/>
      <c r="E241" s="49">
        <v>183545</v>
      </c>
      <c r="F241" s="49" t="s">
        <v>2638</v>
      </c>
      <c r="G241" s="49" t="s">
        <v>454</v>
      </c>
      <c r="H241" s="49" t="s">
        <v>2639</v>
      </c>
      <c r="I241" s="49" t="s">
        <v>2640</v>
      </c>
      <c r="J241" s="316">
        <v>45398</v>
      </c>
      <c r="K241" s="360">
        <v>45399</v>
      </c>
      <c r="L241" s="363" t="s">
        <v>47</v>
      </c>
      <c r="M241" s="317" t="s">
        <v>2641</v>
      </c>
      <c r="N241" s="317">
        <v>4</v>
      </c>
      <c r="O241" s="366">
        <v>45399</v>
      </c>
      <c r="P241" s="365" t="s">
        <v>264</v>
      </c>
      <c r="Q241" s="364">
        <v>45400</v>
      </c>
      <c r="R241" s="364">
        <v>45400</v>
      </c>
      <c r="S241" s="348" t="s">
        <v>1687</v>
      </c>
    </row>
    <row r="242" spans="1:19" ht="25.5" hidden="1" x14ac:dyDescent="0.25">
      <c r="A242" s="359">
        <v>0</v>
      </c>
      <c r="B242" s="49" t="s">
        <v>2642</v>
      </c>
      <c r="C242" s="49" t="s">
        <v>2643</v>
      </c>
      <c r="D242" s="49"/>
      <c r="E242" s="49">
        <v>183464</v>
      </c>
      <c r="F242" s="49" t="s">
        <v>2644</v>
      </c>
      <c r="G242" s="49" t="s">
        <v>2645</v>
      </c>
      <c r="H242" s="49" t="s">
        <v>2646</v>
      </c>
      <c r="I242" s="49" t="s">
        <v>2647</v>
      </c>
      <c r="J242" s="316">
        <v>45357</v>
      </c>
      <c r="K242" s="360">
        <v>45363</v>
      </c>
      <c r="L242" s="363" t="s">
        <v>47</v>
      </c>
      <c r="M242" s="317" t="s">
        <v>2648</v>
      </c>
      <c r="N242" s="317">
        <v>1</v>
      </c>
      <c r="O242" s="366">
        <v>45575</v>
      </c>
      <c r="P242" s="365" t="s">
        <v>30</v>
      </c>
      <c r="Q242" s="364">
        <v>45581</v>
      </c>
      <c r="R242" s="364">
        <v>45581</v>
      </c>
      <c r="S242" s="348"/>
    </row>
    <row r="243" spans="1:19" ht="25.5" hidden="1" x14ac:dyDescent="0.25">
      <c r="A243" s="359">
        <v>0</v>
      </c>
      <c r="B243" s="49" t="s">
        <v>2649</v>
      </c>
      <c r="C243" s="49" t="s">
        <v>2650</v>
      </c>
      <c r="D243" s="49"/>
      <c r="E243" s="49">
        <v>183546</v>
      </c>
      <c r="F243" s="372"/>
      <c r="G243" s="49" t="s">
        <v>538</v>
      </c>
      <c r="H243" s="49"/>
      <c r="I243" s="404" t="s">
        <v>2651</v>
      </c>
      <c r="J243" s="316" t="s">
        <v>2652</v>
      </c>
      <c r="K243" s="316"/>
      <c r="L243" s="403"/>
      <c r="M243" s="317"/>
      <c r="N243" s="317"/>
      <c r="O243" s="366"/>
      <c r="P243" s="365"/>
      <c r="Q243" s="364"/>
      <c r="R243" s="364"/>
      <c r="S243" s="348"/>
    </row>
    <row r="244" spans="1:19" ht="25.5" hidden="1" x14ac:dyDescent="0.25">
      <c r="A244" s="359">
        <v>0</v>
      </c>
      <c r="B244" s="49" t="s">
        <v>2653</v>
      </c>
      <c r="C244" s="49" t="s">
        <v>2650</v>
      </c>
      <c r="D244" s="49"/>
      <c r="E244" s="49">
        <v>183547</v>
      </c>
      <c r="F244" s="49"/>
      <c r="G244" s="49" t="s">
        <v>2654</v>
      </c>
      <c r="H244" s="49"/>
      <c r="I244" s="404" t="s">
        <v>2651</v>
      </c>
      <c r="J244" s="316" t="s">
        <v>2652</v>
      </c>
      <c r="K244" s="360"/>
      <c r="L244" s="363"/>
      <c r="M244" s="317"/>
      <c r="N244" s="317"/>
      <c r="O244" s="366"/>
      <c r="P244" s="365"/>
      <c r="Q244" s="364"/>
      <c r="R244" s="364"/>
      <c r="S244" s="348"/>
    </row>
    <row r="245" spans="1:19" ht="25.5" hidden="1" x14ac:dyDescent="0.25">
      <c r="A245" s="359">
        <v>0</v>
      </c>
      <c r="B245" s="49" t="s">
        <v>2655</v>
      </c>
      <c r="C245" s="49" t="s">
        <v>2650</v>
      </c>
      <c r="D245" s="49"/>
      <c r="E245" s="49">
        <v>183548</v>
      </c>
      <c r="F245" s="49"/>
      <c r="G245" s="49" t="s">
        <v>2656</v>
      </c>
      <c r="H245" s="49"/>
      <c r="I245" s="404" t="s">
        <v>2651</v>
      </c>
      <c r="J245" s="316" t="s">
        <v>2652</v>
      </c>
      <c r="K245" s="360"/>
      <c r="L245" s="322"/>
      <c r="M245" s="317"/>
      <c r="N245" s="317"/>
      <c r="O245" s="366"/>
      <c r="P245" s="365"/>
      <c r="Q245" s="364"/>
      <c r="R245" s="364"/>
      <c r="S245" s="348"/>
    </row>
    <row r="246" spans="1:19" ht="25.5" hidden="1" x14ac:dyDescent="0.25">
      <c r="A246" s="359">
        <v>0</v>
      </c>
      <c r="B246" s="49" t="s">
        <v>2657</v>
      </c>
      <c r="C246" s="49" t="s">
        <v>1711</v>
      </c>
      <c r="D246" s="49"/>
      <c r="E246" s="49">
        <v>183445</v>
      </c>
      <c r="F246" s="49" t="s">
        <v>2046</v>
      </c>
      <c r="G246" s="49" t="s">
        <v>2125</v>
      </c>
      <c r="H246" s="49" t="s">
        <v>2126</v>
      </c>
      <c r="I246" s="49" t="s">
        <v>1715</v>
      </c>
      <c r="J246" s="316">
        <v>45348</v>
      </c>
      <c r="K246" s="316">
        <v>45348</v>
      </c>
      <c r="L246" s="363" t="s">
        <v>47</v>
      </c>
      <c r="M246" s="317" t="s">
        <v>2127</v>
      </c>
      <c r="N246" s="317">
        <v>3</v>
      </c>
      <c r="O246" s="366">
        <v>45406</v>
      </c>
      <c r="P246" s="365" t="s">
        <v>264</v>
      </c>
      <c r="Q246" s="364">
        <v>45406</v>
      </c>
      <c r="R246" s="364">
        <v>45422</v>
      </c>
      <c r="S246" s="348" t="s">
        <v>1687</v>
      </c>
    </row>
    <row r="247" spans="1:19" ht="25.5" hidden="1" x14ac:dyDescent="0.25">
      <c r="A247" s="359">
        <v>0</v>
      </c>
      <c r="B247" s="49" t="s">
        <v>2658</v>
      </c>
      <c r="C247" s="49" t="s">
        <v>1781</v>
      </c>
      <c r="D247" s="49"/>
      <c r="E247" s="49">
        <v>183551</v>
      </c>
      <c r="F247" s="49" t="s">
        <v>2659</v>
      </c>
      <c r="G247" s="49" t="s">
        <v>547</v>
      </c>
      <c r="H247" s="49" t="s">
        <v>2660</v>
      </c>
      <c r="I247" s="49" t="s">
        <v>36</v>
      </c>
      <c r="J247" s="316">
        <v>45401</v>
      </c>
      <c r="K247" s="360">
        <v>45401</v>
      </c>
      <c r="L247" s="322" t="s">
        <v>47</v>
      </c>
      <c r="M247" s="317" t="s">
        <v>1709</v>
      </c>
      <c r="N247" s="317">
        <v>20</v>
      </c>
      <c r="O247" s="366">
        <v>45408</v>
      </c>
      <c r="P247" s="365" t="s">
        <v>264</v>
      </c>
      <c r="Q247" s="364">
        <v>45408</v>
      </c>
      <c r="R247" s="364">
        <v>45408</v>
      </c>
      <c r="S247" s="348" t="s">
        <v>1687</v>
      </c>
    </row>
    <row r="248" spans="1:19" ht="14.25" hidden="1" x14ac:dyDescent="0.25">
      <c r="A248" s="359">
        <v>0</v>
      </c>
      <c r="B248" s="49" t="s">
        <v>2661</v>
      </c>
      <c r="C248" s="49" t="s">
        <v>1680</v>
      </c>
      <c r="D248" s="49"/>
      <c r="E248" s="49">
        <v>183552</v>
      </c>
      <c r="F248" s="49" t="s">
        <v>2662</v>
      </c>
      <c r="G248" s="49" t="s">
        <v>2622</v>
      </c>
      <c r="H248" s="49" t="s">
        <v>2663</v>
      </c>
      <c r="I248" s="49" t="s">
        <v>143</v>
      </c>
      <c r="J248" s="316">
        <v>45397</v>
      </c>
      <c r="K248" s="360" t="s">
        <v>2664</v>
      </c>
      <c r="L248" s="363" t="s">
        <v>47</v>
      </c>
      <c r="M248" s="317" t="s">
        <v>2624</v>
      </c>
      <c r="N248" s="317">
        <v>5</v>
      </c>
      <c r="O248" s="366">
        <v>45407</v>
      </c>
      <c r="P248" s="365" t="s">
        <v>264</v>
      </c>
      <c r="Q248" s="364">
        <v>45407</v>
      </c>
      <c r="R248" s="364">
        <v>45407</v>
      </c>
      <c r="S248" s="348" t="s">
        <v>1687</v>
      </c>
    </row>
    <row r="249" spans="1:19" ht="25.5" hidden="1" x14ac:dyDescent="0.25">
      <c r="A249" s="359">
        <v>0</v>
      </c>
      <c r="B249" s="49" t="s">
        <v>2665</v>
      </c>
      <c r="C249" s="49" t="s">
        <v>1820</v>
      </c>
      <c r="D249" s="49"/>
      <c r="E249" s="49">
        <v>183553</v>
      </c>
      <c r="F249" s="49" t="s">
        <v>2666</v>
      </c>
      <c r="G249" s="29" t="s">
        <v>427</v>
      </c>
      <c r="H249" s="49" t="s">
        <v>2639</v>
      </c>
      <c r="I249" s="49" t="s">
        <v>2604</v>
      </c>
      <c r="J249" s="316">
        <v>45404</v>
      </c>
      <c r="K249" s="360">
        <v>45404</v>
      </c>
      <c r="L249" s="363" t="s">
        <v>47</v>
      </c>
      <c r="M249" s="317" t="s">
        <v>430</v>
      </c>
      <c r="N249" s="317">
        <v>4</v>
      </c>
      <c r="O249" s="366">
        <v>45407</v>
      </c>
      <c r="P249" s="365" t="s">
        <v>264</v>
      </c>
      <c r="Q249" s="364">
        <v>45407</v>
      </c>
      <c r="R249" s="364">
        <v>45407</v>
      </c>
      <c r="S249" s="348" t="s">
        <v>1687</v>
      </c>
    </row>
    <row r="250" spans="1:19" ht="14.25" hidden="1" x14ac:dyDescent="0.25">
      <c r="A250" s="359">
        <v>0</v>
      </c>
      <c r="B250" s="49" t="s">
        <v>2667</v>
      </c>
      <c r="C250" s="49" t="s">
        <v>83</v>
      </c>
      <c r="D250" s="49"/>
      <c r="E250" s="49">
        <v>183528</v>
      </c>
      <c r="F250" s="49" t="s">
        <v>2668</v>
      </c>
      <c r="G250" s="49" t="s">
        <v>291</v>
      </c>
      <c r="H250" s="49" t="s">
        <v>292</v>
      </c>
      <c r="I250" s="49" t="s">
        <v>73</v>
      </c>
      <c r="J250" s="316">
        <v>45441</v>
      </c>
      <c r="K250" s="360">
        <v>45441</v>
      </c>
      <c r="L250" s="363" t="s">
        <v>28</v>
      </c>
      <c r="M250" s="317" t="s">
        <v>293</v>
      </c>
      <c r="N250" s="317">
        <v>15</v>
      </c>
      <c r="O250" s="366">
        <v>45447</v>
      </c>
      <c r="P250" s="365" t="s">
        <v>264</v>
      </c>
      <c r="Q250" s="364">
        <v>45456</v>
      </c>
      <c r="R250" s="364">
        <v>45456</v>
      </c>
      <c r="S250" s="348" t="s">
        <v>1687</v>
      </c>
    </row>
    <row r="251" spans="1:19" ht="25.7" hidden="1" x14ac:dyDescent="0.25">
      <c r="A251" s="359">
        <v>0</v>
      </c>
      <c r="B251" s="49" t="s">
        <v>2669</v>
      </c>
      <c r="C251" s="49" t="s">
        <v>83</v>
      </c>
      <c r="D251" s="49"/>
      <c r="E251" s="49">
        <v>183528</v>
      </c>
      <c r="F251" s="49" t="s">
        <v>2670</v>
      </c>
      <c r="G251" s="49" t="s">
        <v>291</v>
      </c>
      <c r="H251" s="49" t="s">
        <v>2671</v>
      </c>
      <c r="I251" s="49" t="s">
        <v>1730</v>
      </c>
      <c r="J251" s="316">
        <v>45462</v>
      </c>
      <c r="K251" s="360">
        <v>45441</v>
      </c>
      <c r="L251" s="363" t="s">
        <v>28</v>
      </c>
      <c r="M251" s="317" t="s">
        <v>2672</v>
      </c>
      <c r="N251" s="317">
        <v>9</v>
      </c>
      <c r="O251" s="366">
        <v>45463</v>
      </c>
      <c r="P251" s="365" t="s">
        <v>264</v>
      </c>
      <c r="Q251" s="364">
        <v>45467</v>
      </c>
      <c r="R251" s="364">
        <v>45467</v>
      </c>
      <c r="S251" s="348"/>
    </row>
    <row r="252" spans="1:19" hidden="1" x14ac:dyDescent="0.25">
      <c r="A252" s="359">
        <v>0</v>
      </c>
      <c r="B252" s="49" t="s">
        <v>2673</v>
      </c>
      <c r="C252" s="49" t="s">
        <v>83</v>
      </c>
      <c r="D252" s="49"/>
      <c r="E252" s="49">
        <v>183528</v>
      </c>
      <c r="F252" s="49" t="s">
        <v>2674</v>
      </c>
      <c r="G252" s="49" t="s">
        <v>1724</v>
      </c>
      <c r="H252" s="49" t="s">
        <v>82</v>
      </c>
      <c r="I252" s="49" t="s">
        <v>73</v>
      </c>
      <c r="J252" s="316">
        <v>45462</v>
      </c>
      <c r="K252" s="360">
        <v>45441</v>
      </c>
      <c r="L252" s="363" t="s">
        <v>28</v>
      </c>
      <c r="M252" s="317" t="s">
        <v>84</v>
      </c>
      <c r="N252" s="317">
        <v>1</v>
      </c>
      <c r="O252" s="366">
        <v>45463</v>
      </c>
      <c r="P252" s="365" t="s">
        <v>264</v>
      </c>
      <c r="Q252" s="364">
        <v>45467</v>
      </c>
      <c r="R252" s="364">
        <v>45467</v>
      </c>
      <c r="S252" s="348"/>
    </row>
    <row r="253" spans="1:19" ht="14.25" hidden="1" x14ac:dyDescent="0.25">
      <c r="A253" s="359">
        <v>0</v>
      </c>
      <c r="B253" s="49" t="s">
        <v>2675</v>
      </c>
      <c r="C253" s="49" t="s">
        <v>83</v>
      </c>
      <c r="D253" s="49"/>
      <c r="E253" s="49">
        <v>183528</v>
      </c>
      <c r="F253" s="49" t="s">
        <v>2676</v>
      </c>
      <c r="G253" s="49" t="s">
        <v>2677</v>
      </c>
      <c r="H253" s="49" t="s">
        <v>2678</v>
      </c>
      <c r="I253" s="49" t="s">
        <v>73</v>
      </c>
      <c r="J253" s="316">
        <v>45489</v>
      </c>
      <c r="K253" s="360">
        <v>45441</v>
      </c>
      <c r="L253" s="363" t="s">
        <v>28</v>
      </c>
      <c r="M253" s="317" t="s">
        <v>2679</v>
      </c>
      <c r="N253" s="317">
        <v>10</v>
      </c>
      <c r="O253" s="366">
        <v>45490</v>
      </c>
      <c r="P253" s="365" t="s">
        <v>264</v>
      </c>
      <c r="Q253" s="364">
        <v>45490</v>
      </c>
      <c r="R253" s="364">
        <v>45490</v>
      </c>
      <c r="S253" s="348"/>
    </row>
    <row r="254" spans="1:19" ht="25.5" hidden="1" x14ac:dyDescent="0.25">
      <c r="A254" s="359">
        <v>0</v>
      </c>
      <c r="B254" s="49" t="s">
        <v>2680</v>
      </c>
      <c r="C254" s="49" t="s">
        <v>83</v>
      </c>
      <c r="D254" s="49"/>
      <c r="E254" s="49">
        <v>183528</v>
      </c>
      <c r="F254" s="49" t="s">
        <v>2681</v>
      </c>
      <c r="G254" s="49" t="s">
        <v>2682</v>
      </c>
      <c r="H254" s="49" t="s">
        <v>2683</v>
      </c>
      <c r="I254" s="49" t="s">
        <v>73</v>
      </c>
      <c r="J254" s="316">
        <v>45470</v>
      </c>
      <c r="K254" s="360">
        <v>45441</v>
      </c>
      <c r="L254" s="363" t="s">
        <v>28</v>
      </c>
      <c r="M254" s="317" t="s">
        <v>2684</v>
      </c>
      <c r="N254" s="317">
        <v>9</v>
      </c>
      <c r="O254" s="322">
        <v>45470</v>
      </c>
      <c r="P254" s="365" t="s">
        <v>264</v>
      </c>
      <c r="Q254" s="364">
        <v>45471</v>
      </c>
      <c r="R254" s="364">
        <v>45471</v>
      </c>
      <c r="S254" s="348"/>
    </row>
    <row r="255" spans="1:19" ht="25.5" hidden="1" x14ac:dyDescent="0.25">
      <c r="A255" s="359">
        <v>0</v>
      </c>
      <c r="B255" s="49" t="s">
        <v>2685</v>
      </c>
      <c r="C255" s="49" t="s">
        <v>83</v>
      </c>
      <c r="D255" s="49"/>
      <c r="E255" s="49">
        <v>183528</v>
      </c>
      <c r="F255" s="49" t="s">
        <v>2686</v>
      </c>
      <c r="G255" s="49" t="s">
        <v>2687</v>
      </c>
      <c r="H255" s="49" t="s">
        <v>2688</v>
      </c>
      <c r="I255" s="49" t="s">
        <v>2689</v>
      </c>
      <c r="J255" s="316">
        <v>45387</v>
      </c>
      <c r="K255" s="360">
        <v>45399</v>
      </c>
      <c r="L255" s="399" t="s">
        <v>28</v>
      </c>
      <c r="M255" s="317" t="s">
        <v>2690</v>
      </c>
      <c r="N255" s="317">
        <v>6</v>
      </c>
      <c r="O255" s="366">
        <v>45492</v>
      </c>
      <c r="P255" s="365" t="s">
        <v>264</v>
      </c>
      <c r="Q255" s="364">
        <v>45495</v>
      </c>
      <c r="R255" s="364">
        <v>45495</v>
      </c>
      <c r="S255" s="348"/>
    </row>
    <row r="256" spans="1:19" hidden="1" x14ac:dyDescent="0.25">
      <c r="A256" s="359">
        <v>0</v>
      </c>
      <c r="B256" s="49" t="s">
        <v>2691</v>
      </c>
      <c r="C256" s="49" t="s">
        <v>83</v>
      </c>
      <c r="D256" s="49"/>
      <c r="E256" s="49">
        <v>183528</v>
      </c>
      <c r="F256" s="49" t="s">
        <v>2692</v>
      </c>
      <c r="G256" s="49" t="s">
        <v>2693</v>
      </c>
      <c r="H256" s="49"/>
      <c r="I256" s="49"/>
      <c r="J256" s="316"/>
      <c r="K256" s="360"/>
      <c r="L256" s="399"/>
      <c r="M256" s="317"/>
      <c r="N256" s="317"/>
      <c r="O256" s="366"/>
      <c r="P256" s="365"/>
      <c r="Q256" s="364"/>
      <c r="R256" s="364"/>
      <c r="S256" s="348"/>
    </row>
    <row r="257" spans="1:19" ht="25.5" hidden="1" x14ac:dyDescent="0.25">
      <c r="A257" s="359">
        <v>0</v>
      </c>
      <c r="B257" s="49" t="s">
        <v>2694</v>
      </c>
      <c r="C257" s="49" t="s">
        <v>83</v>
      </c>
      <c r="D257" s="49"/>
      <c r="E257" s="49">
        <v>183528</v>
      </c>
      <c r="F257" s="49" t="s">
        <v>2695</v>
      </c>
      <c r="G257" s="49" t="s">
        <v>2696</v>
      </c>
      <c r="H257" s="49" t="s">
        <v>2697</v>
      </c>
      <c r="I257" s="49" t="s">
        <v>73</v>
      </c>
      <c r="J257" s="316">
        <v>45520</v>
      </c>
      <c r="K257" s="360">
        <v>45399</v>
      </c>
      <c r="L257" s="322" t="s">
        <v>47</v>
      </c>
      <c r="M257" s="317" t="s">
        <v>2698</v>
      </c>
      <c r="N257" s="317">
        <v>1</v>
      </c>
      <c r="O257" s="366">
        <v>45525</v>
      </c>
      <c r="P257" s="365" t="s">
        <v>264</v>
      </c>
      <c r="Q257" s="364">
        <v>45526</v>
      </c>
      <c r="R257" s="364">
        <v>45526</v>
      </c>
      <c r="S257" s="348"/>
    </row>
    <row r="258" spans="1:19" ht="25.7" hidden="1" x14ac:dyDescent="0.25">
      <c r="A258" s="359">
        <v>0</v>
      </c>
      <c r="B258" s="49" t="s">
        <v>2699</v>
      </c>
      <c r="C258" s="49" t="s">
        <v>83</v>
      </c>
      <c r="D258" s="49"/>
      <c r="E258" s="287">
        <v>183528</v>
      </c>
      <c r="F258" s="49" t="s">
        <v>2700</v>
      </c>
      <c r="G258" s="49" t="s">
        <v>2701</v>
      </c>
      <c r="H258" s="49" t="s">
        <v>2702</v>
      </c>
      <c r="I258" s="49" t="s">
        <v>1730</v>
      </c>
      <c r="J258" s="316">
        <v>45883</v>
      </c>
      <c r="K258" s="360">
        <v>45764</v>
      </c>
      <c r="L258" s="322" t="s">
        <v>28</v>
      </c>
      <c r="M258" s="317" t="s">
        <v>2703</v>
      </c>
      <c r="N258" s="317">
        <v>4</v>
      </c>
      <c r="O258" s="366">
        <v>45884</v>
      </c>
      <c r="P258" s="365" t="s">
        <v>264</v>
      </c>
      <c r="Q258" s="364">
        <v>45520</v>
      </c>
      <c r="R258" s="364">
        <v>45520</v>
      </c>
      <c r="S258" s="348"/>
    </row>
    <row r="259" spans="1:19" ht="25.5" hidden="1" x14ac:dyDescent="0.25">
      <c r="A259" s="359">
        <v>0</v>
      </c>
      <c r="B259" s="49" t="s">
        <v>2704</v>
      </c>
      <c r="C259" s="49" t="s">
        <v>83</v>
      </c>
      <c r="D259" s="49"/>
      <c r="E259" s="287">
        <v>183528</v>
      </c>
      <c r="F259" s="49" t="s">
        <v>2705</v>
      </c>
      <c r="G259" s="49" t="s">
        <v>2706</v>
      </c>
      <c r="H259" s="49" t="s">
        <v>2707</v>
      </c>
      <c r="I259" s="49" t="s">
        <v>73</v>
      </c>
      <c r="J259" s="316">
        <v>45530</v>
      </c>
      <c r="K259" s="360">
        <v>45399</v>
      </c>
      <c r="L259" s="322" t="s">
        <v>28</v>
      </c>
      <c r="M259" s="317" t="s">
        <v>2708</v>
      </c>
      <c r="N259" s="317">
        <v>1</v>
      </c>
      <c r="O259" s="366">
        <v>45531</v>
      </c>
      <c r="P259" s="365" t="s">
        <v>264</v>
      </c>
      <c r="Q259" s="364">
        <v>45533</v>
      </c>
      <c r="R259" s="364">
        <v>45533</v>
      </c>
      <c r="S259" s="348"/>
    </row>
    <row r="260" spans="1:19" ht="25.5" hidden="1" x14ac:dyDescent="0.25">
      <c r="A260" s="359">
        <v>0</v>
      </c>
      <c r="B260" s="49" t="s">
        <v>2709</v>
      </c>
      <c r="C260" s="49" t="s">
        <v>2030</v>
      </c>
      <c r="D260" s="49"/>
      <c r="E260" s="49">
        <v>183561</v>
      </c>
      <c r="F260" s="49" t="s">
        <v>2710</v>
      </c>
      <c r="G260" s="49" t="s">
        <v>2711</v>
      </c>
      <c r="H260" s="49" t="s">
        <v>2712</v>
      </c>
      <c r="I260" s="49" t="s">
        <v>2713</v>
      </c>
      <c r="J260" s="316">
        <v>45406</v>
      </c>
      <c r="K260" s="360">
        <v>45408</v>
      </c>
      <c r="L260" s="322" t="s">
        <v>47</v>
      </c>
      <c r="M260" s="317" t="s">
        <v>2714</v>
      </c>
      <c r="N260" s="317">
        <v>3</v>
      </c>
      <c r="O260" s="366">
        <v>45415</v>
      </c>
      <c r="P260" s="365" t="s">
        <v>264</v>
      </c>
      <c r="Q260" s="364">
        <v>45415</v>
      </c>
      <c r="R260" s="364">
        <v>45415</v>
      </c>
      <c r="S260" s="348" t="s">
        <v>1687</v>
      </c>
    </row>
    <row r="261" spans="1:19" ht="25.5" hidden="1" x14ac:dyDescent="0.25">
      <c r="A261" s="359">
        <v>0</v>
      </c>
      <c r="B261" s="49" t="s">
        <v>2715</v>
      </c>
      <c r="C261" s="49" t="s">
        <v>42</v>
      </c>
      <c r="D261" s="49"/>
      <c r="E261" s="49">
        <v>183564</v>
      </c>
      <c r="F261" s="49" t="s">
        <v>2716</v>
      </c>
      <c r="G261" s="49" t="s">
        <v>2717</v>
      </c>
      <c r="H261" s="49"/>
      <c r="I261" s="49" t="s">
        <v>1869</v>
      </c>
      <c r="J261" s="316">
        <v>45407</v>
      </c>
      <c r="K261" s="360"/>
      <c r="L261" s="363"/>
      <c r="M261" s="317" t="s">
        <v>2718</v>
      </c>
      <c r="N261" s="317">
        <v>2</v>
      </c>
      <c r="O261" s="366"/>
      <c r="P261" s="365"/>
      <c r="Q261" s="364"/>
      <c r="R261" s="364"/>
      <c r="S261" s="348"/>
    </row>
    <row r="262" spans="1:19" ht="38.25" hidden="1" x14ac:dyDescent="0.25">
      <c r="A262" s="359">
        <v>0</v>
      </c>
      <c r="B262" s="49" t="s">
        <v>2719</v>
      </c>
      <c r="C262" s="49" t="s">
        <v>1802</v>
      </c>
      <c r="D262" s="49"/>
      <c r="E262" s="49">
        <v>183569</v>
      </c>
      <c r="F262" s="49" t="s">
        <v>2720</v>
      </c>
      <c r="G262" s="49" t="s">
        <v>2721</v>
      </c>
      <c r="H262" s="49" t="s">
        <v>2497</v>
      </c>
      <c r="I262" s="49" t="s">
        <v>2722</v>
      </c>
      <c r="J262" s="316">
        <v>45411</v>
      </c>
      <c r="K262" s="360"/>
      <c r="L262" s="322" t="s">
        <v>47</v>
      </c>
      <c r="M262" s="317" t="s">
        <v>2499</v>
      </c>
      <c r="N262" s="317">
        <v>18</v>
      </c>
      <c r="O262" s="366">
        <v>45490</v>
      </c>
      <c r="P262" s="365" t="s">
        <v>264</v>
      </c>
      <c r="Q262" s="364">
        <v>45490</v>
      </c>
      <c r="R262" s="364">
        <v>45490</v>
      </c>
      <c r="S262" s="348"/>
    </row>
    <row r="263" spans="1:19" ht="38.25" hidden="1" x14ac:dyDescent="0.25">
      <c r="A263" s="359">
        <v>0</v>
      </c>
      <c r="B263" s="49" t="s">
        <v>2723</v>
      </c>
      <c r="C263" s="49" t="s">
        <v>1711</v>
      </c>
      <c r="D263" s="49"/>
      <c r="E263" s="49">
        <v>184335</v>
      </c>
      <c r="F263" s="49" t="s">
        <v>2724</v>
      </c>
      <c r="G263" s="49" t="s">
        <v>2725</v>
      </c>
      <c r="H263" s="49"/>
      <c r="I263" s="49" t="s">
        <v>2726</v>
      </c>
      <c r="J263" s="316">
        <v>45587</v>
      </c>
      <c r="K263" s="360"/>
      <c r="L263" s="363"/>
      <c r="M263" s="317" t="s">
        <v>2727</v>
      </c>
      <c r="N263" s="317"/>
      <c r="O263" s="366"/>
      <c r="P263" s="365"/>
      <c r="Q263" s="364"/>
      <c r="R263" s="364"/>
      <c r="S263" s="348"/>
    </row>
    <row r="264" spans="1:19" ht="25.5" hidden="1" x14ac:dyDescent="0.25">
      <c r="A264" s="359">
        <v>0</v>
      </c>
      <c r="B264" s="49" t="s">
        <v>2728</v>
      </c>
      <c r="C264" s="49" t="s">
        <v>42</v>
      </c>
      <c r="D264" s="49"/>
      <c r="E264" s="49">
        <v>183572</v>
      </c>
      <c r="F264" s="49" t="s">
        <v>2729</v>
      </c>
      <c r="G264" s="49" t="s">
        <v>427</v>
      </c>
      <c r="H264" s="49" t="s">
        <v>2730</v>
      </c>
      <c r="I264" s="49" t="s">
        <v>1869</v>
      </c>
      <c r="J264" s="316"/>
      <c r="K264" s="360"/>
      <c r="L264" s="363" t="s">
        <v>47</v>
      </c>
      <c r="M264" s="317" t="s">
        <v>2731</v>
      </c>
      <c r="N264" s="317">
        <v>2</v>
      </c>
      <c r="O264" s="366">
        <v>45453</v>
      </c>
      <c r="P264" s="365" t="s">
        <v>264</v>
      </c>
      <c r="Q264" s="364">
        <v>45453</v>
      </c>
      <c r="R264" s="364">
        <v>45453</v>
      </c>
      <c r="S264" s="348" t="s">
        <v>1687</v>
      </c>
    </row>
    <row r="265" spans="1:19" hidden="1" x14ac:dyDescent="0.25">
      <c r="A265" s="359">
        <v>0</v>
      </c>
      <c r="B265" s="49" t="s">
        <v>2732</v>
      </c>
      <c r="C265" s="49" t="s">
        <v>1680</v>
      </c>
      <c r="D265" s="49"/>
      <c r="E265" s="49">
        <v>183565</v>
      </c>
      <c r="F265" s="49" t="s">
        <v>2733</v>
      </c>
      <c r="G265" s="49" t="s">
        <v>1937</v>
      </c>
      <c r="H265" s="49" t="s">
        <v>2000</v>
      </c>
      <c r="I265" s="49" t="s">
        <v>1938</v>
      </c>
      <c r="J265" s="316">
        <v>45408</v>
      </c>
      <c r="K265" s="360">
        <v>45411</v>
      </c>
      <c r="L265" s="363" t="s">
        <v>47</v>
      </c>
      <c r="M265" s="317" t="s">
        <v>1939</v>
      </c>
      <c r="N265" s="317">
        <v>2</v>
      </c>
      <c r="O265" s="366">
        <v>45428</v>
      </c>
      <c r="P265" s="365" t="s">
        <v>264</v>
      </c>
      <c r="Q265" s="364">
        <v>45428</v>
      </c>
      <c r="R265" s="364">
        <v>45428</v>
      </c>
      <c r="S265" s="348" t="s">
        <v>1687</v>
      </c>
    </row>
    <row r="266" spans="1:19" ht="38.25" hidden="1" x14ac:dyDescent="0.25">
      <c r="A266" s="359">
        <v>0</v>
      </c>
      <c r="B266" s="49" t="s">
        <v>2734</v>
      </c>
      <c r="C266" s="49" t="s">
        <v>1791</v>
      </c>
      <c r="D266" s="49"/>
      <c r="E266" s="49">
        <v>183583</v>
      </c>
      <c r="F266" s="49" t="s">
        <v>2735</v>
      </c>
      <c r="G266" s="49" t="s">
        <v>2736</v>
      </c>
      <c r="H266" s="49"/>
      <c r="I266" s="49"/>
      <c r="J266" s="316"/>
      <c r="K266" s="360"/>
      <c r="L266" s="363"/>
      <c r="M266" s="317"/>
      <c r="N266" s="317"/>
      <c r="O266" s="366"/>
      <c r="P266" s="365"/>
      <c r="Q266" s="364"/>
      <c r="R266" s="364"/>
      <c r="S266" s="348"/>
    </row>
    <row r="267" spans="1:19" hidden="1" x14ac:dyDescent="0.25">
      <c r="A267" s="359">
        <v>0</v>
      </c>
      <c r="B267" s="49" t="s">
        <v>2737</v>
      </c>
      <c r="C267" s="49" t="s">
        <v>1680</v>
      </c>
      <c r="D267" s="49"/>
      <c r="E267" s="49" t="s">
        <v>2738</v>
      </c>
      <c r="F267" s="49" t="s">
        <v>2739</v>
      </c>
      <c r="G267" s="49" t="s">
        <v>2740</v>
      </c>
      <c r="H267" s="49" t="s">
        <v>2741</v>
      </c>
      <c r="I267" s="49" t="s">
        <v>2742</v>
      </c>
      <c r="J267" s="316">
        <v>45420</v>
      </c>
      <c r="K267" s="360">
        <v>45421</v>
      </c>
      <c r="L267" s="322" t="s">
        <v>47</v>
      </c>
      <c r="M267" s="317" t="s">
        <v>2743</v>
      </c>
      <c r="N267" s="317">
        <v>2</v>
      </c>
      <c r="O267" s="366">
        <v>45429</v>
      </c>
      <c r="P267" s="365" t="s">
        <v>264</v>
      </c>
      <c r="Q267" s="364">
        <v>45429</v>
      </c>
      <c r="R267" s="364">
        <v>45429</v>
      </c>
      <c r="S267" s="348" t="s">
        <v>1687</v>
      </c>
    </row>
    <row r="268" spans="1:19" ht="25.5" hidden="1" x14ac:dyDescent="0.25">
      <c r="A268" s="359">
        <v>0</v>
      </c>
      <c r="B268" s="49" t="s">
        <v>2744</v>
      </c>
      <c r="C268" s="49" t="s">
        <v>2086</v>
      </c>
      <c r="D268" s="49"/>
      <c r="E268" s="49">
        <v>183581</v>
      </c>
      <c r="F268" s="49" t="s">
        <v>2745</v>
      </c>
      <c r="G268" s="49" t="s">
        <v>2088</v>
      </c>
      <c r="H268" s="49" t="s">
        <v>2746</v>
      </c>
      <c r="I268" s="49" t="s">
        <v>2747</v>
      </c>
      <c r="J268" s="316"/>
      <c r="K268" s="360"/>
      <c r="L268" s="322" t="s">
        <v>47</v>
      </c>
      <c r="M268" s="317" t="s">
        <v>2091</v>
      </c>
      <c r="N268" s="317">
        <v>15</v>
      </c>
      <c r="O268" s="366">
        <v>45461</v>
      </c>
      <c r="P268" s="365" t="s">
        <v>264</v>
      </c>
      <c r="Q268" s="364">
        <v>45461</v>
      </c>
      <c r="R268" s="364">
        <v>45461</v>
      </c>
      <c r="S268" s="348" t="s">
        <v>1687</v>
      </c>
    </row>
    <row r="269" spans="1:19" ht="25.5" hidden="1" x14ac:dyDescent="0.25">
      <c r="A269" s="359">
        <v>0</v>
      </c>
      <c r="B269" s="49" t="s">
        <v>2748</v>
      </c>
      <c r="C269" s="49" t="s">
        <v>2086</v>
      </c>
      <c r="D269" s="49"/>
      <c r="E269" s="49">
        <v>183589</v>
      </c>
      <c r="F269" s="49" t="s">
        <v>2749</v>
      </c>
      <c r="G269" s="49" t="s">
        <v>2750</v>
      </c>
      <c r="H269" s="49" t="s">
        <v>2751</v>
      </c>
      <c r="I269" s="49" t="s">
        <v>2752</v>
      </c>
      <c r="J269" s="316">
        <v>45419</v>
      </c>
      <c r="K269" s="360">
        <v>45476</v>
      </c>
      <c r="L269" s="363" t="s">
        <v>47</v>
      </c>
      <c r="M269" s="317" t="s">
        <v>2753</v>
      </c>
      <c r="N269" s="317">
        <v>11</v>
      </c>
      <c r="O269" s="366">
        <v>45502</v>
      </c>
      <c r="P269" s="365" t="s">
        <v>264</v>
      </c>
      <c r="Q269" s="364">
        <v>45502</v>
      </c>
      <c r="R269" s="364">
        <v>45502</v>
      </c>
      <c r="S269" s="348"/>
    </row>
    <row r="270" spans="1:19" ht="25.5" hidden="1" x14ac:dyDescent="0.25">
      <c r="A270" s="359">
        <v>0</v>
      </c>
      <c r="B270" s="49" t="s">
        <v>2754</v>
      </c>
      <c r="C270" s="49" t="s">
        <v>1820</v>
      </c>
      <c r="D270" s="49"/>
      <c r="E270" s="49">
        <v>183593</v>
      </c>
      <c r="F270" s="49" t="s">
        <v>2755</v>
      </c>
      <c r="G270" s="49" t="s">
        <v>427</v>
      </c>
      <c r="H270" s="49" t="s">
        <v>2756</v>
      </c>
      <c r="I270" s="49" t="s">
        <v>2640</v>
      </c>
      <c r="J270" s="316">
        <v>45421</v>
      </c>
      <c r="K270" s="360">
        <v>45425</v>
      </c>
      <c r="L270" s="363" t="s">
        <v>47</v>
      </c>
      <c r="M270" s="317" t="s">
        <v>2757</v>
      </c>
      <c r="N270" s="317">
        <v>4</v>
      </c>
      <c r="O270" s="366">
        <v>45427</v>
      </c>
      <c r="P270" s="365" t="s">
        <v>264</v>
      </c>
      <c r="Q270" s="364">
        <v>45427</v>
      </c>
      <c r="R270" s="364">
        <v>45427</v>
      </c>
      <c r="S270" s="348" t="s">
        <v>1687</v>
      </c>
    </row>
    <row r="271" spans="1:19" hidden="1" x14ac:dyDescent="0.25">
      <c r="A271" s="359">
        <v>0</v>
      </c>
      <c r="B271" s="49" t="s">
        <v>2758</v>
      </c>
      <c r="C271" s="49" t="s">
        <v>2759</v>
      </c>
      <c r="D271" s="49"/>
      <c r="E271" s="49">
        <v>183601</v>
      </c>
      <c r="F271" s="49" t="s">
        <v>2760</v>
      </c>
      <c r="G271" s="49" t="s">
        <v>2761</v>
      </c>
      <c r="H271" s="49"/>
      <c r="I271" s="49" t="s">
        <v>2762</v>
      </c>
      <c r="J271" s="316">
        <v>45425</v>
      </c>
      <c r="K271" s="360"/>
      <c r="L271" s="363"/>
      <c r="M271" s="317"/>
      <c r="N271" s="317">
        <v>4</v>
      </c>
      <c r="O271" s="366"/>
      <c r="P271" s="365"/>
      <c r="Q271" s="364"/>
      <c r="R271" s="364"/>
      <c r="S271" s="348"/>
    </row>
    <row r="272" spans="1:19" ht="25.5" hidden="1" x14ac:dyDescent="0.25">
      <c r="A272" s="359">
        <v>0</v>
      </c>
      <c r="B272" s="49" t="s">
        <v>2763</v>
      </c>
      <c r="C272" s="49" t="s">
        <v>2764</v>
      </c>
      <c r="D272" s="49"/>
      <c r="E272" s="49">
        <v>183595</v>
      </c>
      <c r="F272" s="49" t="s">
        <v>2765</v>
      </c>
      <c r="G272" s="49" t="s">
        <v>2766</v>
      </c>
      <c r="H272" s="49" t="s">
        <v>2767</v>
      </c>
      <c r="I272" s="49" t="s">
        <v>555</v>
      </c>
      <c r="J272" s="316">
        <v>45422</v>
      </c>
      <c r="K272" s="360">
        <v>45426</v>
      </c>
      <c r="L272" s="363" t="s">
        <v>47</v>
      </c>
      <c r="M272" s="317" t="s">
        <v>556</v>
      </c>
      <c r="N272" s="317">
        <v>14</v>
      </c>
      <c r="O272" s="366">
        <v>45429</v>
      </c>
      <c r="P272" s="365" t="s">
        <v>264</v>
      </c>
      <c r="Q272" s="364">
        <v>45429</v>
      </c>
      <c r="R272" s="364">
        <v>45429</v>
      </c>
      <c r="S272" s="348" t="s">
        <v>1687</v>
      </c>
    </row>
    <row r="273" spans="1:19" ht="25.5" hidden="1" x14ac:dyDescent="0.25">
      <c r="A273" s="359">
        <v>0</v>
      </c>
      <c r="B273" s="49" t="s">
        <v>2768</v>
      </c>
      <c r="C273" s="49" t="s">
        <v>2764</v>
      </c>
      <c r="D273" s="49"/>
      <c r="E273" s="49">
        <v>183596</v>
      </c>
      <c r="F273" s="49" t="s">
        <v>2769</v>
      </c>
      <c r="G273" s="49" t="s">
        <v>2770</v>
      </c>
      <c r="H273" s="49" t="s">
        <v>2771</v>
      </c>
      <c r="I273" s="49" t="s">
        <v>555</v>
      </c>
      <c r="J273" s="316">
        <v>45422</v>
      </c>
      <c r="K273" s="360">
        <v>45426</v>
      </c>
      <c r="L273" s="363" t="s">
        <v>47</v>
      </c>
      <c r="M273" s="317" t="s">
        <v>2772</v>
      </c>
      <c r="N273" s="317">
        <v>2</v>
      </c>
      <c r="O273" s="366">
        <v>45429</v>
      </c>
      <c r="P273" s="365" t="s">
        <v>264</v>
      </c>
      <c r="Q273" s="364">
        <v>45429</v>
      </c>
      <c r="R273" s="364">
        <v>45429</v>
      </c>
      <c r="S273" s="348" t="s">
        <v>1687</v>
      </c>
    </row>
    <row r="274" spans="1:19" ht="25.5" hidden="1" x14ac:dyDescent="0.25">
      <c r="A274" s="359">
        <v>0</v>
      </c>
      <c r="B274" s="49" t="s">
        <v>2773</v>
      </c>
      <c r="C274" s="49" t="s">
        <v>2764</v>
      </c>
      <c r="D274" s="49"/>
      <c r="E274" s="49">
        <v>183602</v>
      </c>
      <c r="F274" s="49" t="s">
        <v>2774</v>
      </c>
      <c r="G274" s="49" t="s">
        <v>2770</v>
      </c>
      <c r="H274" s="49" t="s">
        <v>2775</v>
      </c>
      <c r="I274" s="49" t="s">
        <v>555</v>
      </c>
      <c r="J274" s="316">
        <v>45422</v>
      </c>
      <c r="K274" s="360">
        <v>45426</v>
      </c>
      <c r="L274" s="322" t="s">
        <v>47</v>
      </c>
      <c r="M274" s="317" t="s">
        <v>2776</v>
      </c>
      <c r="N274" s="317">
        <v>3</v>
      </c>
      <c r="O274" s="366">
        <v>45429</v>
      </c>
      <c r="P274" s="365" t="s">
        <v>264</v>
      </c>
      <c r="Q274" s="364">
        <v>45429</v>
      </c>
      <c r="R274" s="364">
        <v>45429</v>
      </c>
      <c r="S274" s="348" t="s">
        <v>1687</v>
      </c>
    </row>
    <row r="275" spans="1:19" ht="38.25" hidden="1" x14ac:dyDescent="0.25">
      <c r="A275" s="359">
        <v>0</v>
      </c>
      <c r="B275" s="49" t="s">
        <v>2777</v>
      </c>
      <c r="C275" s="49" t="s">
        <v>2019</v>
      </c>
      <c r="D275" s="49"/>
      <c r="E275" s="49">
        <v>183599</v>
      </c>
      <c r="F275" s="49" t="s">
        <v>2778</v>
      </c>
      <c r="G275" s="49" t="s">
        <v>2779</v>
      </c>
      <c r="H275" s="49" t="s">
        <v>26</v>
      </c>
      <c r="I275" s="49" t="s">
        <v>27</v>
      </c>
      <c r="J275" s="316">
        <v>45425</v>
      </c>
      <c r="K275" s="360">
        <v>45426</v>
      </c>
      <c r="L275" s="322" t="s">
        <v>28</v>
      </c>
      <c r="M275" s="317" t="s">
        <v>29</v>
      </c>
      <c r="N275" s="317">
        <v>1</v>
      </c>
      <c r="O275" s="366">
        <v>45456</v>
      </c>
      <c r="P275" s="365" t="s">
        <v>264</v>
      </c>
      <c r="Q275" s="364">
        <v>45456</v>
      </c>
      <c r="R275" s="364">
        <v>45456</v>
      </c>
      <c r="S275" s="348" t="s">
        <v>1687</v>
      </c>
    </row>
    <row r="276" spans="1:19" ht="25.5" hidden="1" x14ac:dyDescent="0.25">
      <c r="A276" s="359">
        <v>0</v>
      </c>
      <c r="B276" s="49" t="s">
        <v>2780</v>
      </c>
      <c r="C276" s="49" t="s">
        <v>1775</v>
      </c>
      <c r="D276" s="49"/>
      <c r="E276" s="49">
        <v>183603</v>
      </c>
      <c r="F276" s="49" t="s">
        <v>2781</v>
      </c>
      <c r="G276" s="49" t="s">
        <v>2782</v>
      </c>
      <c r="H276" s="49" t="s">
        <v>2783</v>
      </c>
      <c r="I276" s="49" t="s">
        <v>2784</v>
      </c>
      <c r="J276" s="316">
        <v>45425</v>
      </c>
      <c r="K276" s="360">
        <v>45433</v>
      </c>
      <c r="L276" s="322" t="s">
        <v>28</v>
      </c>
      <c r="M276" s="317" t="s">
        <v>2785</v>
      </c>
      <c r="N276" s="317">
        <v>1</v>
      </c>
      <c r="O276" s="322">
        <v>45439</v>
      </c>
      <c r="P276" s="365" t="s">
        <v>264</v>
      </c>
      <c r="Q276" s="364">
        <v>45439</v>
      </c>
      <c r="R276" s="364">
        <v>45439</v>
      </c>
      <c r="S276" s="348" t="s">
        <v>1687</v>
      </c>
    </row>
    <row r="277" spans="1:19" ht="25.5" hidden="1" x14ac:dyDescent="0.25">
      <c r="A277" s="359">
        <v>0</v>
      </c>
      <c r="B277" s="49" t="s">
        <v>2786</v>
      </c>
      <c r="C277" s="49" t="s">
        <v>1820</v>
      </c>
      <c r="D277" s="49"/>
      <c r="E277" s="49">
        <v>183612</v>
      </c>
      <c r="F277" s="49" t="s">
        <v>2787</v>
      </c>
      <c r="G277" s="49" t="s">
        <v>2788</v>
      </c>
      <c r="H277" s="49" t="s">
        <v>2789</v>
      </c>
      <c r="I277" s="49" t="s">
        <v>2790</v>
      </c>
      <c r="J277" s="316">
        <v>45429</v>
      </c>
      <c r="K277" s="360">
        <v>45434</v>
      </c>
      <c r="L277" s="317" t="s">
        <v>47</v>
      </c>
      <c r="M277" s="317" t="s">
        <v>2791</v>
      </c>
      <c r="N277" s="317">
        <v>12</v>
      </c>
      <c r="O277" s="366">
        <v>45439</v>
      </c>
      <c r="P277" s="365" t="s">
        <v>264</v>
      </c>
      <c r="Q277" s="364">
        <v>45439</v>
      </c>
      <c r="R277" s="364">
        <v>45439</v>
      </c>
      <c r="S277" s="348" t="s">
        <v>1687</v>
      </c>
    </row>
    <row r="278" spans="1:19" ht="25.5" hidden="1" x14ac:dyDescent="0.25">
      <c r="A278" s="359">
        <v>0</v>
      </c>
      <c r="B278" s="49" t="s">
        <v>2792</v>
      </c>
      <c r="C278" s="49" t="s">
        <v>2793</v>
      </c>
      <c r="D278" s="49"/>
      <c r="E278" s="49">
        <v>183606</v>
      </c>
      <c r="F278" s="49" t="s">
        <v>2794</v>
      </c>
      <c r="G278" s="49" t="s">
        <v>2795</v>
      </c>
      <c r="H278" s="49" t="s">
        <v>2796</v>
      </c>
      <c r="I278" s="49" t="s">
        <v>2797</v>
      </c>
      <c r="J278" s="316">
        <v>45428</v>
      </c>
      <c r="K278" s="360">
        <v>45434</v>
      </c>
      <c r="L278" s="317" t="s">
        <v>47</v>
      </c>
      <c r="M278" s="317" t="s">
        <v>516</v>
      </c>
      <c r="N278" s="317">
        <v>7</v>
      </c>
      <c r="O278" s="366">
        <v>45441</v>
      </c>
      <c r="P278" s="365" t="s">
        <v>264</v>
      </c>
      <c r="Q278" s="364">
        <v>45441</v>
      </c>
      <c r="R278" s="364">
        <v>45441</v>
      </c>
      <c r="S278" s="348" t="s">
        <v>1687</v>
      </c>
    </row>
    <row r="279" spans="1:19" ht="38.25" hidden="1" x14ac:dyDescent="0.25">
      <c r="A279" s="359">
        <v>0</v>
      </c>
      <c r="B279" s="49" t="s">
        <v>2798</v>
      </c>
      <c r="C279" s="49" t="s">
        <v>2799</v>
      </c>
      <c r="D279" s="49"/>
      <c r="E279" s="49">
        <v>183607</v>
      </c>
      <c r="F279" s="49" t="s">
        <v>2800</v>
      </c>
      <c r="G279" s="49" t="s">
        <v>2801</v>
      </c>
      <c r="H279" s="49" t="s">
        <v>2802</v>
      </c>
      <c r="I279" s="49" t="s">
        <v>2797</v>
      </c>
      <c r="J279" s="316">
        <v>45428</v>
      </c>
      <c r="K279" s="360">
        <v>45434</v>
      </c>
      <c r="L279" s="317" t="s">
        <v>47</v>
      </c>
      <c r="M279" s="317" t="s">
        <v>516</v>
      </c>
      <c r="N279" s="317">
        <v>1</v>
      </c>
      <c r="O279" s="366">
        <v>45441</v>
      </c>
      <c r="P279" s="365" t="s">
        <v>264</v>
      </c>
      <c r="Q279" s="364">
        <v>45441</v>
      </c>
      <c r="R279" s="364">
        <v>45441</v>
      </c>
      <c r="S279" s="348" t="s">
        <v>1687</v>
      </c>
    </row>
    <row r="280" spans="1:19" ht="25.5" hidden="1" x14ac:dyDescent="0.25">
      <c r="A280" s="359">
        <v>0</v>
      </c>
      <c r="B280" s="49" t="s">
        <v>2803</v>
      </c>
      <c r="C280" s="49" t="s">
        <v>1680</v>
      </c>
      <c r="D280" s="49"/>
      <c r="E280" s="49">
        <v>183608</v>
      </c>
      <c r="F280" s="49" t="s">
        <v>2804</v>
      </c>
      <c r="G280" s="49" t="s">
        <v>2805</v>
      </c>
      <c r="H280" s="49" t="s">
        <v>2806</v>
      </c>
      <c r="I280" s="49" t="s">
        <v>2807</v>
      </c>
      <c r="J280" s="316">
        <v>45428</v>
      </c>
      <c r="K280" s="360">
        <v>45429</v>
      </c>
      <c r="L280" s="317" t="s">
        <v>47</v>
      </c>
      <c r="M280" s="317" t="s">
        <v>2808</v>
      </c>
      <c r="N280" s="317">
        <v>1</v>
      </c>
      <c r="O280" s="366">
        <v>45433</v>
      </c>
      <c r="P280" s="365" t="s">
        <v>264</v>
      </c>
      <c r="Q280" s="364">
        <v>45433</v>
      </c>
      <c r="R280" s="364">
        <v>45433</v>
      </c>
      <c r="S280" s="348" t="s">
        <v>1687</v>
      </c>
    </row>
    <row r="281" spans="1:19" hidden="1" x14ac:dyDescent="0.25">
      <c r="A281" s="359">
        <v>0</v>
      </c>
      <c r="B281" s="49" t="s">
        <v>2809</v>
      </c>
      <c r="C281" s="49" t="s">
        <v>1680</v>
      </c>
      <c r="D281" s="49"/>
      <c r="E281" s="49">
        <v>183614</v>
      </c>
      <c r="F281" s="49" t="s">
        <v>2810</v>
      </c>
      <c r="G281" s="49" t="s">
        <v>2811</v>
      </c>
      <c r="H281" s="49" t="s">
        <v>268</v>
      </c>
      <c r="I281" s="49" t="s">
        <v>2812</v>
      </c>
      <c r="J281" s="316">
        <v>45429</v>
      </c>
      <c r="K281" s="360">
        <v>45432</v>
      </c>
      <c r="L281" s="317" t="s">
        <v>47</v>
      </c>
      <c r="M281" s="317" t="s">
        <v>2813</v>
      </c>
      <c r="N281" s="317">
        <v>2</v>
      </c>
      <c r="O281" s="366">
        <v>45433</v>
      </c>
      <c r="P281" s="365" t="s">
        <v>264</v>
      </c>
      <c r="Q281" s="364">
        <v>45433</v>
      </c>
      <c r="R281" s="364">
        <v>45433</v>
      </c>
      <c r="S281" s="348" t="s">
        <v>1687</v>
      </c>
    </row>
    <row r="282" spans="1:19" ht="38.25" hidden="1" x14ac:dyDescent="0.25">
      <c r="A282" s="359">
        <v>0</v>
      </c>
      <c r="B282" s="49" t="s">
        <v>2814</v>
      </c>
      <c r="C282" s="49" t="s">
        <v>1808</v>
      </c>
      <c r="D282" s="49"/>
      <c r="E282" s="49">
        <v>183605</v>
      </c>
      <c r="F282" s="49" t="s">
        <v>2815</v>
      </c>
      <c r="G282" s="49" t="s">
        <v>2816</v>
      </c>
      <c r="H282" s="49" t="s">
        <v>2817</v>
      </c>
      <c r="I282" s="49" t="s">
        <v>1812</v>
      </c>
      <c r="J282" s="316"/>
      <c r="K282" s="360"/>
      <c r="L282" s="317" t="s">
        <v>47</v>
      </c>
      <c r="M282" s="317" t="s">
        <v>1813</v>
      </c>
      <c r="N282" s="317">
        <v>2</v>
      </c>
      <c r="O282" s="366">
        <v>45460</v>
      </c>
      <c r="P282" s="365" t="s">
        <v>264</v>
      </c>
      <c r="Q282" s="364">
        <v>45460</v>
      </c>
      <c r="R282" s="364">
        <v>45460</v>
      </c>
      <c r="S282" s="348" t="s">
        <v>1687</v>
      </c>
    </row>
    <row r="283" spans="1:19" ht="25.5" hidden="1" x14ac:dyDescent="0.25">
      <c r="A283" s="359">
        <v>0</v>
      </c>
      <c r="B283" s="49" t="s">
        <v>2818</v>
      </c>
      <c r="C283" s="49" t="s">
        <v>1820</v>
      </c>
      <c r="D283" s="49"/>
      <c r="E283" s="49">
        <v>183615</v>
      </c>
      <c r="F283" s="49" t="s">
        <v>2819</v>
      </c>
      <c r="G283" s="49" t="s">
        <v>427</v>
      </c>
      <c r="H283" s="49" t="s">
        <v>2820</v>
      </c>
      <c r="I283" s="49" t="s">
        <v>2604</v>
      </c>
      <c r="J283" s="316">
        <v>45432</v>
      </c>
      <c r="K283" s="360">
        <v>45434</v>
      </c>
      <c r="L283" s="363" t="s">
        <v>47</v>
      </c>
      <c r="M283" s="317" t="s">
        <v>2821</v>
      </c>
      <c r="N283" s="317">
        <v>3</v>
      </c>
      <c r="O283" s="366">
        <v>45439</v>
      </c>
      <c r="P283" s="365" t="s">
        <v>264</v>
      </c>
      <c r="Q283" s="364">
        <v>45439</v>
      </c>
      <c r="R283" s="364">
        <v>45439</v>
      </c>
      <c r="S283" s="348" t="s">
        <v>1687</v>
      </c>
    </row>
    <row r="284" spans="1:19" ht="25.5" hidden="1" x14ac:dyDescent="0.25">
      <c r="A284" s="359">
        <v>0</v>
      </c>
      <c r="B284" s="49" t="s">
        <v>2822</v>
      </c>
      <c r="C284" s="49" t="s">
        <v>2030</v>
      </c>
      <c r="D284" s="49"/>
      <c r="E284" s="49">
        <v>183616</v>
      </c>
      <c r="F284" s="49" t="s">
        <v>2823</v>
      </c>
      <c r="G284" s="49" t="s">
        <v>2824</v>
      </c>
      <c r="H284" s="49" t="s">
        <v>2825</v>
      </c>
      <c r="I284" s="49" t="s">
        <v>2826</v>
      </c>
      <c r="J284" s="316">
        <v>45432</v>
      </c>
      <c r="K284" s="360">
        <v>45434</v>
      </c>
      <c r="L284" s="363" t="s">
        <v>28</v>
      </c>
      <c r="M284" s="317" t="s">
        <v>2827</v>
      </c>
      <c r="N284" s="317">
        <v>1</v>
      </c>
      <c r="O284" s="366">
        <v>45434</v>
      </c>
      <c r="P284" s="365" t="s">
        <v>264</v>
      </c>
      <c r="Q284" s="364">
        <v>45434</v>
      </c>
      <c r="R284" s="364">
        <v>45434</v>
      </c>
      <c r="S284" s="348" t="s">
        <v>1687</v>
      </c>
    </row>
    <row r="285" spans="1:19" ht="51" hidden="1" x14ac:dyDescent="0.25">
      <c r="A285" s="359">
        <v>0</v>
      </c>
      <c r="B285" s="49" t="s">
        <v>2828</v>
      </c>
      <c r="C285" s="49" t="s">
        <v>2829</v>
      </c>
      <c r="D285" s="49"/>
      <c r="E285" s="49">
        <v>183563</v>
      </c>
      <c r="F285" s="49" t="s">
        <v>2830</v>
      </c>
      <c r="G285" s="49" t="s">
        <v>2831</v>
      </c>
      <c r="H285" s="49" t="s">
        <v>2832</v>
      </c>
      <c r="I285" s="49" t="s">
        <v>2833</v>
      </c>
      <c r="J285" s="316">
        <v>45684</v>
      </c>
      <c r="K285" s="360">
        <v>45428</v>
      </c>
      <c r="L285" s="363" t="s">
        <v>47</v>
      </c>
      <c r="M285" s="317" t="s">
        <v>2834</v>
      </c>
      <c r="N285" s="317">
        <v>1</v>
      </c>
      <c r="O285" s="366">
        <v>45684</v>
      </c>
      <c r="P285" s="365" t="s">
        <v>30</v>
      </c>
      <c r="Q285" s="364">
        <v>45691</v>
      </c>
      <c r="R285" s="364">
        <v>45691</v>
      </c>
      <c r="S285" s="348"/>
    </row>
    <row r="286" spans="1:19" ht="38.25" hidden="1" x14ac:dyDescent="0.25">
      <c r="A286" s="359">
        <v>0</v>
      </c>
      <c r="B286" s="49" t="s">
        <v>2835</v>
      </c>
      <c r="C286" s="49" t="s">
        <v>1791</v>
      </c>
      <c r="D286" s="49"/>
      <c r="E286" s="49">
        <v>183622</v>
      </c>
      <c r="F286" s="49" t="s">
        <v>2836</v>
      </c>
      <c r="G286" s="49" t="s">
        <v>2837</v>
      </c>
      <c r="H286" s="49" t="s">
        <v>2838</v>
      </c>
      <c r="I286" s="316" t="s">
        <v>2618</v>
      </c>
      <c r="J286" s="316">
        <v>45433</v>
      </c>
      <c r="K286" s="360">
        <v>45435</v>
      </c>
      <c r="L286" s="363" t="s">
        <v>28</v>
      </c>
      <c r="M286" s="317">
        <v>3058226</v>
      </c>
      <c r="N286" s="317">
        <v>2</v>
      </c>
      <c r="O286" s="366">
        <v>45436</v>
      </c>
      <c r="P286" s="365" t="s">
        <v>264</v>
      </c>
      <c r="Q286" s="364">
        <v>45436</v>
      </c>
      <c r="R286" s="364">
        <v>45436</v>
      </c>
      <c r="S286" s="348" t="s">
        <v>1687</v>
      </c>
    </row>
    <row r="287" spans="1:19" ht="38.25" hidden="1" x14ac:dyDescent="0.25">
      <c r="A287" s="359">
        <v>0</v>
      </c>
      <c r="B287" s="49" t="s">
        <v>2839</v>
      </c>
      <c r="C287" s="49" t="s">
        <v>1791</v>
      </c>
      <c r="D287" s="49"/>
      <c r="E287" s="49">
        <v>183621</v>
      </c>
      <c r="F287" s="49" t="s">
        <v>2836</v>
      </c>
      <c r="G287" s="49" t="s">
        <v>2840</v>
      </c>
      <c r="H287" s="49" t="s">
        <v>2841</v>
      </c>
      <c r="I287" s="316" t="s">
        <v>2618</v>
      </c>
      <c r="J287" s="316">
        <v>45434</v>
      </c>
      <c r="K287" s="360">
        <v>45434</v>
      </c>
      <c r="L287" s="363" t="s">
        <v>28</v>
      </c>
      <c r="M287" s="317" t="s">
        <v>2619</v>
      </c>
      <c r="N287" s="317">
        <v>3</v>
      </c>
      <c r="O287" s="366">
        <v>45436</v>
      </c>
      <c r="P287" s="365" t="s">
        <v>264</v>
      </c>
      <c r="Q287" s="364">
        <v>45436</v>
      </c>
      <c r="R287" s="364">
        <v>45436</v>
      </c>
      <c r="S287" s="348" t="s">
        <v>1687</v>
      </c>
    </row>
    <row r="288" spans="1:19" ht="25.5" hidden="1" x14ac:dyDescent="0.25">
      <c r="A288" s="359">
        <v>0</v>
      </c>
      <c r="B288" s="49" t="s">
        <v>2842</v>
      </c>
      <c r="C288" s="49" t="s">
        <v>1775</v>
      </c>
      <c r="D288" s="49"/>
      <c r="E288" s="49">
        <v>183617</v>
      </c>
      <c r="F288" s="49" t="s">
        <v>2843</v>
      </c>
      <c r="G288" s="49" t="s">
        <v>2844</v>
      </c>
      <c r="H288" s="49" t="s">
        <v>2845</v>
      </c>
      <c r="I288" s="49" t="s">
        <v>2846</v>
      </c>
      <c r="J288" s="360">
        <v>45433</v>
      </c>
      <c r="K288" s="360">
        <v>45434</v>
      </c>
      <c r="L288" s="363" t="s">
        <v>28</v>
      </c>
      <c r="M288" s="317" t="s">
        <v>2847</v>
      </c>
      <c r="N288" s="317">
        <v>1</v>
      </c>
      <c r="O288" s="366">
        <v>45436</v>
      </c>
      <c r="P288" s="365" t="s">
        <v>264</v>
      </c>
      <c r="Q288" s="364">
        <v>45436</v>
      </c>
      <c r="R288" s="364">
        <v>45436</v>
      </c>
      <c r="S288" s="348" t="s">
        <v>1687</v>
      </c>
    </row>
    <row r="289" spans="1:19" hidden="1" x14ac:dyDescent="0.25">
      <c r="A289" s="359">
        <v>0</v>
      </c>
      <c r="B289" s="49" t="s">
        <v>2848</v>
      </c>
      <c r="C289" s="49" t="s">
        <v>1680</v>
      </c>
      <c r="D289" s="49"/>
      <c r="E289" s="49">
        <v>183625</v>
      </c>
      <c r="F289" s="49" t="s">
        <v>2849</v>
      </c>
      <c r="G289" s="49" t="s">
        <v>2622</v>
      </c>
      <c r="H289" s="49" t="s">
        <v>2623</v>
      </c>
      <c r="I289" s="49" t="s">
        <v>2812</v>
      </c>
      <c r="J289" s="316">
        <v>45435</v>
      </c>
      <c r="K289" s="360">
        <v>45436</v>
      </c>
      <c r="L289" s="363" t="s">
        <v>28</v>
      </c>
      <c r="M289" s="317" t="s">
        <v>2850</v>
      </c>
      <c r="N289" s="317">
        <v>4</v>
      </c>
      <c r="O289" s="366">
        <v>45439</v>
      </c>
      <c r="P289" s="365" t="s">
        <v>264</v>
      </c>
      <c r="Q289" s="364">
        <v>45439</v>
      </c>
      <c r="R289" s="364">
        <v>45439</v>
      </c>
      <c r="S289" s="348" t="s">
        <v>1687</v>
      </c>
    </row>
    <row r="290" spans="1:19" hidden="1" x14ac:dyDescent="0.25">
      <c r="A290" s="359">
        <v>0</v>
      </c>
      <c r="B290" s="49" t="s">
        <v>2851</v>
      </c>
      <c r="C290" s="49" t="s">
        <v>1680</v>
      </c>
      <c r="D290" s="49"/>
      <c r="E290" s="49">
        <v>183626</v>
      </c>
      <c r="F290" s="49" t="s">
        <v>2852</v>
      </c>
      <c r="G290" s="49" t="s">
        <v>2622</v>
      </c>
      <c r="H290" s="49" t="s">
        <v>2623</v>
      </c>
      <c r="I290" s="49" t="s">
        <v>2812</v>
      </c>
      <c r="J290" s="316">
        <v>45436</v>
      </c>
      <c r="K290" s="360">
        <v>45440</v>
      </c>
      <c r="L290" s="363" t="s">
        <v>28</v>
      </c>
      <c r="M290" s="317" t="s">
        <v>2850</v>
      </c>
      <c r="N290" s="317">
        <v>3</v>
      </c>
      <c r="O290" s="366">
        <v>45441</v>
      </c>
      <c r="P290" s="365" t="s">
        <v>264</v>
      </c>
      <c r="Q290" s="364">
        <v>45441</v>
      </c>
      <c r="R290" s="364">
        <v>45441</v>
      </c>
      <c r="S290" s="348" t="s">
        <v>1687</v>
      </c>
    </row>
    <row r="291" spans="1:19" ht="38.25" hidden="1" x14ac:dyDescent="0.25">
      <c r="A291" s="359">
        <v>0</v>
      </c>
      <c r="B291" s="49" t="s">
        <v>2853</v>
      </c>
      <c r="C291" s="49" t="s">
        <v>2854</v>
      </c>
      <c r="D291" s="49"/>
      <c r="E291" s="49">
        <v>183627</v>
      </c>
      <c r="F291" s="49" t="s">
        <v>2855</v>
      </c>
      <c r="G291" s="49" t="s">
        <v>2856</v>
      </c>
      <c r="H291" s="49" t="s">
        <v>2857</v>
      </c>
      <c r="I291" s="49" t="s">
        <v>2858</v>
      </c>
      <c r="J291" s="316">
        <v>45435</v>
      </c>
      <c r="K291" s="360">
        <v>45439</v>
      </c>
      <c r="L291" s="363" t="s">
        <v>28</v>
      </c>
      <c r="M291" s="317" t="s">
        <v>2859</v>
      </c>
      <c r="N291" s="317">
        <v>1</v>
      </c>
      <c r="O291" s="366">
        <v>45488</v>
      </c>
      <c r="P291" s="365" t="s">
        <v>264</v>
      </c>
      <c r="Q291" s="364">
        <v>45488</v>
      </c>
      <c r="R291" s="364">
        <v>45488</v>
      </c>
      <c r="S291" s="348"/>
    </row>
    <row r="292" spans="1:19" ht="25.5" hidden="1" x14ac:dyDescent="0.25">
      <c r="A292" s="359">
        <v>0</v>
      </c>
      <c r="B292" s="49" t="s">
        <v>2860</v>
      </c>
      <c r="C292" s="49" t="s">
        <v>2861</v>
      </c>
      <c r="D292" s="49"/>
      <c r="E292" s="49">
        <v>183602</v>
      </c>
      <c r="F292" s="49" t="s">
        <v>2774</v>
      </c>
      <c r="G292" s="49" t="s">
        <v>2862</v>
      </c>
      <c r="H292" s="49" t="s">
        <v>2863</v>
      </c>
      <c r="I292" s="49" t="s">
        <v>2864</v>
      </c>
      <c r="J292" s="316"/>
      <c r="K292" s="360"/>
      <c r="L292" s="363" t="s">
        <v>47</v>
      </c>
      <c r="M292" s="317" t="s">
        <v>2865</v>
      </c>
      <c r="N292" s="317">
        <v>1</v>
      </c>
      <c r="O292" s="366">
        <v>45462</v>
      </c>
      <c r="P292" s="365" t="s">
        <v>264</v>
      </c>
      <c r="Q292" s="364">
        <v>45463</v>
      </c>
      <c r="R292" s="364">
        <v>45463</v>
      </c>
      <c r="S292" s="348"/>
    </row>
    <row r="293" spans="1:19" hidden="1" x14ac:dyDescent="0.25">
      <c r="A293" s="359">
        <v>0</v>
      </c>
      <c r="B293" s="49" t="s">
        <v>2866</v>
      </c>
      <c r="C293" s="49" t="s">
        <v>1680</v>
      </c>
      <c r="D293" s="49"/>
      <c r="E293" s="49">
        <v>183630</v>
      </c>
      <c r="F293" s="49" t="s">
        <v>2867</v>
      </c>
      <c r="G293" s="49" t="s">
        <v>2868</v>
      </c>
      <c r="H293" s="49" t="s">
        <v>2869</v>
      </c>
      <c r="I293" s="49" t="s">
        <v>2870</v>
      </c>
      <c r="J293" s="316">
        <v>45439</v>
      </c>
      <c r="K293" s="360">
        <v>45440</v>
      </c>
      <c r="L293" s="363" t="s">
        <v>28</v>
      </c>
      <c r="M293" s="317" t="s">
        <v>2871</v>
      </c>
      <c r="N293" s="317">
        <v>1</v>
      </c>
      <c r="O293" s="366">
        <v>45441</v>
      </c>
      <c r="P293" s="365" t="s">
        <v>264</v>
      </c>
      <c r="Q293" s="364">
        <v>45446</v>
      </c>
      <c r="R293" s="364">
        <v>45446</v>
      </c>
      <c r="S293" s="348" t="s">
        <v>1687</v>
      </c>
    </row>
    <row r="294" spans="1:19" ht="38.25" hidden="1" x14ac:dyDescent="0.25">
      <c r="A294" s="359">
        <v>0</v>
      </c>
      <c r="B294" s="49" t="s">
        <v>2872</v>
      </c>
      <c r="C294" s="49" t="s">
        <v>1941</v>
      </c>
      <c r="D294" s="49"/>
      <c r="E294" s="49">
        <v>183632</v>
      </c>
      <c r="F294" s="49" t="s">
        <v>2873</v>
      </c>
      <c r="G294" s="49" t="s">
        <v>2874</v>
      </c>
      <c r="H294" s="49" t="s">
        <v>2875</v>
      </c>
      <c r="I294" s="49" t="s">
        <v>2876</v>
      </c>
      <c r="J294" s="316">
        <v>45440</v>
      </c>
      <c r="K294" s="316">
        <v>45440</v>
      </c>
      <c r="L294" s="363" t="s">
        <v>28</v>
      </c>
      <c r="M294" s="317" t="s">
        <v>2877</v>
      </c>
      <c r="N294" s="317">
        <v>4</v>
      </c>
      <c r="O294" s="322">
        <v>45441</v>
      </c>
      <c r="P294" s="365" t="s">
        <v>264</v>
      </c>
      <c r="Q294" s="364">
        <v>45441</v>
      </c>
      <c r="R294" s="364">
        <v>45441</v>
      </c>
      <c r="S294" s="348" t="s">
        <v>1687</v>
      </c>
    </row>
    <row r="295" spans="1:19" ht="38.25" hidden="1" x14ac:dyDescent="0.25">
      <c r="A295" s="359">
        <v>0</v>
      </c>
      <c r="B295" s="49" t="s">
        <v>2878</v>
      </c>
      <c r="C295" s="49" t="s">
        <v>1791</v>
      </c>
      <c r="D295" s="49"/>
      <c r="E295" s="49">
        <v>183634</v>
      </c>
      <c r="F295" s="49" t="s">
        <v>2879</v>
      </c>
      <c r="G295" s="49" t="s">
        <v>2880</v>
      </c>
      <c r="H295" s="49" t="s">
        <v>1794</v>
      </c>
      <c r="I295" s="49" t="s">
        <v>504</v>
      </c>
      <c r="J295" s="316"/>
      <c r="K295" s="360"/>
      <c r="L295" s="363" t="s">
        <v>47</v>
      </c>
      <c r="M295" s="317" t="s">
        <v>505</v>
      </c>
      <c r="N295" s="317">
        <v>2</v>
      </c>
      <c r="O295" s="366">
        <v>45450</v>
      </c>
      <c r="P295" s="365" t="s">
        <v>264</v>
      </c>
      <c r="Q295" s="364">
        <v>45450</v>
      </c>
      <c r="R295" s="364">
        <v>45450</v>
      </c>
      <c r="S295" s="348" t="s">
        <v>1687</v>
      </c>
    </row>
    <row r="296" spans="1:19" ht="25.5" hidden="1" x14ac:dyDescent="0.25">
      <c r="A296" s="359">
        <v>0</v>
      </c>
      <c r="B296" s="49" t="s">
        <v>2881</v>
      </c>
      <c r="C296" s="49" t="s">
        <v>1711</v>
      </c>
      <c r="D296" s="49"/>
      <c r="E296" s="49">
        <v>183633</v>
      </c>
      <c r="F296" s="49"/>
      <c r="G296" s="49"/>
      <c r="H296" s="49"/>
      <c r="I296" s="49" t="s">
        <v>2882</v>
      </c>
      <c r="J296" s="316"/>
      <c r="K296" s="360"/>
      <c r="L296" s="363"/>
      <c r="M296" s="317" t="s">
        <v>2883</v>
      </c>
      <c r="N296" s="317"/>
      <c r="O296" s="366"/>
      <c r="P296" s="365"/>
      <c r="Q296" s="364"/>
      <c r="R296" s="364"/>
      <c r="S296" s="348"/>
    </row>
    <row r="297" spans="1:19" ht="25.5" hidden="1" x14ac:dyDescent="0.25">
      <c r="A297" s="359">
        <v>0</v>
      </c>
      <c r="B297" s="49" t="s">
        <v>2884</v>
      </c>
      <c r="C297" s="49" t="s">
        <v>1775</v>
      </c>
      <c r="D297" s="49"/>
      <c r="E297" s="49">
        <v>183638</v>
      </c>
      <c r="F297" s="49" t="s">
        <v>2885</v>
      </c>
      <c r="G297" s="49" t="s">
        <v>2886</v>
      </c>
      <c r="H297" s="49" t="s">
        <v>2887</v>
      </c>
      <c r="I297" s="49" t="s">
        <v>2888</v>
      </c>
      <c r="J297" s="316"/>
      <c r="K297" s="360"/>
      <c r="L297" s="363" t="s">
        <v>47</v>
      </c>
      <c r="M297" s="317" t="s">
        <v>2889</v>
      </c>
      <c r="N297" s="317">
        <v>1</v>
      </c>
      <c r="O297" s="366">
        <v>45453</v>
      </c>
      <c r="P297" s="365" t="s">
        <v>264</v>
      </c>
      <c r="Q297" s="364">
        <v>45453</v>
      </c>
      <c r="R297" s="364">
        <v>45453</v>
      </c>
      <c r="S297" s="348" t="s">
        <v>1687</v>
      </c>
    </row>
    <row r="298" spans="1:19" ht="25.5" hidden="1" x14ac:dyDescent="0.25">
      <c r="A298" s="359">
        <v>0</v>
      </c>
      <c r="B298" s="49" t="s">
        <v>2890</v>
      </c>
      <c r="C298" s="49" t="s">
        <v>1775</v>
      </c>
      <c r="D298" s="49"/>
      <c r="E298" s="49">
        <v>183639</v>
      </c>
      <c r="F298" s="49" t="s">
        <v>2891</v>
      </c>
      <c r="G298" s="49" t="s">
        <v>1777</v>
      </c>
      <c r="H298" s="49" t="s">
        <v>1778</v>
      </c>
      <c r="I298" s="49" t="s">
        <v>1779</v>
      </c>
      <c r="J298" s="316">
        <v>45443</v>
      </c>
      <c r="K298" s="360">
        <v>45447</v>
      </c>
      <c r="L298" s="363" t="s">
        <v>47</v>
      </c>
      <c r="M298" s="317" t="s">
        <v>356</v>
      </c>
      <c r="N298" s="317">
        <v>2</v>
      </c>
      <c r="O298" s="366">
        <v>45449</v>
      </c>
      <c r="P298" s="365" t="s">
        <v>264</v>
      </c>
      <c r="Q298" s="364">
        <v>45449</v>
      </c>
      <c r="R298" s="364">
        <v>45449</v>
      </c>
      <c r="S298" s="348" t="s">
        <v>1687</v>
      </c>
    </row>
    <row r="299" spans="1:19" ht="25.5" hidden="1" x14ac:dyDescent="0.25">
      <c r="A299" s="359">
        <v>0</v>
      </c>
      <c r="B299" s="49" t="s">
        <v>2892</v>
      </c>
      <c r="C299" s="49" t="s">
        <v>1775</v>
      </c>
      <c r="D299" s="49"/>
      <c r="E299" s="49">
        <v>183640</v>
      </c>
      <c r="F299" s="49" t="s">
        <v>2893</v>
      </c>
      <c r="G299" s="49" t="s">
        <v>2894</v>
      </c>
      <c r="H299" s="49" t="s">
        <v>2895</v>
      </c>
      <c r="I299" s="49" t="s">
        <v>2896</v>
      </c>
      <c r="J299" s="316"/>
      <c r="K299" s="360"/>
      <c r="L299" s="363" t="s">
        <v>47</v>
      </c>
      <c r="M299" s="317" t="s">
        <v>2897</v>
      </c>
      <c r="N299" s="317">
        <v>3</v>
      </c>
      <c r="O299" s="366">
        <v>45453</v>
      </c>
      <c r="P299" s="365" t="s">
        <v>264</v>
      </c>
      <c r="Q299" s="364">
        <v>45453</v>
      </c>
      <c r="R299" s="364">
        <v>45453</v>
      </c>
      <c r="S299" s="348" t="s">
        <v>1687</v>
      </c>
    </row>
    <row r="300" spans="1:19" ht="25.5" hidden="1" x14ac:dyDescent="0.25">
      <c r="A300" s="359">
        <v>0</v>
      </c>
      <c r="B300" s="49" t="s">
        <v>2898</v>
      </c>
      <c r="C300" s="49" t="s">
        <v>1775</v>
      </c>
      <c r="D300" s="49"/>
      <c r="E300" s="49">
        <v>183641</v>
      </c>
      <c r="F300" s="49" t="s">
        <v>2899</v>
      </c>
      <c r="G300" s="49" t="s">
        <v>2900</v>
      </c>
      <c r="H300" s="49" t="s">
        <v>2901</v>
      </c>
      <c r="I300" s="49" t="s">
        <v>1864</v>
      </c>
      <c r="J300" s="316"/>
      <c r="K300" s="360"/>
      <c r="L300" s="363" t="s">
        <v>47</v>
      </c>
      <c r="M300" s="317" t="s">
        <v>2902</v>
      </c>
      <c r="N300" s="317">
        <v>3</v>
      </c>
      <c r="O300" s="366">
        <v>45478</v>
      </c>
      <c r="P300" s="365" t="s">
        <v>264</v>
      </c>
      <c r="Q300" s="364">
        <v>45478</v>
      </c>
      <c r="R300" s="364">
        <v>45478</v>
      </c>
      <c r="S300" s="348"/>
    </row>
    <row r="301" spans="1:19" ht="25.5" hidden="1" x14ac:dyDescent="0.25">
      <c r="A301" s="359">
        <v>0</v>
      </c>
      <c r="B301" s="49" t="s">
        <v>2903</v>
      </c>
      <c r="C301" s="49" t="s">
        <v>2187</v>
      </c>
      <c r="D301" s="49"/>
      <c r="E301" s="362" t="s">
        <v>2904</v>
      </c>
      <c r="F301" s="49" t="s">
        <v>2905</v>
      </c>
      <c r="G301" s="49" t="s">
        <v>2560</v>
      </c>
      <c r="H301" s="49" t="s">
        <v>2561</v>
      </c>
      <c r="I301" s="49" t="s">
        <v>2556</v>
      </c>
      <c r="J301" s="316">
        <v>45446</v>
      </c>
      <c r="K301" s="360">
        <v>45483</v>
      </c>
      <c r="L301" s="363" t="s">
        <v>47</v>
      </c>
      <c r="M301" s="317" t="s">
        <v>2906</v>
      </c>
      <c r="N301" s="317">
        <v>1</v>
      </c>
      <c r="O301" s="366">
        <v>45495</v>
      </c>
      <c r="P301" s="365" t="s">
        <v>264</v>
      </c>
      <c r="Q301" s="364">
        <v>45495</v>
      </c>
      <c r="R301" s="364">
        <v>45495</v>
      </c>
      <c r="S301" s="348" t="s">
        <v>1687</v>
      </c>
    </row>
    <row r="302" spans="1:19" hidden="1" x14ac:dyDescent="0.25">
      <c r="A302" s="359">
        <v>0</v>
      </c>
      <c r="B302" s="49" t="s">
        <v>2907</v>
      </c>
      <c r="C302" s="49" t="s">
        <v>83</v>
      </c>
      <c r="D302" s="49"/>
      <c r="E302" s="362" t="s">
        <v>2908</v>
      </c>
      <c r="F302" s="49" t="s">
        <v>2909</v>
      </c>
      <c r="G302" s="49" t="s">
        <v>291</v>
      </c>
      <c r="H302" s="49" t="s">
        <v>292</v>
      </c>
      <c r="I302" s="49" t="s">
        <v>73</v>
      </c>
      <c r="J302" s="316">
        <v>45441</v>
      </c>
      <c r="K302" s="360">
        <v>45441</v>
      </c>
      <c r="L302" s="363" t="s">
        <v>28</v>
      </c>
      <c r="M302" s="317" t="s">
        <v>293</v>
      </c>
      <c r="N302" s="317">
        <v>15</v>
      </c>
      <c r="O302" s="366">
        <v>45447</v>
      </c>
      <c r="P302" s="365" t="s">
        <v>264</v>
      </c>
      <c r="Q302" s="364">
        <v>45456</v>
      </c>
      <c r="R302" s="364">
        <v>45456</v>
      </c>
      <c r="S302" s="348" t="s">
        <v>1687</v>
      </c>
    </row>
    <row r="303" spans="1:19" ht="25.5" hidden="1" x14ac:dyDescent="0.25">
      <c r="A303" s="359">
        <v>0</v>
      </c>
      <c r="B303" s="49" t="s">
        <v>2910</v>
      </c>
      <c r="C303" s="49" t="s">
        <v>2911</v>
      </c>
      <c r="D303" s="49"/>
      <c r="E303" s="362" t="s">
        <v>2912</v>
      </c>
      <c r="F303" s="49" t="s">
        <v>2913</v>
      </c>
      <c r="G303" s="49" t="s">
        <v>291</v>
      </c>
      <c r="H303" s="49" t="s">
        <v>292</v>
      </c>
      <c r="I303" s="49" t="s">
        <v>73</v>
      </c>
      <c r="J303" s="316">
        <v>45441</v>
      </c>
      <c r="K303" s="360">
        <v>45441</v>
      </c>
      <c r="L303" s="363" t="s">
        <v>28</v>
      </c>
      <c r="M303" s="317" t="s">
        <v>293</v>
      </c>
      <c r="N303" s="317">
        <v>20</v>
      </c>
      <c r="O303" s="366">
        <v>45447</v>
      </c>
      <c r="P303" s="365" t="s">
        <v>264</v>
      </c>
      <c r="Q303" s="364">
        <v>45456</v>
      </c>
      <c r="R303" s="364">
        <v>45456</v>
      </c>
      <c r="S303" s="348" t="s">
        <v>1687</v>
      </c>
    </row>
    <row r="304" spans="1:19" ht="25.5" hidden="1" x14ac:dyDescent="0.25">
      <c r="A304" s="359">
        <v>0</v>
      </c>
      <c r="B304" s="49" t="s">
        <v>2914</v>
      </c>
      <c r="C304" s="49" t="s">
        <v>2915</v>
      </c>
      <c r="D304" s="49"/>
      <c r="E304" s="362" t="s">
        <v>2916</v>
      </c>
      <c r="F304" s="49" t="s">
        <v>2917</v>
      </c>
      <c r="G304" s="49" t="s">
        <v>2918</v>
      </c>
      <c r="H304" s="49" t="s">
        <v>2789</v>
      </c>
      <c r="I304" s="49" t="s">
        <v>2919</v>
      </c>
      <c r="J304" s="316">
        <v>45447</v>
      </c>
      <c r="K304" s="360"/>
      <c r="L304" s="363" t="s">
        <v>47</v>
      </c>
      <c r="M304" s="317" t="s">
        <v>2920</v>
      </c>
      <c r="N304" s="317">
        <v>9</v>
      </c>
      <c r="O304" s="366">
        <v>45450</v>
      </c>
      <c r="P304" s="365" t="s">
        <v>264</v>
      </c>
      <c r="Q304" s="364" t="s">
        <v>2921</v>
      </c>
      <c r="R304" s="364">
        <v>45450</v>
      </c>
      <c r="S304" s="348" t="s">
        <v>1687</v>
      </c>
    </row>
    <row r="305" spans="1:19" ht="25.5" hidden="1" x14ac:dyDescent="0.25">
      <c r="A305" s="359">
        <v>0</v>
      </c>
      <c r="B305" s="49" t="s">
        <v>2922</v>
      </c>
      <c r="C305" s="49" t="s">
        <v>1711</v>
      </c>
      <c r="D305" s="49"/>
      <c r="E305" s="362" t="s">
        <v>2923</v>
      </c>
      <c r="F305" s="49" t="s">
        <v>2924</v>
      </c>
      <c r="G305" s="49" t="s">
        <v>2925</v>
      </c>
      <c r="H305" s="49" t="s">
        <v>2926</v>
      </c>
      <c r="I305" s="49" t="s">
        <v>2927</v>
      </c>
      <c r="J305" s="316">
        <v>45446</v>
      </c>
      <c r="K305" s="360">
        <v>45446</v>
      </c>
      <c r="L305" s="363" t="s">
        <v>47</v>
      </c>
      <c r="M305" s="317" t="s">
        <v>2928</v>
      </c>
      <c r="N305" s="317">
        <v>5</v>
      </c>
      <c r="O305" s="366">
        <v>45484</v>
      </c>
      <c r="P305" s="365" t="s">
        <v>264</v>
      </c>
      <c r="Q305" s="364">
        <v>45484</v>
      </c>
      <c r="R305" s="364">
        <v>45484</v>
      </c>
      <c r="S305" s="348"/>
    </row>
    <row r="306" spans="1:19" hidden="1" x14ac:dyDescent="0.25">
      <c r="A306" s="359">
        <v>0</v>
      </c>
      <c r="B306" s="49" t="s">
        <v>2929</v>
      </c>
      <c r="C306" s="49" t="s">
        <v>1680</v>
      </c>
      <c r="D306" s="49"/>
      <c r="E306" s="362" t="s">
        <v>2930</v>
      </c>
      <c r="F306" s="49" t="s">
        <v>2931</v>
      </c>
      <c r="G306" s="49" t="s">
        <v>2622</v>
      </c>
      <c r="H306" s="49" t="s">
        <v>2623</v>
      </c>
      <c r="I306" s="49" t="s">
        <v>2812</v>
      </c>
      <c r="J306" s="316">
        <v>45448</v>
      </c>
      <c r="K306" s="360">
        <v>45450</v>
      </c>
      <c r="L306" s="363" t="s">
        <v>28</v>
      </c>
      <c r="M306" s="317" t="s">
        <v>2850</v>
      </c>
      <c r="N306" s="317">
        <v>2</v>
      </c>
      <c r="O306" s="366">
        <v>45456</v>
      </c>
      <c r="P306" s="365" t="s">
        <v>264</v>
      </c>
      <c r="Q306" s="364">
        <v>45456</v>
      </c>
      <c r="R306" s="364">
        <v>45456</v>
      </c>
      <c r="S306" s="348" t="s">
        <v>1687</v>
      </c>
    </row>
    <row r="307" spans="1:19" ht="38.25" hidden="1" x14ac:dyDescent="0.25">
      <c r="A307" s="359">
        <v>0</v>
      </c>
      <c r="B307" s="49" t="s">
        <v>2932</v>
      </c>
      <c r="C307" s="49" t="s">
        <v>2933</v>
      </c>
      <c r="D307" s="49"/>
      <c r="E307" s="362" t="s">
        <v>2934</v>
      </c>
      <c r="F307" s="49" t="s">
        <v>2935</v>
      </c>
      <c r="G307" s="49" t="s">
        <v>519</v>
      </c>
      <c r="H307" s="49" t="s">
        <v>2936</v>
      </c>
      <c r="I307" s="49" t="s">
        <v>2937</v>
      </c>
      <c r="J307" s="316"/>
      <c r="K307" s="360"/>
      <c r="L307" s="363" t="s">
        <v>47</v>
      </c>
      <c r="M307" s="317" t="s">
        <v>2938</v>
      </c>
      <c r="N307" s="317">
        <v>1</v>
      </c>
      <c r="O307" s="366">
        <v>45450</v>
      </c>
      <c r="P307" s="365" t="s">
        <v>264</v>
      </c>
      <c r="Q307" s="364">
        <v>45450</v>
      </c>
      <c r="R307" s="364">
        <v>45450</v>
      </c>
      <c r="S307" s="348" t="s">
        <v>1687</v>
      </c>
    </row>
    <row r="308" spans="1:19" ht="25.5" hidden="1" x14ac:dyDescent="0.25">
      <c r="A308" s="359">
        <v>0</v>
      </c>
      <c r="B308" s="49" t="s">
        <v>2939</v>
      </c>
      <c r="C308" s="49" t="s">
        <v>2940</v>
      </c>
      <c r="D308" s="49"/>
      <c r="E308" s="362" t="s">
        <v>2941</v>
      </c>
      <c r="F308" s="49" t="s">
        <v>2942</v>
      </c>
      <c r="G308" s="49" t="s">
        <v>2943</v>
      </c>
      <c r="H308" s="49" t="s">
        <v>2944</v>
      </c>
      <c r="I308" s="49" t="s">
        <v>46</v>
      </c>
      <c r="J308" s="316">
        <v>45478</v>
      </c>
      <c r="K308" s="360">
        <v>45609</v>
      </c>
      <c r="L308" s="363" t="s">
        <v>28</v>
      </c>
      <c r="M308" s="317" t="s">
        <v>154</v>
      </c>
      <c r="N308" s="317">
        <v>2</v>
      </c>
      <c r="O308" s="366">
        <v>45632</v>
      </c>
      <c r="P308" s="365" t="s">
        <v>30</v>
      </c>
      <c r="Q308" s="364">
        <v>45632</v>
      </c>
      <c r="R308" s="364">
        <v>45632</v>
      </c>
      <c r="S308" s="348"/>
    </row>
    <row r="309" spans="1:19" ht="25.5" hidden="1" x14ac:dyDescent="0.25">
      <c r="A309" s="359">
        <v>0</v>
      </c>
      <c r="B309" s="49" t="s">
        <v>2945</v>
      </c>
      <c r="C309" s="49" t="s">
        <v>132</v>
      </c>
      <c r="D309" s="49"/>
      <c r="E309" s="362" t="s">
        <v>2946</v>
      </c>
      <c r="F309" s="49" t="s">
        <v>2947</v>
      </c>
      <c r="G309" s="49" t="s">
        <v>1937</v>
      </c>
      <c r="H309" s="49" t="s">
        <v>2516</v>
      </c>
      <c r="I309" s="49" t="s">
        <v>2517</v>
      </c>
      <c r="J309" s="316"/>
      <c r="K309" s="360"/>
      <c r="L309" s="363" t="s">
        <v>47</v>
      </c>
      <c r="M309" s="317" t="s">
        <v>2518</v>
      </c>
      <c r="N309" s="317">
        <v>1</v>
      </c>
      <c r="O309" s="366">
        <v>45456</v>
      </c>
      <c r="P309" s="365" t="s">
        <v>264</v>
      </c>
      <c r="Q309" s="364">
        <v>45456</v>
      </c>
      <c r="R309" s="364">
        <v>45456</v>
      </c>
      <c r="S309" s="348" t="s">
        <v>1687</v>
      </c>
    </row>
    <row r="310" spans="1:19" ht="38.25" hidden="1" x14ac:dyDescent="0.25">
      <c r="A310" s="359">
        <v>0</v>
      </c>
      <c r="B310" s="49" t="s">
        <v>2948</v>
      </c>
      <c r="C310" s="49" t="s">
        <v>1941</v>
      </c>
      <c r="D310" s="49"/>
      <c r="E310" s="362" t="s">
        <v>2949</v>
      </c>
      <c r="F310" s="49" t="s">
        <v>2950</v>
      </c>
      <c r="G310" s="49" t="s">
        <v>2502</v>
      </c>
      <c r="H310" s="49" t="s">
        <v>2503</v>
      </c>
      <c r="I310" s="49" t="s">
        <v>2504</v>
      </c>
      <c r="J310" s="316"/>
      <c r="K310" s="360"/>
      <c r="L310" s="363" t="s">
        <v>47</v>
      </c>
      <c r="M310" s="317" t="s">
        <v>2505</v>
      </c>
      <c r="N310" s="317">
        <v>2</v>
      </c>
      <c r="O310" s="366">
        <v>45456</v>
      </c>
      <c r="P310" s="365" t="s">
        <v>264</v>
      </c>
      <c r="Q310" s="364">
        <v>45456</v>
      </c>
      <c r="R310" s="364">
        <v>45456</v>
      </c>
      <c r="S310" s="348" t="s">
        <v>1687</v>
      </c>
    </row>
    <row r="311" spans="1:19" ht="38.25" hidden="1" x14ac:dyDescent="0.25">
      <c r="A311" s="359">
        <v>0</v>
      </c>
      <c r="B311" s="49" t="s">
        <v>2951</v>
      </c>
      <c r="C311" s="49" t="s">
        <v>2952</v>
      </c>
      <c r="D311" s="49"/>
      <c r="E311" s="362" t="s">
        <v>2953</v>
      </c>
      <c r="F311" s="49" t="s">
        <v>2954</v>
      </c>
      <c r="G311" s="49" t="s">
        <v>171</v>
      </c>
      <c r="H311" s="49" t="s">
        <v>526</v>
      </c>
      <c r="I311" s="49" t="s">
        <v>173</v>
      </c>
      <c r="J311" s="316"/>
      <c r="K311" s="360"/>
      <c r="L311" s="363" t="s">
        <v>47</v>
      </c>
      <c r="M311" s="317" t="s">
        <v>174</v>
      </c>
      <c r="N311" s="317">
        <v>1</v>
      </c>
      <c r="O311" s="366">
        <v>45460</v>
      </c>
      <c r="P311" s="365" t="s">
        <v>264</v>
      </c>
      <c r="Q311" s="364">
        <v>45460</v>
      </c>
      <c r="R311" s="364">
        <v>45460</v>
      </c>
      <c r="S311" s="348" t="s">
        <v>1687</v>
      </c>
    </row>
    <row r="312" spans="1:19" ht="25.5" hidden="1" x14ac:dyDescent="0.25">
      <c r="A312" s="359">
        <v>0</v>
      </c>
      <c r="B312" s="49" t="s">
        <v>2955</v>
      </c>
      <c r="C312" s="49" t="s">
        <v>2956</v>
      </c>
      <c r="D312" s="49"/>
      <c r="E312" s="362" t="s">
        <v>2957</v>
      </c>
      <c r="F312" s="49" t="s">
        <v>2958</v>
      </c>
      <c r="G312" s="49" t="s">
        <v>2959</v>
      </c>
      <c r="H312" s="49" t="s">
        <v>2960</v>
      </c>
      <c r="I312" s="49" t="s">
        <v>2961</v>
      </c>
      <c r="J312" s="316">
        <v>45457</v>
      </c>
      <c r="K312" s="360">
        <v>45475</v>
      </c>
      <c r="L312" s="363" t="s">
        <v>28</v>
      </c>
      <c r="M312" s="317" t="s">
        <v>2962</v>
      </c>
      <c r="N312" s="317">
        <v>5</v>
      </c>
      <c r="O312" s="366">
        <v>45495</v>
      </c>
      <c r="P312" s="365" t="s">
        <v>264</v>
      </c>
      <c r="Q312" s="364">
        <v>45496</v>
      </c>
      <c r="R312" s="364">
        <v>45496</v>
      </c>
      <c r="S312" s="348"/>
    </row>
    <row r="313" spans="1:19" hidden="1" x14ac:dyDescent="0.25">
      <c r="A313" s="359">
        <v>0</v>
      </c>
      <c r="B313" s="49" t="s">
        <v>2963</v>
      </c>
      <c r="C313" s="49" t="s">
        <v>1680</v>
      </c>
      <c r="D313" s="49"/>
      <c r="E313" s="362" t="s">
        <v>2964</v>
      </c>
      <c r="F313" s="49" t="s">
        <v>2965</v>
      </c>
      <c r="G313" s="49" t="s">
        <v>2622</v>
      </c>
      <c r="H313" s="49" t="s">
        <v>2623</v>
      </c>
      <c r="I313" s="49" t="s">
        <v>2812</v>
      </c>
      <c r="J313" s="316">
        <v>45457</v>
      </c>
      <c r="K313" s="360">
        <v>45461</v>
      </c>
      <c r="L313" s="363" t="s">
        <v>28</v>
      </c>
      <c r="M313" s="317" t="s">
        <v>2850</v>
      </c>
      <c r="N313" s="317">
        <v>4</v>
      </c>
      <c r="O313" s="366">
        <v>45461</v>
      </c>
      <c r="P313" s="365" t="s">
        <v>264</v>
      </c>
      <c r="Q313" s="364">
        <v>45461</v>
      </c>
      <c r="R313" s="364">
        <v>45461</v>
      </c>
      <c r="S313" s="348" t="s">
        <v>1687</v>
      </c>
    </row>
    <row r="314" spans="1:19" ht="38.25" hidden="1" x14ac:dyDescent="0.25">
      <c r="A314" s="359">
        <v>0</v>
      </c>
      <c r="B314" s="49" t="s">
        <v>2966</v>
      </c>
      <c r="C314" s="49" t="s">
        <v>1954</v>
      </c>
      <c r="D314" s="49"/>
      <c r="E314" s="362" t="s">
        <v>2967</v>
      </c>
      <c r="F314" s="49" t="s">
        <v>2968</v>
      </c>
      <c r="G314" s="49" t="s">
        <v>2969</v>
      </c>
      <c r="H314" s="49" t="s">
        <v>2126</v>
      </c>
      <c r="I314" s="49" t="s">
        <v>1715</v>
      </c>
      <c r="J314" s="316"/>
      <c r="K314" s="360"/>
      <c r="L314" s="363" t="s">
        <v>47</v>
      </c>
      <c r="M314" s="317" t="s">
        <v>2127</v>
      </c>
      <c r="N314" s="317">
        <v>4</v>
      </c>
      <c r="O314" s="366">
        <v>45468</v>
      </c>
      <c r="P314" s="365" t="s">
        <v>264</v>
      </c>
      <c r="Q314" s="364">
        <v>45468</v>
      </c>
      <c r="R314" s="364">
        <v>45468</v>
      </c>
      <c r="S314" s="348"/>
    </row>
    <row r="315" spans="1:19" ht="38.25" hidden="1" x14ac:dyDescent="0.25">
      <c r="A315" s="359">
        <v>0</v>
      </c>
      <c r="B315" s="49" t="s">
        <v>2970</v>
      </c>
      <c r="C315" s="49" t="s">
        <v>2019</v>
      </c>
      <c r="D315" s="49"/>
      <c r="E315" s="362" t="s">
        <v>2971</v>
      </c>
      <c r="F315" s="49" t="s">
        <v>2972</v>
      </c>
      <c r="G315" s="49" t="s">
        <v>2973</v>
      </c>
      <c r="H315" s="49">
        <v>681</v>
      </c>
      <c r="I315" s="49" t="s">
        <v>2022</v>
      </c>
      <c r="J315" s="316">
        <v>45457</v>
      </c>
      <c r="K315" s="360">
        <v>45461</v>
      </c>
      <c r="L315" s="363" t="s">
        <v>47</v>
      </c>
      <c r="M315" s="317" t="s">
        <v>2974</v>
      </c>
      <c r="N315" s="317">
        <v>5</v>
      </c>
      <c r="O315" s="366">
        <v>45495</v>
      </c>
      <c r="P315" s="365" t="s">
        <v>264</v>
      </c>
      <c r="Q315" s="364">
        <v>45495</v>
      </c>
      <c r="R315" s="364">
        <v>45495</v>
      </c>
      <c r="S315" s="348"/>
    </row>
    <row r="316" spans="1:19" ht="25.5" hidden="1" x14ac:dyDescent="0.25">
      <c r="A316" s="359">
        <v>0</v>
      </c>
      <c r="B316" s="49" t="s">
        <v>2975</v>
      </c>
      <c r="C316" s="49" t="s">
        <v>1988</v>
      </c>
      <c r="D316" s="49"/>
      <c r="E316" s="362" t="s">
        <v>2976</v>
      </c>
      <c r="F316" s="49" t="s">
        <v>2977</v>
      </c>
      <c r="G316" s="49" t="s">
        <v>2717</v>
      </c>
      <c r="H316" s="49" t="s">
        <v>2978</v>
      </c>
      <c r="I316" s="49" t="s">
        <v>2937</v>
      </c>
      <c r="J316" s="316">
        <v>45461</v>
      </c>
      <c r="K316" s="360"/>
      <c r="L316" s="363" t="s">
        <v>47</v>
      </c>
      <c r="M316" s="317" t="s">
        <v>2979</v>
      </c>
      <c r="N316" s="317">
        <v>1</v>
      </c>
      <c r="O316" s="366">
        <v>45470</v>
      </c>
      <c r="P316" s="365" t="s">
        <v>264</v>
      </c>
      <c r="Q316" s="364">
        <v>45470</v>
      </c>
      <c r="R316" s="364">
        <v>45470</v>
      </c>
      <c r="S316" s="348"/>
    </row>
    <row r="317" spans="1:19" ht="25.5" hidden="1" x14ac:dyDescent="0.25">
      <c r="A317" s="359">
        <v>0</v>
      </c>
      <c r="B317" s="49" t="s">
        <v>2980</v>
      </c>
      <c r="C317" s="49" t="s">
        <v>2544</v>
      </c>
      <c r="D317" s="49"/>
      <c r="E317" s="362" t="s">
        <v>2981</v>
      </c>
      <c r="F317" s="49" t="s">
        <v>2982</v>
      </c>
      <c r="G317" s="49" t="s">
        <v>2983</v>
      </c>
      <c r="H317" s="49" t="s">
        <v>2984</v>
      </c>
      <c r="I317" s="49" t="s">
        <v>223</v>
      </c>
      <c r="J317" s="316">
        <v>45461</v>
      </c>
      <c r="K317" s="360"/>
      <c r="L317" s="363" t="s">
        <v>47</v>
      </c>
      <c r="M317" s="317" t="s">
        <v>224</v>
      </c>
      <c r="N317" s="317">
        <v>1</v>
      </c>
      <c r="O317" s="366">
        <v>45463</v>
      </c>
      <c r="P317" s="365" t="s">
        <v>264</v>
      </c>
      <c r="Q317" s="364">
        <v>45463</v>
      </c>
      <c r="R317" s="364">
        <v>45463</v>
      </c>
      <c r="S317" s="348"/>
    </row>
    <row r="318" spans="1:19" ht="25.5" hidden="1" x14ac:dyDescent="0.25">
      <c r="A318" s="359">
        <v>0</v>
      </c>
      <c r="B318" s="49" t="s">
        <v>2985</v>
      </c>
      <c r="C318" s="49" t="s">
        <v>132</v>
      </c>
      <c r="D318" s="49"/>
      <c r="E318" s="362" t="s">
        <v>2986</v>
      </c>
      <c r="F318" s="49" t="s">
        <v>2987</v>
      </c>
      <c r="G318" s="49" t="s">
        <v>427</v>
      </c>
      <c r="H318" s="49" t="s">
        <v>2988</v>
      </c>
      <c r="I318" s="49" t="s">
        <v>2989</v>
      </c>
      <c r="J318" s="316">
        <v>45462</v>
      </c>
      <c r="K318" s="360"/>
      <c r="L318" s="363" t="s">
        <v>47</v>
      </c>
      <c r="M318" s="317" t="s">
        <v>2990</v>
      </c>
      <c r="N318" s="317">
        <v>1</v>
      </c>
      <c r="O318" s="366">
        <v>45467</v>
      </c>
      <c r="P318" s="365" t="s">
        <v>264</v>
      </c>
      <c r="Q318" s="364">
        <v>45467</v>
      </c>
      <c r="R318" s="364">
        <v>45467</v>
      </c>
      <c r="S318" s="348"/>
    </row>
    <row r="319" spans="1:19" ht="25.5" hidden="1" x14ac:dyDescent="0.25">
      <c r="A319" s="359">
        <v>0</v>
      </c>
      <c r="B319" s="49" t="s">
        <v>2991</v>
      </c>
      <c r="C319" s="49" t="s">
        <v>2992</v>
      </c>
      <c r="D319" s="49"/>
      <c r="E319" s="362" t="s">
        <v>2993</v>
      </c>
      <c r="F319" s="49" t="s">
        <v>2994</v>
      </c>
      <c r="G319" s="49" t="s">
        <v>427</v>
      </c>
      <c r="H319" s="49" t="s">
        <v>2995</v>
      </c>
      <c r="I319" s="49" t="s">
        <v>2604</v>
      </c>
      <c r="J319" s="316"/>
      <c r="K319" s="360"/>
      <c r="L319" s="363" t="s">
        <v>47</v>
      </c>
      <c r="M319" s="317" t="s">
        <v>430</v>
      </c>
      <c r="N319" s="317">
        <v>4</v>
      </c>
      <c r="O319" s="366">
        <v>45463</v>
      </c>
      <c r="P319" s="365" t="s">
        <v>264</v>
      </c>
      <c r="Q319" s="364">
        <v>45463</v>
      </c>
      <c r="R319" s="364">
        <v>45463</v>
      </c>
      <c r="S319" s="348"/>
    </row>
    <row r="320" spans="1:19" ht="25.5" hidden="1" x14ac:dyDescent="0.25">
      <c r="A320" s="359">
        <v>0</v>
      </c>
      <c r="B320" s="49" t="s">
        <v>2996</v>
      </c>
      <c r="C320" s="49" t="s">
        <v>2643</v>
      </c>
      <c r="D320" s="49"/>
      <c r="E320" s="362" t="s">
        <v>2997</v>
      </c>
      <c r="F320" s="49" t="s">
        <v>2998</v>
      </c>
      <c r="G320" s="49" t="s">
        <v>2999</v>
      </c>
      <c r="H320" s="49" t="s">
        <v>3000</v>
      </c>
      <c r="I320" s="49" t="s">
        <v>3001</v>
      </c>
      <c r="J320" s="316">
        <v>45457</v>
      </c>
      <c r="K320" s="360">
        <v>45462</v>
      </c>
      <c r="L320" s="363" t="s">
        <v>47</v>
      </c>
      <c r="M320" s="317" t="s">
        <v>3002</v>
      </c>
      <c r="N320" s="317">
        <v>1</v>
      </c>
      <c r="O320" s="366">
        <v>45483</v>
      </c>
      <c r="P320" s="365" t="s">
        <v>264</v>
      </c>
      <c r="Q320" s="364">
        <v>45483</v>
      </c>
      <c r="R320" s="364">
        <v>45483</v>
      </c>
      <c r="S320" s="348" t="s">
        <v>1687</v>
      </c>
    </row>
    <row r="321" spans="1:19" ht="25.5" hidden="1" x14ac:dyDescent="0.25">
      <c r="A321" s="359">
        <v>0</v>
      </c>
      <c r="B321" s="49" t="s">
        <v>3003</v>
      </c>
      <c r="C321" s="49" t="s">
        <v>3004</v>
      </c>
      <c r="D321" s="49"/>
      <c r="E321" s="362" t="s">
        <v>3005</v>
      </c>
      <c r="F321" s="49" t="s">
        <v>3006</v>
      </c>
      <c r="G321" s="49" t="s">
        <v>547</v>
      </c>
      <c r="H321" s="49" t="s">
        <v>3007</v>
      </c>
      <c r="I321" s="49" t="s">
        <v>36</v>
      </c>
      <c r="J321" s="316">
        <v>45462</v>
      </c>
      <c r="K321" s="360">
        <v>45464</v>
      </c>
      <c r="L321" s="322" t="s">
        <v>47</v>
      </c>
      <c r="M321" s="317" t="s">
        <v>1709</v>
      </c>
      <c r="N321" s="317">
        <v>20</v>
      </c>
      <c r="O321" s="366">
        <v>45470</v>
      </c>
      <c r="P321" s="365" t="s">
        <v>264</v>
      </c>
      <c r="Q321" s="364">
        <v>45470</v>
      </c>
      <c r="R321" s="364">
        <v>45470</v>
      </c>
      <c r="S321" s="348"/>
    </row>
    <row r="322" spans="1:19" hidden="1" x14ac:dyDescent="0.25">
      <c r="A322" s="359">
        <v>0</v>
      </c>
      <c r="B322" s="49" t="s">
        <v>3008</v>
      </c>
      <c r="C322" s="49" t="s">
        <v>3009</v>
      </c>
      <c r="D322" s="49"/>
      <c r="E322" s="362" t="s">
        <v>3010</v>
      </c>
      <c r="F322" s="49" t="s">
        <v>3011</v>
      </c>
      <c r="G322" s="49" t="s">
        <v>3012</v>
      </c>
      <c r="H322" s="49">
        <v>3765</v>
      </c>
      <c r="I322" s="49" t="s">
        <v>2927</v>
      </c>
      <c r="J322" s="316">
        <v>45463</v>
      </c>
      <c r="K322" s="360"/>
      <c r="L322" s="363"/>
      <c r="M322" s="317" t="s">
        <v>3013</v>
      </c>
      <c r="N322" s="317">
        <v>3</v>
      </c>
      <c r="O322" s="366"/>
      <c r="P322" s="365"/>
      <c r="Q322" s="364"/>
      <c r="R322" s="364"/>
      <c r="S322" s="348"/>
    </row>
    <row r="323" spans="1:19" hidden="1" x14ac:dyDescent="0.25">
      <c r="A323" s="359">
        <v>0</v>
      </c>
      <c r="B323" s="49" t="s">
        <v>3014</v>
      </c>
      <c r="C323" s="49" t="s">
        <v>3009</v>
      </c>
      <c r="D323" s="49"/>
      <c r="E323" s="362" t="s">
        <v>3015</v>
      </c>
      <c r="F323" s="49" t="s">
        <v>3016</v>
      </c>
      <c r="G323" s="49" t="s">
        <v>3017</v>
      </c>
      <c r="H323" s="49">
        <v>3315</v>
      </c>
      <c r="I323" s="49" t="s">
        <v>2927</v>
      </c>
      <c r="J323" s="316">
        <v>45463</v>
      </c>
      <c r="K323" s="360"/>
      <c r="L323" s="363"/>
      <c r="M323" s="317" t="s">
        <v>3018</v>
      </c>
      <c r="N323" s="317">
        <v>5</v>
      </c>
      <c r="O323" s="366"/>
      <c r="P323" s="365"/>
      <c r="Q323" s="364"/>
      <c r="R323" s="364"/>
      <c r="S323" s="348"/>
    </row>
    <row r="324" spans="1:19" hidden="1" x14ac:dyDescent="0.25">
      <c r="A324" s="359">
        <v>0</v>
      </c>
      <c r="B324" s="49" t="s">
        <v>3019</v>
      </c>
      <c r="C324" s="49" t="s">
        <v>3009</v>
      </c>
      <c r="D324" s="49"/>
      <c r="E324" s="362" t="s">
        <v>3020</v>
      </c>
      <c r="F324" s="49" t="s">
        <v>3021</v>
      </c>
      <c r="G324" s="49" t="s">
        <v>3022</v>
      </c>
      <c r="H324" s="49">
        <v>1975</v>
      </c>
      <c r="I324" s="49" t="s">
        <v>2927</v>
      </c>
      <c r="J324" s="316">
        <v>45463</v>
      </c>
      <c r="K324" s="360"/>
      <c r="L324" s="363"/>
      <c r="M324" s="317" t="s">
        <v>3023</v>
      </c>
      <c r="N324" s="317">
        <v>10</v>
      </c>
      <c r="O324" s="366"/>
      <c r="P324" s="365"/>
      <c r="Q324" s="364"/>
      <c r="R324" s="364"/>
      <c r="S324" s="348"/>
    </row>
    <row r="325" spans="1:19" ht="25.5" hidden="1" x14ac:dyDescent="0.25">
      <c r="A325" s="359">
        <v>0</v>
      </c>
      <c r="B325" s="49" t="s">
        <v>3024</v>
      </c>
      <c r="C325" s="49" t="s">
        <v>1904</v>
      </c>
      <c r="D325" s="49"/>
      <c r="E325" s="362" t="s">
        <v>3025</v>
      </c>
      <c r="F325" s="49" t="s">
        <v>3026</v>
      </c>
      <c r="G325" s="49" t="s">
        <v>3027</v>
      </c>
      <c r="H325" s="49" t="s">
        <v>3028</v>
      </c>
      <c r="I325" s="49" t="s">
        <v>230</v>
      </c>
      <c r="J325" s="316"/>
      <c r="K325" s="360"/>
      <c r="L325" s="363" t="s">
        <v>47</v>
      </c>
      <c r="M325" s="317" t="s">
        <v>235</v>
      </c>
      <c r="N325" s="317">
        <v>18</v>
      </c>
      <c r="O325" s="366">
        <v>45476</v>
      </c>
      <c r="P325" s="365" t="s">
        <v>264</v>
      </c>
      <c r="Q325" s="364">
        <v>45476</v>
      </c>
      <c r="R325" s="364">
        <v>45476</v>
      </c>
      <c r="S325" s="348"/>
    </row>
    <row r="326" spans="1:19" ht="25.5" hidden="1" x14ac:dyDescent="0.25">
      <c r="A326" s="359">
        <v>0</v>
      </c>
      <c r="B326" s="49" t="s">
        <v>3029</v>
      </c>
      <c r="C326" s="49" t="s">
        <v>2187</v>
      </c>
      <c r="D326" s="49"/>
      <c r="E326" s="362" t="s">
        <v>3030</v>
      </c>
      <c r="F326" s="49" t="s">
        <v>3031</v>
      </c>
      <c r="G326" s="49" t="s">
        <v>2103</v>
      </c>
      <c r="H326" s="49" t="s">
        <v>3032</v>
      </c>
      <c r="I326" s="49" t="s">
        <v>3033</v>
      </c>
      <c r="J326" s="316">
        <v>45461</v>
      </c>
      <c r="K326" s="360">
        <v>45477</v>
      </c>
      <c r="L326" s="363" t="s">
        <v>28</v>
      </c>
      <c r="M326" s="317" t="s">
        <v>3034</v>
      </c>
      <c r="N326" s="317">
        <v>1</v>
      </c>
      <c r="O326" s="366">
        <v>45489</v>
      </c>
      <c r="P326" s="365" t="s">
        <v>264</v>
      </c>
      <c r="Q326" s="364">
        <v>46585</v>
      </c>
      <c r="R326" s="364">
        <v>45490</v>
      </c>
      <c r="S326" s="348" t="s">
        <v>1687</v>
      </c>
    </row>
    <row r="327" spans="1:19" hidden="1" x14ac:dyDescent="0.25">
      <c r="A327" s="359">
        <v>0</v>
      </c>
      <c r="B327" s="49" t="s">
        <v>3035</v>
      </c>
      <c r="C327" s="49" t="s">
        <v>1680</v>
      </c>
      <c r="D327" s="49"/>
      <c r="E327" s="362" t="s">
        <v>3036</v>
      </c>
      <c r="F327" s="49" t="s">
        <v>3037</v>
      </c>
      <c r="G327" s="49" t="s">
        <v>3038</v>
      </c>
      <c r="H327" s="49" t="s">
        <v>3039</v>
      </c>
      <c r="I327" s="49" t="s">
        <v>127</v>
      </c>
      <c r="J327" s="316"/>
      <c r="K327" s="360"/>
      <c r="L327" s="363" t="s">
        <v>47</v>
      </c>
      <c r="M327" s="317" t="s">
        <v>241</v>
      </c>
      <c r="N327" s="317">
        <v>1</v>
      </c>
      <c r="O327" s="366">
        <v>45468</v>
      </c>
      <c r="P327" s="365" t="s">
        <v>264</v>
      </c>
      <c r="Q327" s="364">
        <v>45468</v>
      </c>
      <c r="R327" s="364">
        <v>45468</v>
      </c>
      <c r="S327" s="348"/>
    </row>
    <row r="328" spans="1:19" ht="25.5" hidden="1" x14ac:dyDescent="0.25">
      <c r="A328" s="359">
        <v>0</v>
      </c>
      <c r="B328" s="49" t="s">
        <v>3040</v>
      </c>
      <c r="C328" s="49" t="s">
        <v>1904</v>
      </c>
      <c r="D328" s="49"/>
      <c r="E328" s="362" t="s">
        <v>3041</v>
      </c>
      <c r="F328" s="49" t="s">
        <v>3042</v>
      </c>
      <c r="G328" s="49" t="s">
        <v>3027</v>
      </c>
      <c r="H328" s="49" t="s">
        <v>3043</v>
      </c>
      <c r="I328" s="49" t="s">
        <v>1902</v>
      </c>
      <c r="J328" s="316"/>
      <c r="K328" s="360"/>
      <c r="L328" s="363" t="s">
        <v>47</v>
      </c>
      <c r="M328" s="317" t="s">
        <v>231</v>
      </c>
      <c r="N328" s="317">
        <v>6</v>
      </c>
      <c r="O328" s="366">
        <v>45476</v>
      </c>
      <c r="P328" s="365" t="s">
        <v>264</v>
      </c>
      <c r="Q328" s="364">
        <v>45476</v>
      </c>
      <c r="R328" s="364">
        <v>45476</v>
      </c>
      <c r="S328" s="348"/>
    </row>
    <row r="329" spans="1:19" ht="25.5" hidden="1" x14ac:dyDescent="0.25">
      <c r="A329" s="359">
        <v>0</v>
      </c>
      <c r="B329" s="49" t="s">
        <v>3044</v>
      </c>
      <c r="C329" s="49" t="s">
        <v>2187</v>
      </c>
      <c r="D329" s="49"/>
      <c r="E329" s="362" t="s">
        <v>3045</v>
      </c>
      <c r="F329" s="49" t="s">
        <v>3046</v>
      </c>
      <c r="G329" s="49"/>
      <c r="H329" s="49"/>
      <c r="I329" s="49"/>
      <c r="J329" s="316"/>
      <c r="K329" s="360"/>
      <c r="L329" s="363"/>
      <c r="M329" s="317" t="s">
        <v>3047</v>
      </c>
      <c r="N329" s="317"/>
      <c r="O329" s="366"/>
      <c r="P329" s="365"/>
      <c r="Q329" s="364"/>
      <c r="R329" s="364"/>
      <c r="S329" s="348"/>
    </row>
    <row r="330" spans="1:19" ht="25.5" hidden="1" x14ac:dyDescent="0.25">
      <c r="A330" s="359">
        <v>0</v>
      </c>
      <c r="B330" s="49" t="s">
        <v>3048</v>
      </c>
      <c r="C330" s="49" t="s">
        <v>3049</v>
      </c>
      <c r="D330" s="49"/>
      <c r="E330" s="362" t="s">
        <v>3050</v>
      </c>
      <c r="F330" s="49" t="s">
        <v>3051</v>
      </c>
      <c r="G330" s="49" t="s">
        <v>519</v>
      </c>
      <c r="H330" s="49" t="s">
        <v>3052</v>
      </c>
      <c r="I330" s="49" t="s">
        <v>2937</v>
      </c>
      <c r="J330" s="316"/>
      <c r="K330" s="360"/>
      <c r="L330" s="363" t="s">
        <v>47</v>
      </c>
      <c r="M330" s="317" t="s">
        <v>3053</v>
      </c>
      <c r="N330" s="317">
        <v>11</v>
      </c>
      <c r="O330" s="366">
        <v>45476</v>
      </c>
      <c r="P330" s="365" t="s">
        <v>264</v>
      </c>
      <c r="Q330" s="364">
        <v>45476</v>
      </c>
      <c r="R330" s="364">
        <v>45476</v>
      </c>
      <c r="S330" s="348"/>
    </row>
    <row r="331" spans="1:19" ht="25.5" hidden="1" x14ac:dyDescent="0.25">
      <c r="A331" s="359">
        <v>0</v>
      </c>
      <c r="B331" s="49" t="s">
        <v>3054</v>
      </c>
      <c r="C331" s="49" t="s">
        <v>3049</v>
      </c>
      <c r="D331" s="49"/>
      <c r="E331" s="362" t="s">
        <v>3055</v>
      </c>
      <c r="F331" s="49" t="s">
        <v>3056</v>
      </c>
      <c r="G331" s="49" t="s">
        <v>3057</v>
      </c>
      <c r="H331" s="49" t="s">
        <v>3058</v>
      </c>
      <c r="I331" s="49"/>
      <c r="J331" s="316"/>
      <c r="K331" s="360"/>
      <c r="L331" s="363"/>
      <c r="M331" s="317"/>
      <c r="N331" s="317"/>
      <c r="O331" s="366"/>
      <c r="P331" s="365"/>
      <c r="Q331" s="364"/>
      <c r="R331" s="364"/>
      <c r="S331" s="348"/>
    </row>
    <row r="332" spans="1:19" ht="25.5" hidden="1" x14ac:dyDescent="0.25">
      <c r="A332" s="359">
        <v>0</v>
      </c>
      <c r="B332" s="49" t="s">
        <v>3059</v>
      </c>
      <c r="C332" s="49" t="s">
        <v>3049</v>
      </c>
      <c r="D332" s="49"/>
      <c r="E332" s="362" t="s">
        <v>3060</v>
      </c>
      <c r="F332" s="49" t="s">
        <v>3061</v>
      </c>
      <c r="G332" s="49" t="s">
        <v>3062</v>
      </c>
      <c r="H332" s="49" t="s">
        <v>3063</v>
      </c>
      <c r="I332" s="49" t="s">
        <v>3064</v>
      </c>
      <c r="J332" s="316">
        <v>45431</v>
      </c>
      <c r="K332" s="360">
        <v>45464</v>
      </c>
      <c r="L332" s="363" t="s">
        <v>47</v>
      </c>
      <c r="M332" s="317" t="s">
        <v>3065</v>
      </c>
      <c r="N332" s="317">
        <v>18</v>
      </c>
      <c r="O332" s="366">
        <v>45517</v>
      </c>
      <c r="P332" s="365" t="s">
        <v>264</v>
      </c>
      <c r="Q332" s="364">
        <v>45517</v>
      </c>
      <c r="R332" s="364">
        <v>45517</v>
      </c>
      <c r="S332" s="348"/>
    </row>
    <row r="333" spans="1:19" ht="25.5" hidden="1" x14ac:dyDescent="0.25">
      <c r="A333" s="359">
        <v>0</v>
      </c>
      <c r="B333" s="49" t="s">
        <v>3066</v>
      </c>
      <c r="C333" s="49" t="s">
        <v>3049</v>
      </c>
      <c r="D333" s="49"/>
      <c r="E333" s="362" t="s">
        <v>3067</v>
      </c>
      <c r="F333" s="49" t="s">
        <v>3068</v>
      </c>
      <c r="G333" s="49" t="s">
        <v>3069</v>
      </c>
      <c r="H333" s="49" t="s">
        <v>3070</v>
      </c>
      <c r="I333" s="49" t="s">
        <v>3071</v>
      </c>
      <c r="J333" s="316">
        <v>45391</v>
      </c>
      <c r="K333" s="360">
        <v>45464</v>
      </c>
      <c r="L333" s="363" t="s">
        <v>47</v>
      </c>
      <c r="M333" s="317"/>
      <c r="N333" s="317">
        <v>4</v>
      </c>
      <c r="O333" s="366">
        <v>45517</v>
      </c>
      <c r="P333" s="365" t="s">
        <v>264</v>
      </c>
      <c r="Q333" s="364">
        <v>45517</v>
      </c>
      <c r="R333" s="364">
        <v>45517</v>
      </c>
      <c r="S333" s="348"/>
    </row>
    <row r="334" spans="1:19" ht="38.25" hidden="1" x14ac:dyDescent="0.25">
      <c r="A334" s="359">
        <v>0</v>
      </c>
      <c r="B334" s="49" t="s">
        <v>3072</v>
      </c>
      <c r="C334" s="49" t="s">
        <v>1941</v>
      </c>
      <c r="D334" s="49"/>
      <c r="E334" s="49">
        <v>183950</v>
      </c>
      <c r="F334" s="49" t="s">
        <v>3073</v>
      </c>
      <c r="G334" s="49" t="s">
        <v>3074</v>
      </c>
      <c r="H334" s="49" t="s">
        <v>3075</v>
      </c>
      <c r="I334" s="49" t="s">
        <v>3076</v>
      </c>
      <c r="J334" s="316">
        <v>45456</v>
      </c>
      <c r="K334" s="360">
        <v>45457</v>
      </c>
      <c r="L334" s="363" t="s">
        <v>47</v>
      </c>
      <c r="M334" s="317" t="s">
        <v>3077</v>
      </c>
      <c r="N334" s="317">
        <v>9</v>
      </c>
      <c r="O334" s="366">
        <v>45495</v>
      </c>
      <c r="P334" s="365" t="s">
        <v>264</v>
      </c>
      <c r="Q334" s="364">
        <v>45495</v>
      </c>
      <c r="R334" s="364">
        <v>45495</v>
      </c>
      <c r="S334" s="348"/>
    </row>
    <row r="335" spans="1:19" ht="25.5" hidden="1" x14ac:dyDescent="0.25">
      <c r="A335" s="359">
        <v>0</v>
      </c>
      <c r="B335" s="49" t="s">
        <v>3078</v>
      </c>
      <c r="C335" s="49" t="s">
        <v>1904</v>
      </c>
      <c r="D335" s="49"/>
      <c r="E335" s="362" t="s">
        <v>3079</v>
      </c>
      <c r="F335" s="49" t="s">
        <v>3080</v>
      </c>
      <c r="G335" s="49" t="s">
        <v>3027</v>
      </c>
      <c r="H335" s="49" t="s">
        <v>3081</v>
      </c>
      <c r="I335" s="49" t="s">
        <v>230</v>
      </c>
      <c r="J335" s="316"/>
      <c r="K335" s="360"/>
      <c r="L335" s="363" t="s">
        <v>47</v>
      </c>
      <c r="M335" s="317" t="s">
        <v>235</v>
      </c>
      <c r="N335" s="317">
        <v>16</v>
      </c>
      <c r="O335" s="366">
        <v>45476</v>
      </c>
      <c r="P335" s="365" t="s">
        <v>264</v>
      </c>
      <c r="Q335" s="364">
        <v>45476</v>
      </c>
      <c r="R335" s="364">
        <v>45476</v>
      </c>
      <c r="S335" s="348"/>
    </row>
    <row r="336" spans="1:19" ht="38.25" hidden="1" x14ac:dyDescent="0.25">
      <c r="A336" s="359">
        <v>0</v>
      </c>
      <c r="B336" s="49" t="s">
        <v>3082</v>
      </c>
      <c r="C336" s="49" t="s">
        <v>2019</v>
      </c>
      <c r="D336" s="49"/>
      <c r="E336" s="362" t="s">
        <v>3083</v>
      </c>
      <c r="F336" s="49" t="s">
        <v>3084</v>
      </c>
      <c r="G336" s="49" t="s">
        <v>2026</v>
      </c>
      <c r="H336" s="49" t="s">
        <v>2027</v>
      </c>
      <c r="I336" s="49" t="s">
        <v>2022</v>
      </c>
      <c r="J336" s="316">
        <v>45467</v>
      </c>
      <c r="K336" s="360">
        <v>45469</v>
      </c>
      <c r="L336" s="363" t="s">
        <v>28</v>
      </c>
      <c r="M336" s="317" t="s">
        <v>2028</v>
      </c>
      <c r="N336" s="317">
        <v>1</v>
      </c>
      <c r="O336" s="366">
        <v>45489</v>
      </c>
      <c r="P336" s="365" t="s">
        <v>264</v>
      </c>
      <c r="Q336" s="364">
        <v>45489</v>
      </c>
      <c r="R336" s="364">
        <v>45489</v>
      </c>
      <c r="S336" s="348"/>
    </row>
    <row r="337" spans="1:19" ht="38.25" hidden="1" x14ac:dyDescent="0.25">
      <c r="A337" s="359">
        <v>0</v>
      </c>
      <c r="B337" s="49" t="s">
        <v>3085</v>
      </c>
      <c r="C337" s="49" t="s">
        <v>2019</v>
      </c>
      <c r="D337" s="49"/>
      <c r="E337" s="49">
        <v>183986</v>
      </c>
      <c r="F337" s="49" t="s">
        <v>3086</v>
      </c>
      <c r="G337" s="49" t="s">
        <v>433</v>
      </c>
      <c r="H337" s="49" t="s">
        <v>2021</v>
      </c>
      <c r="I337" s="49" t="s">
        <v>2022</v>
      </c>
      <c r="J337" s="316">
        <v>45467</v>
      </c>
      <c r="K337" s="360">
        <v>45469</v>
      </c>
      <c r="L337" s="363" t="s">
        <v>28</v>
      </c>
      <c r="M337" s="317" t="s">
        <v>2023</v>
      </c>
      <c r="N337" s="317">
        <v>8</v>
      </c>
      <c r="O337" s="366">
        <v>45489</v>
      </c>
      <c r="P337" s="365" t="s">
        <v>264</v>
      </c>
      <c r="Q337" s="364">
        <v>45489</v>
      </c>
      <c r="R337" s="364">
        <v>45489</v>
      </c>
      <c r="S337" s="348"/>
    </row>
    <row r="338" spans="1:19" hidden="1" x14ac:dyDescent="0.25">
      <c r="A338" s="359">
        <v>0</v>
      </c>
      <c r="B338" s="49" t="s">
        <v>3087</v>
      </c>
      <c r="C338" s="49"/>
      <c r="D338" s="49"/>
      <c r="E338" s="362"/>
      <c r="F338" s="49"/>
      <c r="G338" s="49"/>
      <c r="H338" s="49"/>
      <c r="I338" s="49"/>
      <c r="J338" s="316"/>
      <c r="K338" s="360"/>
      <c r="L338" s="363"/>
      <c r="M338" s="317"/>
      <c r="N338" s="317"/>
      <c r="O338" s="366"/>
      <c r="P338" s="365"/>
      <c r="Q338" s="364"/>
      <c r="R338" s="364"/>
      <c r="S338" s="348"/>
    </row>
    <row r="339" spans="1:19" ht="25.5" hidden="1" x14ac:dyDescent="0.25">
      <c r="A339" s="359">
        <v>0</v>
      </c>
      <c r="B339" s="49" t="s">
        <v>3088</v>
      </c>
      <c r="C339" s="49" t="s">
        <v>2059</v>
      </c>
      <c r="D339" s="49"/>
      <c r="E339" s="362" t="s">
        <v>3089</v>
      </c>
      <c r="F339" s="49" t="s">
        <v>3090</v>
      </c>
      <c r="G339" s="49" t="s">
        <v>3091</v>
      </c>
      <c r="H339" s="49" t="s">
        <v>3092</v>
      </c>
      <c r="I339" s="49" t="s">
        <v>2121</v>
      </c>
      <c r="J339" s="316">
        <v>45553</v>
      </c>
      <c r="K339" s="360">
        <v>45464</v>
      </c>
      <c r="L339" s="363" t="s">
        <v>47</v>
      </c>
      <c r="M339" s="317" t="s">
        <v>2122</v>
      </c>
      <c r="N339" s="317">
        <v>1</v>
      </c>
      <c r="O339" s="366">
        <v>45485</v>
      </c>
      <c r="P339" s="365" t="s">
        <v>264</v>
      </c>
      <c r="Q339" s="364">
        <v>45485</v>
      </c>
      <c r="R339" s="364">
        <v>45485</v>
      </c>
      <c r="S339" s="348"/>
    </row>
    <row r="340" spans="1:19" ht="38.25" hidden="1" x14ac:dyDescent="0.25">
      <c r="A340" s="359">
        <v>0</v>
      </c>
      <c r="B340" s="49" t="s">
        <v>3093</v>
      </c>
      <c r="C340" s="49" t="s">
        <v>1954</v>
      </c>
      <c r="D340" s="49"/>
      <c r="E340" s="49">
        <v>183993</v>
      </c>
      <c r="F340" s="49" t="s">
        <v>3094</v>
      </c>
      <c r="G340" s="49" t="s">
        <v>3095</v>
      </c>
      <c r="H340" s="49" t="s">
        <v>3096</v>
      </c>
      <c r="I340" s="49" t="s">
        <v>1715</v>
      </c>
      <c r="J340" s="316">
        <v>45469</v>
      </c>
      <c r="K340" s="360">
        <v>45497</v>
      </c>
      <c r="L340" s="363" t="s">
        <v>47</v>
      </c>
      <c r="M340" s="317" t="s">
        <v>3097</v>
      </c>
      <c r="N340" s="317">
        <v>2</v>
      </c>
      <c r="O340" s="366">
        <v>45510</v>
      </c>
      <c r="P340" s="365" t="s">
        <v>264</v>
      </c>
      <c r="Q340" s="364">
        <v>45510</v>
      </c>
      <c r="R340" s="364">
        <v>45510</v>
      </c>
      <c r="S340" s="348"/>
    </row>
    <row r="341" spans="1:19" hidden="1" x14ac:dyDescent="0.25">
      <c r="A341" s="359">
        <v>0</v>
      </c>
      <c r="B341" s="49" t="s">
        <v>3098</v>
      </c>
      <c r="C341" s="49" t="s">
        <v>1680</v>
      </c>
      <c r="D341" s="49"/>
      <c r="E341" s="362" t="s">
        <v>3099</v>
      </c>
      <c r="F341" s="49" t="s">
        <v>3100</v>
      </c>
      <c r="G341" s="49" t="s">
        <v>3101</v>
      </c>
      <c r="H341" s="49" t="s">
        <v>2623</v>
      </c>
      <c r="I341" s="49" t="s">
        <v>143</v>
      </c>
      <c r="J341" s="316"/>
      <c r="K341" s="360"/>
      <c r="L341" s="363" t="s">
        <v>47</v>
      </c>
      <c r="M341" s="317" t="s">
        <v>2624</v>
      </c>
      <c r="N341" s="317">
        <v>2</v>
      </c>
      <c r="O341" s="366">
        <v>45483</v>
      </c>
      <c r="P341" s="365" t="s">
        <v>264</v>
      </c>
      <c r="Q341" s="364">
        <v>45483</v>
      </c>
      <c r="R341" s="364">
        <v>45483</v>
      </c>
      <c r="S341" s="348"/>
    </row>
    <row r="342" spans="1:19" ht="25.5" hidden="1" x14ac:dyDescent="0.25">
      <c r="A342" s="359">
        <v>0</v>
      </c>
      <c r="B342" s="49" t="s">
        <v>3102</v>
      </c>
      <c r="C342" s="49" t="s">
        <v>2940</v>
      </c>
      <c r="D342" s="49"/>
      <c r="E342" s="362" t="s">
        <v>3103</v>
      </c>
      <c r="F342" s="49" t="s">
        <v>3104</v>
      </c>
      <c r="G342" s="49" t="s">
        <v>633</v>
      </c>
      <c r="H342" s="49" t="s">
        <v>3105</v>
      </c>
      <c r="I342" s="49" t="s">
        <v>3106</v>
      </c>
      <c r="J342" s="316">
        <v>45474</v>
      </c>
      <c r="K342" s="360">
        <v>45474</v>
      </c>
      <c r="L342" s="363" t="s">
        <v>28</v>
      </c>
      <c r="M342" s="317" t="s">
        <v>3107</v>
      </c>
      <c r="N342" s="317">
        <v>1</v>
      </c>
      <c r="O342" s="366">
        <v>45525</v>
      </c>
      <c r="P342" s="365" t="s">
        <v>264</v>
      </c>
      <c r="Q342" s="364">
        <v>45526</v>
      </c>
      <c r="R342" s="364">
        <v>45526</v>
      </c>
      <c r="S342" s="348"/>
    </row>
    <row r="343" spans="1:19" ht="153" hidden="1" x14ac:dyDescent="0.25">
      <c r="A343" s="359">
        <v>0</v>
      </c>
      <c r="B343" s="49" t="s">
        <v>3108</v>
      </c>
      <c r="C343" s="49" t="s">
        <v>2187</v>
      </c>
      <c r="D343" s="49"/>
      <c r="E343" s="362" t="s">
        <v>3109</v>
      </c>
      <c r="F343" s="49" t="s">
        <v>3110</v>
      </c>
      <c r="G343" s="49" t="s">
        <v>3111</v>
      </c>
      <c r="H343" s="49" t="s">
        <v>3112</v>
      </c>
      <c r="I343" s="49" t="s">
        <v>3113</v>
      </c>
      <c r="J343" s="316">
        <v>45408</v>
      </c>
      <c r="K343" s="360">
        <v>45477</v>
      </c>
      <c r="L343" s="363" t="s">
        <v>28</v>
      </c>
      <c r="M343" s="317" t="s">
        <v>3114</v>
      </c>
      <c r="N343" s="317">
        <v>1</v>
      </c>
      <c r="O343" s="366">
        <v>45565</v>
      </c>
      <c r="P343" s="365" t="s">
        <v>264</v>
      </c>
      <c r="Q343" s="364">
        <v>45565</v>
      </c>
      <c r="R343" s="364">
        <v>45565</v>
      </c>
      <c r="S343" s="348"/>
    </row>
    <row r="344" spans="1:19" ht="38.25" hidden="1" x14ac:dyDescent="0.25">
      <c r="A344" s="359">
        <v>0</v>
      </c>
      <c r="B344" s="49" t="s">
        <v>3115</v>
      </c>
      <c r="C344" s="49" t="s">
        <v>1791</v>
      </c>
      <c r="D344" s="49"/>
      <c r="E344" s="362" t="s">
        <v>3116</v>
      </c>
      <c r="F344" s="49" t="s">
        <v>3117</v>
      </c>
      <c r="G344" s="49" t="s">
        <v>1793</v>
      </c>
      <c r="H344" s="49" t="s">
        <v>1794</v>
      </c>
      <c r="I344" s="49" t="s">
        <v>504</v>
      </c>
      <c r="J344" s="316"/>
      <c r="K344" s="360"/>
      <c r="L344" s="363" t="s">
        <v>47</v>
      </c>
      <c r="M344" s="317" t="s">
        <v>505</v>
      </c>
      <c r="N344" s="317">
        <v>2</v>
      </c>
      <c r="O344" s="366">
        <v>45481</v>
      </c>
      <c r="P344" s="365" t="s">
        <v>264</v>
      </c>
      <c r="Q344" s="364">
        <v>45481</v>
      </c>
      <c r="R344" s="364">
        <v>45481</v>
      </c>
      <c r="S344" s="348"/>
    </row>
    <row r="345" spans="1:19" hidden="1" x14ac:dyDescent="0.25">
      <c r="A345" s="359">
        <v>0</v>
      </c>
      <c r="B345" s="49" t="s">
        <v>3118</v>
      </c>
      <c r="C345" s="49" t="s">
        <v>2643</v>
      </c>
      <c r="D345" s="49"/>
      <c r="E345" s="362" t="s">
        <v>3119</v>
      </c>
      <c r="F345" s="49" t="s">
        <v>3120</v>
      </c>
      <c r="G345" s="49"/>
      <c r="H345" s="49"/>
      <c r="I345" s="49"/>
      <c r="J345" s="316"/>
      <c r="K345" s="360"/>
      <c r="L345" s="363"/>
      <c r="M345" s="317"/>
      <c r="N345" s="317"/>
      <c r="O345" s="322"/>
      <c r="P345" s="365"/>
      <c r="Q345" s="364"/>
      <c r="R345" s="364"/>
      <c r="S345" s="348"/>
    </row>
    <row r="346" spans="1:19" ht="38.25" hidden="1" x14ac:dyDescent="0.25">
      <c r="A346" s="359">
        <v>0</v>
      </c>
      <c r="B346" s="49" t="s">
        <v>3121</v>
      </c>
      <c r="C346" s="49" t="s">
        <v>1954</v>
      </c>
      <c r="D346" s="49"/>
      <c r="E346" s="362" t="s">
        <v>3122</v>
      </c>
      <c r="F346" s="49" t="s">
        <v>3123</v>
      </c>
      <c r="G346" s="49" t="s">
        <v>3124</v>
      </c>
      <c r="H346" s="49" t="s">
        <v>1720</v>
      </c>
      <c r="I346" s="49" t="s">
        <v>594</v>
      </c>
      <c r="J346" s="316">
        <v>45477</v>
      </c>
      <c r="K346" s="360">
        <v>45513</v>
      </c>
      <c r="L346" s="363" t="s">
        <v>47</v>
      </c>
      <c r="M346" s="317" t="s">
        <v>1721</v>
      </c>
      <c r="N346" s="317">
        <v>15</v>
      </c>
      <c r="O346" s="322">
        <v>45546</v>
      </c>
      <c r="P346" s="365" t="s">
        <v>264</v>
      </c>
      <c r="Q346" s="364">
        <v>45546</v>
      </c>
      <c r="R346" s="364">
        <v>45546</v>
      </c>
      <c r="S346" s="348"/>
    </row>
    <row r="347" spans="1:19" ht="38.25" hidden="1" x14ac:dyDescent="0.25">
      <c r="A347" s="359">
        <v>0</v>
      </c>
      <c r="B347" s="49" t="s">
        <v>3125</v>
      </c>
      <c r="C347" s="49" t="s">
        <v>1954</v>
      </c>
      <c r="D347" s="49"/>
      <c r="E347" s="362" t="s">
        <v>3126</v>
      </c>
      <c r="F347" s="49" t="s">
        <v>202</v>
      </c>
      <c r="G347" s="49" t="s">
        <v>3127</v>
      </c>
      <c r="H347" s="49" t="s">
        <v>3128</v>
      </c>
      <c r="I347" s="49" t="s">
        <v>3129</v>
      </c>
      <c r="J347" s="316">
        <v>45448</v>
      </c>
      <c r="K347" s="360">
        <v>45497</v>
      </c>
      <c r="L347" s="363" t="s">
        <v>47</v>
      </c>
      <c r="M347" s="317" t="s">
        <v>3130</v>
      </c>
      <c r="N347" s="317">
        <v>2</v>
      </c>
      <c r="O347" s="322">
        <v>45510</v>
      </c>
      <c r="P347" s="365" t="s">
        <v>264</v>
      </c>
      <c r="Q347" s="364">
        <v>45510</v>
      </c>
      <c r="R347" s="364">
        <v>45510</v>
      </c>
      <c r="S347" s="348"/>
    </row>
    <row r="348" spans="1:19" ht="25.5" hidden="1" x14ac:dyDescent="0.25">
      <c r="A348" s="359">
        <v>0</v>
      </c>
      <c r="B348" s="49" t="s">
        <v>3131</v>
      </c>
      <c r="C348" s="49" t="s">
        <v>2470</v>
      </c>
      <c r="D348" s="49"/>
      <c r="E348" s="362" t="s">
        <v>3132</v>
      </c>
      <c r="F348" s="49" t="s">
        <v>3133</v>
      </c>
      <c r="G348" s="49" t="s">
        <v>2472</v>
      </c>
      <c r="H348" s="49" t="s">
        <v>2473</v>
      </c>
      <c r="I348" s="316" t="s">
        <v>2474</v>
      </c>
      <c r="J348" s="316"/>
      <c r="K348" s="360"/>
      <c r="L348" s="363" t="s">
        <v>47</v>
      </c>
      <c r="M348" s="317" t="s">
        <v>2475</v>
      </c>
      <c r="N348" s="317">
        <v>9</v>
      </c>
      <c r="O348" s="322"/>
      <c r="P348" s="365"/>
      <c r="Q348" s="364"/>
      <c r="R348" s="364"/>
      <c r="S348" s="348"/>
    </row>
    <row r="349" spans="1:19" ht="38.25" hidden="1" x14ac:dyDescent="0.25">
      <c r="A349" s="359">
        <v>0</v>
      </c>
      <c r="B349" s="49" t="s">
        <v>3134</v>
      </c>
      <c r="C349" s="49" t="s">
        <v>2933</v>
      </c>
      <c r="D349" s="49"/>
      <c r="E349" s="362" t="s">
        <v>3135</v>
      </c>
      <c r="F349" s="49" t="s">
        <v>3136</v>
      </c>
      <c r="G349" s="49"/>
      <c r="H349" s="49"/>
      <c r="I349" s="49"/>
      <c r="J349" s="316"/>
      <c r="K349" s="360"/>
      <c r="L349" s="363"/>
      <c r="M349" s="317"/>
      <c r="N349" s="317"/>
      <c r="O349" s="322"/>
      <c r="P349" s="365"/>
      <c r="Q349" s="364"/>
      <c r="R349" s="364"/>
      <c r="S349" s="348"/>
    </row>
    <row r="350" spans="1:19" ht="25.5" hidden="1" x14ac:dyDescent="0.25">
      <c r="A350" s="359">
        <v>0</v>
      </c>
      <c r="B350" s="49" t="s">
        <v>3137</v>
      </c>
      <c r="C350" s="49" t="s">
        <v>1796</v>
      </c>
      <c r="D350" s="49"/>
      <c r="E350" s="362"/>
      <c r="F350" s="49"/>
      <c r="G350" s="49"/>
      <c r="H350" s="49"/>
      <c r="I350" s="49"/>
      <c r="J350" s="316"/>
      <c r="K350" s="360"/>
      <c r="L350" s="363"/>
      <c r="M350" s="317"/>
      <c r="N350" s="317"/>
      <c r="O350" s="366"/>
      <c r="P350" s="365"/>
      <c r="Q350" s="364"/>
      <c r="R350" s="364"/>
      <c r="S350" s="348"/>
    </row>
    <row r="351" spans="1:19" ht="38.25" hidden="1" x14ac:dyDescent="0.25">
      <c r="A351" s="359">
        <v>0</v>
      </c>
      <c r="B351" s="49" t="s">
        <v>3138</v>
      </c>
      <c r="C351" s="49" t="s">
        <v>1954</v>
      </c>
      <c r="D351" s="49"/>
      <c r="E351" s="362" t="s">
        <v>3139</v>
      </c>
      <c r="F351" s="49" t="s">
        <v>3140</v>
      </c>
      <c r="G351" s="49" t="s">
        <v>3141</v>
      </c>
      <c r="H351" s="49" t="s">
        <v>3142</v>
      </c>
      <c r="I351" s="49" t="s">
        <v>1715</v>
      </c>
      <c r="J351" s="316">
        <v>45488</v>
      </c>
      <c r="K351" s="360">
        <v>45497</v>
      </c>
      <c r="L351" s="363" t="s">
        <v>47</v>
      </c>
      <c r="M351" s="317" t="s">
        <v>3143</v>
      </c>
      <c r="N351" s="317">
        <v>2</v>
      </c>
      <c r="O351" s="366">
        <v>45547</v>
      </c>
      <c r="P351" s="365" t="s">
        <v>264</v>
      </c>
      <c r="Q351" s="364">
        <v>45547</v>
      </c>
      <c r="R351" s="364">
        <v>45547</v>
      </c>
      <c r="S351" s="348"/>
    </row>
    <row r="352" spans="1:19" ht="25.5" hidden="1" x14ac:dyDescent="0.25">
      <c r="A352" s="359">
        <v>0</v>
      </c>
      <c r="B352" s="49" t="s">
        <v>3144</v>
      </c>
      <c r="C352" s="49" t="s">
        <v>3145</v>
      </c>
      <c r="D352" s="49"/>
      <c r="E352" s="362" t="s">
        <v>3146</v>
      </c>
      <c r="F352" s="49" t="s">
        <v>3147</v>
      </c>
      <c r="G352" s="49" t="s">
        <v>3148</v>
      </c>
      <c r="H352" s="49" t="s">
        <v>3149</v>
      </c>
      <c r="I352" s="49" t="s">
        <v>3150</v>
      </c>
      <c r="J352" s="316">
        <v>45484</v>
      </c>
      <c r="K352" s="360">
        <v>45484</v>
      </c>
      <c r="L352" s="363" t="s">
        <v>47</v>
      </c>
      <c r="M352" s="317" t="s">
        <v>3151</v>
      </c>
      <c r="N352" s="317">
        <v>20</v>
      </c>
      <c r="O352" s="366">
        <v>45495</v>
      </c>
      <c r="P352" s="365" t="s">
        <v>264</v>
      </c>
      <c r="Q352" s="364">
        <v>45495</v>
      </c>
      <c r="R352" s="364">
        <v>45495</v>
      </c>
      <c r="S352" s="348"/>
    </row>
    <row r="353" spans="1:19" ht="26.25" hidden="1" customHeight="1" x14ac:dyDescent="0.25">
      <c r="A353" s="359">
        <v>0</v>
      </c>
      <c r="B353" s="49" t="s">
        <v>3152</v>
      </c>
      <c r="C353" s="49" t="s">
        <v>3153</v>
      </c>
      <c r="D353" s="49"/>
      <c r="E353" s="362" t="s">
        <v>3154</v>
      </c>
      <c r="F353" s="49" t="s">
        <v>3155</v>
      </c>
      <c r="G353" s="49" t="s">
        <v>3156</v>
      </c>
      <c r="H353" s="49" t="s">
        <v>3157</v>
      </c>
      <c r="I353" s="49" t="s">
        <v>36</v>
      </c>
      <c r="J353" s="316">
        <v>45489</v>
      </c>
      <c r="K353" s="360">
        <v>45491</v>
      </c>
      <c r="L353" s="363" t="s">
        <v>28</v>
      </c>
      <c r="M353" s="317" t="s">
        <v>1709</v>
      </c>
      <c r="N353" s="317">
        <v>20</v>
      </c>
      <c r="O353" s="366">
        <v>45499</v>
      </c>
      <c r="P353" s="365" t="s">
        <v>264</v>
      </c>
      <c r="Q353" s="364">
        <v>45504</v>
      </c>
      <c r="R353" s="364">
        <v>45504</v>
      </c>
      <c r="S353" s="348"/>
    </row>
    <row r="354" spans="1:19" hidden="1" x14ac:dyDescent="0.25">
      <c r="A354" s="359">
        <v>0</v>
      </c>
      <c r="B354" s="49" t="s">
        <v>3158</v>
      </c>
      <c r="C354" s="49" t="s">
        <v>2643</v>
      </c>
      <c r="D354" s="49"/>
      <c r="E354" s="362" t="s">
        <v>3159</v>
      </c>
      <c r="F354" s="49" t="s">
        <v>3160</v>
      </c>
      <c r="G354" s="49"/>
      <c r="H354" s="49"/>
      <c r="I354" s="49"/>
      <c r="J354" s="316"/>
      <c r="K354" s="360"/>
      <c r="L354" s="363"/>
      <c r="M354" s="317"/>
      <c r="N354" s="317"/>
      <c r="O354" s="366"/>
      <c r="P354" s="365"/>
      <c r="Q354" s="364"/>
      <c r="R354" s="364"/>
      <c r="S354" s="348"/>
    </row>
    <row r="355" spans="1:19" ht="38.25" hidden="1" x14ac:dyDescent="0.25">
      <c r="A355" s="359">
        <v>0</v>
      </c>
      <c r="B355" s="49" t="s">
        <v>3161</v>
      </c>
      <c r="C355" s="49" t="s">
        <v>1941</v>
      </c>
      <c r="D355" s="49"/>
      <c r="E355" s="362" t="s">
        <v>3162</v>
      </c>
      <c r="F355" s="49" t="s">
        <v>3163</v>
      </c>
      <c r="G355" s="49" t="s">
        <v>3164</v>
      </c>
      <c r="H355" s="49" t="s">
        <v>3165</v>
      </c>
      <c r="I355" s="49" t="s">
        <v>3166</v>
      </c>
      <c r="J355" s="316">
        <v>45497</v>
      </c>
      <c r="K355" s="360">
        <v>45498</v>
      </c>
      <c r="L355" s="363" t="s">
        <v>28</v>
      </c>
      <c r="M355" s="317">
        <v>215780</v>
      </c>
      <c r="N355" s="317">
        <v>6</v>
      </c>
      <c r="O355" s="366">
        <v>45505</v>
      </c>
      <c r="P355" s="365" t="s">
        <v>264</v>
      </c>
      <c r="Q355" s="364">
        <v>45506</v>
      </c>
      <c r="R355" s="364">
        <v>45506</v>
      </c>
      <c r="S355" s="348"/>
    </row>
    <row r="356" spans="1:19" ht="25.5" hidden="1" x14ac:dyDescent="0.25">
      <c r="A356" s="359">
        <v>0</v>
      </c>
      <c r="B356" s="49" t="s">
        <v>3167</v>
      </c>
      <c r="C356" s="49" t="s">
        <v>2059</v>
      </c>
      <c r="D356" s="49"/>
      <c r="E356" s="362" t="s">
        <v>3168</v>
      </c>
      <c r="F356" s="49" t="s">
        <v>3169</v>
      </c>
      <c r="G356" s="49" t="s">
        <v>2119</v>
      </c>
      <c r="H356" s="49" t="s">
        <v>2576</v>
      </c>
      <c r="I356" s="49" t="s">
        <v>2121</v>
      </c>
      <c r="J356" s="316">
        <v>45495</v>
      </c>
      <c r="K356" s="402">
        <v>45499</v>
      </c>
      <c r="L356" s="363" t="s">
        <v>47</v>
      </c>
      <c r="M356" s="317" t="s">
        <v>2122</v>
      </c>
      <c r="N356" s="317">
        <v>5</v>
      </c>
      <c r="O356" s="366">
        <v>45512</v>
      </c>
      <c r="P356" s="365" t="s">
        <v>264</v>
      </c>
      <c r="Q356" s="364">
        <v>45512</v>
      </c>
      <c r="R356" s="364">
        <v>45512</v>
      </c>
      <c r="S356" s="348"/>
    </row>
    <row r="357" spans="1:19" ht="25.5" hidden="1" x14ac:dyDescent="0.25">
      <c r="A357" s="359">
        <v>0</v>
      </c>
      <c r="B357" s="49" t="s">
        <v>3170</v>
      </c>
      <c r="C357" s="49" t="s">
        <v>3171</v>
      </c>
      <c r="D357" s="49"/>
      <c r="E357" s="362" t="s">
        <v>3172</v>
      </c>
      <c r="F357" s="49" t="s">
        <v>3173</v>
      </c>
      <c r="G357" s="49" t="s">
        <v>3174</v>
      </c>
      <c r="H357" s="49" t="s">
        <v>3175</v>
      </c>
      <c r="I357" s="49" t="s">
        <v>3176</v>
      </c>
      <c r="J357" s="316">
        <v>45498</v>
      </c>
      <c r="K357" s="360">
        <v>45498</v>
      </c>
      <c r="L357" s="363" t="s">
        <v>28</v>
      </c>
      <c r="M357" s="317" t="s">
        <v>534</v>
      </c>
      <c r="N357" s="317">
        <v>1</v>
      </c>
      <c r="O357" s="366">
        <v>45509</v>
      </c>
      <c r="P357" s="365" t="s">
        <v>264</v>
      </c>
      <c r="Q357" s="364">
        <v>45510</v>
      </c>
      <c r="R357" s="364">
        <v>45510</v>
      </c>
      <c r="S357" s="348"/>
    </row>
    <row r="358" spans="1:19" ht="25.5" hidden="1" x14ac:dyDescent="0.25">
      <c r="A358" s="359">
        <v>0</v>
      </c>
      <c r="B358" s="49" t="s">
        <v>3177</v>
      </c>
      <c r="C358" s="49" t="s">
        <v>2643</v>
      </c>
      <c r="D358" s="49"/>
      <c r="E358" s="49">
        <v>184096</v>
      </c>
      <c r="F358" s="49" t="s">
        <v>3178</v>
      </c>
      <c r="G358" s="49" t="s">
        <v>3179</v>
      </c>
      <c r="H358" s="49" t="s">
        <v>3180</v>
      </c>
      <c r="I358" s="49" t="s">
        <v>223</v>
      </c>
      <c r="J358" s="316">
        <v>45492</v>
      </c>
      <c r="K358" s="360">
        <v>45498</v>
      </c>
      <c r="L358" s="363" t="s">
        <v>28</v>
      </c>
      <c r="M358" s="317" t="s">
        <v>3181</v>
      </c>
      <c r="N358" s="317">
        <v>2</v>
      </c>
      <c r="O358" s="366">
        <v>45544</v>
      </c>
      <c r="P358" s="365" t="s">
        <v>264</v>
      </c>
      <c r="Q358" s="364">
        <v>45546</v>
      </c>
      <c r="R358" s="364">
        <v>45546</v>
      </c>
      <c r="S358" s="348"/>
    </row>
    <row r="359" spans="1:19" ht="25.5" hidden="1" x14ac:dyDescent="0.25">
      <c r="A359" s="359">
        <v>0</v>
      </c>
      <c r="B359" s="49" t="s">
        <v>3182</v>
      </c>
      <c r="C359" s="49" t="s">
        <v>2643</v>
      </c>
      <c r="D359" s="49"/>
      <c r="E359" s="49">
        <v>184112</v>
      </c>
      <c r="F359" s="49" t="s">
        <v>3183</v>
      </c>
      <c r="G359" s="49" t="s">
        <v>3184</v>
      </c>
      <c r="H359" s="49"/>
      <c r="I359" s="49" t="s">
        <v>3185</v>
      </c>
      <c r="J359" s="316">
        <v>45502</v>
      </c>
      <c r="K359" s="360">
        <v>45513</v>
      </c>
      <c r="L359" s="363" t="s">
        <v>28</v>
      </c>
      <c r="M359" s="317" t="s">
        <v>3186</v>
      </c>
      <c r="N359" s="317">
        <v>19</v>
      </c>
      <c r="O359" s="366">
        <v>45547</v>
      </c>
      <c r="P359" s="365" t="s">
        <v>264</v>
      </c>
      <c r="Q359" s="364">
        <v>45547</v>
      </c>
      <c r="R359" s="364">
        <v>45547</v>
      </c>
      <c r="S359" s="348"/>
    </row>
    <row r="360" spans="1:19" ht="25.5" hidden="1" x14ac:dyDescent="0.25">
      <c r="A360" s="359">
        <v>0</v>
      </c>
      <c r="B360" s="49" t="s">
        <v>3187</v>
      </c>
      <c r="C360" s="49" t="s">
        <v>1680</v>
      </c>
      <c r="D360" s="49"/>
      <c r="E360" s="49">
        <v>184118</v>
      </c>
      <c r="F360" s="49" t="s">
        <v>3188</v>
      </c>
      <c r="G360" s="49" t="s">
        <v>3189</v>
      </c>
      <c r="H360" s="49">
        <v>86517</v>
      </c>
      <c r="I360" s="49" t="s">
        <v>3190</v>
      </c>
      <c r="J360" s="316">
        <v>45509</v>
      </c>
      <c r="K360" s="360">
        <v>45510</v>
      </c>
      <c r="L360" s="363" t="s">
        <v>28</v>
      </c>
      <c r="M360" s="317" t="s">
        <v>3191</v>
      </c>
      <c r="N360" s="317">
        <v>1</v>
      </c>
      <c r="O360" s="366">
        <v>45519</v>
      </c>
      <c r="P360" s="365" t="s">
        <v>264</v>
      </c>
      <c r="Q360" s="364">
        <v>45523</v>
      </c>
      <c r="R360" s="364">
        <v>45523</v>
      </c>
      <c r="S360" s="348"/>
    </row>
    <row r="361" spans="1:19" ht="25.5" hidden="1" x14ac:dyDescent="0.25">
      <c r="A361" s="359">
        <v>0</v>
      </c>
      <c r="B361" s="49" t="s">
        <v>3192</v>
      </c>
      <c r="C361" s="49" t="s">
        <v>1680</v>
      </c>
      <c r="D361" s="49"/>
      <c r="E361" s="49">
        <v>184119</v>
      </c>
      <c r="F361" s="49" t="s">
        <v>3193</v>
      </c>
      <c r="G361" s="49" t="s">
        <v>3194</v>
      </c>
      <c r="H361" s="49" t="s">
        <v>3195</v>
      </c>
      <c r="I361" s="49" t="s">
        <v>143</v>
      </c>
      <c r="J361" s="316">
        <v>45509</v>
      </c>
      <c r="K361" s="360">
        <v>45575</v>
      </c>
      <c r="L361" s="363" t="s">
        <v>47</v>
      </c>
      <c r="M361" s="317" t="s">
        <v>3196</v>
      </c>
      <c r="N361" s="317">
        <v>1</v>
      </c>
      <c r="O361" s="366">
        <v>45579</v>
      </c>
      <c r="P361" s="365" t="s">
        <v>30</v>
      </c>
      <c r="Q361" s="364">
        <v>45579</v>
      </c>
      <c r="R361" s="364">
        <v>45579</v>
      </c>
      <c r="S361" s="348"/>
    </row>
    <row r="362" spans="1:19" ht="25.5" hidden="1" x14ac:dyDescent="0.25">
      <c r="A362" s="359">
        <v>0</v>
      </c>
      <c r="B362" s="49" t="s">
        <v>3197</v>
      </c>
      <c r="C362" s="49" t="s">
        <v>1680</v>
      </c>
      <c r="D362" s="49"/>
      <c r="E362" s="49">
        <v>184120</v>
      </c>
      <c r="F362" s="49" t="s">
        <v>3198</v>
      </c>
      <c r="G362" s="49" t="s">
        <v>3199</v>
      </c>
      <c r="H362" s="49" t="s">
        <v>3200</v>
      </c>
      <c r="I362" s="49" t="s">
        <v>143</v>
      </c>
      <c r="J362" s="316">
        <v>45509</v>
      </c>
      <c r="K362" s="360">
        <v>45575</v>
      </c>
      <c r="L362" s="363" t="s">
        <v>47</v>
      </c>
      <c r="M362" s="317" t="s">
        <v>3201</v>
      </c>
      <c r="N362" s="317">
        <v>1</v>
      </c>
      <c r="O362" s="366">
        <v>45581</v>
      </c>
      <c r="P362" s="365" t="s">
        <v>30</v>
      </c>
      <c r="Q362" s="364">
        <v>45581</v>
      </c>
      <c r="R362" s="364">
        <v>45581</v>
      </c>
      <c r="S362" s="348"/>
    </row>
    <row r="363" spans="1:19" hidden="1" x14ac:dyDescent="0.25">
      <c r="A363" s="359">
        <v>0</v>
      </c>
      <c r="B363" s="49" t="s">
        <v>3202</v>
      </c>
      <c r="C363" s="49" t="s">
        <v>3009</v>
      </c>
      <c r="D363" s="49"/>
      <c r="E363" s="49">
        <v>184115</v>
      </c>
      <c r="F363" s="49"/>
      <c r="G363" s="49" t="s">
        <v>3022</v>
      </c>
      <c r="H363" s="49">
        <v>1975</v>
      </c>
      <c r="I363" s="49" t="s">
        <v>2927</v>
      </c>
      <c r="J363" s="316"/>
      <c r="K363" s="360"/>
      <c r="L363" s="363"/>
      <c r="M363" s="317"/>
      <c r="N363" s="317"/>
      <c r="O363" s="366"/>
      <c r="P363" s="365"/>
      <c r="Q363" s="364"/>
      <c r="R363" s="364"/>
      <c r="S363" s="348"/>
    </row>
    <row r="364" spans="1:19" hidden="1" x14ac:dyDescent="0.25">
      <c r="A364" s="359">
        <v>0</v>
      </c>
      <c r="B364" s="49" t="s">
        <v>3203</v>
      </c>
      <c r="C364" s="49" t="s">
        <v>3009</v>
      </c>
      <c r="D364" s="49"/>
      <c r="E364" s="49">
        <v>184116</v>
      </c>
      <c r="F364" s="49"/>
      <c r="G364" s="49" t="s">
        <v>3022</v>
      </c>
      <c r="H364" s="49">
        <v>1975</v>
      </c>
      <c r="I364" s="49" t="s">
        <v>2927</v>
      </c>
      <c r="J364" s="316"/>
      <c r="K364" s="360"/>
      <c r="L364" s="363"/>
      <c r="M364" s="317"/>
      <c r="N364" s="317"/>
      <c r="O364" s="366"/>
      <c r="P364" s="365"/>
      <c r="Q364" s="364"/>
      <c r="R364" s="364"/>
      <c r="S364" s="348"/>
    </row>
    <row r="365" spans="1:19" ht="25.5" hidden="1" x14ac:dyDescent="0.25">
      <c r="A365" s="359">
        <v>0</v>
      </c>
      <c r="B365" s="49" t="s">
        <v>3204</v>
      </c>
      <c r="C365" s="49" t="s">
        <v>3205</v>
      </c>
      <c r="D365" s="49"/>
      <c r="E365" s="49">
        <v>184117</v>
      </c>
      <c r="F365" s="49" t="s">
        <v>3206</v>
      </c>
      <c r="G365" s="49" t="s">
        <v>3022</v>
      </c>
      <c r="H365" s="49">
        <v>1975</v>
      </c>
      <c r="I365" s="49" t="s">
        <v>2927</v>
      </c>
      <c r="J365" s="316">
        <v>45461</v>
      </c>
      <c r="K365" s="360">
        <v>45510</v>
      </c>
      <c r="L365" s="363" t="s">
        <v>28</v>
      </c>
      <c r="M365" s="317" t="s">
        <v>3207</v>
      </c>
      <c r="N365" s="317">
        <v>20</v>
      </c>
      <c r="O365" s="366">
        <v>45523</v>
      </c>
      <c r="P365" s="365" t="s">
        <v>264</v>
      </c>
      <c r="Q365" s="364">
        <v>45524</v>
      </c>
      <c r="R365" s="364">
        <v>45524</v>
      </c>
      <c r="S365" s="348"/>
    </row>
    <row r="366" spans="1:19" ht="76.5" hidden="1" x14ac:dyDescent="0.25">
      <c r="A366" s="359">
        <v>0</v>
      </c>
      <c r="B366" s="49" t="s">
        <v>3208</v>
      </c>
      <c r="C366" s="49" t="s">
        <v>2544</v>
      </c>
      <c r="D366" s="49"/>
      <c r="E366" s="49">
        <v>184113</v>
      </c>
      <c r="F366" s="49" t="s">
        <v>3209</v>
      </c>
      <c r="G366" s="49" t="s">
        <v>3210</v>
      </c>
      <c r="H366" s="49" t="s">
        <v>3211</v>
      </c>
      <c r="I366" s="49" t="s">
        <v>3212</v>
      </c>
      <c r="J366" s="316">
        <v>45509</v>
      </c>
      <c r="K366" s="360">
        <v>45510</v>
      </c>
      <c r="L366" s="363" t="s">
        <v>28</v>
      </c>
      <c r="M366" s="317" t="s">
        <v>3213</v>
      </c>
      <c r="N366" s="317">
        <v>15</v>
      </c>
      <c r="O366" s="366">
        <v>45518</v>
      </c>
      <c r="P366" s="365" t="s">
        <v>264</v>
      </c>
      <c r="Q366" s="364">
        <v>45519</v>
      </c>
      <c r="R366" s="364">
        <v>45519</v>
      </c>
      <c r="S366" s="348"/>
    </row>
    <row r="367" spans="1:19" ht="25.5" hidden="1" x14ac:dyDescent="0.25">
      <c r="A367" s="359">
        <v>0</v>
      </c>
      <c r="B367" s="49" t="s">
        <v>3214</v>
      </c>
      <c r="C367" s="49" t="s">
        <v>3215</v>
      </c>
      <c r="D367" s="49"/>
      <c r="E367" s="49">
        <v>184101</v>
      </c>
      <c r="F367" s="49"/>
      <c r="G367" s="49" t="s">
        <v>494</v>
      </c>
      <c r="H367" s="49" t="s">
        <v>495</v>
      </c>
      <c r="I367" s="49" t="s">
        <v>489</v>
      </c>
      <c r="J367" s="316"/>
      <c r="K367" s="360"/>
      <c r="L367" s="363"/>
      <c r="M367" s="317" t="s">
        <v>490</v>
      </c>
      <c r="N367" s="317">
        <v>20</v>
      </c>
      <c r="O367" s="366"/>
      <c r="P367" s="365"/>
      <c r="Q367" s="364"/>
      <c r="R367" s="364"/>
      <c r="S367" s="348"/>
    </row>
    <row r="368" spans="1:19" ht="25.5" hidden="1" x14ac:dyDescent="0.25">
      <c r="A368" s="359">
        <v>0</v>
      </c>
      <c r="B368" s="49" t="s">
        <v>3216</v>
      </c>
      <c r="C368" s="49" t="s">
        <v>3217</v>
      </c>
      <c r="D368" s="49"/>
      <c r="E368" s="49">
        <v>184100</v>
      </c>
      <c r="F368" s="49"/>
      <c r="G368" s="49" t="s">
        <v>494</v>
      </c>
      <c r="H368" s="49" t="s">
        <v>495</v>
      </c>
      <c r="I368" s="49" t="s">
        <v>489</v>
      </c>
      <c r="J368" s="316"/>
      <c r="K368" s="360"/>
      <c r="L368" s="363"/>
      <c r="M368" s="317" t="s">
        <v>490</v>
      </c>
      <c r="N368" s="317">
        <v>20</v>
      </c>
      <c r="O368" s="366"/>
      <c r="P368" s="365"/>
      <c r="Q368" s="364"/>
      <c r="R368" s="364"/>
      <c r="S368" s="348"/>
    </row>
    <row r="369" spans="1:19" hidden="1" x14ac:dyDescent="0.25">
      <c r="A369" s="359">
        <v>0</v>
      </c>
      <c r="B369" s="49" t="s">
        <v>3218</v>
      </c>
      <c r="C369" s="49" t="s">
        <v>3219</v>
      </c>
      <c r="D369" s="49"/>
      <c r="E369" s="49">
        <v>184071</v>
      </c>
      <c r="F369" s="49" t="s">
        <v>3220</v>
      </c>
      <c r="G369" s="49" t="s">
        <v>3221</v>
      </c>
      <c r="H369" s="49"/>
      <c r="I369" s="49"/>
      <c r="J369" s="316"/>
      <c r="K369" s="360"/>
      <c r="L369" s="363"/>
      <c r="M369" s="317"/>
      <c r="N369" s="317"/>
      <c r="O369" s="366"/>
      <c r="P369" s="365"/>
      <c r="Q369" s="364"/>
      <c r="R369" s="364"/>
      <c r="S369" s="348"/>
    </row>
    <row r="370" spans="1:19" ht="25.5" hidden="1" x14ac:dyDescent="0.25">
      <c r="A370" s="359">
        <v>0</v>
      </c>
      <c r="B370" s="49" t="s">
        <v>3222</v>
      </c>
      <c r="C370" s="49" t="s">
        <v>2059</v>
      </c>
      <c r="D370" s="49"/>
      <c r="E370" s="49">
        <v>184114</v>
      </c>
      <c r="F370" s="49"/>
      <c r="G370" s="49"/>
      <c r="H370" s="49"/>
      <c r="I370" s="49"/>
      <c r="J370" s="316"/>
      <c r="K370" s="360"/>
      <c r="L370" s="363"/>
      <c r="M370" s="317"/>
      <c r="N370" s="317"/>
      <c r="O370" s="366"/>
      <c r="P370" s="365"/>
      <c r="Q370" s="364"/>
      <c r="R370" s="364"/>
      <c r="S370" s="348"/>
    </row>
    <row r="371" spans="1:19" ht="25.5" hidden="1" x14ac:dyDescent="0.25">
      <c r="A371" s="359">
        <v>0</v>
      </c>
      <c r="B371" s="49" t="s">
        <v>3223</v>
      </c>
      <c r="C371" s="49" t="s">
        <v>2059</v>
      </c>
      <c r="D371" s="49"/>
      <c r="E371" s="49">
        <v>184171</v>
      </c>
      <c r="F371" s="49" t="s">
        <v>3224</v>
      </c>
      <c r="G371" s="49" t="s">
        <v>2119</v>
      </c>
      <c r="H371" s="49" t="s">
        <v>2576</v>
      </c>
      <c r="I371" s="49" t="s">
        <v>2121</v>
      </c>
      <c r="J371" s="316">
        <v>45520</v>
      </c>
      <c r="K371" s="402">
        <v>45518</v>
      </c>
      <c r="L371" s="363" t="s">
        <v>47</v>
      </c>
      <c r="M371" s="317" t="s">
        <v>2122</v>
      </c>
      <c r="N371" s="317">
        <v>1</v>
      </c>
      <c r="O371" s="366">
        <v>45525</v>
      </c>
      <c r="P371" s="365" t="s">
        <v>30</v>
      </c>
      <c r="Q371" s="364">
        <v>45525</v>
      </c>
      <c r="R371" s="364">
        <v>45525</v>
      </c>
      <c r="S371" s="348"/>
    </row>
    <row r="372" spans="1:19" ht="38.25" hidden="1" x14ac:dyDescent="0.25">
      <c r="A372" s="359">
        <v>0</v>
      </c>
      <c r="B372" s="49" t="s">
        <v>3225</v>
      </c>
      <c r="C372" s="49" t="s">
        <v>1791</v>
      </c>
      <c r="D372" s="49"/>
      <c r="E372" s="49">
        <v>184163</v>
      </c>
      <c r="F372" s="49" t="s">
        <v>3226</v>
      </c>
      <c r="G372" s="49" t="s">
        <v>1445</v>
      </c>
      <c r="H372" s="49" t="s">
        <v>3227</v>
      </c>
      <c r="I372" s="49" t="s">
        <v>2618</v>
      </c>
      <c r="J372" s="316">
        <v>45512</v>
      </c>
      <c r="K372" s="360">
        <v>45513</v>
      </c>
      <c r="L372" s="363" t="s">
        <v>47</v>
      </c>
      <c r="M372" s="317" t="s">
        <v>3228</v>
      </c>
      <c r="N372" s="317">
        <v>1</v>
      </c>
      <c r="O372" s="366">
        <v>45561</v>
      </c>
      <c r="P372" s="365" t="s">
        <v>264</v>
      </c>
      <c r="Q372" s="364">
        <v>45562</v>
      </c>
      <c r="R372" s="364">
        <v>45562</v>
      </c>
      <c r="S372" s="348"/>
    </row>
    <row r="373" spans="1:19" ht="25.5" hidden="1" x14ac:dyDescent="0.25">
      <c r="A373" s="359">
        <v>0</v>
      </c>
      <c r="B373" s="49" t="s">
        <v>3229</v>
      </c>
      <c r="C373" s="49" t="s">
        <v>1711</v>
      </c>
      <c r="D373" s="49"/>
      <c r="E373" s="49">
        <v>183610</v>
      </c>
      <c r="F373" s="49" t="s">
        <v>3230</v>
      </c>
      <c r="G373" s="49" t="s">
        <v>3231</v>
      </c>
      <c r="H373" s="49">
        <v>1975</v>
      </c>
      <c r="I373" s="49" t="s">
        <v>3232</v>
      </c>
      <c r="J373" s="316">
        <v>45428</v>
      </c>
      <c r="K373" s="360">
        <v>45428</v>
      </c>
      <c r="L373" s="363" t="s">
        <v>28</v>
      </c>
      <c r="M373" s="317" t="s">
        <v>3207</v>
      </c>
      <c r="N373" s="317">
        <v>5</v>
      </c>
      <c r="O373" s="366">
        <v>45519</v>
      </c>
      <c r="P373" s="365" t="s">
        <v>264</v>
      </c>
      <c r="Q373" s="364">
        <v>45519</v>
      </c>
      <c r="R373" s="364">
        <v>45519</v>
      </c>
      <c r="S373" s="348"/>
    </row>
    <row r="374" spans="1:19" ht="25.5" hidden="1" x14ac:dyDescent="0.25">
      <c r="A374" s="359">
        <v>0</v>
      </c>
      <c r="B374" s="49" t="s">
        <v>3233</v>
      </c>
      <c r="C374" s="49" t="s">
        <v>2643</v>
      </c>
      <c r="D374" s="49"/>
      <c r="E374" s="49">
        <v>184164</v>
      </c>
      <c r="F374" s="49" t="s">
        <v>3234</v>
      </c>
      <c r="G374" s="49" t="s">
        <v>3235</v>
      </c>
      <c r="H374" s="49" t="s">
        <v>186</v>
      </c>
      <c r="I374" s="49" t="s">
        <v>53</v>
      </c>
      <c r="J374" s="316">
        <v>45512</v>
      </c>
      <c r="K374" s="360">
        <v>45520</v>
      </c>
      <c r="L374" s="363" t="s">
        <v>28</v>
      </c>
      <c r="M374" s="317" t="s">
        <v>3236</v>
      </c>
      <c r="N374" s="317">
        <v>20</v>
      </c>
      <c r="O374" s="366">
        <v>45552</v>
      </c>
      <c r="P374" s="365" t="s">
        <v>264</v>
      </c>
      <c r="Q374" s="364">
        <v>45552</v>
      </c>
      <c r="R374" s="364">
        <v>45552</v>
      </c>
      <c r="S374" s="348"/>
    </row>
    <row r="375" spans="1:19" ht="51" hidden="1" x14ac:dyDescent="0.25">
      <c r="A375" s="359">
        <v>0</v>
      </c>
      <c r="B375" s="49" t="s">
        <v>3237</v>
      </c>
      <c r="C375" s="49" t="s">
        <v>3238</v>
      </c>
      <c r="D375" s="49"/>
      <c r="E375" s="49">
        <v>184165</v>
      </c>
      <c r="F375" s="49" t="s">
        <v>3239</v>
      </c>
      <c r="G375" s="49" t="s">
        <v>3240</v>
      </c>
      <c r="H375" s="49" t="s">
        <v>186</v>
      </c>
      <c r="I375" s="49" t="s">
        <v>53</v>
      </c>
      <c r="J375" s="316">
        <v>45512</v>
      </c>
      <c r="K375" s="360">
        <v>45520</v>
      </c>
      <c r="L375" s="363" t="s">
        <v>28</v>
      </c>
      <c r="M375" s="317" t="s">
        <v>3236</v>
      </c>
      <c r="N375" s="317">
        <v>20</v>
      </c>
      <c r="O375" s="366">
        <v>45552</v>
      </c>
      <c r="P375" s="365" t="s">
        <v>264</v>
      </c>
      <c r="Q375" s="364">
        <v>45552</v>
      </c>
      <c r="R375" s="364">
        <v>45552</v>
      </c>
      <c r="S375" s="348"/>
    </row>
    <row r="376" spans="1:19" hidden="1" x14ac:dyDescent="0.25">
      <c r="A376" s="359">
        <v>0</v>
      </c>
      <c r="B376" s="49" t="s">
        <v>3241</v>
      </c>
      <c r="C376" s="49" t="s">
        <v>3242</v>
      </c>
      <c r="D376" s="49"/>
      <c r="E376" s="49">
        <v>184177</v>
      </c>
      <c r="F376" s="49" t="s">
        <v>3243</v>
      </c>
      <c r="G376" s="49"/>
      <c r="H376" s="49"/>
      <c r="I376" s="49"/>
      <c r="J376" s="316"/>
      <c r="K376" s="360"/>
      <c r="L376" s="363"/>
      <c r="M376" s="317"/>
      <c r="N376" s="317"/>
      <c r="O376" s="366"/>
      <c r="P376" s="365"/>
      <c r="Q376" s="364"/>
      <c r="R376" s="364"/>
      <c r="S376" s="348"/>
    </row>
    <row r="377" spans="1:19" ht="25.5" hidden="1" x14ac:dyDescent="0.25">
      <c r="A377" s="359">
        <v>0</v>
      </c>
      <c r="B377" s="49" t="s">
        <v>3244</v>
      </c>
      <c r="C377" s="49" t="s">
        <v>3245</v>
      </c>
      <c r="D377" s="49"/>
      <c r="E377" s="49">
        <v>184166</v>
      </c>
      <c r="F377" s="49" t="s">
        <v>3246</v>
      </c>
      <c r="G377" s="49" t="s">
        <v>3235</v>
      </c>
      <c r="H377" s="49" t="s">
        <v>186</v>
      </c>
      <c r="I377" s="49" t="s">
        <v>53</v>
      </c>
      <c r="J377" s="316">
        <v>45518</v>
      </c>
      <c r="K377" s="360">
        <v>45520</v>
      </c>
      <c r="L377" s="363" t="s">
        <v>28</v>
      </c>
      <c r="M377" s="317" t="s">
        <v>3236</v>
      </c>
      <c r="N377" s="317">
        <v>13</v>
      </c>
      <c r="O377" s="366">
        <v>45681</v>
      </c>
      <c r="P377" s="365" t="s">
        <v>30</v>
      </c>
      <c r="Q377" s="364">
        <v>45685</v>
      </c>
      <c r="R377" s="364">
        <v>45685</v>
      </c>
      <c r="S377" s="348"/>
    </row>
    <row r="378" spans="1:19" hidden="1" x14ac:dyDescent="0.25">
      <c r="A378" s="359">
        <v>0</v>
      </c>
      <c r="B378" s="49" t="s">
        <v>3247</v>
      </c>
      <c r="C378" s="49" t="s">
        <v>3248</v>
      </c>
      <c r="D378" s="49"/>
      <c r="E378" s="49">
        <v>184167</v>
      </c>
      <c r="F378" s="49" t="s">
        <v>3249</v>
      </c>
      <c r="G378" s="49"/>
      <c r="H378" s="49"/>
      <c r="I378" s="49"/>
      <c r="J378" s="316"/>
      <c r="K378" s="360">
        <v>45520</v>
      </c>
      <c r="L378" s="363" t="s">
        <v>28</v>
      </c>
      <c r="M378" s="317" t="s">
        <v>3236</v>
      </c>
      <c r="N378" s="317">
        <v>20</v>
      </c>
      <c r="O378" s="366">
        <v>45552</v>
      </c>
      <c r="P378" s="365" t="s">
        <v>264</v>
      </c>
      <c r="Q378" s="364">
        <v>45552</v>
      </c>
      <c r="R378" s="364">
        <v>45552</v>
      </c>
      <c r="S378" s="348"/>
    </row>
    <row r="379" spans="1:19" ht="25.5" hidden="1" x14ac:dyDescent="0.25">
      <c r="A379" s="359">
        <v>0</v>
      </c>
      <c r="B379" s="49" t="s">
        <v>3250</v>
      </c>
      <c r="C379" s="49" t="s">
        <v>3251</v>
      </c>
      <c r="D379" s="49"/>
      <c r="E379" s="49">
        <v>184168</v>
      </c>
      <c r="F379" s="49" t="s">
        <v>3252</v>
      </c>
      <c r="G379" s="49" t="s">
        <v>3235</v>
      </c>
      <c r="H379" s="49" t="s">
        <v>186</v>
      </c>
      <c r="I379" s="49" t="s">
        <v>53</v>
      </c>
      <c r="J379" s="316">
        <v>45512</v>
      </c>
      <c r="K379" s="360">
        <v>45520</v>
      </c>
      <c r="L379" s="363" t="s">
        <v>28</v>
      </c>
      <c r="M379" s="317" t="s">
        <v>3236</v>
      </c>
      <c r="N379" s="317">
        <v>20</v>
      </c>
      <c r="O379" s="366">
        <v>45552</v>
      </c>
      <c r="P379" s="365" t="s">
        <v>264</v>
      </c>
      <c r="Q379" s="364">
        <v>45552</v>
      </c>
      <c r="R379" s="364">
        <v>45552</v>
      </c>
      <c r="S379" s="348"/>
    </row>
    <row r="380" spans="1:19" ht="25.5" hidden="1" x14ac:dyDescent="0.25">
      <c r="A380" s="359">
        <v>0</v>
      </c>
      <c r="B380" s="49" t="s">
        <v>3253</v>
      </c>
      <c r="C380" s="49" t="s">
        <v>3254</v>
      </c>
      <c r="D380" s="49"/>
      <c r="E380" s="49">
        <v>184169</v>
      </c>
      <c r="F380" s="49" t="s">
        <v>3255</v>
      </c>
      <c r="G380" s="49" t="s">
        <v>3235</v>
      </c>
      <c r="H380" s="49" t="s">
        <v>186</v>
      </c>
      <c r="I380" s="49" t="s">
        <v>53</v>
      </c>
      <c r="J380" s="316">
        <v>45520</v>
      </c>
      <c r="K380" s="360">
        <v>45520</v>
      </c>
      <c r="L380" s="363" t="s">
        <v>47</v>
      </c>
      <c r="M380" s="317" t="s">
        <v>3236</v>
      </c>
      <c r="N380" s="317">
        <v>7</v>
      </c>
      <c r="O380" s="366">
        <v>45631</v>
      </c>
      <c r="P380" s="365" t="s">
        <v>30</v>
      </c>
      <c r="Q380" s="364">
        <v>45635</v>
      </c>
      <c r="R380" s="364">
        <v>45635</v>
      </c>
      <c r="S380" s="348"/>
    </row>
    <row r="381" spans="1:19" hidden="1" x14ac:dyDescent="0.25">
      <c r="A381" s="359">
        <v>0</v>
      </c>
      <c r="B381" s="49" t="s">
        <v>3256</v>
      </c>
      <c r="C381" s="49" t="s">
        <v>1680</v>
      </c>
      <c r="D381" s="49"/>
      <c r="E381" s="49">
        <v>184174</v>
      </c>
      <c r="F381" s="49" t="s">
        <v>3257</v>
      </c>
      <c r="G381" s="49" t="s">
        <v>3258</v>
      </c>
      <c r="H381" s="49" t="s">
        <v>3259</v>
      </c>
      <c r="I381" s="49" t="s">
        <v>1938</v>
      </c>
      <c r="J381" s="316">
        <v>45474</v>
      </c>
      <c r="K381" s="360">
        <v>45519</v>
      </c>
      <c r="L381" s="363" t="s">
        <v>28</v>
      </c>
      <c r="M381" s="317" t="s">
        <v>1939</v>
      </c>
      <c r="N381" s="317">
        <v>1</v>
      </c>
      <c r="O381" s="366">
        <v>45525</v>
      </c>
      <c r="P381" s="365" t="s">
        <v>264</v>
      </c>
      <c r="Q381" s="364">
        <v>45526</v>
      </c>
      <c r="R381" s="364">
        <v>45526</v>
      </c>
      <c r="S381" s="348"/>
    </row>
    <row r="382" spans="1:19" ht="25.5" hidden="1" x14ac:dyDescent="0.25">
      <c r="A382" s="359">
        <v>0</v>
      </c>
      <c r="B382" s="49" t="s">
        <v>3260</v>
      </c>
      <c r="C382" s="49" t="s">
        <v>1680</v>
      </c>
      <c r="D382" s="49"/>
      <c r="E382" s="49">
        <v>184175</v>
      </c>
      <c r="F382" s="49" t="s">
        <v>3261</v>
      </c>
      <c r="G382" s="49" t="s">
        <v>3262</v>
      </c>
      <c r="H382" s="49"/>
      <c r="I382" s="49" t="s">
        <v>1938</v>
      </c>
      <c r="J382" s="316"/>
      <c r="K382" s="360"/>
      <c r="L382" s="363"/>
      <c r="M382" s="317" t="s">
        <v>1939</v>
      </c>
      <c r="N382" s="317"/>
      <c r="O382" s="366"/>
      <c r="P382" s="365"/>
      <c r="Q382" s="364"/>
      <c r="R382" s="364"/>
      <c r="S382" s="348"/>
    </row>
    <row r="383" spans="1:19" hidden="1" x14ac:dyDescent="0.25">
      <c r="A383" s="359">
        <v>0</v>
      </c>
      <c r="B383" s="49" t="s">
        <v>3263</v>
      </c>
      <c r="C383" s="49" t="s">
        <v>3264</v>
      </c>
      <c r="D383" s="49"/>
      <c r="E383" s="49">
        <v>184094</v>
      </c>
      <c r="F383" s="49" t="s">
        <v>3265</v>
      </c>
      <c r="G383" s="49"/>
      <c r="H383" s="49"/>
      <c r="I383" s="49"/>
      <c r="J383" s="316"/>
      <c r="K383" s="360"/>
      <c r="L383" s="363"/>
      <c r="M383" s="317"/>
      <c r="N383" s="317"/>
      <c r="O383" s="366"/>
      <c r="P383" s="365"/>
      <c r="Q383" s="364"/>
      <c r="R383" s="364"/>
      <c r="S383" s="348"/>
    </row>
    <row r="384" spans="1:19" ht="25.5" hidden="1" x14ac:dyDescent="0.25">
      <c r="A384" s="359">
        <v>0</v>
      </c>
      <c r="B384" s="49" t="s">
        <v>3266</v>
      </c>
      <c r="C384" s="49" t="s">
        <v>1796</v>
      </c>
      <c r="D384" s="49"/>
      <c r="E384" s="49">
        <v>184176</v>
      </c>
      <c r="F384" s="49"/>
      <c r="G384" s="49" t="s">
        <v>3267</v>
      </c>
      <c r="H384" s="49"/>
      <c r="I384" s="49"/>
      <c r="J384" s="316"/>
      <c r="K384" s="360"/>
      <c r="L384" s="363"/>
      <c r="M384" s="317" t="s">
        <v>1800</v>
      </c>
      <c r="N384" s="317"/>
      <c r="O384" s="366"/>
      <c r="P384" s="365"/>
      <c r="Q384" s="364"/>
      <c r="R384" s="364"/>
      <c r="S384" s="348"/>
    </row>
    <row r="385" spans="1:19" ht="25.5" hidden="1" x14ac:dyDescent="0.25">
      <c r="A385" s="359">
        <v>0</v>
      </c>
      <c r="B385" s="49" t="s">
        <v>3268</v>
      </c>
      <c r="C385" s="49" t="s">
        <v>132</v>
      </c>
      <c r="D385" s="49"/>
      <c r="E385" s="49">
        <v>184178</v>
      </c>
      <c r="F385" s="49" t="s">
        <v>3269</v>
      </c>
      <c r="G385" s="49" t="s">
        <v>3270</v>
      </c>
      <c r="H385" s="49" t="s">
        <v>3271</v>
      </c>
      <c r="I385" s="49" t="s">
        <v>3272</v>
      </c>
      <c r="J385" s="316">
        <v>45520</v>
      </c>
      <c r="K385" s="360">
        <v>45520</v>
      </c>
      <c r="L385" s="363" t="s">
        <v>28</v>
      </c>
      <c r="M385" s="317">
        <v>1871347</v>
      </c>
      <c r="N385" s="317">
        <v>1</v>
      </c>
      <c r="O385" s="366">
        <v>45525</v>
      </c>
      <c r="P385" s="365" t="s">
        <v>264</v>
      </c>
      <c r="Q385" s="364">
        <v>45525</v>
      </c>
      <c r="R385" s="364">
        <v>45525</v>
      </c>
      <c r="S385" s="348"/>
    </row>
    <row r="386" spans="1:19" ht="25.5" hidden="1" x14ac:dyDescent="0.25">
      <c r="A386" s="359">
        <v>0</v>
      </c>
      <c r="B386" s="49" t="s">
        <v>3273</v>
      </c>
      <c r="C386" s="49" t="s">
        <v>132</v>
      </c>
      <c r="D386" s="49"/>
      <c r="E386" s="49">
        <v>184179</v>
      </c>
      <c r="F386" s="49" t="s">
        <v>3274</v>
      </c>
      <c r="G386" s="49" t="s">
        <v>494</v>
      </c>
      <c r="H386" s="49" t="s">
        <v>3275</v>
      </c>
      <c r="I386" s="49" t="s">
        <v>73</v>
      </c>
      <c r="J386" s="316">
        <v>45520</v>
      </c>
      <c r="K386" s="360">
        <v>45520</v>
      </c>
      <c r="L386" s="363" t="s">
        <v>28</v>
      </c>
      <c r="M386" s="317" t="s">
        <v>3276</v>
      </c>
      <c r="N386" s="317">
        <v>1</v>
      </c>
      <c r="O386" s="366">
        <v>45525</v>
      </c>
      <c r="P386" s="365" t="s">
        <v>264</v>
      </c>
      <c r="Q386" s="364">
        <v>45526</v>
      </c>
      <c r="R386" s="364">
        <v>45526</v>
      </c>
      <c r="S386" s="348"/>
    </row>
    <row r="387" spans="1:19" ht="25.5" hidden="1" x14ac:dyDescent="0.25">
      <c r="A387" s="359">
        <v>0</v>
      </c>
      <c r="B387" s="49" t="s">
        <v>3277</v>
      </c>
      <c r="C387" s="49" t="s">
        <v>83</v>
      </c>
      <c r="D387" s="49"/>
      <c r="E387" s="287">
        <v>184078</v>
      </c>
      <c r="F387" s="49" t="s">
        <v>3278</v>
      </c>
      <c r="G387" s="49" t="s">
        <v>3279</v>
      </c>
      <c r="H387" s="49" t="s">
        <v>2688</v>
      </c>
      <c r="I387" s="49" t="s">
        <v>1730</v>
      </c>
      <c r="J387" s="316">
        <v>45531</v>
      </c>
      <c r="K387" s="360">
        <v>45496</v>
      </c>
      <c r="L387" s="363" t="s">
        <v>28</v>
      </c>
      <c r="M387" s="317" t="s">
        <v>2690</v>
      </c>
      <c r="N387" s="317">
        <v>3</v>
      </c>
      <c r="O387" s="366">
        <v>45899</v>
      </c>
      <c r="P387" s="365" t="s">
        <v>264</v>
      </c>
      <c r="Q387" s="364">
        <v>45537</v>
      </c>
      <c r="R387" s="364">
        <v>45537</v>
      </c>
      <c r="S387" s="348"/>
    </row>
    <row r="388" spans="1:19" ht="25.5" hidden="1" x14ac:dyDescent="0.25">
      <c r="A388" s="359">
        <v>0</v>
      </c>
      <c r="B388" s="49" t="s">
        <v>3280</v>
      </c>
      <c r="C388" s="49" t="s">
        <v>83</v>
      </c>
      <c r="D388" s="49"/>
      <c r="E388" s="49">
        <v>184078</v>
      </c>
      <c r="F388" s="49" t="s">
        <v>3281</v>
      </c>
      <c r="G388" s="49" t="s">
        <v>3282</v>
      </c>
      <c r="H388" s="49"/>
      <c r="I388" s="49"/>
      <c r="J388" s="316"/>
      <c r="K388" s="360"/>
      <c r="L388" s="363"/>
      <c r="M388" s="317"/>
      <c r="N388" s="317"/>
      <c r="O388" s="366"/>
      <c r="P388" s="365"/>
      <c r="Q388" s="364"/>
      <c r="R388" s="364"/>
      <c r="S388" s="348"/>
    </row>
    <row r="389" spans="1:19" ht="51" hidden="1" x14ac:dyDescent="0.25">
      <c r="A389" s="359">
        <v>0</v>
      </c>
      <c r="B389" s="49" t="s">
        <v>3283</v>
      </c>
      <c r="C389" s="49" t="s">
        <v>83</v>
      </c>
      <c r="D389" s="49"/>
      <c r="E389" s="49">
        <v>184078</v>
      </c>
      <c r="F389" s="49" t="s">
        <v>3284</v>
      </c>
      <c r="G389" s="49" t="s">
        <v>3285</v>
      </c>
      <c r="H389" s="49"/>
      <c r="I389" s="49"/>
      <c r="J389" s="316"/>
      <c r="K389" s="360"/>
      <c r="L389" s="363"/>
      <c r="M389" s="317"/>
      <c r="N389" s="317"/>
      <c r="O389" s="366"/>
      <c r="P389" s="365"/>
      <c r="Q389" s="364"/>
      <c r="R389" s="364"/>
      <c r="S389" s="348"/>
    </row>
    <row r="390" spans="1:19" ht="38.25" hidden="1" x14ac:dyDescent="0.25">
      <c r="A390" s="359">
        <v>0</v>
      </c>
      <c r="B390" s="49" t="s">
        <v>3286</v>
      </c>
      <c r="C390" s="49" t="s">
        <v>83</v>
      </c>
      <c r="D390" s="49"/>
      <c r="E390" s="287">
        <v>184078</v>
      </c>
      <c r="F390" s="49" t="s">
        <v>3287</v>
      </c>
      <c r="G390" s="49" t="s">
        <v>77</v>
      </c>
      <c r="H390" s="49" t="s">
        <v>3288</v>
      </c>
      <c r="I390" s="49" t="s">
        <v>73</v>
      </c>
      <c r="J390" s="316">
        <v>45531</v>
      </c>
      <c r="K390" s="360">
        <v>45496</v>
      </c>
      <c r="L390" s="363" t="s">
        <v>28</v>
      </c>
      <c r="M390" s="317" t="s">
        <v>84</v>
      </c>
      <c r="N390" s="317">
        <v>4</v>
      </c>
      <c r="O390" s="366">
        <v>45533</v>
      </c>
      <c r="P390" s="365" t="s">
        <v>264</v>
      </c>
      <c r="Q390" s="364">
        <v>45533</v>
      </c>
      <c r="R390" s="364">
        <v>45533</v>
      </c>
      <c r="S390" s="348"/>
    </row>
    <row r="391" spans="1:19" ht="25.5" hidden="1" x14ac:dyDescent="0.25">
      <c r="A391" s="359">
        <v>0</v>
      </c>
      <c r="B391" s="49" t="s">
        <v>3289</v>
      </c>
      <c r="C391" s="49" t="s">
        <v>83</v>
      </c>
      <c r="D391" s="49"/>
      <c r="E391" s="287">
        <v>184078</v>
      </c>
      <c r="F391" s="49" t="s">
        <v>3290</v>
      </c>
      <c r="G391" s="49" t="s">
        <v>3291</v>
      </c>
      <c r="H391" s="49" t="s">
        <v>3292</v>
      </c>
      <c r="I391" s="49" t="s">
        <v>73</v>
      </c>
      <c r="J391" s="316">
        <v>45531</v>
      </c>
      <c r="K391" s="360">
        <v>45496</v>
      </c>
      <c r="L391" s="363" t="s">
        <v>28</v>
      </c>
      <c r="M391" s="317" t="s">
        <v>3293</v>
      </c>
      <c r="N391" s="317">
        <v>3</v>
      </c>
      <c r="O391" s="366">
        <v>45532</v>
      </c>
      <c r="P391" s="365" t="s">
        <v>264</v>
      </c>
      <c r="Q391" s="364">
        <v>45533</v>
      </c>
      <c r="R391" s="364">
        <v>45533</v>
      </c>
      <c r="S391" s="348"/>
    </row>
    <row r="392" spans="1:19" hidden="1" x14ac:dyDescent="0.25">
      <c r="A392" s="359">
        <v>0</v>
      </c>
      <c r="B392" s="49" t="s">
        <v>3294</v>
      </c>
      <c r="C392" s="49" t="s">
        <v>83</v>
      </c>
      <c r="D392" s="49"/>
      <c r="E392" s="287">
        <v>184078</v>
      </c>
      <c r="F392" s="49" t="s">
        <v>3295</v>
      </c>
      <c r="G392" s="49" t="s">
        <v>296</v>
      </c>
      <c r="H392" s="49" t="s">
        <v>292</v>
      </c>
      <c r="I392" s="49" t="s">
        <v>73</v>
      </c>
      <c r="J392" s="316">
        <v>45539</v>
      </c>
      <c r="K392" s="360">
        <v>45496</v>
      </c>
      <c r="L392" s="363" t="s">
        <v>28</v>
      </c>
      <c r="M392" s="317" t="s">
        <v>293</v>
      </c>
      <c r="N392" s="317">
        <v>1</v>
      </c>
      <c r="O392" s="366">
        <v>45539</v>
      </c>
      <c r="P392" s="365" t="s">
        <v>264</v>
      </c>
      <c r="Q392" s="364">
        <v>45541</v>
      </c>
      <c r="R392" s="364">
        <v>45541</v>
      </c>
      <c r="S392" s="348"/>
    </row>
    <row r="393" spans="1:19" ht="25.5" hidden="1" x14ac:dyDescent="0.25">
      <c r="A393" s="359">
        <v>0</v>
      </c>
      <c r="B393" s="49" t="s">
        <v>3296</v>
      </c>
      <c r="C393" s="49" t="s">
        <v>83</v>
      </c>
      <c r="D393" s="49"/>
      <c r="E393" s="287">
        <v>184078</v>
      </c>
      <c r="F393" s="49" t="s">
        <v>3297</v>
      </c>
      <c r="G393" s="49" t="s">
        <v>3298</v>
      </c>
      <c r="H393" s="49" t="s">
        <v>3299</v>
      </c>
      <c r="I393" s="49" t="s">
        <v>73</v>
      </c>
      <c r="J393" s="316">
        <v>45539</v>
      </c>
      <c r="K393" s="360">
        <v>45527</v>
      </c>
      <c r="L393" s="363" t="s">
        <v>28</v>
      </c>
      <c r="M393" s="317" t="s">
        <v>2684</v>
      </c>
      <c r="N393" s="317">
        <v>1</v>
      </c>
      <c r="O393" s="366">
        <v>45539</v>
      </c>
      <c r="P393" s="365" t="s">
        <v>264</v>
      </c>
      <c r="Q393" s="364">
        <v>45541</v>
      </c>
      <c r="R393" s="364">
        <v>45541</v>
      </c>
      <c r="S393" s="348"/>
    </row>
    <row r="394" spans="1:19" ht="25.5" hidden="1" x14ac:dyDescent="0.25">
      <c r="A394" s="359">
        <v>0</v>
      </c>
      <c r="B394" s="49" t="s">
        <v>3300</v>
      </c>
      <c r="C394" s="49" t="s">
        <v>83</v>
      </c>
      <c r="D394" s="49"/>
      <c r="E394" s="49">
        <v>184078</v>
      </c>
      <c r="F394" s="49" t="s">
        <v>3301</v>
      </c>
      <c r="G394" s="49" t="s">
        <v>3302</v>
      </c>
      <c r="H394" s="49" t="s">
        <v>1739</v>
      </c>
      <c r="I394" s="49" t="s">
        <v>3303</v>
      </c>
      <c r="J394" s="316">
        <v>45595</v>
      </c>
      <c r="K394" s="360">
        <v>45496</v>
      </c>
      <c r="L394" s="363" t="s">
        <v>47</v>
      </c>
      <c r="M394" s="317" t="s">
        <v>3304</v>
      </c>
      <c r="N394" s="317">
        <v>2</v>
      </c>
      <c r="O394" s="366">
        <v>45596</v>
      </c>
      <c r="P394" s="365" t="s">
        <v>30</v>
      </c>
      <c r="Q394" s="364">
        <v>45600</v>
      </c>
      <c r="R394" s="364">
        <v>45600</v>
      </c>
      <c r="S394" s="348"/>
    </row>
    <row r="395" spans="1:19" ht="25.5" hidden="1" x14ac:dyDescent="0.25">
      <c r="A395" s="359">
        <v>0</v>
      </c>
      <c r="B395" s="49" t="s">
        <v>3305</v>
      </c>
      <c r="C395" s="49" t="s">
        <v>83</v>
      </c>
      <c r="D395" s="49"/>
      <c r="E395" s="49">
        <v>184078</v>
      </c>
      <c r="F395" s="49" t="s">
        <v>3306</v>
      </c>
      <c r="G395" s="49" t="s">
        <v>3307</v>
      </c>
      <c r="H395" s="49" t="s">
        <v>1744</v>
      </c>
      <c r="I395" s="49" t="s">
        <v>1730</v>
      </c>
      <c r="J395" s="316">
        <v>45603</v>
      </c>
      <c r="K395" s="360">
        <v>45496</v>
      </c>
      <c r="L395" s="363" t="s">
        <v>28</v>
      </c>
      <c r="M395" s="317" t="s">
        <v>1745</v>
      </c>
      <c r="N395" s="317">
        <v>3</v>
      </c>
      <c r="O395" s="366">
        <v>45603</v>
      </c>
      <c r="P395" s="365" t="s">
        <v>30</v>
      </c>
      <c r="Q395" s="364">
        <v>45604</v>
      </c>
      <c r="R395" s="364">
        <v>45604</v>
      </c>
      <c r="S395" s="348"/>
    </row>
    <row r="396" spans="1:19" hidden="1" x14ac:dyDescent="0.25">
      <c r="A396" s="359">
        <v>0</v>
      </c>
      <c r="B396" s="49" t="s">
        <v>3308</v>
      </c>
      <c r="C396" s="49" t="s">
        <v>83</v>
      </c>
      <c r="D396" s="49"/>
      <c r="E396" s="49">
        <v>184078</v>
      </c>
      <c r="F396" s="49" t="s">
        <v>3309</v>
      </c>
      <c r="G396" s="49" t="s">
        <v>3310</v>
      </c>
      <c r="H396" s="49" t="s">
        <v>72</v>
      </c>
      <c r="I396" s="49" t="s">
        <v>73</v>
      </c>
      <c r="J396" s="316">
        <v>45595</v>
      </c>
      <c r="K396" s="360">
        <v>45496</v>
      </c>
      <c r="L396" s="363" t="s">
        <v>47</v>
      </c>
      <c r="M396" s="317" t="s">
        <v>74</v>
      </c>
      <c r="N396" s="317">
        <v>1</v>
      </c>
      <c r="O396" s="366">
        <v>45596</v>
      </c>
      <c r="P396" s="365" t="s">
        <v>30</v>
      </c>
      <c r="Q396" s="364">
        <v>45600</v>
      </c>
      <c r="R396" s="364">
        <v>45600</v>
      </c>
      <c r="S396" s="348"/>
    </row>
    <row r="397" spans="1:19" ht="38.25" hidden="1" x14ac:dyDescent="0.25">
      <c r="A397" s="359">
        <v>0</v>
      </c>
      <c r="B397" s="49" t="s">
        <v>3311</v>
      </c>
      <c r="C397" s="49" t="s">
        <v>1941</v>
      </c>
      <c r="D397" s="49"/>
      <c r="E397" s="49">
        <v>184090</v>
      </c>
      <c r="F397" s="49"/>
      <c r="G397" s="49" t="s">
        <v>3312</v>
      </c>
      <c r="H397" s="49" t="s">
        <v>3313</v>
      </c>
      <c r="I397" s="49" t="s">
        <v>3314</v>
      </c>
      <c r="J397" s="316"/>
      <c r="K397" s="360"/>
      <c r="L397" s="363"/>
      <c r="M397" s="317" t="s">
        <v>3315</v>
      </c>
      <c r="N397" s="317"/>
      <c r="O397" s="366"/>
      <c r="P397" s="365"/>
      <c r="Q397" s="364"/>
      <c r="R397" s="364"/>
      <c r="S397" s="348"/>
    </row>
    <row r="398" spans="1:19" ht="25.5" hidden="1" x14ac:dyDescent="0.25">
      <c r="A398" s="359">
        <v>0</v>
      </c>
      <c r="B398" s="49" t="s">
        <v>3316</v>
      </c>
      <c r="C398" s="49" t="s">
        <v>2187</v>
      </c>
      <c r="D398" s="49"/>
      <c r="E398" s="49"/>
      <c r="F398" s="49"/>
      <c r="G398" s="49"/>
      <c r="H398" s="49"/>
      <c r="I398" s="49"/>
      <c r="J398" s="316"/>
      <c r="K398" s="360"/>
      <c r="L398" s="363"/>
      <c r="M398" s="317"/>
      <c r="N398" s="317"/>
      <c r="O398" s="366"/>
      <c r="P398" s="365"/>
      <c r="Q398" s="364"/>
      <c r="R398" s="364"/>
      <c r="S398" s="348"/>
    </row>
    <row r="399" spans="1:19" ht="25.5" hidden="1" x14ac:dyDescent="0.25">
      <c r="A399" s="359">
        <v>0</v>
      </c>
      <c r="B399" s="49" t="s">
        <v>3317</v>
      </c>
      <c r="C399" s="49" t="s">
        <v>132</v>
      </c>
      <c r="D399" s="49"/>
      <c r="E399" s="49">
        <v>184180</v>
      </c>
      <c r="F399" s="49" t="s">
        <v>3318</v>
      </c>
      <c r="G399" s="49" t="s">
        <v>3319</v>
      </c>
      <c r="H399" s="49"/>
      <c r="I399" s="49"/>
      <c r="J399" s="316"/>
      <c r="K399" s="360"/>
      <c r="L399" s="363"/>
      <c r="M399" s="317"/>
      <c r="N399" s="317"/>
      <c r="O399" s="366"/>
      <c r="P399" s="365"/>
      <c r="Q399" s="364"/>
      <c r="R399" s="364"/>
      <c r="S399" s="348"/>
    </row>
    <row r="400" spans="1:19" ht="25.5" hidden="1" x14ac:dyDescent="0.25">
      <c r="A400" s="359">
        <v>0</v>
      </c>
      <c r="B400" s="49" t="s">
        <v>3320</v>
      </c>
      <c r="C400" s="49" t="s">
        <v>1711</v>
      </c>
      <c r="D400" s="49"/>
      <c r="E400" s="49">
        <v>184193</v>
      </c>
      <c r="F400" s="49" t="s">
        <v>3321</v>
      </c>
      <c r="G400" s="49" t="s">
        <v>3322</v>
      </c>
      <c r="H400" s="49" t="s">
        <v>3323</v>
      </c>
      <c r="I400" s="49" t="s">
        <v>594</v>
      </c>
      <c r="J400" s="316">
        <v>45525</v>
      </c>
      <c r="K400" s="360">
        <v>45530</v>
      </c>
      <c r="L400" s="363" t="s">
        <v>28</v>
      </c>
      <c r="M400" s="317" t="s">
        <v>3324</v>
      </c>
      <c r="N400" s="317">
        <v>4</v>
      </c>
      <c r="O400" s="366">
        <v>45565</v>
      </c>
      <c r="P400" s="365" t="s">
        <v>264</v>
      </c>
      <c r="Q400" s="364">
        <v>45565</v>
      </c>
      <c r="R400" s="364">
        <v>45565</v>
      </c>
      <c r="S400" s="348"/>
    </row>
    <row r="401" spans="1:19" ht="25.5" hidden="1" x14ac:dyDescent="0.25">
      <c r="A401" s="359">
        <v>0</v>
      </c>
      <c r="B401" s="49" t="s">
        <v>3325</v>
      </c>
      <c r="C401" s="49" t="s">
        <v>536</v>
      </c>
      <c r="D401" s="49"/>
      <c r="E401" s="49">
        <v>184195</v>
      </c>
      <c r="F401" s="49" t="s">
        <v>3326</v>
      </c>
      <c r="G401" s="49" t="s">
        <v>3327</v>
      </c>
      <c r="H401" s="49" t="s">
        <v>3328</v>
      </c>
      <c r="I401" s="49" t="s">
        <v>3329</v>
      </c>
      <c r="J401" s="316">
        <v>45525</v>
      </c>
      <c r="K401" s="316">
        <v>45532</v>
      </c>
      <c r="L401" s="363" t="s">
        <v>47</v>
      </c>
      <c r="M401" s="317" t="s">
        <v>3330</v>
      </c>
      <c r="N401" s="317">
        <v>7</v>
      </c>
      <c r="O401" s="366">
        <v>45533</v>
      </c>
      <c r="P401" s="365" t="s">
        <v>264</v>
      </c>
      <c r="Q401" s="364">
        <v>45540</v>
      </c>
      <c r="R401" s="364">
        <v>45540</v>
      </c>
      <c r="S401" s="348" t="s">
        <v>3331</v>
      </c>
    </row>
    <row r="402" spans="1:19" ht="38.25" hidden="1" x14ac:dyDescent="0.25">
      <c r="A402" s="359">
        <v>0</v>
      </c>
      <c r="B402" s="49" t="s">
        <v>3332</v>
      </c>
      <c r="C402" s="49" t="s">
        <v>1941</v>
      </c>
      <c r="D402" s="49"/>
      <c r="E402" s="49">
        <v>184188</v>
      </c>
      <c r="F402" s="49" t="s">
        <v>3333</v>
      </c>
      <c r="G402" s="49" t="s">
        <v>3334</v>
      </c>
      <c r="H402" s="49" t="s">
        <v>3335</v>
      </c>
      <c r="I402" s="49" t="s">
        <v>2132</v>
      </c>
      <c r="J402" s="316">
        <v>45524</v>
      </c>
      <c r="K402" s="360">
        <v>45524</v>
      </c>
      <c r="L402" s="363" t="s">
        <v>47</v>
      </c>
      <c r="M402" s="317" t="s">
        <v>3336</v>
      </c>
      <c r="N402" s="317">
        <v>1</v>
      </c>
      <c r="O402" s="366">
        <v>45677</v>
      </c>
      <c r="P402" s="365" t="s">
        <v>30</v>
      </c>
      <c r="Q402" s="364">
        <v>45677</v>
      </c>
      <c r="R402" s="364">
        <v>45677</v>
      </c>
      <c r="S402" s="348"/>
    </row>
    <row r="403" spans="1:19" ht="25.5" hidden="1" x14ac:dyDescent="0.25">
      <c r="A403" s="359">
        <v>0</v>
      </c>
      <c r="B403" s="49" t="s">
        <v>3337</v>
      </c>
      <c r="C403" s="49" t="s">
        <v>2187</v>
      </c>
      <c r="D403" s="49"/>
      <c r="E403" s="49">
        <v>184181</v>
      </c>
      <c r="F403" s="49" t="s">
        <v>3338</v>
      </c>
      <c r="G403" s="49" t="s">
        <v>3339</v>
      </c>
      <c r="H403" s="49" t="s">
        <v>3340</v>
      </c>
      <c r="I403" s="49" t="s">
        <v>3341</v>
      </c>
      <c r="J403" s="316">
        <v>45519</v>
      </c>
      <c r="K403" s="360">
        <v>45524</v>
      </c>
      <c r="L403" s="363" t="s">
        <v>28</v>
      </c>
      <c r="M403" s="317" t="s">
        <v>3342</v>
      </c>
      <c r="N403" s="317">
        <v>1</v>
      </c>
      <c r="O403" s="366">
        <v>45551</v>
      </c>
      <c r="P403" s="365" t="s">
        <v>264</v>
      </c>
      <c r="Q403" s="364">
        <v>45552</v>
      </c>
      <c r="R403" s="364">
        <v>45552</v>
      </c>
      <c r="S403" s="348"/>
    </row>
    <row r="404" spans="1:19" ht="38.25" hidden="1" x14ac:dyDescent="0.25">
      <c r="A404" s="359">
        <v>0</v>
      </c>
      <c r="B404" s="49" t="s">
        <v>3343</v>
      </c>
      <c r="C404" s="49" t="s">
        <v>1920</v>
      </c>
      <c r="D404" s="49"/>
      <c r="E404" s="49">
        <v>184200</v>
      </c>
      <c r="F404" s="49" t="s">
        <v>3344</v>
      </c>
      <c r="G404" s="49" t="s">
        <v>3345</v>
      </c>
      <c r="H404" s="49" t="s">
        <v>3346</v>
      </c>
      <c r="I404" s="49" t="s">
        <v>3347</v>
      </c>
      <c r="J404" s="316">
        <v>45523</v>
      </c>
      <c r="K404" s="360">
        <v>45530</v>
      </c>
      <c r="L404" s="363" t="s">
        <v>28</v>
      </c>
      <c r="M404" s="317" t="s">
        <v>3348</v>
      </c>
      <c r="N404" s="317">
        <v>1</v>
      </c>
      <c r="O404" s="366">
        <v>45665</v>
      </c>
      <c r="P404" s="365" t="s">
        <v>30</v>
      </c>
      <c r="Q404" s="364">
        <v>45665</v>
      </c>
      <c r="R404" s="364">
        <v>45665</v>
      </c>
      <c r="S404" s="348"/>
    </row>
    <row r="405" spans="1:19" ht="25.5" hidden="1" x14ac:dyDescent="0.25">
      <c r="A405" s="359">
        <v>0</v>
      </c>
      <c r="B405" s="49" t="s">
        <v>3349</v>
      </c>
      <c r="C405" s="49" t="s">
        <v>1775</v>
      </c>
      <c r="D405" s="49"/>
      <c r="E405" s="49">
        <v>184189</v>
      </c>
      <c r="F405" s="49"/>
      <c r="G405" s="49" t="s">
        <v>3350</v>
      </c>
      <c r="H405" s="49"/>
      <c r="I405" s="49" t="s">
        <v>3351</v>
      </c>
      <c r="J405" s="316"/>
      <c r="K405" s="360"/>
      <c r="L405" s="363"/>
      <c r="M405" s="317" t="s">
        <v>3352</v>
      </c>
      <c r="N405" s="317">
        <v>1</v>
      </c>
      <c r="O405" s="366"/>
      <c r="P405" s="365"/>
      <c r="Q405" s="364"/>
      <c r="R405" s="364"/>
      <c r="S405" s="348"/>
    </row>
    <row r="406" spans="1:19" ht="25.5" hidden="1" x14ac:dyDescent="0.25">
      <c r="A406" s="359">
        <v>0</v>
      </c>
      <c r="B406" s="49" t="s">
        <v>3353</v>
      </c>
      <c r="C406" s="49" t="s">
        <v>1775</v>
      </c>
      <c r="D406" s="49"/>
      <c r="E406" s="49">
        <v>184190</v>
      </c>
      <c r="F406" s="49"/>
      <c r="G406" s="49" t="s">
        <v>3354</v>
      </c>
      <c r="H406" s="49"/>
      <c r="I406" s="49" t="s">
        <v>3355</v>
      </c>
      <c r="J406" s="316"/>
      <c r="K406" s="360"/>
      <c r="L406" s="363"/>
      <c r="M406" s="317" t="s">
        <v>2889</v>
      </c>
      <c r="N406" s="317">
        <v>1</v>
      </c>
      <c r="O406" s="366"/>
      <c r="P406" s="365"/>
      <c r="Q406" s="364"/>
      <c r="R406" s="364"/>
      <c r="S406" s="348"/>
    </row>
    <row r="407" spans="1:19" ht="25.5" hidden="1" x14ac:dyDescent="0.25">
      <c r="A407" s="359">
        <v>0</v>
      </c>
      <c r="B407" s="49" t="s">
        <v>3356</v>
      </c>
      <c r="C407" s="49" t="s">
        <v>2643</v>
      </c>
      <c r="D407" s="49"/>
      <c r="E407" s="49">
        <v>184202</v>
      </c>
      <c r="F407" s="49" t="s">
        <v>3357</v>
      </c>
      <c r="G407" s="49" t="s">
        <v>369</v>
      </c>
      <c r="H407" s="49" t="s">
        <v>370</v>
      </c>
      <c r="I407" s="49" t="s">
        <v>371</v>
      </c>
      <c r="J407" s="316">
        <v>45593</v>
      </c>
      <c r="K407" s="360">
        <v>45595</v>
      </c>
      <c r="L407" s="363" t="s">
        <v>47</v>
      </c>
      <c r="M407" s="317" t="s">
        <v>372</v>
      </c>
      <c r="N407" s="317">
        <v>9</v>
      </c>
      <c r="O407" s="366">
        <v>45593</v>
      </c>
      <c r="P407" s="365" t="s">
        <v>30</v>
      </c>
      <c r="Q407" s="364">
        <v>45595</v>
      </c>
      <c r="R407" s="364">
        <v>45595</v>
      </c>
      <c r="S407" s="348"/>
    </row>
    <row r="408" spans="1:19" ht="38.25" hidden="1" x14ac:dyDescent="0.25">
      <c r="A408" s="359">
        <v>0</v>
      </c>
      <c r="B408" s="49" t="s">
        <v>3358</v>
      </c>
      <c r="C408" s="49" t="s">
        <v>2952</v>
      </c>
      <c r="D408" s="49"/>
      <c r="E408" s="49">
        <v>184203</v>
      </c>
      <c r="F408" s="49" t="s">
        <v>3359</v>
      </c>
      <c r="G408" s="49" t="s">
        <v>525</v>
      </c>
      <c r="H408" s="49" t="s">
        <v>526</v>
      </c>
      <c r="I408" s="49" t="s">
        <v>3360</v>
      </c>
      <c r="J408" s="316">
        <v>45533</v>
      </c>
      <c r="K408" s="360">
        <v>45534</v>
      </c>
      <c r="L408" s="363" t="s">
        <v>28</v>
      </c>
      <c r="M408" s="371" t="s">
        <v>174</v>
      </c>
      <c r="N408" s="371">
        <v>1</v>
      </c>
      <c r="O408" s="366">
        <v>45537</v>
      </c>
      <c r="P408" s="365" t="s">
        <v>264</v>
      </c>
      <c r="Q408" s="364">
        <v>45538</v>
      </c>
      <c r="R408" s="364">
        <v>45538</v>
      </c>
      <c r="S408" s="348"/>
    </row>
    <row r="409" spans="1:19" ht="38.25" hidden="1" x14ac:dyDescent="0.25">
      <c r="A409" s="359">
        <v>0</v>
      </c>
      <c r="B409" s="49" t="s">
        <v>3361</v>
      </c>
      <c r="C409" s="49" t="s">
        <v>1791</v>
      </c>
      <c r="D409" s="49"/>
      <c r="E409" s="49">
        <v>184206</v>
      </c>
      <c r="F409" s="49" t="s">
        <v>3362</v>
      </c>
      <c r="G409" s="49" t="s">
        <v>3363</v>
      </c>
      <c r="H409" s="49" t="s">
        <v>3364</v>
      </c>
      <c r="I409" s="49" t="s">
        <v>504</v>
      </c>
      <c r="J409" s="316">
        <v>45533</v>
      </c>
      <c r="K409" s="360">
        <v>45537</v>
      </c>
      <c r="L409" s="363" t="s">
        <v>28</v>
      </c>
      <c r="M409" s="317" t="s">
        <v>3365</v>
      </c>
      <c r="N409" s="317">
        <v>2</v>
      </c>
      <c r="O409" s="366">
        <v>45601</v>
      </c>
      <c r="P409" s="365" t="s">
        <v>30</v>
      </c>
      <c r="Q409" s="364">
        <v>45602</v>
      </c>
      <c r="R409" s="364">
        <v>45602</v>
      </c>
      <c r="S409" s="348"/>
    </row>
    <row r="410" spans="1:19" ht="38.25" hidden="1" x14ac:dyDescent="0.25">
      <c r="A410" s="359">
        <v>0</v>
      </c>
      <c r="B410" s="49" t="s">
        <v>3366</v>
      </c>
      <c r="C410" s="49" t="s">
        <v>132</v>
      </c>
      <c r="D410" s="49"/>
      <c r="E410" s="49">
        <v>184210</v>
      </c>
      <c r="F410" s="49" t="s">
        <v>3367</v>
      </c>
      <c r="G410" s="49" t="s">
        <v>3368</v>
      </c>
      <c r="H410" s="49" t="s">
        <v>3369</v>
      </c>
      <c r="I410" s="49" t="s">
        <v>3370</v>
      </c>
      <c r="J410" s="316">
        <v>45504</v>
      </c>
      <c r="K410" s="360">
        <v>45534</v>
      </c>
      <c r="L410" s="363" t="s">
        <v>28</v>
      </c>
      <c r="M410" s="317" t="s">
        <v>3371</v>
      </c>
      <c r="N410" s="317">
        <v>1</v>
      </c>
      <c r="O410" s="366">
        <v>45540</v>
      </c>
      <c r="P410" s="365" t="s">
        <v>264</v>
      </c>
      <c r="Q410" s="364">
        <v>45544</v>
      </c>
      <c r="R410" s="364">
        <v>45544</v>
      </c>
      <c r="S410" s="348"/>
    </row>
    <row r="411" spans="1:19" ht="25.5" hidden="1" x14ac:dyDescent="0.25">
      <c r="A411" s="359">
        <v>0</v>
      </c>
      <c r="B411" s="49" t="s">
        <v>3372</v>
      </c>
      <c r="C411" s="49" t="s">
        <v>2470</v>
      </c>
      <c r="D411" s="49"/>
      <c r="E411" s="49">
        <v>184182</v>
      </c>
      <c r="F411" s="49"/>
      <c r="G411" s="49"/>
      <c r="H411" s="49" t="s">
        <v>3373</v>
      </c>
      <c r="I411" s="49" t="s">
        <v>3374</v>
      </c>
      <c r="J411" s="316"/>
      <c r="K411" s="360"/>
      <c r="L411" s="363"/>
      <c r="M411" s="317" t="s">
        <v>3375</v>
      </c>
      <c r="N411" s="317">
        <v>20</v>
      </c>
      <c r="O411" s="322"/>
      <c r="P411" s="365"/>
      <c r="Q411" s="364"/>
      <c r="R411" s="364"/>
      <c r="S411" s="348"/>
    </row>
    <row r="412" spans="1:19" ht="25.5" hidden="1" x14ac:dyDescent="0.25">
      <c r="A412" s="359">
        <v>0</v>
      </c>
      <c r="B412" s="49" t="s">
        <v>3376</v>
      </c>
      <c r="C412" s="49" t="s">
        <v>2544</v>
      </c>
      <c r="D412" s="49"/>
      <c r="E412" s="49">
        <v>184211</v>
      </c>
      <c r="F412" s="49" t="s">
        <v>3377</v>
      </c>
      <c r="G412" s="49" t="s">
        <v>3378</v>
      </c>
      <c r="H412" s="49" t="s">
        <v>3379</v>
      </c>
      <c r="I412" s="49" t="s">
        <v>160</v>
      </c>
      <c r="J412" s="316">
        <v>45534</v>
      </c>
      <c r="K412" s="360">
        <v>45537</v>
      </c>
      <c r="L412" s="363" t="s">
        <v>47</v>
      </c>
      <c r="M412" s="317" t="s">
        <v>274</v>
      </c>
      <c r="N412" s="317">
        <v>5</v>
      </c>
      <c r="O412" s="322">
        <v>45551</v>
      </c>
      <c r="P412" s="365" t="s">
        <v>264</v>
      </c>
      <c r="Q412" s="364">
        <v>45552</v>
      </c>
      <c r="R412" s="364">
        <v>45552</v>
      </c>
      <c r="S412" s="348"/>
    </row>
    <row r="413" spans="1:19" hidden="1" x14ac:dyDescent="0.25">
      <c r="A413" s="359">
        <v>0</v>
      </c>
      <c r="B413" s="49" t="s">
        <v>3380</v>
      </c>
      <c r="C413" s="49" t="s">
        <v>1680</v>
      </c>
      <c r="D413" s="49"/>
      <c r="E413" s="49">
        <v>184214</v>
      </c>
      <c r="F413" s="49" t="s">
        <v>3381</v>
      </c>
      <c r="G413" s="49" t="s">
        <v>3382</v>
      </c>
      <c r="H413" s="49" t="s">
        <v>3383</v>
      </c>
      <c r="I413" s="49" t="s">
        <v>143</v>
      </c>
      <c r="J413" s="316">
        <v>45538</v>
      </c>
      <c r="K413" s="360">
        <v>45538</v>
      </c>
      <c r="L413" s="363" t="s">
        <v>28</v>
      </c>
      <c r="M413" s="317" t="s">
        <v>3384</v>
      </c>
      <c r="N413" s="317">
        <v>1</v>
      </c>
      <c r="O413" s="322">
        <v>45547</v>
      </c>
      <c r="P413" s="365" t="s">
        <v>264</v>
      </c>
      <c r="Q413" s="364">
        <v>45553</v>
      </c>
      <c r="R413" s="364">
        <v>45553</v>
      </c>
      <c r="S413" s="348"/>
    </row>
    <row r="414" spans="1:19" hidden="1" x14ac:dyDescent="0.25">
      <c r="A414" s="359">
        <v>0</v>
      </c>
      <c r="B414" s="49" t="s">
        <v>3385</v>
      </c>
      <c r="C414" s="49" t="s">
        <v>3386</v>
      </c>
      <c r="D414" s="49"/>
      <c r="E414" s="49">
        <v>184215</v>
      </c>
      <c r="F414" s="49"/>
      <c r="G414" s="49" t="s">
        <v>3387</v>
      </c>
      <c r="H414" s="49"/>
      <c r="I414" s="49" t="s">
        <v>3388</v>
      </c>
      <c r="J414" s="316"/>
      <c r="K414" s="360"/>
      <c r="L414" s="363"/>
      <c r="M414" s="317" t="s">
        <v>3389</v>
      </c>
      <c r="N414" s="317">
        <v>6</v>
      </c>
      <c r="O414" s="322"/>
      <c r="P414" s="365"/>
      <c r="Q414" s="364"/>
      <c r="R414" s="364"/>
      <c r="S414" s="348"/>
    </row>
    <row r="415" spans="1:19" ht="25.5" hidden="1" x14ac:dyDescent="0.25">
      <c r="A415" s="359">
        <v>0</v>
      </c>
      <c r="B415" s="49" t="s">
        <v>3390</v>
      </c>
      <c r="C415" s="49" t="s">
        <v>1711</v>
      </c>
      <c r="D415" s="49"/>
      <c r="E415" s="49">
        <v>184197</v>
      </c>
      <c r="F415" s="49" t="s">
        <v>3391</v>
      </c>
      <c r="G415" s="49" t="s">
        <v>3392</v>
      </c>
      <c r="H415" s="49"/>
      <c r="I415" s="49"/>
      <c r="J415" s="316"/>
      <c r="K415" s="360"/>
      <c r="L415" s="363"/>
      <c r="M415" s="317" t="s">
        <v>3393</v>
      </c>
      <c r="N415" s="317"/>
      <c r="O415" s="322"/>
      <c r="P415" s="365"/>
      <c r="Q415" s="364"/>
      <c r="R415" s="364"/>
      <c r="S415" s="348"/>
    </row>
    <row r="416" spans="1:19" ht="25.5" hidden="1" x14ac:dyDescent="0.25">
      <c r="A416" s="359">
        <v>0</v>
      </c>
      <c r="B416" s="49" t="s">
        <v>3394</v>
      </c>
      <c r="C416" s="49" t="s">
        <v>3395</v>
      </c>
      <c r="D416" s="49"/>
      <c r="E416" s="49">
        <v>184216</v>
      </c>
      <c r="F416" s="49" t="s">
        <v>3396</v>
      </c>
      <c r="G416" s="49" t="s">
        <v>542</v>
      </c>
      <c r="H416" s="49" t="s">
        <v>370</v>
      </c>
      <c r="I416" s="49" t="s">
        <v>371</v>
      </c>
      <c r="J416" s="316">
        <v>45538</v>
      </c>
      <c r="K416" s="360">
        <v>45561</v>
      </c>
      <c r="L416" s="363" t="s">
        <v>28</v>
      </c>
      <c r="M416" s="317" t="s">
        <v>372</v>
      </c>
      <c r="N416" s="317">
        <v>20</v>
      </c>
      <c r="O416" s="322">
        <v>45562</v>
      </c>
      <c r="P416" s="365" t="s">
        <v>264</v>
      </c>
      <c r="Q416" s="364">
        <v>45562</v>
      </c>
      <c r="R416" s="364">
        <v>45562</v>
      </c>
      <c r="S416" s="348"/>
    </row>
    <row r="417" spans="1:19" ht="25.5" hidden="1" x14ac:dyDescent="0.25">
      <c r="A417" s="359">
        <v>0</v>
      </c>
      <c r="B417" s="49" t="s">
        <v>3397</v>
      </c>
      <c r="C417" s="49" t="s">
        <v>3398</v>
      </c>
      <c r="D417" s="49"/>
      <c r="E417" s="49">
        <v>184217</v>
      </c>
      <c r="F417" s="49" t="s">
        <v>3399</v>
      </c>
      <c r="G417" s="49" t="s">
        <v>3400</v>
      </c>
      <c r="H417" s="49" t="s">
        <v>370</v>
      </c>
      <c r="I417" s="49" t="s">
        <v>371</v>
      </c>
      <c r="J417" s="316">
        <v>45476</v>
      </c>
      <c r="K417" s="360">
        <v>45544</v>
      </c>
      <c r="L417" s="363" t="s">
        <v>47</v>
      </c>
      <c r="M417" s="317" t="s">
        <v>372</v>
      </c>
      <c r="N417" s="317">
        <v>20</v>
      </c>
      <c r="O417" s="322">
        <v>45544</v>
      </c>
      <c r="P417" s="365" t="s">
        <v>264</v>
      </c>
      <c r="Q417" s="364">
        <v>45544</v>
      </c>
      <c r="R417" s="364">
        <v>45544</v>
      </c>
      <c r="S417" s="348"/>
    </row>
    <row r="418" spans="1:19" ht="63.75" hidden="1" x14ac:dyDescent="0.25">
      <c r="A418" s="359">
        <v>0</v>
      </c>
      <c r="B418" s="49" t="s">
        <v>3401</v>
      </c>
      <c r="C418" s="49" t="s">
        <v>2187</v>
      </c>
      <c r="D418" s="49"/>
      <c r="E418" s="49">
        <v>184222</v>
      </c>
      <c r="F418" s="49" t="s">
        <v>3402</v>
      </c>
      <c r="G418" s="49" t="s">
        <v>3339</v>
      </c>
      <c r="H418" s="49" t="s">
        <v>3403</v>
      </c>
      <c r="I418" s="49" t="s">
        <v>3404</v>
      </c>
      <c r="J418" s="316">
        <v>45541</v>
      </c>
      <c r="K418" s="360">
        <v>45547</v>
      </c>
      <c r="L418" s="363" t="s">
        <v>28</v>
      </c>
      <c r="M418" s="317" t="s">
        <v>3405</v>
      </c>
      <c r="N418" s="317">
        <v>1</v>
      </c>
      <c r="O418" s="322">
        <v>45565</v>
      </c>
      <c r="P418" s="365" t="s">
        <v>264</v>
      </c>
      <c r="Q418" s="364">
        <v>45565</v>
      </c>
      <c r="R418" s="364">
        <v>45565</v>
      </c>
      <c r="S418" s="348"/>
    </row>
    <row r="419" spans="1:19" ht="25.5" hidden="1" x14ac:dyDescent="0.25">
      <c r="A419" s="359">
        <v>0</v>
      </c>
      <c r="B419" s="49" t="s">
        <v>3406</v>
      </c>
      <c r="C419" s="49" t="s">
        <v>2187</v>
      </c>
      <c r="D419" s="49"/>
      <c r="E419" s="49">
        <v>184222</v>
      </c>
      <c r="F419" s="49" t="s">
        <v>3407</v>
      </c>
      <c r="G419" s="49"/>
      <c r="H419" s="49"/>
      <c r="I419" s="49"/>
      <c r="J419" s="316"/>
      <c r="K419" s="360"/>
      <c r="L419" s="363"/>
      <c r="M419" s="317"/>
      <c r="N419" s="317"/>
      <c r="O419" s="322"/>
      <c r="P419" s="365"/>
      <c r="Q419" s="364"/>
      <c r="R419" s="364"/>
      <c r="S419" s="348"/>
    </row>
    <row r="420" spans="1:19" ht="25.5" hidden="1" x14ac:dyDescent="0.25">
      <c r="A420" s="359">
        <v>0</v>
      </c>
      <c r="B420" s="49" t="s">
        <v>3408</v>
      </c>
      <c r="C420" s="49" t="s">
        <v>2187</v>
      </c>
      <c r="D420" s="49"/>
      <c r="E420" s="49">
        <v>184222</v>
      </c>
      <c r="F420" s="49" t="s">
        <v>3409</v>
      </c>
      <c r="G420" s="49"/>
      <c r="H420" s="49"/>
      <c r="I420" s="49"/>
      <c r="J420" s="316"/>
      <c r="K420" s="360"/>
      <c r="L420" s="363"/>
      <c r="M420" s="317"/>
      <c r="N420" s="317"/>
      <c r="O420" s="322"/>
      <c r="P420" s="365"/>
      <c r="Q420" s="364"/>
      <c r="R420" s="364"/>
      <c r="S420" s="348"/>
    </row>
    <row r="421" spans="1:19" ht="25.5" hidden="1" x14ac:dyDescent="0.25">
      <c r="A421" s="359">
        <v>0</v>
      </c>
      <c r="B421" s="49" t="s">
        <v>3410</v>
      </c>
      <c r="C421" s="49" t="s">
        <v>2187</v>
      </c>
      <c r="D421" s="49"/>
      <c r="E421" s="49">
        <v>184222</v>
      </c>
      <c r="F421" s="49" t="s">
        <v>3411</v>
      </c>
      <c r="G421" s="49"/>
      <c r="H421" s="49"/>
      <c r="I421" s="49"/>
      <c r="J421" s="316"/>
      <c r="K421" s="360"/>
      <c r="L421" s="363"/>
      <c r="M421" s="317"/>
      <c r="N421" s="317"/>
      <c r="O421" s="322"/>
      <c r="P421" s="365"/>
      <c r="Q421" s="364"/>
      <c r="R421" s="364"/>
      <c r="S421" s="348"/>
    </row>
    <row r="422" spans="1:19" ht="25.5" hidden="1" x14ac:dyDescent="0.25">
      <c r="A422" s="359">
        <v>0</v>
      </c>
      <c r="B422" s="49" t="s">
        <v>3412</v>
      </c>
      <c r="C422" s="49" t="s">
        <v>1680</v>
      </c>
      <c r="D422" s="49"/>
      <c r="E422" s="49">
        <v>184225</v>
      </c>
      <c r="F422" s="49" t="s">
        <v>3413</v>
      </c>
      <c r="G422" s="49" t="s">
        <v>3414</v>
      </c>
      <c r="H422" s="49" t="s">
        <v>3415</v>
      </c>
      <c r="I422" s="49" t="s">
        <v>143</v>
      </c>
      <c r="J422" s="316">
        <v>45541</v>
      </c>
      <c r="K422" s="360">
        <v>45546</v>
      </c>
      <c r="L422" s="363" t="s">
        <v>28</v>
      </c>
      <c r="M422" s="317" t="s">
        <v>3416</v>
      </c>
      <c r="N422" s="317">
        <v>4</v>
      </c>
      <c r="O422" s="322">
        <v>45601</v>
      </c>
      <c r="P422" s="365" t="s">
        <v>30</v>
      </c>
      <c r="Q422" s="364">
        <v>45601</v>
      </c>
      <c r="R422" s="364">
        <v>45601</v>
      </c>
      <c r="S422" s="348"/>
    </row>
    <row r="423" spans="1:19" hidden="1" x14ac:dyDescent="0.25">
      <c r="A423" s="359">
        <v>0</v>
      </c>
      <c r="B423" s="49" t="s">
        <v>3417</v>
      </c>
      <c r="C423" s="49" t="s">
        <v>1680</v>
      </c>
      <c r="D423" s="49"/>
      <c r="E423" s="49">
        <v>184226</v>
      </c>
      <c r="F423" s="49" t="s">
        <v>3418</v>
      </c>
      <c r="G423" s="49" t="s">
        <v>3382</v>
      </c>
      <c r="H423" s="49" t="s">
        <v>3419</v>
      </c>
      <c r="I423" s="49" t="s">
        <v>143</v>
      </c>
      <c r="J423" s="316">
        <v>45545</v>
      </c>
      <c r="K423" s="360">
        <v>45580</v>
      </c>
      <c r="L423" s="363" t="s">
        <v>47</v>
      </c>
      <c r="M423" s="317" t="s">
        <v>3384</v>
      </c>
      <c r="N423" s="317">
        <v>2</v>
      </c>
      <c r="O423" s="322">
        <v>45582</v>
      </c>
      <c r="P423" s="365" t="s">
        <v>30</v>
      </c>
      <c r="Q423" s="364">
        <v>45582</v>
      </c>
      <c r="R423" s="364">
        <v>45582</v>
      </c>
      <c r="S423" s="348"/>
    </row>
    <row r="424" spans="1:19" ht="38.25" hidden="1" x14ac:dyDescent="0.25">
      <c r="A424" s="359">
        <v>0</v>
      </c>
      <c r="B424" s="49" t="s">
        <v>3420</v>
      </c>
      <c r="C424" s="49" t="s">
        <v>1791</v>
      </c>
      <c r="D424" s="49"/>
      <c r="E424" s="49">
        <v>184082</v>
      </c>
      <c r="F424" s="49" t="s">
        <v>3421</v>
      </c>
      <c r="G424" s="49" t="s">
        <v>3363</v>
      </c>
      <c r="H424" s="49" t="s">
        <v>3422</v>
      </c>
      <c r="I424" s="49" t="s">
        <v>3423</v>
      </c>
      <c r="J424" s="316">
        <v>45487</v>
      </c>
      <c r="K424" s="360">
        <v>45497</v>
      </c>
      <c r="L424" s="363" t="s">
        <v>28</v>
      </c>
      <c r="M424" s="317" t="s">
        <v>505</v>
      </c>
      <c r="N424" s="317">
        <v>2</v>
      </c>
      <c r="O424" s="322">
        <v>45547</v>
      </c>
      <c r="P424" s="365" t="s">
        <v>264</v>
      </c>
      <c r="Q424" s="364">
        <v>45547</v>
      </c>
      <c r="R424" s="364">
        <v>45547</v>
      </c>
      <c r="S424" s="348"/>
    </row>
    <row r="425" spans="1:19" ht="25.5" hidden="1" x14ac:dyDescent="0.25">
      <c r="A425" s="359">
        <v>0</v>
      </c>
      <c r="B425" s="49" t="s">
        <v>3424</v>
      </c>
      <c r="C425" s="49" t="s">
        <v>2544</v>
      </c>
      <c r="D425" s="49"/>
      <c r="E425" s="49">
        <v>184229</v>
      </c>
      <c r="F425" s="49" t="s">
        <v>3425</v>
      </c>
      <c r="G425" s="49" t="s">
        <v>3426</v>
      </c>
      <c r="H425" s="49" t="s">
        <v>159</v>
      </c>
      <c r="I425" s="49" t="s">
        <v>160</v>
      </c>
      <c r="J425" s="316">
        <v>45546</v>
      </c>
      <c r="K425" s="360">
        <v>45551</v>
      </c>
      <c r="L425" s="363" t="s">
        <v>47</v>
      </c>
      <c r="M425" s="317" t="s">
        <v>161</v>
      </c>
      <c r="N425" s="317">
        <v>1</v>
      </c>
      <c r="O425" s="322">
        <v>45551</v>
      </c>
      <c r="P425" s="365" t="s">
        <v>264</v>
      </c>
      <c r="Q425" s="364">
        <v>45552</v>
      </c>
      <c r="R425" s="364">
        <v>45552</v>
      </c>
      <c r="S425" s="348"/>
    </row>
    <row r="426" spans="1:19" ht="25.5" hidden="1" x14ac:dyDescent="0.25">
      <c r="A426" s="359">
        <v>0</v>
      </c>
      <c r="B426" s="49" t="s">
        <v>3427</v>
      </c>
      <c r="C426" s="49" t="s">
        <v>3049</v>
      </c>
      <c r="D426" s="49"/>
      <c r="E426" s="49">
        <v>184230</v>
      </c>
      <c r="F426" s="49" t="s">
        <v>3428</v>
      </c>
      <c r="G426" s="49" t="s">
        <v>3429</v>
      </c>
      <c r="H426" s="49" t="s">
        <v>3430</v>
      </c>
      <c r="I426" s="49" t="s">
        <v>3064</v>
      </c>
      <c r="J426" s="316">
        <v>45546</v>
      </c>
      <c r="K426" s="360">
        <v>45566</v>
      </c>
      <c r="L426" s="363" t="s">
        <v>47</v>
      </c>
      <c r="M426" s="317" t="s">
        <v>471</v>
      </c>
      <c r="N426" s="317">
        <v>3</v>
      </c>
      <c r="O426" s="322">
        <v>45573</v>
      </c>
      <c r="P426" s="365" t="s">
        <v>30</v>
      </c>
      <c r="Q426" s="364">
        <v>45575</v>
      </c>
      <c r="R426" s="364">
        <v>45575</v>
      </c>
      <c r="S426" s="348"/>
    </row>
    <row r="427" spans="1:19" ht="38.25" hidden="1" x14ac:dyDescent="0.25">
      <c r="A427" s="359">
        <v>0</v>
      </c>
      <c r="B427" s="49" t="s">
        <v>3431</v>
      </c>
      <c r="C427" s="49" t="s">
        <v>2933</v>
      </c>
      <c r="D427" s="49"/>
      <c r="E427" s="49">
        <v>184232</v>
      </c>
      <c r="F427" s="49" t="s">
        <v>3432</v>
      </c>
      <c r="G427" s="49" t="s">
        <v>3433</v>
      </c>
      <c r="H427" s="49" t="s">
        <v>3434</v>
      </c>
      <c r="I427" s="49" t="s">
        <v>3435</v>
      </c>
      <c r="J427" s="316">
        <v>45545</v>
      </c>
      <c r="K427" s="360">
        <v>45547</v>
      </c>
      <c r="L427" s="363" t="s">
        <v>28</v>
      </c>
      <c r="M427" s="317" t="s">
        <v>3436</v>
      </c>
      <c r="N427" s="317">
        <v>1</v>
      </c>
      <c r="O427" s="322">
        <v>45551</v>
      </c>
      <c r="P427" s="365" t="s">
        <v>264</v>
      </c>
      <c r="Q427" s="364">
        <v>45552</v>
      </c>
      <c r="R427" s="364">
        <v>45552</v>
      </c>
      <c r="S427" s="348"/>
    </row>
    <row r="428" spans="1:19" ht="25.5" hidden="1" x14ac:dyDescent="0.25">
      <c r="A428" s="359">
        <v>0</v>
      </c>
      <c r="B428" s="49" t="s">
        <v>3437</v>
      </c>
      <c r="C428" s="49" t="s">
        <v>1820</v>
      </c>
      <c r="D428" s="49"/>
      <c r="E428" s="49">
        <v>184234</v>
      </c>
      <c r="F428" s="49" t="s">
        <v>3438</v>
      </c>
      <c r="G428" s="49" t="s">
        <v>2788</v>
      </c>
      <c r="H428" s="49" t="s">
        <v>2789</v>
      </c>
      <c r="I428" s="49" t="s">
        <v>2790</v>
      </c>
      <c r="J428" s="316">
        <v>45547</v>
      </c>
      <c r="K428" s="360">
        <v>45551</v>
      </c>
      <c r="L428" s="317" t="s">
        <v>47</v>
      </c>
      <c r="M428" s="317" t="s">
        <v>3439</v>
      </c>
      <c r="N428" s="317">
        <v>12</v>
      </c>
      <c r="O428" s="322">
        <v>45553</v>
      </c>
      <c r="P428" s="365" t="s">
        <v>264</v>
      </c>
      <c r="Q428" s="364">
        <v>45554</v>
      </c>
      <c r="R428" s="364">
        <v>45554</v>
      </c>
      <c r="S428" s="348"/>
    </row>
    <row r="429" spans="1:19" ht="25.5" hidden="1" x14ac:dyDescent="0.25">
      <c r="A429" s="359">
        <v>0</v>
      </c>
      <c r="B429" s="49" t="s">
        <v>3440</v>
      </c>
      <c r="C429" s="49" t="s">
        <v>2915</v>
      </c>
      <c r="D429" s="49"/>
      <c r="E429" s="49">
        <v>184235</v>
      </c>
      <c r="F429" s="49" t="s">
        <v>3441</v>
      </c>
      <c r="G429" s="49" t="s">
        <v>2788</v>
      </c>
      <c r="H429" s="49" t="s">
        <v>2789</v>
      </c>
      <c r="I429" s="49" t="s">
        <v>2790</v>
      </c>
      <c r="J429" s="316">
        <v>45547</v>
      </c>
      <c r="K429" s="360">
        <v>45551</v>
      </c>
      <c r="L429" s="317" t="s">
        <v>47</v>
      </c>
      <c r="M429" s="317" t="s">
        <v>3439</v>
      </c>
      <c r="N429" s="317">
        <v>9</v>
      </c>
      <c r="O429" s="322">
        <v>45553</v>
      </c>
      <c r="P429" s="365" t="s">
        <v>264</v>
      </c>
      <c r="Q429" s="364">
        <v>45554</v>
      </c>
      <c r="R429" s="364">
        <v>45554</v>
      </c>
      <c r="S429" s="348"/>
    </row>
    <row r="430" spans="1:19" ht="26.25" hidden="1" customHeight="1" x14ac:dyDescent="0.25">
      <c r="A430" s="359">
        <v>0</v>
      </c>
      <c r="B430" s="49" t="s">
        <v>3442</v>
      </c>
      <c r="C430" s="49" t="s">
        <v>1705</v>
      </c>
      <c r="D430" s="49"/>
      <c r="E430" s="49">
        <v>184233</v>
      </c>
      <c r="F430" s="49" t="s">
        <v>3443</v>
      </c>
      <c r="G430" s="49"/>
      <c r="H430" s="49" t="s">
        <v>3444</v>
      </c>
      <c r="I430" s="49" t="s">
        <v>3445</v>
      </c>
      <c r="J430" s="316"/>
      <c r="K430" s="360"/>
      <c r="L430" s="363"/>
      <c r="M430" s="317" t="s">
        <v>3446</v>
      </c>
      <c r="N430" s="317"/>
      <c r="O430" s="322"/>
      <c r="P430" s="365"/>
      <c r="Q430" s="364"/>
      <c r="R430" s="364"/>
      <c r="S430" s="348"/>
    </row>
    <row r="431" spans="1:19" ht="38.25" hidden="1" x14ac:dyDescent="0.25">
      <c r="A431" s="359">
        <v>0</v>
      </c>
      <c r="B431" s="49" t="s">
        <v>3447</v>
      </c>
      <c r="C431" s="49" t="s">
        <v>1954</v>
      </c>
      <c r="D431" s="49"/>
      <c r="E431" s="49">
        <v>184238</v>
      </c>
      <c r="F431" s="49"/>
      <c r="G431" s="49" t="s">
        <v>3448</v>
      </c>
      <c r="H431" s="49"/>
      <c r="I431" s="49" t="s">
        <v>3449</v>
      </c>
      <c r="J431" s="316"/>
      <c r="K431" s="360"/>
      <c r="L431" s="363"/>
      <c r="M431" s="317" t="s">
        <v>3450</v>
      </c>
      <c r="N431" s="317"/>
      <c r="O431" s="322"/>
      <c r="P431" s="365"/>
      <c r="Q431" s="364"/>
      <c r="R431" s="364"/>
      <c r="S431" s="348"/>
    </row>
    <row r="432" spans="1:19" ht="25.5" hidden="1" x14ac:dyDescent="0.25">
      <c r="A432" s="359">
        <v>0</v>
      </c>
      <c r="B432" s="49" t="s">
        <v>3451</v>
      </c>
      <c r="C432" s="49" t="s">
        <v>1680</v>
      </c>
      <c r="D432" s="49"/>
      <c r="E432" s="49">
        <v>184228</v>
      </c>
      <c r="F432" s="49" t="s">
        <v>3452</v>
      </c>
      <c r="G432" s="49" t="s">
        <v>3453</v>
      </c>
      <c r="H432" s="49" t="s">
        <v>3454</v>
      </c>
      <c r="I432" s="49" t="s">
        <v>143</v>
      </c>
      <c r="J432" s="316">
        <v>45545</v>
      </c>
      <c r="K432" s="360">
        <v>45546</v>
      </c>
      <c r="L432" s="363" t="s">
        <v>47</v>
      </c>
      <c r="M432" s="317" t="s">
        <v>3455</v>
      </c>
      <c r="N432" s="317">
        <v>2</v>
      </c>
      <c r="O432" s="322">
        <v>45581</v>
      </c>
      <c r="P432" s="365" t="s">
        <v>30</v>
      </c>
      <c r="Q432" s="364">
        <v>45582</v>
      </c>
      <c r="R432" s="364">
        <v>45582</v>
      </c>
      <c r="S432" s="348"/>
    </row>
    <row r="433" spans="1:19" ht="38.25" hidden="1" x14ac:dyDescent="0.25">
      <c r="A433" s="359">
        <v>0</v>
      </c>
      <c r="B433" s="49" t="s">
        <v>3456</v>
      </c>
      <c r="C433" s="49" t="s">
        <v>1954</v>
      </c>
      <c r="D433" s="49"/>
      <c r="E433" s="49">
        <v>184239</v>
      </c>
      <c r="F433" s="49" t="s">
        <v>3457</v>
      </c>
      <c r="G433" s="49" t="s">
        <v>3458</v>
      </c>
      <c r="H433" s="49" t="s">
        <v>3459</v>
      </c>
      <c r="I433" s="49" t="s">
        <v>3460</v>
      </c>
      <c r="J433" s="316">
        <v>45548</v>
      </c>
      <c r="K433" s="360">
        <v>45552</v>
      </c>
      <c r="L433" s="363" t="s">
        <v>47</v>
      </c>
      <c r="M433" s="317" t="s">
        <v>3461</v>
      </c>
      <c r="N433" s="317">
        <v>4</v>
      </c>
      <c r="O433" s="322">
        <v>45583</v>
      </c>
      <c r="P433" s="365" t="s">
        <v>30</v>
      </c>
      <c r="Q433" s="364">
        <v>45583</v>
      </c>
      <c r="R433" s="364">
        <v>45583</v>
      </c>
      <c r="S433" s="348"/>
    </row>
    <row r="434" spans="1:19" ht="25.5" hidden="1" x14ac:dyDescent="0.25">
      <c r="A434" s="359">
        <v>0</v>
      </c>
      <c r="B434" s="49" t="s">
        <v>3462</v>
      </c>
      <c r="C434" s="49" t="s">
        <v>2070</v>
      </c>
      <c r="D434" s="49"/>
      <c r="E434" s="49">
        <v>184241</v>
      </c>
      <c r="F434" s="49" t="s">
        <v>3463</v>
      </c>
      <c r="G434" s="49" t="s">
        <v>487</v>
      </c>
      <c r="H434" s="49" t="s">
        <v>488</v>
      </c>
      <c r="I434" s="49" t="s">
        <v>3464</v>
      </c>
      <c r="J434" s="316">
        <v>45541</v>
      </c>
      <c r="K434" s="360">
        <v>45553</v>
      </c>
      <c r="L434" s="363" t="s">
        <v>47</v>
      </c>
      <c r="M434" s="317" t="s">
        <v>490</v>
      </c>
      <c r="N434" s="317">
        <v>20</v>
      </c>
      <c r="O434" s="322">
        <v>45559</v>
      </c>
      <c r="P434" s="365" t="s">
        <v>264</v>
      </c>
      <c r="Q434" s="364">
        <v>45560</v>
      </c>
      <c r="R434" s="364">
        <v>45560</v>
      </c>
      <c r="S434" s="348"/>
    </row>
    <row r="435" spans="1:19" ht="25.5" hidden="1" x14ac:dyDescent="0.25">
      <c r="A435" s="359">
        <v>0</v>
      </c>
      <c r="B435" s="49" t="s">
        <v>3465</v>
      </c>
      <c r="C435" s="49" t="s">
        <v>3466</v>
      </c>
      <c r="D435" s="49"/>
      <c r="E435" s="49">
        <v>184243</v>
      </c>
      <c r="F435" s="49" t="s">
        <v>3467</v>
      </c>
      <c r="G435" s="49" t="s">
        <v>3468</v>
      </c>
      <c r="H435" s="49" t="s">
        <v>3469</v>
      </c>
      <c r="I435" s="49" t="s">
        <v>3470</v>
      </c>
      <c r="J435" s="316">
        <v>45553</v>
      </c>
      <c r="K435" s="360">
        <v>45567</v>
      </c>
      <c r="L435" s="363" t="s">
        <v>28</v>
      </c>
      <c r="M435" s="317" t="s">
        <v>3471</v>
      </c>
      <c r="N435" s="317">
        <v>1</v>
      </c>
      <c r="O435" s="322">
        <v>45597</v>
      </c>
      <c r="P435" s="365" t="s">
        <v>30</v>
      </c>
      <c r="Q435" s="364">
        <v>45597</v>
      </c>
      <c r="R435" s="364">
        <v>45597</v>
      </c>
      <c r="S435" s="348"/>
    </row>
    <row r="436" spans="1:19" ht="25.5" hidden="1" x14ac:dyDescent="0.25">
      <c r="A436" s="359">
        <v>0</v>
      </c>
      <c r="B436" s="49" t="s">
        <v>3472</v>
      </c>
      <c r="C436" s="49" t="s">
        <v>3004</v>
      </c>
      <c r="D436" s="49"/>
      <c r="E436" s="49">
        <v>184236</v>
      </c>
      <c r="F436" s="49" t="s">
        <v>3473</v>
      </c>
      <c r="G436" s="49" t="s">
        <v>3474</v>
      </c>
      <c r="H436" s="49" t="s">
        <v>3475</v>
      </c>
      <c r="I436" s="49" t="s">
        <v>120</v>
      </c>
      <c r="J436" s="316">
        <v>45547</v>
      </c>
      <c r="K436" s="360">
        <v>45547</v>
      </c>
      <c r="L436" s="363" t="s">
        <v>28</v>
      </c>
      <c r="M436" s="317" t="s">
        <v>3476</v>
      </c>
      <c r="N436" s="317">
        <v>1</v>
      </c>
      <c r="O436" s="322">
        <v>45555</v>
      </c>
      <c r="P436" s="365" t="s">
        <v>264</v>
      </c>
      <c r="Q436" s="364">
        <v>45555</v>
      </c>
      <c r="R436" s="364">
        <v>45555</v>
      </c>
      <c r="S436" s="348"/>
    </row>
    <row r="437" spans="1:19" ht="25.5" hidden="1" x14ac:dyDescent="0.25">
      <c r="A437" s="359">
        <v>0</v>
      </c>
      <c r="B437" s="49" t="s">
        <v>3477</v>
      </c>
      <c r="C437" s="49" t="s">
        <v>132</v>
      </c>
      <c r="D437" s="49"/>
      <c r="E437" s="49">
        <v>184242</v>
      </c>
      <c r="F437" s="49" t="s">
        <v>3478</v>
      </c>
      <c r="G437" s="49" t="s">
        <v>3479</v>
      </c>
      <c r="H437" s="49" t="s">
        <v>3480</v>
      </c>
      <c r="I437" s="49" t="s">
        <v>3481</v>
      </c>
      <c r="J437" s="316">
        <v>45553</v>
      </c>
      <c r="K437" s="360">
        <v>45554</v>
      </c>
      <c r="L437" s="363" t="s">
        <v>28</v>
      </c>
      <c r="M437" s="317">
        <v>80109173</v>
      </c>
      <c r="N437" s="317">
        <v>1</v>
      </c>
      <c r="O437" s="322">
        <v>45554</v>
      </c>
      <c r="P437" s="365" t="s">
        <v>264</v>
      </c>
      <c r="Q437" s="364">
        <v>45554</v>
      </c>
      <c r="R437" s="364">
        <v>45554</v>
      </c>
      <c r="S437" s="348"/>
    </row>
    <row r="438" spans="1:19" hidden="1" x14ac:dyDescent="0.25">
      <c r="A438" s="359">
        <v>0</v>
      </c>
      <c r="B438" s="49" t="s">
        <v>3482</v>
      </c>
      <c r="C438" s="49" t="s">
        <v>3483</v>
      </c>
      <c r="D438" s="49"/>
      <c r="E438" s="49">
        <v>184273</v>
      </c>
      <c r="F438" s="49" t="s">
        <v>3484</v>
      </c>
      <c r="G438" s="49" t="s">
        <v>3485</v>
      </c>
      <c r="H438" s="49" t="s">
        <v>3486</v>
      </c>
      <c r="I438" s="49" t="s">
        <v>286</v>
      </c>
      <c r="J438" s="316">
        <v>45562</v>
      </c>
      <c r="K438" s="360">
        <v>45562</v>
      </c>
      <c r="L438" s="363" t="s">
        <v>28</v>
      </c>
      <c r="M438" s="317" t="s">
        <v>3487</v>
      </c>
      <c r="N438" s="317">
        <v>8</v>
      </c>
      <c r="O438" s="322">
        <v>45565</v>
      </c>
      <c r="P438" s="365" t="s">
        <v>264</v>
      </c>
      <c r="Q438" s="364">
        <v>45565</v>
      </c>
      <c r="R438" s="364">
        <v>45565</v>
      </c>
      <c r="S438" s="348"/>
    </row>
    <row r="439" spans="1:19" ht="25.5" hidden="1" x14ac:dyDescent="0.25">
      <c r="A439" s="359">
        <v>0</v>
      </c>
      <c r="B439" s="49" t="s">
        <v>3488</v>
      </c>
      <c r="C439" s="49" t="s">
        <v>1680</v>
      </c>
      <c r="D439" s="49"/>
      <c r="E439" s="49">
        <v>184245</v>
      </c>
      <c r="F439" s="49" t="s">
        <v>3489</v>
      </c>
      <c r="G439" s="49" t="s">
        <v>3490</v>
      </c>
      <c r="H439" s="49" t="s">
        <v>3491</v>
      </c>
      <c r="I439" s="49" t="s">
        <v>127</v>
      </c>
      <c r="J439" s="316">
        <v>45554</v>
      </c>
      <c r="K439" s="360">
        <v>45555</v>
      </c>
      <c r="L439" s="363" t="s">
        <v>28</v>
      </c>
      <c r="M439" s="317" t="s">
        <v>3492</v>
      </c>
      <c r="N439" s="317">
        <v>3</v>
      </c>
      <c r="O439" s="322">
        <v>45555</v>
      </c>
      <c r="P439" s="365" t="s">
        <v>264</v>
      </c>
      <c r="Q439" s="364">
        <v>45555</v>
      </c>
      <c r="R439" s="364">
        <v>45555</v>
      </c>
      <c r="S439" s="348"/>
    </row>
    <row r="440" spans="1:19" ht="25.5" hidden="1" x14ac:dyDescent="0.25">
      <c r="A440" s="359">
        <v>0</v>
      </c>
      <c r="B440" s="49" t="s">
        <v>3493</v>
      </c>
      <c r="C440" s="49" t="s">
        <v>1775</v>
      </c>
      <c r="D440" s="49"/>
      <c r="E440" s="49">
        <v>184248</v>
      </c>
      <c r="F440" s="49" t="s">
        <v>3494</v>
      </c>
      <c r="G440" s="49" t="s">
        <v>3495</v>
      </c>
      <c r="H440" s="49" t="s">
        <v>3496</v>
      </c>
      <c r="I440" s="49" t="s">
        <v>3497</v>
      </c>
      <c r="J440" s="316">
        <v>45554</v>
      </c>
      <c r="K440" s="360">
        <v>45555</v>
      </c>
      <c r="L440" s="363" t="s">
        <v>28</v>
      </c>
      <c r="M440" s="317" t="s">
        <v>3498</v>
      </c>
      <c r="N440" s="317">
        <v>1</v>
      </c>
      <c r="O440" s="322">
        <v>45567</v>
      </c>
      <c r="P440" s="365" t="s">
        <v>30</v>
      </c>
      <c r="Q440" s="364">
        <v>45568</v>
      </c>
      <c r="R440" s="364">
        <v>45568</v>
      </c>
      <c r="S440" s="348"/>
    </row>
    <row r="441" spans="1:19" ht="25.5" hidden="1" x14ac:dyDescent="0.25">
      <c r="A441" s="359">
        <v>0</v>
      </c>
      <c r="B441" s="49" t="s">
        <v>3499</v>
      </c>
      <c r="C441" s="49" t="s">
        <v>1775</v>
      </c>
      <c r="D441" s="49"/>
      <c r="E441" s="49">
        <v>184249</v>
      </c>
      <c r="F441" s="49" t="s">
        <v>3500</v>
      </c>
      <c r="G441" s="49" t="s">
        <v>3501</v>
      </c>
      <c r="H441" s="49" t="s">
        <v>3502</v>
      </c>
      <c r="I441" s="49" t="s">
        <v>3503</v>
      </c>
      <c r="J441" s="316">
        <v>45554</v>
      </c>
      <c r="K441" s="360">
        <v>45555</v>
      </c>
      <c r="L441" s="363" t="s">
        <v>28</v>
      </c>
      <c r="M441" s="317" t="s">
        <v>121</v>
      </c>
      <c r="N441" s="317">
        <v>1</v>
      </c>
      <c r="O441" s="322">
        <v>45560</v>
      </c>
      <c r="P441" s="365" t="s">
        <v>264</v>
      </c>
      <c r="Q441" s="364">
        <v>45565</v>
      </c>
      <c r="R441" s="364">
        <v>45565</v>
      </c>
      <c r="S441" s="348"/>
    </row>
    <row r="442" spans="1:19" ht="38.25" hidden="1" x14ac:dyDescent="0.25">
      <c r="A442" s="359">
        <v>0</v>
      </c>
      <c r="B442" s="49" t="s">
        <v>3504</v>
      </c>
      <c r="C442" s="49" t="s">
        <v>1941</v>
      </c>
      <c r="D442" s="49"/>
      <c r="E442" s="49">
        <v>184247</v>
      </c>
      <c r="F442" s="49" t="s">
        <v>3505</v>
      </c>
      <c r="G442" s="49" t="s">
        <v>3506</v>
      </c>
      <c r="H442" s="49" t="s">
        <v>3507</v>
      </c>
      <c r="I442" s="49" t="s">
        <v>2876</v>
      </c>
      <c r="J442" s="316">
        <v>45554</v>
      </c>
      <c r="K442" s="360">
        <v>45568</v>
      </c>
      <c r="L442" s="363" t="s">
        <v>28</v>
      </c>
      <c r="M442" s="317" t="s">
        <v>3508</v>
      </c>
      <c r="N442" s="317">
        <v>2</v>
      </c>
      <c r="O442" s="322">
        <v>45568</v>
      </c>
      <c r="P442" s="365" t="s">
        <v>30</v>
      </c>
      <c r="Q442" s="364">
        <v>45569</v>
      </c>
      <c r="R442" s="364">
        <v>45569</v>
      </c>
      <c r="S442" s="348"/>
    </row>
    <row r="443" spans="1:19" ht="38.25" hidden="1" x14ac:dyDescent="0.25">
      <c r="A443" s="359">
        <v>0</v>
      </c>
      <c r="B443" s="49" t="s">
        <v>3509</v>
      </c>
      <c r="C443" s="49" t="s">
        <v>1791</v>
      </c>
      <c r="D443" s="49"/>
      <c r="E443" s="49">
        <v>184157</v>
      </c>
      <c r="F443" s="49" t="s">
        <v>3510</v>
      </c>
      <c r="G443" s="49" t="s">
        <v>3363</v>
      </c>
      <c r="H443" s="49" t="s">
        <v>3511</v>
      </c>
      <c r="I443" s="49" t="s">
        <v>504</v>
      </c>
      <c r="J443" s="316">
        <v>45511</v>
      </c>
      <c r="K443" s="360">
        <v>45511</v>
      </c>
      <c r="L443" s="363" t="s">
        <v>28</v>
      </c>
      <c r="M443" s="317" t="s">
        <v>505</v>
      </c>
      <c r="N443" s="317">
        <v>1</v>
      </c>
      <c r="O443" s="322">
        <v>45555</v>
      </c>
      <c r="P443" s="365" t="s">
        <v>264</v>
      </c>
      <c r="Q443" s="364">
        <v>45558</v>
      </c>
      <c r="R443" s="364">
        <v>45558</v>
      </c>
      <c r="S443" s="348"/>
    </row>
    <row r="444" spans="1:19" ht="25.5" hidden="1" x14ac:dyDescent="0.25">
      <c r="A444" s="359">
        <v>0</v>
      </c>
      <c r="B444" s="49" t="s">
        <v>3512</v>
      </c>
      <c r="C444" s="49" t="s">
        <v>3004</v>
      </c>
      <c r="D444" s="49"/>
      <c r="E444" s="49">
        <v>184250</v>
      </c>
      <c r="F444" s="49" t="s">
        <v>3513</v>
      </c>
      <c r="G444" s="49" t="s">
        <v>3514</v>
      </c>
      <c r="H444" s="49" t="s">
        <v>3515</v>
      </c>
      <c r="I444" s="49" t="s">
        <v>3503</v>
      </c>
      <c r="J444" s="316">
        <v>45554</v>
      </c>
      <c r="K444" s="360">
        <v>45555</v>
      </c>
      <c r="L444" s="363" t="s">
        <v>28</v>
      </c>
      <c r="M444" s="317" t="s">
        <v>3516</v>
      </c>
      <c r="N444" s="317">
        <v>1</v>
      </c>
      <c r="O444" s="322">
        <v>45558</v>
      </c>
      <c r="P444" s="365" t="s">
        <v>264</v>
      </c>
      <c r="Q444" s="364">
        <v>45558</v>
      </c>
      <c r="R444" s="364">
        <v>45558</v>
      </c>
      <c r="S444" s="348"/>
    </row>
    <row r="445" spans="1:19" ht="25.5" hidden="1" x14ac:dyDescent="0.25">
      <c r="A445" s="359">
        <v>0</v>
      </c>
      <c r="B445" s="49" t="s">
        <v>3517</v>
      </c>
      <c r="C445" s="49" t="s">
        <v>1796</v>
      </c>
      <c r="D445" s="49"/>
      <c r="E445" s="49">
        <v>184252</v>
      </c>
      <c r="F445" s="49" t="s">
        <v>3518</v>
      </c>
      <c r="G445" s="49" t="s">
        <v>3519</v>
      </c>
      <c r="H445" s="49" t="s">
        <v>3520</v>
      </c>
      <c r="I445" s="49" t="s">
        <v>127</v>
      </c>
      <c r="J445" s="316">
        <v>45554</v>
      </c>
      <c r="K445" s="360">
        <v>45558</v>
      </c>
      <c r="L445" s="363" t="s">
        <v>47</v>
      </c>
      <c r="M445" s="317" t="s">
        <v>3521</v>
      </c>
      <c r="N445" s="317">
        <v>3</v>
      </c>
      <c r="O445" s="322">
        <v>45559</v>
      </c>
      <c r="P445" s="365" t="s">
        <v>264</v>
      </c>
      <c r="Q445" s="364">
        <v>45560</v>
      </c>
      <c r="R445" s="364">
        <v>45560</v>
      </c>
      <c r="S445" s="348"/>
    </row>
    <row r="446" spans="1:19" hidden="1" x14ac:dyDescent="0.25">
      <c r="A446" s="359">
        <v>0</v>
      </c>
      <c r="B446" s="49" t="s">
        <v>3522</v>
      </c>
      <c r="C446" s="49" t="s">
        <v>2643</v>
      </c>
      <c r="D446" s="49"/>
      <c r="E446" s="49">
        <v>184253</v>
      </c>
      <c r="F446" s="49"/>
      <c r="G446" s="49" t="s">
        <v>2761</v>
      </c>
      <c r="H446" s="49" t="s">
        <v>3523</v>
      </c>
      <c r="I446" s="49"/>
      <c r="J446" s="316"/>
      <c r="K446" s="360"/>
      <c r="L446" s="363"/>
      <c r="M446" s="317" t="s">
        <v>3524</v>
      </c>
      <c r="N446" s="317"/>
      <c r="O446" s="322"/>
      <c r="P446" s="365"/>
      <c r="Q446" s="364"/>
      <c r="R446" s="364"/>
      <c r="S446" s="348"/>
    </row>
    <row r="447" spans="1:19" hidden="1" x14ac:dyDescent="0.25">
      <c r="A447" s="359">
        <v>0</v>
      </c>
      <c r="B447" s="49" t="s">
        <v>3525</v>
      </c>
      <c r="C447" s="49" t="s">
        <v>1904</v>
      </c>
      <c r="D447" s="49"/>
      <c r="E447" s="49">
        <v>184254</v>
      </c>
      <c r="F447" s="49"/>
      <c r="G447" s="49"/>
      <c r="H447" s="49" t="s">
        <v>3526</v>
      </c>
      <c r="I447" s="49" t="s">
        <v>1758</v>
      </c>
      <c r="J447" s="316"/>
      <c r="K447" s="360"/>
      <c r="L447" s="363"/>
      <c r="M447" s="317" t="s">
        <v>3527</v>
      </c>
      <c r="N447" s="317"/>
      <c r="O447" s="322"/>
      <c r="P447" s="365"/>
      <c r="Q447" s="364"/>
      <c r="R447" s="364"/>
      <c r="S447" s="348"/>
    </row>
    <row r="448" spans="1:19" ht="38.25" hidden="1" x14ac:dyDescent="0.25">
      <c r="A448" s="359">
        <v>0</v>
      </c>
      <c r="B448" s="49" t="s">
        <v>3528</v>
      </c>
      <c r="C448" s="49" t="s">
        <v>1941</v>
      </c>
      <c r="D448" s="49"/>
      <c r="E448" s="49">
        <v>184258</v>
      </c>
      <c r="F448" s="49" t="s">
        <v>3529</v>
      </c>
      <c r="G448" s="49" t="s">
        <v>3270</v>
      </c>
      <c r="H448" s="49" t="s">
        <v>3530</v>
      </c>
      <c r="I448" s="49" t="s">
        <v>3531</v>
      </c>
      <c r="J448" s="316">
        <v>45559</v>
      </c>
      <c r="K448" s="360">
        <v>45560</v>
      </c>
      <c r="L448" s="363" t="s">
        <v>28</v>
      </c>
      <c r="M448" s="317" t="s">
        <v>2505</v>
      </c>
      <c r="N448" s="317">
        <v>14</v>
      </c>
      <c r="O448" s="322">
        <v>45588</v>
      </c>
      <c r="P448" s="365" t="s">
        <v>30</v>
      </c>
      <c r="Q448" s="364">
        <v>45589</v>
      </c>
      <c r="R448" s="364">
        <v>45589</v>
      </c>
      <c r="S448" s="348"/>
    </row>
    <row r="449" spans="1:19" ht="25.5" hidden="1" x14ac:dyDescent="0.25">
      <c r="A449" s="359">
        <v>0</v>
      </c>
      <c r="B449" s="49" t="s">
        <v>3532</v>
      </c>
      <c r="C449" s="49" t="s">
        <v>3533</v>
      </c>
      <c r="D449" s="49"/>
      <c r="E449" s="49">
        <v>184268</v>
      </c>
      <c r="F449" s="49" t="s">
        <v>3534</v>
      </c>
      <c r="G449" s="49" t="s">
        <v>542</v>
      </c>
      <c r="H449" s="49" t="s">
        <v>370</v>
      </c>
      <c r="I449" s="49" t="s">
        <v>371</v>
      </c>
      <c r="J449" s="316">
        <v>45560</v>
      </c>
      <c r="K449" s="360">
        <v>45561</v>
      </c>
      <c r="L449" s="363" t="s">
        <v>28</v>
      </c>
      <c r="M449" s="317" t="s">
        <v>372</v>
      </c>
      <c r="N449" s="317">
        <v>12</v>
      </c>
      <c r="O449" s="322">
        <v>45562</v>
      </c>
      <c r="P449" s="365" t="s">
        <v>264</v>
      </c>
      <c r="Q449" s="364">
        <v>45562</v>
      </c>
      <c r="R449" s="364">
        <v>45562</v>
      </c>
      <c r="S449" s="348"/>
    </row>
    <row r="450" spans="1:19" ht="25.5" hidden="1" x14ac:dyDescent="0.25">
      <c r="A450" s="359">
        <v>0</v>
      </c>
      <c r="B450" s="49" t="s">
        <v>3535</v>
      </c>
      <c r="C450" s="49" t="s">
        <v>536</v>
      </c>
      <c r="D450" s="49"/>
      <c r="E450" s="49">
        <v>184267</v>
      </c>
      <c r="F450" s="49" t="s">
        <v>3536</v>
      </c>
      <c r="G450" s="49" t="s">
        <v>3537</v>
      </c>
      <c r="H450" s="49" t="s">
        <v>3538</v>
      </c>
      <c r="I450" s="49" t="s">
        <v>3539</v>
      </c>
      <c r="J450" s="316">
        <v>45560</v>
      </c>
      <c r="K450" s="360">
        <v>45573</v>
      </c>
      <c r="L450" s="363" t="s">
        <v>47</v>
      </c>
      <c r="M450" s="317" t="s">
        <v>3540</v>
      </c>
      <c r="N450" s="317">
        <v>1</v>
      </c>
      <c r="O450" s="322">
        <v>45587</v>
      </c>
      <c r="P450" s="365" t="s">
        <v>30</v>
      </c>
      <c r="Q450" s="364">
        <v>45589</v>
      </c>
      <c r="R450" s="364">
        <v>45589</v>
      </c>
      <c r="S450" s="348"/>
    </row>
    <row r="451" spans="1:19" hidden="1" x14ac:dyDescent="0.25">
      <c r="A451" s="359">
        <v>0</v>
      </c>
      <c r="B451" s="49" t="s">
        <v>3541</v>
      </c>
      <c r="C451" s="49" t="s">
        <v>3542</v>
      </c>
      <c r="D451" s="49"/>
      <c r="E451" s="49"/>
      <c r="F451" s="49"/>
      <c r="G451" s="49"/>
      <c r="H451" s="49"/>
      <c r="I451" s="49"/>
      <c r="J451" s="316"/>
      <c r="K451" s="360"/>
      <c r="L451" s="363"/>
      <c r="M451" s="317"/>
      <c r="N451" s="317"/>
      <c r="O451" s="322"/>
      <c r="P451" s="365"/>
      <c r="Q451" s="364"/>
      <c r="R451" s="364"/>
      <c r="S451" s="348"/>
    </row>
    <row r="452" spans="1:19" ht="38.25" hidden="1" x14ac:dyDescent="0.25">
      <c r="A452" s="359">
        <v>0</v>
      </c>
      <c r="B452" s="49" t="s">
        <v>3543</v>
      </c>
      <c r="C452" s="49" t="s">
        <v>3544</v>
      </c>
      <c r="D452" s="49"/>
      <c r="E452" s="49">
        <v>184261</v>
      </c>
      <c r="F452" s="49" t="s">
        <v>3545</v>
      </c>
      <c r="G452" s="49" t="s">
        <v>3546</v>
      </c>
      <c r="H452" s="49" t="s">
        <v>3547</v>
      </c>
      <c r="I452" s="49" t="s">
        <v>3548</v>
      </c>
      <c r="J452" s="316">
        <v>45504</v>
      </c>
      <c r="K452" s="360">
        <v>45560</v>
      </c>
      <c r="L452" s="363" t="s">
        <v>47</v>
      </c>
      <c r="M452" s="317" t="s">
        <v>3549</v>
      </c>
      <c r="N452" s="317">
        <v>3</v>
      </c>
      <c r="O452" s="322">
        <v>45579</v>
      </c>
      <c r="P452" s="365" t="s">
        <v>30</v>
      </c>
      <c r="Q452" s="364">
        <v>45579</v>
      </c>
      <c r="R452" s="364">
        <v>45579</v>
      </c>
      <c r="S452" s="348"/>
    </row>
    <row r="453" spans="1:19" ht="25.5" hidden="1" x14ac:dyDescent="0.25">
      <c r="A453" s="359">
        <v>0</v>
      </c>
      <c r="B453" s="49" t="s">
        <v>3550</v>
      </c>
      <c r="C453" s="49" t="s">
        <v>1820</v>
      </c>
      <c r="D453" s="49"/>
      <c r="E453" s="49">
        <v>184270</v>
      </c>
      <c r="F453" s="49" t="s">
        <v>3551</v>
      </c>
      <c r="G453" s="49" t="s">
        <v>427</v>
      </c>
      <c r="H453" s="49" t="s">
        <v>3552</v>
      </c>
      <c r="I453" s="49" t="s">
        <v>2604</v>
      </c>
      <c r="J453" s="316">
        <v>45561</v>
      </c>
      <c r="K453" s="360">
        <v>45561</v>
      </c>
      <c r="L453" s="363" t="s">
        <v>28</v>
      </c>
      <c r="M453" s="317" t="s">
        <v>2821</v>
      </c>
      <c r="N453" s="317">
        <v>1</v>
      </c>
      <c r="O453" s="322">
        <v>45565</v>
      </c>
      <c r="P453" s="365" t="s">
        <v>264</v>
      </c>
      <c r="Q453" s="364">
        <v>45565</v>
      </c>
      <c r="R453" s="364">
        <v>45565</v>
      </c>
      <c r="S453" s="348"/>
    </row>
    <row r="454" spans="1:19" ht="25.5" hidden="1" customHeight="1" x14ac:dyDescent="0.25">
      <c r="A454" s="359">
        <v>0</v>
      </c>
      <c r="B454" s="49" t="s">
        <v>3553</v>
      </c>
      <c r="C454" s="49" t="s">
        <v>1705</v>
      </c>
      <c r="D454" s="49"/>
      <c r="E454" s="49">
        <v>184246</v>
      </c>
      <c r="F454" s="49" t="s">
        <v>3554</v>
      </c>
      <c r="G454" s="49" t="s">
        <v>547</v>
      </c>
      <c r="H454" s="49" t="s">
        <v>3555</v>
      </c>
      <c r="I454" s="49" t="s">
        <v>36</v>
      </c>
      <c r="J454" s="316"/>
      <c r="K454" s="360"/>
      <c r="L454" s="363" t="s">
        <v>47</v>
      </c>
      <c r="M454" s="317" t="s">
        <v>1709</v>
      </c>
      <c r="N454" s="317">
        <v>10</v>
      </c>
      <c r="O454" s="322">
        <v>45562</v>
      </c>
      <c r="P454" s="365" t="s">
        <v>264</v>
      </c>
      <c r="Q454" s="364">
        <v>45562</v>
      </c>
      <c r="R454" s="364">
        <v>45562</v>
      </c>
      <c r="S454" s="348"/>
    </row>
    <row r="455" spans="1:19" ht="25.5" hidden="1" x14ac:dyDescent="0.25">
      <c r="A455" s="359">
        <v>0</v>
      </c>
      <c r="B455" s="49" t="s">
        <v>3556</v>
      </c>
      <c r="C455" s="49" t="s">
        <v>3557</v>
      </c>
      <c r="D455" s="49"/>
      <c r="E455" s="49"/>
      <c r="F455" s="49"/>
      <c r="G455" s="49"/>
      <c r="H455" s="49"/>
      <c r="I455" s="49"/>
      <c r="J455" s="316"/>
      <c r="K455" s="360"/>
      <c r="L455" s="363"/>
      <c r="M455" s="317"/>
      <c r="N455" s="317"/>
      <c r="O455" s="322"/>
      <c r="P455" s="365"/>
      <c r="Q455" s="364"/>
      <c r="R455" s="364"/>
      <c r="S455" s="348"/>
    </row>
    <row r="456" spans="1:19" ht="25.5" hidden="1" x14ac:dyDescent="0.25">
      <c r="A456" s="359">
        <v>0</v>
      </c>
      <c r="B456" s="49" t="s">
        <v>3558</v>
      </c>
      <c r="C456" s="49" t="s">
        <v>3557</v>
      </c>
      <c r="D456" s="49"/>
      <c r="E456" s="49"/>
      <c r="F456" s="49"/>
      <c r="G456" s="29"/>
      <c r="H456" s="49"/>
      <c r="I456" s="49"/>
      <c r="J456" s="316"/>
      <c r="K456" s="360"/>
      <c r="L456" s="363"/>
      <c r="M456" s="317"/>
      <c r="N456" s="317"/>
      <c r="O456" s="322"/>
      <c r="P456" s="365"/>
      <c r="Q456" s="364"/>
      <c r="R456" s="364"/>
      <c r="S456" s="348"/>
    </row>
    <row r="457" spans="1:19" ht="25.5" hidden="1" customHeight="1" x14ac:dyDescent="0.25">
      <c r="A457" s="359">
        <v>0</v>
      </c>
      <c r="B457" s="49" t="s">
        <v>3559</v>
      </c>
      <c r="C457" s="49" t="s">
        <v>3557</v>
      </c>
      <c r="D457" s="49"/>
      <c r="E457" s="49">
        <v>184244</v>
      </c>
      <c r="F457" s="49" t="s">
        <v>3560</v>
      </c>
      <c r="G457" s="49" t="s">
        <v>1125</v>
      </c>
      <c r="H457" s="49" t="s">
        <v>3561</v>
      </c>
      <c r="I457" s="49" t="s">
        <v>1106</v>
      </c>
      <c r="J457" s="316">
        <v>45554</v>
      </c>
      <c r="K457" s="360">
        <v>45554</v>
      </c>
      <c r="L457" s="363" t="s">
        <v>28</v>
      </c>
      <c r="M457" s="317" t="s">
        <v>3562</v>
      </c>
      <c r="N457" s="317">
        <v>3</v>
      </c>
      <c r="O457" s="322">
        <v>45560</v>
      </c>
      <c r="P457" s="365" t="s">
        <v>264</v>
      </c>
      <c r="Q457" s="364">
        <v>45561</v>
      </c>
      <c r="R457" s="364">
        <v>45561</v>
      </c>
      <c r="S457" s="348"/>
    </row>
    <row r="458" spans="1:19" ht="25.5" hidden="1" x14ac:dyDescent="0.25">
      <c r="A458" s="359">
        <v>0</v>
      </c>
      <c r="B458" s="49" t="s">
        <v>3563</v>
      </c>
      <c r="C458" s="49" t="s">
        <v>3557</v>
      </c>
      <c r="D458" s="49"/>
      <c r="E458" s="49">
        <v>184264</v>
      </c>
      <c r="F458" s="49" t="s">
        <v>3564</v>
      </c>
      <c r="G458" s="49" t="s">
        <v>3565</v>
      </c>
      <c r="H458" s="49" t="s">
        <v>3566</v>
      </c>
      <c r="I458" s="49" t="s">
        <v>1106</v>
      </c>
      <c r="J458" s="316">
        <v>45560</v>
      </c>
      <c r="K458" s="360">
        <v>45560</v>
      </c>
      <c r="L458" s="363" t="s">
        <v>47</v>
      </c>
      <c r="M458" s="317" t="s">
        <v>3567</v>
      </c>
      <c r="N458" s="317">
        <v>1</v>
      </c>
      <c r="O458" s="322">
        <v>45574</v>
      </c>
      <c r="P458" s="365" t="s">
        <v>30</v>
      </c>
      <c r="Q458" s="364">
        <v>45575</v>
      </c>
      <c r="R458" s="364">
        <v>45575</v>
      </c>
      <c r="S458" s="348"/>
    </row>
    <row r="459" spans="1:19" ht="25.5" hidden="1" x14ac:dyDescent="0.25">
      <c r="A459" s="359">
        <v>0</v>
      </c>
      <c r="B459" s="49" t="s">
        <v>3568</v>
      </c>
      <c r="C459" s="49" t="s">
        <v>3557</v>
      </c>
      <c r="D459" s="49"/>
      <c r="E459" s="49">
        <v>184301</v>
      </c>
      <c r="F459" s="49" t="s">
        <v>3569</v>
      </c>
      <c r="G459" s="49" t="s">
        <v>1135</v>
      </c>
      <c r="H459" s="49" t="s">
        <v>3570</v>
      </c>
      <c r="I459" s="49" t="s">
        <v>1106</v>
      </c>
      <c r="J459" s="316">
        <v>45579</v>
      </c>
      <c r="K459" s="360">
        <v>45580</v>
      </c>
      <c r="L459" s="363" t="s">
        <v>28</v>
      </c>
      <c r="M459" s="317" t="s">
        <v>3571</v>
      </c>
      <c r="N459" s="317">
        <v>4</v>
      </c>
      <c r="O459" s="322">
        <v>45587</v>
      </c>
      <c r="P459" s="365" t="s">
        <v>30</v>
      </c>
      <c r="Q459" s="364">
        <v>45587</v>
      </c>
      <c r="R459" s="364">
        <v>45587</v>
      </c>
      <c r="S459" s="348"/>
    </row>
    <row r="460" spans="1:19" ht="25.5" hidden="1" x14ac:dyDescent="0.25">
      <c r="A460" s="359">
        <v>0</v>
      </c>
      <c r="B460" s="49" t="s">
        <v>3572</v>
      </c>
      <c r="C460" s="49" t="s">
        <v>3557</v>
      </c>
      <c r="D460" s="49"/>
      <c r="E460" s="49">
        <v>184315</v>
      </c>
      <c r="F460" s="49" t="s">
        <v>3573</v>
      </c>
      <c r="G460" s="49" t="s">
        <v>3574</v>
      </c>
      <c r="H460" s="49" t="s">
        <v>3575</v>
      </c>
      <c r="I460" s="49" t="s">
        <v>1106</v>
      </c>
      <c r="J460" s="316">
        <v>45581</v>
      </c>
      <c r="K460" s="360">
        <v>45581</v>
      </c>
      <c r="L460" s="363" t="s">
        <v>28</v>
      </c>
      <c r="M460" s="317" t="s">
        <v>3576</v>
      </c>
      <c r="N460" s="317">
        <v>2</v>
      </c>
      <c r="O460" s="322">
        <v>45595</v>
      </c>
      <c r="P460" s="365" t="s">
        <v>30</v>
      </c>
      <c r="Q460" s="364">
        <v>45596</v>
      </c>
      <c r="R460" s="364">
        <v>45596</v>
      </c>
      <c r="S460" s="348"/>
    </row>
    <row r="461" spans="1:19" ht="28.5" hidden="1" customHeight="1" x14ac:dyDescent="0.25">
      <c r="A461" s="359">
        <v>0</v>
      </c>
      <c r="B461" s="49" t="s">
        <v>3577</v>
      </c>
      <c r="C461" s="49" t="s">
        <v>3557</v>
      </c>
      <c r="D461" s="49"/>
      <c r="E461" s="49">
        <v>184265</v>
      </c>
      <c r="F461" s="49" t="s">
        <v>3578</v>
      </c>
      <c r="G461" s="49" t="s">
        <v>3579</v>
      </c>
      <c r="H461" s="49" t="s">
        <v>3580</v>
      </c>
      <c r="I461" s="49" t="s">
        <v>1106</v>
      </c>
      <c r="J461" s="316">
        <v>45560</v>
      </c>
      <c r="K461" s="360">
        <v>45562</v>
      </c>
      <c r="L461" s="363" t="s">
        <v>28</v>
      </c>
      <c r="M461" s="317" t="s">
        <v>3562</v>
      </c>
      <c r="N461" s="317">
        <v>1</v>
      </c>
      <c r="O461" s="322">
        <v>45567</v>
      </c>
      <c r="P461" s="365" t="s">
        <v>30</v>
      </c>
      <c r="Q461" s="364">
        <v>45567</v>
      </c>
      <c r="R461" s="364">
        <v>45567</v>
      </c>
      <c r="S461" s="348"/>
    </row>
    <row r="462" spans="1:19" ht="28.5" hidden="1" customHeight="1" x14ac:dyDescent="0.25">
      <c r="A462" s="359">
        <v>0</v>
      </c>
      <c r="B462" s="49" t="s">
        <v>3581</v>
      </c>
      <c r="C462" s="49" t="s">
        <v>3557</v>
      </c>
      <c r="D462" s="49"/>
      <c r="E462" s="49">
        <v>184277</v>
      </c>
      <c r="F462" s="49" t="s">
        <v>3582</v>
      </c>
      <c r="G462" s="49" t="s">
        <v>3574</v>
      </c>
      <c r="H462" s="49" t="s">
        <v>3583</v>
      </c>
      <c r="I462" s="49" t="s">
        <v>3584</v>
      </c>
      <c r="J462" s="316">
        <v>45568</v>
      </c>
      <c r="K462" s="360">
        <v>45568</v>
      </c>
      <c r="L462" s="363" t="s">
        <v>47</v>
      </c>
      <c r="M462" s="317" t="s">
        <v>3585</v>
      </c>
      <c r="N462" s="317">
        <v>1</v>
      </c>
      <c r="O462" s="322">
        <v>45572</v>
      </c>
      <c r="P462" s="365" t="s">
        <v>30</v>
      </c>
      <c r="Q462" s="364">
        <v>45573</v>
      </c>
      <c r="R462" s="364">
        <v>45573</v>
      </c>
      <c r="S462" s="348"/>
    </row>
    <row r="463" spans="1:19" ht="63.75" hidden="1" x14ac:dyDescent="0.25">
      <c r="A463" s="359">
        <v>0</v>
      </c>
      <c r="B463" s="49" t="s">
        <v>3586</v>
      </c>
      <c r="C463" s="49" t="s">
        <v>3557</v>
      </c>
      <c r="D463" s="49"/>
      <c r="E463" s="49">
        <v>184529</v>
      </c>
      <c r="F463" s="49" t="s">
        <v>3587</v>
      </c>
      <c r="G463" s="49" t="s">
        <v>3588</v>
      </c>
      <c r="H463" s="49" t="s">
        <v>3589</v>
      </c>
      <c r="I463" s="49" t="s">
        <v>1106</v>
      </c>
      <c r="J463" s="316">
        <v>46001</v>
      </c>
      <c r="K463" s="360">
        <v>46002</v>
      </c>
      <c r="L463" s="363" t="s">
        <v>28</v>
      </c>
      <c r="M463" s="317" t="s">
        <v>3590</v>
      </c>
      <c r="N463" s="317">
        <v>2</v>
      </c>
      <c r="O463" s="322">
        <v>45656</v>
      </c>
      <c r="P463" s="365" t="s">
        <v>30</v>
      </c>
      <c r="Q463" s="364">
        <v>45659</v>
      </c>
      <c r="R463" s="364">
        <v>45659</v>
      </c>
      <c r="S463" s="348"/>
    </row>
    <row r="464" spans="1:19" ht="25.5" hidden="1" x14ac:dyDescent="0.25">
      <c r="A464" s="359">
        <v>0</v>
      </c>
      <c r="B464" s="49" t="s">
        <v>3591</v>
      </c>
      <c r="C464" s="49" t="s">
        <v>3557</v>
      </c>
      <c r="D464" s="49"/>
      <c r="E464" s="49">
        <v>184485</v>
      </c>
      <c r="F464" s="49" t="s">
        <v>3592</v>
      </c>
      <c r="G464" s="49" t="s">
        <v>1113</v>
      </c>
      <c r="H464" s="49" t="s">
        <v>3593</v>
      </c>
      <c r="I464" s="49" t="s">
        <v>1106</v>
      </c>
      <c r="J464" s="316">
        <v>45622</v>
      </c>
      <c r="K464" s="360">
        <v>45622</v>
      </c>
      <c r="L464" s="363" t="s">
        <v>47</v>
      </c>
      <c r="M464" s="317" t="s">
        <v>3594</v>
      </c>
      <c r="N464" s="317">
        <v>2</v>
      </c>
      <c r="O464" s="322">
        <v>45624</v>
      </c>
      <c r="P464" s="365" t="s">
        <v>30</v>
      </c>
      <c r="Q464" s="364">
        <v>45624</v>
      </c>
      <c r="R464" s="364">
        <v>45624</v>
      </c>
      <c r="S464" s="348"/>
    </row>
    <row r="465" spans="1:19" ht="25.5" x14ac:dyDescent="0.25">
      <c r="A465" s="359">
        <v>0</v>
      </c>
      <c r="B465" s="49" t="s">
        <v>3595</v>
      </c>
      <c r="C465" s="49" t="s">
        <v>1345</v>
      </c>
      <c r="D465" s="49"/>
      <c r="E465" s="49">
        <v>181825</v>
      </c>
      <c r="F465" s="49">
        <v>181825346</v>
      </c>
      <c r="G465" s="49" t="s">
        <v>147</v>
      </c>
      <c r="H465" s="49" t="s">
        <v>3596</v>
      </c>
      <c r="I465" s="49" t="s">
        <v>346</v>
      </c>
      <c r="J465" s="316">
        <v>45559</v>
      </c>
      <c r="K465" s="360">
        <v>45374</v>
      </c>
      <c r="L465" s="363" t="s">
        <v>28</v>
      </c>
      <c r="M465" s="317" t="s">
        <v>1359</v>
      </c>
      <c r="N465" s="317">
        <v>1</v>
      </c>
      <c r="O465" s="322">
        <v>45560</v>
      </c>
      <c r="P465" s="365" t="s">
        <v>264</v>
      </c>
      <c r="Q465" s="364">
        <v>45560</v>
      </c>
      <c r="R465" s="364">
        <v>45560</v>
      </c>
      <c r="S465" s="348"/>
    </row>
    <row r="466" spans="1:19" ht="25.5" x14ac:dyDescent="0.25">
      <c r="A466" s="359">
        <v>0</v>
      </c>
      <c r="B466" s="49" t="s">
        <v>3597</v>
      </c>
      <c r="C466" s="49" t="s">
        <v>1345</v>
      </c>
      <c r="D466" s="49" t="s">
        <v>1524</v>
      </c>
      <c r="E466" s="49">
        <v>181825</v>
      </c>
      <c r="F466" s="49">
        <v>181825350</v>
      </c>
      <c r="G466" s="49" t="s">
        <v>147</v>
      </c>
      <c r="H466" s="49" t="s">
        <v>1468</v>
      </c>
      <c r="I466" s="49" t="s">
        <v>1352</v>
      </c>
      <c r="J466" s="316">
        <v>45575</v>
      </c>
      <c r="K466" s="360">
        <v>45374</v>
      </c>
      <c r="L466" s="363" t="s">
        <v>47</v>
      </c>
      <c r="M466" s="317" t="s">
        <v>1469</v>
      </c>
      <c r="N466" s="317">
        <v>1</v>
      </c>
      <c r="O466" s="322">
        <v>45579</v>
      </c>
      <c r="P466" s="365" t="s">
        <v>30</v>
      </c>
      <c r="Q466" s="364">
        <v>45579</v>
      </c>
      <c r="R466" s="364">
        <v>45579</v>
      </c>
      <c r="S466" s="348"/>
    </row>
    <row r="467" spans="1:19" ht="25.5" x14ac:dyDescent="0.25">
      <c r="A467" s="359">
        <v>0</v>
      </c>
      <c r="B467" s="49" t="s">
        <v>3598</v>
      </c>
      <c r="C467" s="49" t="s">
        <v>1345</v>
      </c>
      <c r="D467" s="49" t="s">
        <v>1524</v>
      </c>
      <c r="E467" s="49">
        <v>181825</v>
      </c>
      <c r="F467" s="49">
        <v>181825351</v>
      </c>
      <c r="G467" s="49" t="s">
        <v>1540</v>
      </c>
      <c r="H467" s="49" t="s">
        <v>3599</v>
      </c>
      <c r="I467" s="49" t="s">
        <v>1517</v>
      </c>
      <c r="J467" s="316">
        <v>45582</v>
      </c>
      <c r="K467" s="360">
        <v>45374</v>
      </c>
      <c r="L467" s="363" t="s">
        <v>47</v>
      </c>
      <c r="M467" s="317" t="s">
        <v>3600</v>
      </c>
      <c r="N467" s="317">
        <v>1</v>
      </c>
      <c r="O467" s="322">
        <v>45583</v>
      </c>
      <c r="P467" s="365" t="s">
        <v>264</v>
      </c>
      <c r="Q467" s="364">
        <v>45583</v>
      </c>
      <c r="R467" s="364">
        <v>45583</v>
      </c>
      <c r="S467" s="348"/>
    </row>
    <row r="468" spans="1:19" ht="29.25" customHeight="1" x14ac:dyDescent="0.25">
      <c r="A468" s="359">
        <v>0</v>
      </c>
      <c r="B468" s="49" t="s">
        <v>3601</v>
      </c>
      <c r="C468" s="49" t="s">
        <v>1345</v>
      </c>
      <c r="D468" s="49" t="s">
        <v>3602</v>
      </c>
      <c r="E468" s="49">
        <v>181825</v>
      </c>
      <c r="F468" s="49">
        <v>181825352</v>
      </c>
      <c r="G468" s="49" t="s">
        <v>3603</v>
      </c>
      <c r="H468" s="49" t="s">
        <v>3604</v>
      </c>
      <c r="I468" s="49" t="s">
        <v>346</v>
      </c>
      <c r="J468" s="316">
        <v>45582</v>
      </c>
      <c r="K468" s="360">
        <v>45374</v>
      </c>
      <c r="L468" s="363" t="s">
        <v>47</v>
      </c>
      <c r="M468" s="317" t="s">
        <v>1363</v>
      </c>
      <c r="N468" s="317">
        <v>1</v>
      </c>
      <c r="O468" s="322">
        <v>45583</v>
      </c>
      <c r="P468" s="365" t="s">
        <v>30</v>
      </c>
      <c r="Q468" s="364">
        <v>45583</v>
      </c>
      <c r="R468" s="364">
        <v>45583</v>
      </c>
      <c r="S468" s="348"/>
    </row>
    <row r="469" spans="1:19" ht="25.5" x14ac:dyDescent="0.25">
      <c r="A469" s="359">
        <v>0</v>
      </c>
      <c r="B469" s="49" t="s">
        <v>3605</v>
      </c>
      <c r="C469" s="49" t="s">
        <v>1345</v>
      </c>
      <c r="D469" s="49" t="s">
        <v>3602</v>
      </c>
      <c r="E469" s="49">
        <v>181825</v>
      </c>
      <c r="F469" s="49">
        <v>181825353</v>
      </c>
      <c r="G469" s="49" t="s">
        <v>1540</v>
      </c>
      <c r="H469" s="49" t="s">
        <v>3606</v>
      </c>
      <c r="I469" s="49" t="s">
        <v>346</v>
      </c>
      <c r="J469" s="316">
        <v>45583</v>
      </c>
      <c r="K469" s="360">
        <v>45374</v>
      </c>
      <c r="L469" s="363" t="s">
        <v>47</v>
      </c>
      <c r="M469" s="317" t="s">
        <v>1356</v>
      </c>
      <c r="N469" s="317">
        <v>2</v>
      </c>
      <c r="O469" s="322">
        <v>45583</v>
      </c>
      <c r="P469" s="365" t="s">
        <v>30</v>
      </c>
      <c r="Q469" s="364">
        <v>45583</v>
      </c>
      <c r="R469" s="364">
        <v>45583</v>
      </c>
      <c r="S469" s="348"/>
    </row>
    <row r="470" spans="1:19" ht="25.5" x14ac:dyDescent="0.25">
      <c r="A470" s="359">
        <v>0</v>
      </c>
      <c r="B470" s="49" t="s">
        <v>3607</v>
      </c>
      <c r="C470" s="49" t="s">
        <v>1345</v>
      </c>
      <c r="D470" s="49" t="s">
        <v>3602</v>
      </c>
      <c r="E470" s="49">
        <v>181825</v>
      </c>
      <c r="F470" s="49">
        <v>181825354</v>
      </c>
      <c r="G470" s="49" t="s">
        <v>3603</v>
      </c>
      <c r="H470" s="49" t="s">
        <v>3608</v>
      </c>
      <c r="I470" s="49" t="s">
        <v>346</v>
      </c>
      <c r="J470" s="316">
        <v>45583</v>
      </c>
      <c r="K470" s="360">
        <v>45374</v>
      </c>
      <c r="L470" s="363" t="s">
        <v>47</v>
      </c>
      <c r="M470" s="317" t="s">
        <v>1363</v>
      </c>
      <c r="N470" s="317">
        <v>2</v>
      </c>
      <c r="O470" s="322">
        <v>45583</v>
      </c>
      <c r="P470" s="365" t="s">
        <v>30</v>
      </c>
      <c r="Q470" s="364">
        <v>45583</v>
      </c>
      <c r="R470" s="364">
        <v>45583</v>
      </c>
      <c r="S470" s="348"/>
    </row>
    <row r="471" spans="1:19" ht="25.5" x14ac:dyDescent="0.25">
      <c r="A471" s="359">
        <v>0</v>
      </c>
      <c r="B471" s="49" t="s">
        <v>3609</v>
      </c>
      <c r="C471" s="49" t="s">
        <v>1345</v>
      </c>
      <c r="D471" s="49" t="s">
        <v>3602</v>
      </c>
      <c r="E471" s="49">
        <v>181825</v>
      </c>
      <c r="F471" s="49">
        <v>181825355</v>
      </c>
      <c r="G471" s="49" t="s">
        <v>2428</v>
      </c>
      <c r="H471" s="49" t="s">
        <v>3610</v>
      </c>
      <c r="I471" s="49" t="s">
        <v>346</v>
      </c>
      <c r="J471" s="316">
        <v>45583</v>
      </c>
      <c r="K471" s="360">
        <v>45374</v>
      </c>
      <c r="L471" s="363" t="s">
        <v>47</v>
      </c>
      <c r="M471" s="317" t="s">
        <v>1363</v>
      </c>
      <c r="N471" s="317">
        <v>1</v>
      </c>
      <c r="O471" s="322">
        <v>45583</v>
      </c>
      <c r="P471" s="365" t="s">
        <v>30</v>
      </c>
      <c r="Q471" s="364">
        <v>45583</v>
      </c>
      <c r="R471" s="364">
        <v>45583</v>
      </c>
      <c r="S471" s="348"/>
    </row>
    <row r="472" spans="1:19" ht="25.5" x14ac:dyDescent="0.25">
      <c r="A472" s="359">
        <v>0</v>
      </c>
      <c r="B472" s="49" t="s">
        <v>3611</v>
      </c>
      <c r="C472" s="49" t="s">
        <v>1345</v>
      </c>
      <c r="D472" s="49" t="s">
        <v>3602</v>
      </c>
      <c r="E472" s="49">
        <v>181825</v>
      </c>
      <c r="F472" s="49">
        <v>181825358</v>
      </c>
      <c r="G472" s="49" t="s">
        <v>2428</v>
      </c>
      <c r="H472" s="49" t="s">
        <v>1368</v>
      </c>
      <c r="I472" s="49" t="s">
        <v>346</v>
      </c>
      <c r="J472" s="316">
        <v>45587</v>
      </c>
      <c r="K472" s="360">
        <v>45374</v>
      </c>
      <c r="L472" s="363" t="s">
        <v>28</v>
      </c>
      <c r="M472" s="317" t="s">
        <v>1363</v>
      </c>
      <c r="N472" s="317">
        <v>1</v>
      </c>
      <c r="O472" s="322">
        <v>45587</v>
      </c>
      <c r="P472" s="365" t="s">
        <v>30</v>
      </c>
      <c r="Q472" s="364">
        <v>45587</v>
      </c>
      <c r="R472" s="364">
        <v>45587</v>
      </c>
      <c r="S472" s="348"/>
    </row>
    <row r="473" spans="1:19" ht="25.5" hidden="1" x14ac:dyDescent="0.25">
      <c r="A473" s="359">
        <v>0</v>
      </c>
      <c r="B473" s="49" t="s">
        <v>3612</v>
      </c>
      <c r="C473" s="49" t="s">
        <v>3613</v>
      </c>
      <c r="D473" s="49" t="s">
        <v>3614</v>
      </c>
      <c r="E473" s="49">
        <v>181825</v>
      </c>
      <c r="F473" s="49">
        <v>181825356</v>
      </c>
      <c r="G473" s="49" t="s">
        <v>1385</v>
      </c>
      <c r="H473" s="49" t="s">
        <v>3615</v>
      </c>
      <c r="I473" s="49" t="s">
        <v>346</v>
      </c>
      <c r="J473" s="316">
        <v>45586</v>
      </c>
      <c r="K473" s="360">
        <v>45374</v>
      </c>
      <c r="L473" s="363" t="s">
        <v>28</v>
      </c>
      <c r="M473" s="317" t="s">
        <v>1387</v>
      </c>
      <c r="N473" s="317">
        <v>1</v>
      </c>
      <c r="O473" s="322">
        <v>45586</v>
      </c>
      <c r="P473" s="365" t="s">
        <v>30</v>
      </c>
      <c r="Q473" s="364">
        <v>45586</v>
      </c>
      <c r="R473" s="364">
        <v>45586</v>
      </c>
      <c r="S473" s="348"/>
    </row>
    <row r="474" spans="1:19" ht="38.25" hidden="1" x14ac:dyDescent="0.25">
      <c r="A474" s="359">
        <v>0</v>
      </c>
      <c r="B474" s="49" t="s">
        <v>3616</v>
      </c>
      <c r="C474" s="49" t="s">
        <v>1403</v>
      </c>
      <c r="D474" s="49" t="s">
        <v>3614</v>
      </c>
      <c r="E474" s="49">
        <v>181825</v>
      </c>
      <c r="F474" s="49">
        <v>181825357</v>
      </c>
      <c r="G474" s="49" t="s">
        <v>2428</v>
      </c>
      <c r="H474" s="49" t="s">
        <v>1422</v>
      </c>
      <c r="I474" s="49" t="s">
        <v>346</v>
      </c>
      <c r="J474" s="316">
        <v>45313</v>
      </c>
      <c r="K474" s="360">
        <v>45374</v>
      </c>
      <c r="L474" s="363" t="s">
        <v>28</v>
      </c>
      <c r="M474" s="317" t="s">
        <v>1363</v>
      </c>
      <c r="N474" s="317">
        <v>1</v>
      </c>
      <c r="O474" s="322">
        <v>45587</v>
      </c>
      <c r="P474" s="365" t="s">
        <v>30</v>
      </c>
      <c r="Q474" s="364">
        <v>45587</v>
      </c>
      <c r="R474" s="364">
        <v>45587</v>
      </c>
      <c r="S474" s="348"/>
    </row>
    <row r="475" spans="1:19" ht="25.5" x14ac:dyDescent="0.25">
      <c r="A475" s="359">
        <v>0</v>
      </c>
      <c r="B475" s="49" t="s">
        <v>3617</v>
      </c>
      <c r="C475" s="49" t="s">
        <v>1345</v>
      </c>
      <c r="D475" s="49" t="s">
        <v>1524</v>
      </c>
      <c r="E475" s="49">
        <v>181825</v>
      </c>
      <c r="F475" s="49">
        <v>181825359</v>
      </c>
      <c r="G475" s="49" t="s">
        <v>34</v>
      </c>
      <c r="H475" s="49" t="s">
        <v>3618</v>
      </c>
      <c r="I475" s="49" t="s">
        <v>346</v>
      </c>
      <c r="J475" s="316">
        <v>45587</v>
      </c>
      <c r="K475" s="360">
        <v>45374</v>
      </c>
      <c r="L475" s="363" t="s">
        <v>28</v>
      </c>
      <c r="M475" s="317" t="s">
        <v>1356</v>
      </c>
      <c r="N475" s="317">
        <v>2</v>
      </c>
      <c r="O475" s="322">
        <v>45588</v>
      </c>
      <c r="P475" s="365" t="s">
        <v>30</v>
      </c>
      <c r="Q475" s="364">
        <v>45588</v>
      </c>
      <c r="R475" s="364">
        <v>45588</v>
      </c>
      <c r="S475" s="348"/>
    </row>
    <row r="476" spans="1:19" ht="25.5" x14ac:dyDescent="0.25">
      <c r="A476" s="359">
        <v>0</v>
      </c>
      <c r="B476" s="49" t="s">
        <v>3619</v>
      </c>
      <c r="C476" s="49" t="s">
        <v>1345</v>
      </c>
      <c r="D476" s="49" t="s">
        <v>1524</v>
      </c>
      <c r="E476" s="49">
        <v>181825</v>
      </c>
      <c r="F476" s="49">
        <v>181825360</v>
      </c>
      <c r="G476" s="49" t="s">
        <v>34</v>
      </c>
      <c r="H476" s="49" t="s">
        <v>3620</v>
      </c>
      <c r="I476" s="49" t="s">
        <v>346</v>
      </c>
      <c r="J476" s="316">
        <v>45588</v>
      </c>
      <c r="K476" s="360">
        <v>45374</v>
      </c>
      <c r="L476" s="363" t="s">
        <v>28</v>
      </c>
      <c r="M476" s="317" t="s">
        <v>3621</v>
      </c>
      <c r="N476" s="317">
        <v>1</v>
      </c>
      <c r="O476" s="322">
        <v>45588</v>
      </c>
      <c r="P476" s="365" t="s">
        <v>30</v>
      </c>
      <c r="Q476" s="364">
        <v>45588</v>
      </c>
      <c r="R476" s="364">
        <v>45588</v>
      </c>
      <c r="S476" s="348"/>
    </row>
    <row r="477" spans="1:19" ht="25.5" x14ac:dyDescent="0.25">
      <c r="A477" s="359">
        <v>0</v>
      </c>
      <c r="B477" s="49" t="s">
        <v>3622</v>
      </c>
      <c r="C477" s="49" t="s">
        <v>1345</v>
      </c>
      <c r="D477" s="49" t="s">
        <v>3602</v>
      </c>
      <c r="E477" s="49">
        <v>181825</v>
      </c>
      <c r="F477" s="49">
        <v>181825361</v>
      </c>
      <c r="G477" s="49" t="s">
        <v>1398</v>
      </c>
      <c r="H477" s="49" t="s">
        <v>3623</v>
      </c>
      <c r="I477" s="49" t="s">
        <v>346</v>
      </c>
      <c r="J477" s="316">
        <v>45588</v>
      </c>
      <c r="K477" s="360">
        <v>45374</v>
      </c>
      <c r="L477" s="363" t="s">
        <v>28</v>
      </c>
      <c r="M477" s="317" t="s">
        <v>1555</v>
      </c>
      <c r="N477" s="317">
        <v>1</v>
      </c>
      <c r="O477" s="322">
        <v>45588</v>
      </c>
      <c r="P477" s="365" t="s">
        <v>30</v>
      </c>
      <c r="Q477" s="364">
        <v>45588</v>
      </c>
      <c r="R477" s="364">
        <v>45588</v>
      </c>
      <c r="S477" s="348"/>
    </row>
    <row r="478" spans="1:19" ht="25.5" x14ac:dyDescent="0.25">
      <c r="A478" s="359">
        <v>0</v>
      </c>
      <c r="B478" s="49" t="s">
        <v>3624</v>
      </c>
      <c r="C478" s="49" t="s">
        <v>1345</v>
      </c>
      <c r="D478" s="49" t="s">
        <v>1524</v>
      </c>
      <c r="E478" s="49">
        <v>181825</v>
      </c>
      <c r="F478" s="49">
        <v>181825363</v>
      </c>
      <c r="G478" s="49" t="s">
        <v>34</v>
      </c>
      <c r="H478" s="49" t="s">
        <v>3625</v>
      </c>
      <c r="I478" s="49" t="s">
        <v>346</v>
      </c>
      <c r="J478" s="316">
        <v>45588</v>
      </c>
      <c r="K478" s="360">
        <v>45374</v>
      </c>
      <c r="L478" s="363" t="s">
        <v>28</v>
      </c>
      <c r="M478" s="409" t="s">
        <v>3626</v>
      </c>
      <c r="N478" s="317">
        <v>1</v>
      </c>
      <c r="O478" s="322">
        <v>45589</v>
      </c>
      <c r="P478" s="365" t="s">
        <v>30</v>
      </c>
      <c r="Q478" s="364">
        <v>45589</v>
      </c>
      <c r="R478" s="364">
        <v>45589</v>
      </c>
      <c r="S478" s="348"/>
    </row>
    <row r="479" spans="1:19" ht="25.5" x14ac:dyDescent="0.25">
      <c r="A479" s="359">
        <v>0</v>
      </c>
      <c r="B479" s="49" t="s">
        <v>3627</v>
      </c>
      <c r="C479" s="49" t="s">
        <v>1345</v>
      </c>
      <c r="D479" s="49"/>
      <c r="E479" s="49">
        <v>181825</v>
      </c>
      <c r="F479" s="49">
        <v>181825362</v>
      </c>
      <c r="G479" s="49" t="s">
        <v>34</v>
      </c>
      <c r="H479" s="49" t="s">
        <v>3628</v>
      </c>
      <c r="I479" s="49" t="s">
        <v>346</v>
      </c>
      <c r="J479" s="316">
        <v>45588</v>
      </c>
      <c r="K479" s="360">
        <v>45374</v>
      </c>
      <c r="L479" s="363" t="s">
        <v>28</v>
      </c>
      <c r="M479" s="317" t="s">
        <v>1356</v>
      </c>
      <c r="N479" s="317">
        <v>6</v>
      </c>
      <c r="O479" s="322">
        <v>45589</v>
      </c>
      <c r="P479" s="365" t="s">
        <v>30</v>
      </c>
      <c r="Q479" s="364">
        <v>45589</v>
      </c>
      <c r="R479" s="364">
        <v>45589</v>
      </c>
      <c r="S479" s="348"/>
    </row>
    <row r="480" spans="1:19" ht="25.5" x14ac:dyDescent="0.25">
      <c r="A480" s="359">
        <v>0</v>
      </c>
      <c r="B480" s="49" t="s">
        <v>3629</v>
      </c>
      <c r="C480" s="49" t="s">
        <v>1345</v>
      </c>
      <c r="D480" s="49"/>
      <c r="E480" s="49">
        <v>181825</v>
      </c>
      <c r="F480" s="49">
        <v>181825365</v>
      </c>
      <c r="G480" s="49" t="s">
        <v>1406</v>
      </c>
      <c r="H480" s="49" t="s">
        <v>1407</v>
      </c>
      <c r="I480" s="49" t="s">
        <v>1352</v>
      </c>
      <c r="J480" s="316">
        <v>45593</v>
      </c>
      <c r="K480" s="360">
        <v>45374</v>
      </c>
      <c r="L480" s="363" t="s">
        <v>28</v>
      </c>
      <c r="M480" s="317" t="s">
        <v>1469</v>
      </c>
      <c r="N480" s="317">
        <v>2</v>
      </c>
      <c r="O480" s="322">
        <v>45594</v>
      </c>
      <c r="P480" s="365" t="s">
        <v>30</v>
      </c>
      <c r="Q480" s="364">
        <v>45594</v>
      </c>
      <c r="R480" s="364">
        <v>45594</v>
      </c>
      <c r="S480" s="348"/>
    </row>
    <row r="481" spans="1:19" ht="25.5" x14ac:dyDescent="0.25">
      <c r="A481" s="359">
        <v>0</v>
      </c>
      <c r="B481" s="49" t="s">
        <v>3630</v>
      </c>
      <c r="C481" s="49" t="s">
        <v>1345</v>
      </c>
      <c r="D481" s="49"/>
      <c r="E481" s="49">
        <v>181825</v>
      </c>
      <c r="F481" s="49">
        <v>181825364</v>
      </c>
      <c r="G481" s="49" t="s">
        <v>1406</v>
      </c>
      <c r="H481" s="49" t="s">
        <v>1407</v>
      </c>
      <c r="I481" s="49" t="s">
        <v>3631</v>
      </c>
      <c r="J481" s="316">
        <v>45590</v>
      </c>
      <c r="K481" s="360">
        <v>45374</v>
      </c>
      <c r="L481" s="363" t="s">
        <v>28</v>
      </c>
      <c r="M481" s="317" t="s">
        <v>1469</v>
      </c>
      <c r="N481" s="317">
        <v>2</v>
      </c>
      <c r="O481" s="322">
        <v>45593</v>
      </c>
      <c r="P481" s="365" t="s">
        <v>30</v>
      </c>
      <c r="Q481" s="364">
        <v>45593</v>
      </c>
      <c r="R481" s="364">
        <v>45593</v>
      </c>
      <c r="S481" s="348"/>
    </row>
    <row r="482" spans="1:19" ht="38.25" hidden="1" x14ac:dyDescent="0.25">
      <c r="A482" s="359">
        <v>0</v>
      </c>
      <c r="B482" s="49" t="s">
        <v>3632</v>
      </c>
      <c r="C482" s="49" t="s">
        <v>2365</v>
      </c>
      <c r="D482" s="49"/>
      <c r="E482" s="49">
        <v>181825</v>
      </c>
      <c r="F482" s="49">
        <v>181825366</v>
      </c>
      <c r="G482" s="49" t="s">
        <v>1361</v>
      </c>
      <c r="H482" s="49" t="s">
        <v>3633</v>
      </c>
      <c r="I482" s="49" t="s">
        <v>2440</v>
      </c>
      <c r="J482" s="316">
        <v>45609</v>
      </c>
      <c r="K482" s="360">
        <v>45374</v>
      </c>
      <c r="L482" s="363" t="s">
        <v>28</v>
      </c>
      <c r="M482" s="317" t="s">
        <v>1363</v>
      </c>
      <c r="N482" s="317">
        <v>1</v>
      </c>
      <c r="O482" s="322">
        <v>45609</v>
      </c>
      <c r="P482" s="365" t="s">
        <v>30</v>
      </c>
      <c r="Q482" s="364">
        <v>45609</v>
      </c>
      <c r="R482" s="364">
        <v>45609</v>
      </c>
      <c r="S482" s="348"/>
    </row>
    <row r="483" spans="1:19" ht="25.5" x14ac:dyDescent="0.25">
      <c r="A483" s="359">
        <v>0</v>
      </c>
      <c r="B483" s="49" t="s">
        <v>3634</v>
      </c>
      <c r="C483" s="49" t="s">
        <v>1345</v>
      </c>
      <c r="D483" s="49"/>
      <c r="E483" s="49">
        <v>181825</v>
      </c>
      <c r="F483" s="49">
        <v>181825367</v>
      </c>
      <c r="G483" s="49" t="s">
        <v>34</v>
      </c>
      <c r="H483" s="49" t="s">
        <v>3635</v>
      </c>
      <c r="I483" s="49" t="s">
        <v>2440</v>
      </c>
      <c r="J483" s="316">
        <v>45609</v>
      </c>
      <c r="K483" s="360">
        <v>45374</v>
      </c>
      <c r="L483" s="363" t="s">
        <v>28</v>
      </c>
      <c r="M483" s="317" t="s">
        <v>1356</v>
      </c>
      <c r="N483" s="317">
        <v>2</v>
      </c>
      <c r="O483" s="322">
        <v>45609</v>
      </c>
      <c r="P483" s="365" t="s">
        <v>30</v>
      </c>
      <c r="Q483" s="364">
        <v>45609</v>
      </c>
      <c r="R483" s="364">
        <v>45609</v>
      </c>
      <c r="S483" s="348"/>
    </row>
    <row r="484" spans="1:19" ht="25.5" x14ac:dyDescent="0.25">
      <c r="A484" s="359">
        <v>0</v>
      </c>
      <c r="B484" s="49" t="s">
        <v>3636</v>
      </c>
      <c r="C484" s="49" t="s">
        <v>1345</v>
      </c>
      <c r="D484" s="49"/>
      <c r="E484" s="49">
        <v>181825</v>
      </c>
      <c r="F484" s="49">
        <v>181825368</v>
      </c>
      <c r="G484" s="49" t="s">
        <v>147</v>
      </c>
      <c r="H484" s="49" t="s">
        <v>3637</v>
      </c>
      <c r="I484" s="49" t="s">
        <v>346</v>
      </c>
      <c r="J484" s="316">
        <v>45609</v>
      </c>
      <c r="K484" s="360">
        <v>45374</v>
      </c>
      <c r="L484" s="363" t="s">
        <v>28</v>
      </c>
      <c r="M484" s="317" t="s">
        <v>3638</v>
      </c>
      <c r="N484" s="317">
        <v>1</v>
      </c>
      <c r="O484" s="322">
        <v>45609</v>
      </c>
      <c r="P484" s="365" t="s">
        <v>30</v>
      </c>
      <c r="Q484" s="364">
        <v>45609</v>
      </c>
      <c r="R484" s="364">
        <v>45609</v>
      </c>
      <c r="S484" s="348"/>
    </row>
    <row r="485" spans="1:19" ht="25.5" x14ac:dyDescent="0.25">
      <c r="A485" s="359">
        <v>0</v>
      </c>
      <c r="B485" s="49" t="s">
        <v>3639</v>
      </c>
      <c r="C485" s="49" t="s">
        <v>1345</v>
      </c>
      <c r="D485" s="49"/>
      <c r="E485" s="49">
        <v>181825</v>
      </c>
      <c r="F485" s="49">
        <v>181825369</v>
      </c>
      <c r="G485" s="49" t="s">
        <v>34</v>
      </c>
      <c r="H485" s="49" t="s">
        <v>3640</v>
      </c>
      <c r="I485" s="49" t="s">
        <v>2440</v>
      </c>
      <c r="J485" s="316">
        <v>45609</v>
      </c>
      <c r="K485" s="360">
        <v>45374</v>
      </c>
      <c r="L485" s="363" t="s">
        <v>28</v>
      </c>
      <c r="M485" s="317" t="s">
        <v>2227</v>
      </c>
      <c r="N485" s="317">
        <v>2</v>
      </c>
      <c r="O485" s="322">
        <v>45610</v>
      </c>
      <c r="P485" s="365" t="s">
        <v>30</v>
      </c>
      <c r="Q485" s="364">
        <v>45610</v>
      </c>
      <c r="R485" s="364">
        <v>45610</v>
      </c>
      <c r="S485" s="348"/>
    </row>
    <row r="486" spans="1:19" ht="25.5" x14ac:dyDescent="0.25">
      <c r="A486" s="359">
        <v>0</v>
      </c>
      <c r="B486" s="49" t="s">
        <v>3641</v>
      </c>
      <c r="C486" s="49" t="s">
        <v>1345</v>
      </c>
      <c r="D486" s="49"/>
      <c r="E486" s="49">
        <v>181825</v>
      </c>
      <c r="F486" s="49">
        <v>181825370</v>
      </c>
      <c r="G486" s="49" t="s">
        <v>34</v>
      </c>
      <c r="H486" s="49" t="s">
        <v>3642</v>
      </c>
      <c r="I486" s="49" t="s">
        <v>346</v>
      </c>
      <c r="J486" s="316">
        <v>45610</v>
      </c>
      <c r="K486" s="360">
        <v>45374</v>
      </c>
      <c r="L486" s="363" t="s">
        <v>28</v>
      </c>
      <c r="M486" s="317" t="s">
        <v>1356</v>
      </c>
      <c r="N486" s="317">
        <v>3</v>
      </c>
      <c r="O486" s="322">
        <v>45610</v>
      </c>
      <c r="P486" s="365" t="s">
        <v>30</v>
      </c>
      <c r="Q486" s="364">
        <v>45610</v>
      </c>
      <c r="R486" s="364">
        <v>45610</v>
      </c>
      <c r="S486" s="348"/>
    </row>
    <row r="487" spans="1:19" ht="25.5" x14ac:dyDescent="0.25">
      <c r="A487" s="359">
        <v>0</v>
      </c>
      <c r="B487" s="49" t="s">
        <v>3643</v>
      </c>
      <c r="C487" s="49" t="s">
        <v>1345</v>
      </c>
      <c r="D487" s="49"/>
      <c r="E487" s="49">
        <v>181825</v>
      </c>
      <c r="F487" s="49">
        <v>181825371</v>
      </c>
      <c r="G487" s="49" t="s">
        <v>147</v>
      </c>
      <c r="H487" s="49" t="s">
        <v>1375</v>
      </c>
      <c r="I487" s="49" t="s">
        <v>346</v>
      </c>
      <c r="J487" s="316">
        <v>45614</v>
      </c>
      <c r="K487" s="360">
        <v>45374</v>
      </c>
      <c r="L487" s="363" t="s">
        <v>28</v>
      </c>
      <c r="M487" s="317" t="s">
        <v>1376</v>
      </c>
      <c r="N487" s="317">
        <v>1</v>
      </c>
      <c r="O487" s="322">
        <v>45614</v>
      </c>
      <c r="P487" s="365" t="s">
        <v>30</v>
      </c>
      <c r="Q487" s="364">
        <v>45614</v>
      </c>
      <c r="R487" s="364">
        <v>45614</v>
      </c>
      <c r="S487" s="348"/>
    </row>
    <row r="488" spans="1:19" ht="63.75" x14ac:dyDescent="0.25">
      <c r="A488" s="359">
        <v>0</v>
      </c>
      <c r="B488" s="49" t="s">
        <v>3644</v>
      </c>
      <c r="C488" s="49" t="s">
        <v>1345</v>
      </c>
      <c r="D488" s="49"/>
      <c r="E488" s="49">
        <v>181825</v>
      </c>
      <c r="F488" s="49">
        <v>181825372</v>
      </c>
      <c r="G488" s="49" t="s">
        <v>3645</v>
      </c>
      <c r="H488" s="49" t="s">
        <v>3646</v>
      </c>
      <c r="I488" s="49" t="s">
        <v>2440</v>
      </c>
      <c r="J488" s="316">
        <v>45615</v>
      </c>
      <c r="K488" s="360">
        <v>45374</v>
      </c>
      <c r="L488" s="363" t="s">
        <v>28</v>
      </c>
      <c r="M488" s="317" t="s">
        <v>3647</v>
      </c>
      <c r="N488" s="317">
        <v>4</v>
      </c>
      <c r="O488" s="322">
        <v>45615</v>
      </c>
      <c r="P488" s="365" t="s">
        <v>30</v>
      </c>
      <c r="Q488" s="364">
        <v>45615</v>
      </c>
      <c r="R488" s="364">
        <v>45615</v>
      </c>
      <c r="S488" s="348"/>
    </row>
    <row r="489" spans="1:19" ht="25.5" x14ac:dyDescent="0.25">
      <c r="A489" s="359">
        <v>0</v>
      </c>
      <c r="B489" s="49" t="s">
        <v>3648</v>
      </c>
      <c r="C489" s="49" t="s">
        <v>1345</v>
      </c>
      <c r="D489" s="49"/>
      <c r="E489" s="49">
        <v>181825</v>
      </c>
      <c r="F489" s="49">
        <v>181825373</v>
      </c>
      <c r="G489" s="49" t="s">
        <v>3649</v>
      </c>
      <c r="H489" s="49"/>
      <c r="I489" s="49"/>
      <c r="J489" s="316"/>
      <c r="K489" s="360">
        <v>45374</v>
      </c>
      <c r="L489" s="363"/>
      <c r="M489" s="317"/>
      <c r="N489" s="317"/>
      <c r="O489" s="322"/>
      <c r="P489" s="365"/>
      <c r="Q489" s="364"/>
      <c r="R489" s="364"/>
      <c r="S489" s="348"/>
    </row>
    <row r="490" spans="1:19" ht="25.5" x14ac:dyDescent="0.25">
      <c r="A490" s="359">
        <v>0</v>
      </c>
      <c r="B490" s="49" t="s">
        <v>3650</v>
      </c>
      <c r="C490" s="49" t="s">
        <v>1345</v>
      </c>
      <c r="D490" s="49" t="s">
        <v>3651</v>
      </c>
      <c r="E490" s="49">
        <v>181825</v>
      </c>
      <c r="F490" s="49">
        <v>181825377</v>
      </c>
      <c r="G490" s="49" t="s">
        <v>1520</v>
      </c>
      <c r="H490" s="49" t="s">
        <v>3652</v>
      </c>
      <c r="I490" s="49" t="s">
        <v>346</v>
      </c>
      <c r="J490" s="316">
        <v>45625</v>
      </c>
      <c r="K490" s="360">
        <v>45374</v>
      </c>
      <c r="L490" s="363" t="s">
        <v>28</v>
      </c>
      <c r="M490" s="317" t="s">
        <v>2231</v>
      </c>
      <c r="N490" s="317">
        <v>1</v>
      </c>
      <c r="O490" s="322">
        <v>45625</v>
      </c>
      <c r="P490" s="365" t="s">
        <v>30</v>
      </c>
      <c r="Q490" s="364">
        <v>45629</v>
      </c>
      <c r="R490" s="364">
        <v>45629</v>
      </c>
      <c r="S490" s="348"/>
    </row>
    <row r="491" spans="1:19" ht="25.5" x14ac:dyDescent="0.25">
      <c r="A491" s="359">
        <v>0</v>
      </c>
      <c r="B491" s="49" t="s">
        <v>3653</v>
      </c>
      <c r="C491" s="49" t="s">
        <v>1345</v>
      </c>
      <c r="D491" s="49"/>
      <c r="E491" s="49">
        <v>181825</v>
      </c>
      <c r="F491" s="49">
        <v>181825375</v>
      </c>
      <c r="G491" s="49" t="s">
        <v>3649</v>
      </c>
      <c r="H491" s="49"/>
      <c r="I491" s="49"/>
      <c r="J491" s="316"/>
      <c r="K491" s="360">
        <v>45374</v>
      </c>
      <c r="L491" s="363"/>
      <c r="M491" s="317"/>
      <c r="N491" s="317"/>
      <c r="O491" s="322"/>
      <c r="P491" s="365"/>
      <c r="Q491" s="364"/>
      <c r="R491" s="364"/>
      <c r="S491" s="348"/>
    </row>
    <row r="492" spans="1:19" ht="25.5" x14ac:dyDescent="0.25">
      <c r="A492" s="359">
        <v>0</v>
      </c>
      <c r="B492" s="49" t="s">
        <v>3654</v>
      </c>
      <c r="C492" s="49" t="s">
        <v>1345</v>
      </c>
      <c r="D492" s="49"/>
      <c r="E492" s="49">
        <v>181825</v>
      </c>
      <c r="F492" s="49">
        <v>181825374</v>
      </c>
      <c r="G492" s="49" t="s">
        <v>34</v>
      </c>
      <c r="H492" s="49" t="s">
        <v>3655</v>
      </c>
      <c r="I492" s="49" t="s">
        <v>2440</v>
      </c>
      <c r="J492" s="316">
        <v>45622</v>
      </c>
      <c r="K492" s="360">
        <v>45374</v>
      </c>
      <c r="L492" s="363" t="s">
        <v>47</v>
      </c>
      <c r="M492" s="317" t="s">
        <v>1356</v>
      </c>
      <c r="N492" s="317">
        <v>1</v>
      </c>
      <c r="O492" s="322">
        <v>45622</v>
      </c>
      <c r="P492" s="365" t="s">
        <v>30</v>
      </c>
      <c r="Q492" s="364">
        <v>45623</v>
      </c>
      <c r="R492" s="364">
        <v>45623</v>
      </c>
      <c r="S492" s="348"/>
    </row>
    <row r="493" spans="1:19" ht="25.5" x14ac:dyDescent="0.25">
      <c r="A493" s="359">
        <v>0</v>
      </c>
      <c r="B493" s="49" t="s">
        <v>3656</v>
      </c>
      <c r="C493" s="49" t="s">
        <v>1345</v>
      </c>
      <c r="D493" s="49"/>
      <c r="E493" s="49">
        <v>181825</v>
      </c>
      <c r="F493" s="49">
        <v>181825376</v>
      </c>
      <c r="G493" s="49" t="s">
        <v>2428</v>
      </c>
      <c r="H493" s="49" t="s">
        <v>3657</v>
      </c>
      <c r="I493" s="49" t="s">
        <v>346</v>
      </c>
      <c r="J493" s="316">
        <v>45623</v>
      </c>
      <c r="K493" s="360">
        <v>45374</v>
      </c>
      <c r="L493" s="363" t="s">
        <v>47</v>
      </c>
      <c r="M493" s="317" t="s">
        <v>1363</v>
      </c>
      <c r="N493" s="317">
        <v>1</v>
      </c>
      <c r="O493" s="322">
        <v>45624</v>
      </c>
      <c r="P493" s="365" t="s">
        <v>30</v>
      </c>
      <c r="Q493" s="364">
        <v>45628</v>
      </c>
      <c r="R493" s="364">
        <v>45628</v>
      </c>
      <c r="S493" s="348"/>
    </row>
    <row r="494" spans="1:19" ht="38.25" x14ac:dyDescent="0.25">
      <c r="A494" s="359">
        <v>0</v>
      </c>
      <c r="B494" s="49" t="s">
        <v>3658</v>
      </c>
      <c r="C494" s="49" t="s">
        <v>1345</v>
      </c>
      <c r="D494" s="49"/>
      <c r="E494" s="49">
        <v>181825</v>
      </c>
      <c r="F494" s="49">
        <v>181825378</v>
      </c>
      <c r="G494" s="49" t="s">
        <v>3659</v>
      </c>
      <c r="H494" s="49" t="s">
        <v>3660</v>
      </c>
      <c r="I494" s="49" t="s">
        <v>2379</v>
      </c>
      <c r="J494" s="316">
        <v>45625</v>
      </c>
      <c r="K494" s="360">
        <v>45374</v>
      </c>
      <c r="L494" s="363" t="s">
        <v>47</v>
      </c>
      <c r="M494" s="317" t="s">
        <v>2462</v>
      </c>
      <c r="N494" s="317">
        <v>1</v>
      </c>
      <c r="O494" s="322">
        <v>45625</v>
      </c>
      <c r="P494" s="365" t="s">
        <v>30</v>
      </c>
      <c r="Q494" s="364">
        <v>45629</v>
      </c>
      <c r="R494" s="364">
        <v>45629</v>
      </c>
      <c r="S494" s="348"/>
    </row>
    <row r="495" spans="1:19" ht="25.5" x14ac:dyDescent="0.25">
      <c r="A495" s="359">
        <v>0</v>
      </c>
      <c r="B495" s="49" t="s">
        <v>3661</v>
      </c>
      <c r="C495" s="49" t="s">
        <v>1345</v>
      </c>
      <c r="D495" s="49"/>
      <c r="E495" s="49">
        <v>181825</v>
      </c>
      <c r="F495" s="49">
        <v>181825379</v>
      </c>
      <c r="G495" s="49" t="s">
        <v>147</v>
      </c>
      <c r="H495" s="49" t="s">
        <v>3662</v>
      </c>
      <c r="I495" s="49" t="s">
        <v>346</v>
      </c>
      <c r="J495" s="316">
        <v>45625</v>
      </c>
      <c r="K495" s="360">
        <v>45374</v>
      </c>
      <c r="L495" s="363" t="s">
        <v>47</v>
      </c>
      <c r="M495" s="317" t="s">
        <v>3663</v>
      </c>
      <c r="N495" s="317">
        <v>2</v>
      </c>
      <c r="O495" s="322">
        <v>45625</v>
      </c>
      <c r="P495" s="365" t="s">
        <v>30</v>
      </c>
      <c r="Q495" s="364">
        <v>45629</v>
      </c>
      <c r="R495" s="364">
        <v>45629</v>
      </c>
      <c r="S495" s="348"/>
    </row>
    <row r="496" spans="1:19" ht="63.75" x14ac:dyDescent="0.25">
      <c r="A496" s="359">
        <v>0</v>
      </c>
      <c r="B496" s="49" t="s">
        <v>3664</v>
      </c>
      <c r="C496" s="49" t="s">
        <v>1345</v>
      </c>
      <c r="D496" s="49"/>
      <c r="E496" s="49">
        <v>181825</v>
      </c>
      <c r="F496" s="49">
        <v>181825380</v>
      </c>
      <c r="G496" s="49" t="s">
        <v>1361</v>
      </c>
      <c r="H496" s="49" t="s">
        <v>3665</v>
      </c>
      <c r="I496" s="49" t="s">
        <v>2440</v>
      </c>
      <c r="J496" s="316">
        <v>45629</v>
      </c>
      <c r="K496" s="360">
        <v>45374</v>
      </c>
      <c r="L496" s="363" t="s">
        <v>28</v>
      </c>
      <c r="M496" s="317" t="s">
        <v>3666</v>
      </c>
      <c r="N496" s="317">
        <v>3</v>
      </c>
      <c r="O496" s="322">
        <v>45630</v>
      </c>
      <c r="P496" s="365" t="s">
        <v>30</v>
      </c>
      <c r="Q496" s="364">
        <v>45630</v>
      </c>
      <c r="R496" s="364">
        <v>45630</v>
      </c>
      <c r="S496" s="348"/>
    </row>
    <row r="497" spans="1:19" ht="25.5" x14ac:dyDescent="0.25">
      <c r="A497" s="359">
        <v>0</v>
      </c>
      <c r="B497" s="49" t="s">
        <v>3667</v>
      </c>
      <c r="C497" s="49" t="s">
        <v>1345</v>
      </c>
      <c r="D497" s="49"/>
      <c r="E497" s="49">
        <v>181825</v>
      </c>
      <c r="F497" s="49">
        <v>181825381</v>
      </c>
      <c r="G497" s="49" t="s">
        <v>3668</v>
      </c>
      <c r="H497" s="49" t="s">
        <v>3669</v>
      </c>
      <c r="I497" s="49" t="s">
        <v>2440</v>
      </c>
      <c r="J497" s="316">
        <v>45629</v>
      </c>
      <c r="K497" s="360">
        <v>45374</v>
      </c>
      <c r="L497" s="363" t="s">
        <v>28</v>
      </c>
      <c r="M497" s="317" t="s">
        <v>1356</v>
      </c>
      <c r="N497" s="317">
        <v>1</v>
      </c>
      <c r="O497" s="322">
        <v>45630</v>
      </c>
      <c r="P497" s="365" t="s">
        <v>30</v>
      </c>
      <c r="Q497" s="364">
        <v>45630</v>
      </c>
      <c r="R497" s="364">
        <v>45630</v>
      </c>
      <c r="S497" s="348"/>
    </row>
    <row r="498" spans="1:19" ht="25.5" x14ac:dyDescent="0.25">
      <c r="A498" s="359">
        <v>0</v>
      </c>
      <c r="B498" s="49" t="s">
        <v>3670</v>
      </c>
      <c r="C498" s="49" t="s">
        <v>1345</v>
      </c>
      <c r="D498" s="49"/>
      <c r="E498" s="49">
        <v>181825</v>
      </c>
      <c r="F498" s="49">
        <v>181825382</v>
      </c>
      <c r="G498" s="49" t="s">
        <v>3671</v>
      </c>
      <c r="H498" s="49" t="s">
        <v>3672</v>
      </c>
      <c r="I498" s="49" t="s">
        <v>346</v>
      </c>
      <c r="J498" s="316">
        <v>45629</v>
      </c>
      <c r="K498" s="360">
        <v>45374</v>
      </c>
      <c r="L498" s="363" t="s">
        <v>28</v>
      </c>
      <c r="M498" s="317" t="s">
        <v>3673</v>
      </c>
      <c r="N498" s="317">
        <v>2</v>
      </c>
      <c r="O498" s="322">
        <v>45630</v>
      </c>
      <c r="P498" s="365" t="s">
        <v>30</v>
      </c>
      <c r="Q498" s="364">
        <v>45630</v>
      </c>
      <c r="R498" s="364">
        <v>45630</v>
      </c>
      <c r="S498" s="348"/>
    </row>
    <row r="499" spans="1:19" ht="25.5" x14ac:dyDescent="0.25">
      <c r="A499" s="359">
        <v>0</v>
      </c>
      <c r="B499" s="49" t="s">
        <v>3674</v>
      </c>
      <c r="C499" s="49" t="s">
        <v>1345</v>
      </c>
      <c r="D499" s="49"/>
      <c r="E499" s="49">
        <v>181825</v>
      </c>
      <c r="F499" s="49">
        <v>181825383</v>
      </c>
      <c r="G499" s="49" t="s">
        <v>34</v>
      </c>
      <c r="H499" s="49" t="s">
        <v>3675</v>
      </c>
      <c r="I499" s="49" t="s">
        <v>346</v>
      </c>
      <c r="J499" s="316">
        <v>45630</v>
      </c>
      <c r="K499" s="360">
        <v>45374</v>
      </c>
      <c r="L499" s="363" t="s">
        <v>28</v>
      </c>
      <c r="M499" s="317" t="s">
        <v>3666</v>
      </c>
      <c r="N499" s="317">
        <v>2</v>
      </c>
      <c r="O499" s="322">
        <v>45630</v>
      </c>
      <c r="P499" s="365" t="s">
        <v>30</v>
      </c>
      <c r="Q499" s="364">
        <v>45630</v>
      </c>
      <c r="R499" s="364">
        <v>45630</v>
      </c>
      <c r="S499" s="348"/>
    </row>
    <row r="500" spans="1:19" ht="25.5" hidden="1" x14ac:dyDescent="0.25">
      <c r="A500" s="359">
        <v>0</v>
      </c>
      <c r="B500" s="49" t="s">
        <v>3676</v>
      </c>
      <c r="C500" s="49" t="s">
        <v>1437</v>
      </c>
      <c r="D500" s="49"/>
      <c r="E500" s="49">
        <v>181825</v>
      </c>
      <c r="F500" s="49">
        <v>181825384</v>
      </c>
      <c r="G500" s="49" t="s">
        <v>1361</v>
      </c>
      <c r="H500" s="49" t="s">
        <v>3677</v>
      </c>
      <c r="I500" s="49" t="s">
        <v>346</v>
      </c>
      <c r="J500" s="316">
        <v>45629</v>
      </c>
      <c r="K500" s="360">
        <v>45374</v>
      </c>
      <c r="L500" s="363" t="s">
        <v>28</v>
      </c>
      <c r="M500" s="317" t="s">
        <v>3666</v>
      </c>
      <c r="N500" s="317">
        <v>11</v>
      </c>
      <c r="O500" s="322">
        <v>45630</v>
      </c>
      <c r="P500" s="365" t="s">
        <v>30</v>
      </c>
      <c r="Q500" s="364">
        <v>45630</v>
      </c>
      <c r="R500" s="364">
        <v>45630</v>
      </c>
      <c r="S500" s="348"/>
    </row>
    <row r="501" spans="1:19" ht="25.5" x14ac:dyDescent="0.25">
      <c r="A501" s="359">
        <v>0</v>
      </c>
      <c r="B501" s="49" t="s">
        <v>3678</v>
      </c>
      <c r="C501" s="49" t="s">
        <v>1345</v>
      </c>
      <c r="D501" s="49"/>
      <c r="E501" s="49">
        <v>181825</v>
      </c>
      <c r="F501" s="49">
        <v>181825385</v>
      </c>
      <c r="G501" s="49" t="s">
        <v>147</v>
      </c>
      <c r="H501" s="49" t="s">
        <v>3679</v>
      </c>
      <c r="I501" s="49" t="s">
        <v>346</v>
      </c>
      <c r="J501" s="316">
        <v>45631</v>
      </c>
      <c r="K501" s="360">
        <v>45374</v>
      </c>
      <c r="L501" s="363" t="s">
        <v>28</v>
      </c>
      <c r="M501" s="317" t="s">
        <v>1412</v>
      </c>
      <c r="N501" s="317">
        <v>2</v>
      </c>
      <c r="O501" s="322">
        <v>45631</v>
      </c>
      <c r="P501" s="365" t="s">
        <v>30</v>
      </c>
      <c r="Q501" s="364">
        <v>45631</v>
      </c>
      <c r="R501" s="364">
        <v>45631</v>
      </c>
      <c r="S501" s="348"/>
    </row>
    <row r="502" spans="1:19" ht="25.5" x14ac:dyDescent="0.25">
      <c r="A502" s="359">
        <v>0</v>
      </c>
      <c r="B502" s="49" t="s">
        <v>3680</v>
      </c>
      <c r="C502" s="49" t="s">
        <v>1345</v>
      </c>
      <c r="D502" s="49"/>
      <c r="E502" s="49">
        <v>181825</v>
      </c>
      <c r="F502" s="49">
        <v>181825390</v>
      </c>
      <c r="G502" s="29" t="s">
        <v>3681</v>
      </c>
      <c r="H502" s="49" t="s">
        <v>3682</v>
      </c>
      <c r="I502" s="49" t="s">
        <v>1395</v>
      </c>
      <c r="J502" s="316"/>
      <c r="K502" s="360">
        <v>45374</v>
      </c>
      <c r="L502" s="363" t="s">
        <v>28</v>
      </c>
      <c r="M502" s="317" t="s">
        <v>3683</v>
      </c>
      <c r="N502" s="317">
        <v>14</v>
      </c>
      <c r="O502" s="322">
        <v>45638</v>
      </c>
      <c r="P502" s="365" t="s">
        <v>30</v>
      </c>
      <c r="Q502" s="364">
        <v>45638</v>
      </c>
      <c r="R502" s="364">
        <v>45638</v>
      </c>
      <c r="S502" s="348"/>
    </row>
    <row r="503" spans="1:19" ht="25.5" x14ac:dyDescent="0.25">
      <c r="A503" s="359">
        <v>0</v>
      </c>
      <c r="B503" s="49" t="s">
        <v>3684</v>
      </c>
      <c r="C503" s="49" t="s">
        <v>1345</v>
      </c>
      <c r="D503" s="49"/>
      <c r="E503" s="49">
        <v>181825</v>
      </c>
      <c r="F503" s="49">
        <v>181825386</v>
      </c>
      <c r="G503" s="49" t="s">
        <v>147</v>
      </c>
      <c r="H503" s="49" t="s">
        <v>3685</v>
      </c>
      <c r="I503" s="49" t="s">
        <v>346</v>
      </c>
      <c r="J503" s="316"/>
      <c r="K503" s="360">
        <v>45374</v>
      </c>
      <c r="L503" s="363" t="s">
        <v>28</v>
      </c>
      <c r="M503" s="317" t="s">
        <v>3686</v>
      </c>
      <c r="N503" s="317">
        <v>10</v>
      </c>
      <c r="O503" s="322">
        <v>45637</v>
      </c>
      <c r="P503" s="365" t="s">
        <v>30</v>
      </c>
      <c r="Q503" s="364">
        <v>45637</v>
      </c>
      <c r="R503" s="364">
        <v>45637</v>
      </c>
      <c r="S503" s="348"/>
    </row>
    <row r="504" spans="1:19" ht="25.5" x14ac:dyDescent="0.25">
      <c r="A504" s="359">
        <v>0</v>
      </c>
      <c r="B504" s="49" t="s">
        <v>3687</v>
      </c>
      <c r="C504" s="49" t="s">
        <v>1345</v>
      </c>
      <c r="D504" s="49"/>
      <c r="E504" s="49">
        <v>181825</v>
      </c>
      <c r="F504" s="49">
        <v>181825387</v>
      </c>
      <c r="G504" s="49" t="s">
        <v>34</v>
      </c>
      <c r="H504" s="49" t="s">
        <v>1541</v>
      </c>
      <c r="I504" s="49" t="s">
        <v>346</v>
      </c>
      <c r="J504" s="316"/>
      <c r="K504" s="360">
        <v>45374</v>
      </c>
      <c r="L504" s="363" t="s">
        <v>28</v>
      </c>
      <c r="M504" s="317" t="s">
        <v>1366</v>
      </c>
      <c r="N504" s="317">
        <v>1</v>
      </c>
      <c r="O504" s="322">
        <v>45637</v>
      </c>
      <c r="P504" s="365" t="s">
        <v>30</v>
      </c>
      <c r="Q504" s="364">
        <v>45637</v>
      </c>
      <c r="R504" s="364">
        <v>45637</v>
      </c>
      <c r="S504" s="348"/>
    </row>
    <row r="505" spans="1:19" ht="25.5" x14ac:dyDescent="0.25">
      <c r="A505" s="359">
        <v>0</v>
      </c>
      <c r="B505" s="49" t="s">
        <v>3688</v>
      </c>
      <c r="C505" s="49" t="s">
        <v>1345</v>
      </c>
      <c r="D505" s="49"/>
      <c r="E505" s="49">
        <v>181825</v>
      </c>
      <c r="F505" s="49">
        <v>181825388</v>
      </c>
      <c r="G505" s="49" t="s">
        <v>34</v>
      </c>
      <c r="H505" s="49" t="s">
        <v>3689</v>
      </c>
      <c r="I505" s="49" t="s">
        <v>346</v>
      </c>
      <c r="J505" s="316"/>
      <c r="K505" s="360">
        <v>45374</v>
      </c>
      <c r="L505" s="363" t="s">
        <v>28</v>
      </c>
      <c r="M505" s="317">
        <v>3024356</v>
      </c>
      <c r="N505" s="317">
        <v>1</v>
      </c>
      <c r="O505" s="322">
        <v>45638</v>
      </c>
      <c r="P505" s="365" t="s">
        <v>30</v>
      </c>
      <c r="Q505" s="364">
        <v>45638</v>
      </c>
      <c r="R505" s="364">
        <v>45638</v>
      </c>
      <c r="S505" s="348"/>
    </row>
    <row r="506" spans="1:19" ht="25.5" x14ac:dyDescent="0.25">
      <c r="A506" s="359">
        <v>0</v>
      </c>
      <c r="B506" s="49" t="s">
        <v>3690</v>
      </c>
      <c r="C506" s="49" t="s">
        <v>1345</v>
      </c>
      <c r="D506" s="49"/>
      <c r="E506" s="49">
        <v>181825</v>
      </c>
      <c r="F506" s="49">
        <v>181825389</v>
      </c>
      <c r="G506" s="49" t="s">
        <v>547</v>
      </c>
      <c r="H506" s="49" t="s">
        <v>3691</v>
      </c>
      <c r="I506" s="49" t="s">
        <v>346</v>
      </c>
      <c r="J506" s="316"/>
      <c r="K506" s="360"/>
      <c r="L506" s="363" t="s">
        <v>28</v>
      </c>
      <c r="M506" s="317" t="s">
        <v>1363</v>
      </c>
      <c r="N506" s="317"/>
      <c r="O506" s="322">
        <v>45638</v>
      </c>
      <c r="P506" s="365" t="s">
        <v>30</v>
      </c>
      <c r="Q506" s="364">
        <v>45638</v>
      </c>
      <c r="R506" s="364">
        <v>45638</v>
      </c>
      <c r="S506" s="348"/>
    </row>
    <row r="507" spans="1:19" ht="38.25" hidden="1" x14ac:dyDescent="0.25">
      <c r="A507" s="359">
        <v>0</v>
      </c>
      <c r="B507" s="49" t="s">
        <v>3692</v>
      </c>
      <c r="C507" s="49" t="s">
        <v>1954</v>
      </c>
      <c r="D507" s="49"/>
      <c r="E507" s="49">
        <v>184259</v>
      </c>
      <c r="F507" s="49" t="s">
        <v>3693</v>
      </c>
      <c r="G507" s="49" t="s">
        <v>2098</v>
      </c>
      <c r="H507" s="49">
        <v>573</v>
      </c>
      <c r="I507" s="49" t="s">
        <v>2099</v>
      </c>
      <c r="J507" s="316">
        <v>45559</v>
      </c>
      <c r="K507" s="360">
        <v>45562</v>
      </c>
      <c r="L507" s="363" t="s">
        <v>28</v>
      </c>
      <c r="M507" s="317" t="s">
        <v>2100</v>
      </c>
      <c r="N507" s="317">
        <v>4</v>
      </c>
      <c r="O507" s="322">
        <v>45566</v>
      </c>
      <c r="P507" s="365" t="s">
        <v>264</v>
      </c>
      <c r="Q507" s="364">
        <v>45566</v>
      </c>
      <c r="R507" s="364">
        <v>45566</v>
      </c>
      <c r="S507" s="348"/>
    </row>
    <row r="508" spans="1:19" ht="25.5" hidden="1" x14ac:dyDescent="0.25">
      <c r="A508" s="359">
        <v>0</v>
      </c>
      <c r="B508" s="49" t="s">
        <v>3694</v>
      </c>
      <c r="C508" s="49" t="s">
        <v>3004</v>
      </c>
      <c r="D508" s="49"/>
      <c r="E508" s="49">
        <v>184274</v>
      </c>
      <c r="F508" s="49" t="s">
        <v>3695</v>
      </c>
      <c r="G508" s="49" t="s">
        <v>3696</v>
      </c>
      <c r="H508" s="49" t="s">
        <v>3697</v>
      </c>
      <c r="I508" s="49" t="s">
        <v>3698</v>
      </c>
      <c r="J508" s="316">
        <v>45565</v>
      </c>
      <c r="K508" s="360">
        <v>45566</v>
      </c>
      <c r="L508" s="363" t="s">
        <v>28</v>
      </c>
      <c r="M508" s="317" t="s">
        <v>549</v>
      </c>
      <c r="N508" s="317">
        <v>1</v>
      </c>
      <c r="O508" s="322">
        <v>45567</v>
      </c>
      <c r="P508" s="365" t="s">
        <v>30</v>
      </c>
      <c r="Q508" s="364">
        <v>45567</v>
      </c>
      <c r="R508" s="364">
        <v>45567</v>
      </c>
      <c r="S508" s="348"/>
    </row>
    <row r="509" spans="1:19" ht="25.5" hidden="1" x14ac:dyDescent="0.25">
      <c r="A509" s="359">
        <v>0</v>
      </c>
      <c r="B509" s="49" t="s">
        <v>3699</v>
      </c>
      <c r="C509" s="49" t="s">
        <v>132</v>
      </c>
      <c r="D509" s="49"/>
      <c r="E509" s="49">
        <v>184271</v>
      </c>
      <c r="F509" s="49" t="s">
        <v>3700</v>
      </c>
      <c r="G509" s="49" t="s">
        <v>3701</v>
      </c>
      <c r="H509" s="49" t="s">
        <v>3702</v>
      </c>
      <c r="I509" s="49" t="s">
        <v>73</v>
      </c>
      <c r="J509" s="316">
        <v>45561</v>
      </c>
      <c r="K509" s="360">
        <v>45561</v>
      </c>
      <c r="L509" s="363" t="s">
        <v>28</v>
      </c>
      <c r="M509" s="317" t="s">
        <v>3276</v>
      </c>
      <c r="N509" s="317">
        <v>2</v>
      </c>
      <c r="O509" s="322">
        <v>45567</v>
      </c>
      <c r="P509" s="365" t="s">
        <v>264</v>
      </c>
      <c r="Q509" s="364">
        <v>45567</v>
      </c>
      <c r="R509" s="364">
        <v>45567</v>
      </c>
      <c r="S509" s="348"/>
    </row>
    <row r="510" spans="1:19" hidden="1" x14ac:dyDescent="0.25">
      <c r="A510" s="359">
        <v>0</v>
      </c>
      <c r="B510" s="49" t="s">
        <v>3703</v>
      </c>
      <c r="C510" s="49" t="s">
        <v>3704</v>
      </c>
      <c r="D510" s="49"/>
      <c r="E510" s="49">
        <v>184275</v>
      </c>
      <c r="F510" s="49"/>
      <c r="G510" s="49"/>
      <c r="H510" s="49"/>
      <c r="I510" s="49"/>
      <c r="J510" s="316"/>
      <c r="K510" s="360"/>
      <c r="L510" s="363"/>
      <c r="M510" s="317"/>
      <c r="N510" s="317"/>
      <c r="O510" s="322"/>
      <c r="P510" s="365"/>
      <c r="Q510" s="364"/>
      <c r="R510" s="364"/>
      <c r="S510" s="348"/>
    </row>
    <row r="511" spans="1:19" hidden="1" x14ac:dyDescent="0.25">
      <c r="A511" s="359">
        <v>0</v>
      </c>
      <c r="B511" s="49" t="s">
        <v>3705</v>
      </c>
      <c r="C511" s="49" t="s">
        <v>83</v>
      </c>
      <c r="D511" s="49"/>
      <c r="E511" s="49">
        <v>184224</v>
      </c>
      <c r="F511" s="49" t="s">
        <v>3706</v>
      </c>
      <c r="G511" s="49" t="s">
        <v>3707</v>
      </c>
      <c r="H511" s="49" t="s">
        <v>3708</v>
      </c>
      <c r="I511" s="49" t="s">
        <v>73</v>
      </c>
      <c r="J511" s="316">
        <v>45593</v>
      </c>
      <c r="K511" s="360">
        <v>45548</v>
      </c>
      <c r="L511" s="363" t="s">
        <v>28</v>
      </c>
      <c r="M511" s="317" t="s">
        <v>435</v>
      </c>
      <c r="N511" s="317">
        <v>1</v>
      </c>
      <c r="O511" s="322">
        <v>45594</v>
      </c>
      <c r="P511" s="365" t="s">
        <v>30</v>
      </c>
      <c r="Q511" s="364">
        <v>45594</v>
      </c>
      <c r="R511" s="364">
        <v>45594</v>
      </c>
      <c r="S511" s="348"/>
    </row>
    <row r="512" spans="1:19" ht="25.5" hidden="1" x14ac:dyDescent="0.25">
      <c r="A512" s="359">
        <v>0</v>
      </c>
      <c r="B512" s="49" t="s">
        <v>3709</v>
      </c>
      <c r="C512" s="49" t="s">
        <v>83</v>
      </c>
      <c r="D512" s="49"/>
      <c r="E512" s="49">
        <v>184224</v>
      </c>
      <c r="F512" s="49" t="s">
        <v>3710</v>
      </c>
      <c r="G512" s="49" t="s">
        <v>2687</v>
      </c>
      <c r="H512" s="49" t="s">
        <v>2688</v>
      </c>
      <c r="I512" s="49" t="s">
        <v>2689</v>
      </c>
      <c r="J512" s="316">
        <v>45603</v>
      </c>
      <c r="K512" s="360">
        <v>45548</v>
      </c>
      <c r="L512" s="363" t="s">
        <v>28</v>
      </c>
      <c r="M512" s="317" t="s">
        <v>3711</v>
      </c>
      <c r="N512" s="317">
        <v>1</v>
      </c>
      <c r="O512" s="322">
        <v>45603</v>
      </c>
      <c r="P512" s="365" t="s">
        <v>30</v>
      </c>
      <c r="Q512" s="364">
        <v>45604</v>
      </c>
      <c r="R512" s="364">
        <v>45604</v>
      </c>
      <c r="S512" s="348"/>
    </row>
    <row r="513" spans="1:19" hidden="1" x14ac:dyDescent="0.25">
      <c r="A513" s="359">
        <v>0</v>
      </c>
      <c r="B513" s="49" t="s">
        <v>3712</v>
      </c>
      <c r="C513" s="49" t="s">
        <v>83</v>
      </c>
      <c r="D513" s="49"/>
      <c r="E513" s="287">
        <v>184224</v>
      </c>
      <c r="F513" s="49" t="s">
        <v>3713</v>
      </c>
      <c r="G513" s="49" t="s">
        <v>3714</v>
      </c>
      <c r="H513" s="49" t="s">
        <v>3715</v>
      </c>
      <c r="I513" s="49" t="s">
        <v>73</v>
      </c>
      <c r="J513" s="316">
        <v>45679</v>
      </c>
      <c r="K513" s="360">
        <v>45548</v>
      </c>
      <c r="L513" s="363" t="s">
        <v>47</v>
      </c>
      <c r="M513" s="317" t="s">
        <v>3716</v>
      </c>
      <c r="N513" s="317">
        <v>1</v>
      </c>
      <c r="O513" s="322">
        <v>45681</v>
      </c>
      <c r="P513" s="365" t="s">
        <v>30</v>
      </c>
      <c r="Q513" s="364">
        <v>45681</v>
      </c>
      <c r="R513" s="364">
        <v>45681</v>
      </c>
      <c r="S513" s="348"/>
    </row>
    <row r="514" spans="1:19" hidden="1" x14ac:dyDescent="0.25">
      <c r="A514" s="359">
        <v>0</v>
      </c>
      <c r="B514" s="49" t="s">
        <v>3717</v>
      </c>
      <c r="C514" s="49" t="s">
        <v>83</v>
      </c>
      <c r="D514" s="49"/>
      <c r="E514" s="49">
        <v>184224</v>
      </c>
      <c r="F514" s="49" t="s">
        <v>3718</v>
      </c>
      <c r="G514" s="49" t="s">
        <v>296</v>
      </c>
      <c r="H514" s="49" t="s">
        <v>3719</v>
      </c>
      <c r="I514" s="49" t="s">
        <v>1730</v>
      </c>
      <c r="J514" s="316"/>
      <c r="K514" s="360">
        <v>45548</v>
      </c>
      <c r="L514" s="363" t="s">
        <v>28</v>
      </c>
      <c r="M514" s="317" t="s">
        <v>3720</v>
      </c>
      <c r="N514" s="317">
        <v>1</v>
      </c>
      <c r="O514" s="322">
        <v>45631</v>
      </c>
      <c r="P514" s="365" t="s">
        <v>30</v>
      </c>
      <c r="Q514" s="364">
        <v>45637</v>
      </c>
      <c r="R514" s="364">
        <v>45637</v>
      </c>
      <c r="S514" s="348"/>
    </row>
    <row r="515" spans="1:19" hidden="1" x14ac:dyDescent="0.25">
      <c r="A515" s="359">
        <v>0</v>
      </c>
      <c r="B515" s="49" t="s">
        <v>3721</v>
      </c>
      <c r="C515" s="49" t="s">
        <v>83</v>
      </c>
      <c r="D515" s="49"/>
      <c r="E515" s="49">
        <v>184224</v>
      </c>
      <c r="F515" s="49" t="s">
        <v>3722</v>
      </c>
      <c r="G515" s="49" t="s">
        <v>3723</v>
      </c>
      <c r="H515" s="49" t="s">
        <v>3724</v>
      </c>
      <c r="I515" s="49" t="s">
        <v>3725</v>
      </c>
      <c r="J515" s="316">
        <v>45603</v>
      </c>
      <c r="K515" s="360">
        <v>45548</v>
      </c>
      <c r="L515" s="363" t="s">
        <v>28</v>
      </c>
      <c r="M515" s="317" t="s">
        <v>3726</v>
      </c>
      <c r="N515" s="317">
        <v>6</v>
      </c>
      <c r="O515" s="322">
        <v>45608</v>
      </c>
      <c r="P515" s="365" t="s">
        <v>30</v>
      </c>
      <c r="Q515" s="364">
        <v>45608</v>
      </c>
      <c r="R515" s="364">
        <v>45608</v>
      </c>
      <c r="S515" s="348"/>
    </row>
    <row r="516" spans="1:19" ht="25.5" hidden="1" x14ac:dyDescent="0.25">
      <c r="A516" s="359">
        <v>0</v>
      </c>
      <c r="B516" s="49" t="s">
        <v>3727</v>
      </c>
      <c r="C516" s="49" t="s">
        <v>83</v>
      </c>
      <c r="D516" s="49"/>
      <c r="E516" s="287">
        <v>184224</v>
      </c>
      <c r="F516" s="49" t="s">
        <v>3728</v>
      </c>
      <c r="G516" s="49" t="s">
        <v>3729</v>
      </c>
      <c r="H516" s="49" t="s">
        <v>1739</v>
      </c>
      <c r="I516" s="49" t="s">
        <v>1730</v>
      </c>
      <c r="J516" s="316">
        <v>45693</v>
      </c>
      <c r="K516" s="360">
        <v>45548</v>
      </c>
      <c r="L516" s="363" t="s">
        <v>28</v>
      </c>
      <c r="M516" s="317" t="s">
        <v>3730</v>
      </c>
      <c r="N516" s="317">
        <v>2</v>
      </c>
      <c r="O516" s="322">
        <v>45694</v>
      </c>
      <c r="P516" s="365" t="s">
        <v>30</v>
      </c>
      <c r="Q516" s="364">
        <v>45694</v>
      </c>
      <c r="R516" s="364">
        <v>45694</v>
      </c>
      <c r="S516" s="348"/>
    </row>
    <row r="517" spans="1:19" hidden="1" x14ac:dyDescent="0.25">
      <c r="A517" s="359">
        <v>0</v>
      </c>
      <c r="B517" s="49" t="s">
        <v>3731</v>
      </c>
      <c r="C517" s="49" t="s">
        <v>83</v>
      </c>
      <c r="D517" s="49"/>
      <c r="E517" s="49">
        <v>184224</v>
      </c>
      <c r="F517" s="49" t="s">
        <v>3732</v>
      </c>
      <c r="G517" s="49" t="s">
        <v>1724</v>
      </c>
      <c r="H517" s="49" t="s">
        <v>3733</v>
      </c>
      <c r="I517" s="49" t="s">
        <v>73</v>
      </c>
      <c r="J517" s="316"/>
      <c r="K517" s="360">
        <v>45548</v>
      </c>
      <c r="L517" s="363" t="s">
        <v>28</v>
      </c>
      <c r="M517" s="317" t="s">
        <v>84</v>
      </c>
      <c r="N517" s="317">
        <v>1</v>
      </c>
      <c r="O517" s="322">
        <v>45632</v>
      </c>
      <c r="P517" s="365" t="s">
        <v>30</v>
      </c>
      <c r="Q517" s="364">
        <v>45637</v>
      </c>
      <c r="R517" s="364">
        <v>45637</v>
      </c>
      <c r="S517" s="348"/>
    </row>
    <row r="518" spans="1:19" hidden="1" x14ac:dyDescent="0.25">
      <c r="A518" s="359">
        <v>0</v>
      </c>
      <c r="B518" s="49" t="s">
        <v>3734</v>
      </c>
      <c r="C518" s="49" t="s">
        <v>83</v>
      </c>
      <c r="D518" s="49"/>
      <c r="E518" s="49">
        <v>184224</v>
      </c>
      <c r="F518" s="49" t="s">
        <v>3735</v>
      </c>
      <c r="G518" s="49" t="s">
        <v>296</v>
      </c>
      <c r="H518" s="49" t="s">
        <v>2688</v>
      </c>
      <c r="I518" s="49" t="s">
        <v>1730</v>
      </c>
      <c r="J518" s="316">
        <v>45631</v>
      </c>
      <c r="K518" s="360">
        <v>45548</v>
      </c>
      <c r="L518" s="363" t="s">
        <v>28</v>
      </c>
      <c r="M518" s="317" t="s">
        <v>2690</v>
      </c>
      <c r="N518" s="317">
        <v>5</v>
      </c>
      <c r="O518" s="322">
        <v>45631</v>
      </c>
      <c r="P518" s="365" t="s">
        <v>30</v>
      </c>
      <c r="Q518" s="364">
        <v>45637</v>
      </c>
      <c r="R518" s="364">
        <v>45637</v>
      </c>
      <c r="S518" s="348"/>
    </row>
    <row r="519" spans="1:19" ht="25.5" hidden="1" x14ac:dyDescent="0.25">
      <c r="A519" s="359">
        <v>0</v>
      </c>
      <c r="B519" s="49" t="s">
        <v>3736</v>
      </c>
      <c r="C519" s="49" t="s">
        <v>83</v>
      </c>
      <c r="D519" s="49"/>
      <c r="E519" s="49">
        <v>184224</v>
      </c>
      <c r="F519" s="49" t="s">
        <v>3737</v>
      </c>
      <c r="G519" s="49" t="s">
        <v>3307</v>
      </c>
      <c r="H519" s="49" t="s">
        <v>1744</v>
      </c>
      <c r="I519" s="49" t="s">
        <v>2689</v>
      </c>
      <c r="J519" s="316">
        <v>45708</v>
      </c>
      <c r="K519" s="360">
        <v>45548</v>
      </c>
      <c r="L519" s="363" t="s">
        <v>28</v>
      </c>
      <c r="M519" s="317" t="s">
        <v>1745</v>
      </c>
      <c r="N519" s="317">
        <v>2</v>
      </c>
      <c r="O519" s="322">
        <v>45709</v>
      </c>
      <c r="P519" s="365" t="s">
        <v>30</v>
      </c>
      <c r="Q519" s="364">
        <v>45712</v>
      </c>
      <c r="R519" s="364">
        <v>45712</v>
      </c>
      <c r="S519" s="348"/>
    </row>
    <row r="520" spans="1:19" hidden="1" x14ac:dyDescent="0.25">
      <c r="A520" s="359">
        <v>0</v>
      </c>
      <c r="B520" s="49" t="s">
        <v>3738</v>
      </c>
      <c r="C520" s="49" t="s">
        <v>83</v>
      </c>
      <c r="D520" s="49"/>
      <c r="E520" s="49">
        <v>184224</v>
      </c>
      <c r="F520" s="49" t="s">
        <v>3739</v>
      </c>
      <c r="G520" s="49" t="s">
        <v>296</v>
      </c>
      <c r="H520" s="49" t="s">
        <v>2671</v>
      </c>
      <c r="I520" s="49" t="s">
        <v>1730</v>
      </c>
      <c r="J520" s="316">
        <v>45700</v>
      </c>
      <c r="K520" s="360">
        <v>45548</v>
      </c>
      <c r="L520" s="363" t="s">
        <v>47</v>
      </c>
      <c r="M520" s="317" t="s">
        <v>2672</v>
      </c>
      <c r="N520" s="317">
        <v>12</v>
      </c>
      <c r="O520" s="322">
        <v>45702</v>
      </c>
      <c r="P520" s="365" t="s">
        <v>30</v>
      </c>
      <c r="Q520" s="364">
        <v>45702</v>
      </c>
      <c r="R520" s="364">
        <v>45702</v>
      </c>
      <c r="S520" s="348"/>
    </row>
    <row r="521" spans="1:19" ht="25.5" hidden="1" x14ac:dyDescent="0.25">
      <c r="A521" s="359">
        <v>0</v>
      </c>
      <c r="B521" s="49" t="s">
        <v>3740</v>
      </c>
      <c r="C521" s="49" t="s">
        <v>1711</v>
      </c>
      <c r="D521" s="49"/>
      <c r="E521" s="49">
        <v>184209</v>
      </c>
      <c r="F521" s="49" t="s">
        <v>3741</v>
      </c>
      <c r="G521" s="49" t="s">
        <v>3742</v>
      </c>
      <c r="H521" s="49" t="s">
        <v>3743</v>
      </c>
      <c r="I521" s="49" t="s">
        <v>3744</v>
      </c>
      <c r="J521" s="316">
        <v>45533</v>
      </c>
      <c r="K521" s="360">
        <v>45541</v>
      </c>
      <c r="L521" s="363" t="s">
        <v>28</v>
      </c>
      <c r="M521" s="317" t="s">
        <v>3745</v>
      </c>
      <c r="N521" s="317">
        <v>8</v>
      </c>
      <c r="O521" s="322">
        <v>45569</v>
      </c>
      <c r="P521" s="365" t="s">
        <v>30</v>
      </c>
      <c r="Q521" s="364">
        <v>45569</v>
      </c>
      <c r="R521" s="364">
        <v>45569</v>
      </c>
      <c r="S521" s="348"/>
    </row>
    <row r="522" spans="1:19" ht="38.25" hidden="1" x14ac:dyDescent="0.25">
      <c r="A522" s="359">
        <v>0</v>
      </c>
      <c r="B522" s="49" t="s">
        <v>3746</v>
      </c>
      <c r="C522" s="49" t="s">
        <v>2952</v>
      </c>
      <c r="D522" s="49"/>
      <c r="E522" s="49">
        <v>184313</v>
      </c>
      <c r="F522" s="49" t="s">
        <v>3747</v>
      </c>
      <c r="G522" s="49" t="s">
        <v>3748</v>
      </c>
      <c r="H522" s="49" t="s">
        <v>3749</v>
      </c>
      <c r="I522" s="49" t="s">
        <v>3750</v>
      </c>
      <c r="J522" s="316">
        <v>45580</v>
      </c>
      <c r="K522" s="360">
        <v>45581</v>
      </c>
      <c r="L522" s="363" t="s">
        <v>47</v>
      </c>
      <c r="M522" s="317" t="s">
        <v>3751</v>
      </c>
      <c r="N522" s="317">
        <v>4</v>
      </c>
      <c r="O522" s="322">
        <v>45583</v>
      </c>
      <c r="P522" s="365" t="s">
        <v>30</v>
      </c>
      <c r="Q522" s="364">
        <v>45583</v>
      </c>
      <c r="R522" s="364">
        <v>45583</v>
      </c>
      <c r="S522" s="348"/>
    </row>
    <row r="523" spans="1:19" ht="25.5" hidden="1" x14ac:dyDescent="0.25">
      <c r="A523" s="359">
        <v>0</v>
      </c>
      <c r="B523" s="49" t="s">
        <v>3752</v>
      </c>
      <c r="C523" s="49" t="s">
        <v>2187</v>
      </c>
      <c r="D523" s="49"/>
      <c r="E523" s="49">
        <v>184314</v>
      </c>
      <c r="F523" s="49" t="s">
        <v>3753</v>
      </c>
      <c r="G523" s="49" t="s">
        <v>3754</v>
      </c>
      <c r="H523" s="49" t="s">
        <v>3755</v>
      </c>
      <c r="I523" s="49" t="s">
        <v>3756</v>
      </c>
      <c r="J523" s="316">
        <v>45595</v>
      </c>
      <c r="K523" s="360">
        <v>45593</v>
      </c>
      <c r="L523" s="363" t="s">
        <v>28</v>
      </c>
      <c r="M523" s="317" t="s">
        <v>3034</v>
      </c>
      <c r="N523" s="317">
        <v>3</v>
      </c>
      <c r="O523" s="322">
        <v>45636</v>
      </c>
      <c r="P523" s="365" t="s">
        <v>30</v>
      </c>
      <c r="Q523" s="364">
        <v>45636</v>
      </c>
      <c r="R523" s="364">
        <v>45636</v>
      </c>
      <c r="S523" s="348"/>
    </row>
    <row r="524" spans="1:19" ht="38.25" hidden="1" x14ac:dyDescent="0.25">
      <c r="A524" s="359">
        <v>0</v>
      </c>
      <c r="B524" s="49" t="s">
        <v>3757</v>
      </c>
      <c r="C524" s="49" t="s">
        <v>3758</v>
      </c>
      <c r="D524" s="49"/>
      <c r="E524" s="49">
        <v>183604</v>
      </c>
      <c r="F524" s="49" t="s">
        <v>3759</v>
      </c>
      <c r="G524" s="49" t="s">
        <v>44</v>
      </c>
      <c r="H524" s="49" t="s">
        <v>3760</v>
      </c>
      <c r="I524" s="49" t="s">
        <v>3761</v>
      </c>
      <c r="J524" s="316">
        <v>45575</v>
      </c>
      <c r="K524" s="360">
        <v>45581</v>
      </c>
      <c r="L524" s="363" t="s">
        <v>47</v>
      </c>
      <c r="M524" s="317" t="s">
        <v>3762</v>
      </c>
      <c r="N524" s="317">
        <v>1</v>
      </c>
      <c r="O524" s="322">
        <v>45583</v>
      </c>
      <c r="P524" s="365" t="s">
        <v>30</v>
      </c>
      <c r="Q524" s="364">
        <v>45583</v>
      </c>
      <c r="R524" s="364">
        <v>45583</v>
      </c>
      <c r="S524" s="348"/>
    </row>
    <row r="525" spans="1:19" ht="25.5" hidden="1" x14ac:dyDescent="0.25">
      <c r="A525" s="359">
        <v>0</v>
      </c>
      <c r="B525" s="49" t="s">
        <v>3763</v>
      </c>
      <c r="C525" s="49" t="s">
        <v>1820</v>
      </c>
      <c r="D525" s="49"/>
      <c r="E525" s="49">
        <v>184317</v>
      </c>
      <c r="F525" s="49" t="s">
        <v>3764</v>
      </c>
      <c r="G525" s="49" t="s">
        <v>3765</v>
      </c>
      <c r="H525" s="49" t="s">
        <v>3766</v>
      </c>
      <c r="I525" s="49" t="s">
        <v>588</v>
      </c>
      <c r="J525" s="316">
        <v>45581</v>
      </c>
      <c r="K525" s="360">
        <v>45583</v>
      </c>
      <c r="L525" s="363" t="s">
        <v>28</v>
      </c>
      <c r="M525" s="317" t="s">
        <v>435</v>
      </c>
      <c r="N525" s="317">
        <v>1</v>
      </c>
      <c r="O525" s="322">
        <v>45586</v>
      </c>
      <c r="P525" s="365" t="s">
        <v>30</v>
      </c>
      <c r="Q525" s="364">
        <v>45586</v>
      </c>
      <c r="R525" s="364">
        <v>45586</v>
      </c>
      <c r="S525" s="348"/>
    </row>
    <row r="526" spans="1:19" ht="25.5" hidden="1" x14ac:dyDescent="0.25">
      <c r="A526" s="359">
        <v>0</v>
      </c>
      <c r="B526" s="49" t="s">
        <v>3767</v>
      </c>
      <c r="C526" s="49" t="s">
        <v>3557</v>
      </c>
      <c r="D526" s="49"/>
      <c r="E526" s="49">
        <v>184557</v>
      </c>
      <c r="F526" s="49" t="s">
        <v>3768</v>
      </c>
      <c r="G526" s="49" t="s">
        <v>1113</v>
      </c>
      <c r="H526" s="49" t="s">
        <v>3769</v>
      </c>
      <c r="I526" s="49" t="s">
        <v>1106</v>
      </c>
      <c r="J526" s="316">
        <v>46004</v>
      </c>
      <c r="K526" s="360"/>
      <c r="L526" s="363" t="s">
        <v>28</v>
      </c>
      <c r="M526" s="317">
        <v>1226855</v>
      </c>
      <c r="N526" s="317">
        <v>2</v>
      </c>
      <c r="O526" s="322">
        <v>45659</v>
      </c>
      <c r="P526" s="365" t="s">
        <v>30</v>
      </c>
      <c r="Q526" s="364">
        <v>45660</v>
      </c>
      <c r="R526" s="364">
        <v>45660</v>
      </c>
      <c r="S526" s="348"/>
    </row>
    <row r="527" spans="1:19" ht="25.5" hidden="1" x14ac:dyDescent="0.25">
      <c r="A527" s="359">
        <v>0</v>
      </c>
      <c r="B527" s="49" t="s">
        <v>3770</v>
      </c>
      <c r="C527" s="49" t="s">
        <v>3557</v>
      </c>
      <c r="D527" s="49"/>
      <c r="E527" s="49">
        <v>184509</v>
      </c>
      <c r="F527" s="49" t="s">
        <v>3771</v>
      </c>
      <c r="G527" s="49" t="s">
        <v>1113</v>
      </c>
      <c r="H527" s="49" t="s">
        <v>3772</v>
      </c>
      <c r="I527" s="49" t="s">
        <v>1106</v>
      </c>
      <c r="J527" s="316"/>
      <c r="K527" s="360"/>
      <c r="L527" s="363" t="s">
        <v>28</v>
      </c>
      <c r="M527" s="317" t="s">
        <v>3594</v>
      </c>
      <c r="N527" s="317">
        <v>4</v>
      </c>
      <c r="O527" s="322">
        <v>45632</v>
      </c>
      <c r="P527" s="365" t="s">
        <v>30</v>
      </c>
      <c r="Q527" s="364">
        <v>45637</v>
      </c>
      <c r="R527" s="364">
        <v>45637</v>
      </c>
      <c r="S527" s="348"/>
    </row>
    <row r="528" spans="1:19" ht="25.5" hidden="1" x14ac:dyDescent="0.25">
      <c r="A528" s="359">
        <v>0</v>
      </c>
      <c r="B528" s="49" t="s">
        <v>3773</v>
      </c>
      <c r="C528" s="49" t="s">
        <v>3557</v>
      </c>
      <c r="D528" s="49"/>
      <c r="E528" s="49">
        <v>184486</v>
      </c>
      <c r="F528" s="49" t="s">
        <v>3774</v>
      </c>
      <c r="G528" s="49" t="s">
        <v>1118</v>
      </c>
      <c r="H528" s="49" t="s">
        <v>3775</v>
      </c>
      <c r="I528" s="49" t="s">
        <v>1106</v>
      </c>
      <c r="J528" s="316">
        <v>45986</v>
      </c>
      <c r="K528" s="360"/>
      <c r="L528" s="363" t="s">
        <v>28</v>
      </c>
      <c r="M528" s="317" t="s">
        <v>1120</v>
      </c>
      <c r="N528" s="317">
        <v>4</v>
      </c>
      <c r="O528" s="322">
        <v>45656</v>
      </c>
      <c r="P528" s="365" t="s">
        <v>30</v>
      </c>
      <c r="Q528" s="364">
        <v>45659</v>
      </c>
      <c r="R528" s="364">
        <v>45659</v>
      </c>
      <c r="S528" s="348"/>
    </row>
    <row r="529" spans="1:19" ht="25.5" hidden="1" x14ac:dyDescent="0.25">
      <c r="A529" s="359">
        <v>0</v>
      </c>
      <c r="B529" s="49" t="s">
        <v>3776</v>
      </c>
      <c r="C529" s="49" t="s">
        <v>3557</v>
      </c>
      <c r="D529" s="49"/>
      <c r="E529" s="49">
        <v>184326</v>
      </c>
      <c r="F529" s="49" t="s">
        <v>3777</v>
      </c>
      <c r="G529" s="49" t="s">
        <v>3778</v>
      </c>
      <c r="H529" s="49" t="s">
        <v>3779</v>
      </c>
      <c r="I529" s="49" t="s">
        <v>1106</v>
      </c>
      <c r="J529" s="316">
        <v>45583</v>
      </c>
      <c r="K529" s="360">
        <v>45583</v>
      </c>
      <c r="L529" s="363" t="s">
        <v>28</v>
      </c>
      <c r="M529" s="366" t="s">
        <v>3780</v>
      </c>
      <c r="N529" s="317">
        <v>2</v>
      </c>
      <c r="O529" s="322">
        <v>45590</v>
      </c>
      <c r="P529" s="365" t="s">
        <v>30</v>
      </c>
      <c r="Q529" s="364">
        <v>45593</v>
      </c>
      <c r="R529" s="364">
        <v>45593</v>
      </c>
      <c r="S529" s="348"/>
    </row>
    <row r="530" spans="1:19" ht="25.5" hidden="1" x14ac:dyDescent="0.25">
      <c r="A530" s="359">
        <v>0</v>
      </c>
      <c r="B530" s="49" t="s">
        <v>3781</v>
      </c>
      <c r="C530" s="49" t="s">
        <v>3557</v>
      </c>
      <c r="D530" s="49"/>
      <c r="E530" s="49">
        <v>184528</v>
      </c>
      <c r="F530" s="49" t="s">
        <v>3782</v>
      </c>
      <c r="G530" s="49" t="s">
        <v>1113</v>
      </c>
      <c r="H530" s="49" t="s">
        <v>3783</v>
      </c>
      <c r="I530" s="49" t="s">
        <v>1106</v>
      </c>
      <c r="J530" s="316">
        <v>45646</v>
      </c>
      <c r="K530" s="360"/>
      <c r="L530" s="363" t="s">
        <v>28</v>
      </c>
      <c r="M530" s="317" t="s">
        <v>3784</v>
      </c>
      <c r="N530" s="317">
        <v>2</v>
      </c>
      <c r="O530" s="322">
        <v>46011</v>
      </c>
      <c r="P530" s="365" t="s">
        <v>30</v>
      </c>
      <c r="Q530" s="364">
        <v>45660</v>
      </c>
      <c r="R530" s="364">
        <v>45660</v>
      </c>
      <c r="S530" s="348"/>
    </row>
    <row r="531" spans="1:19" ht="25.5" hidden="1" x14ac:dyDescent="0.25">
      <c r="A531" s="359">
        <v>0</v>
      </c>
      <c r="B531" s="49" t="s">
        <v>3785</v>
      </c>
      <c r="C531" s="49" t="s">
        <v>3557</v>
      </c>
      <c r="D531" s="49"/>
      <c r="E531" s="49">
        <v>184559</v>
      </c>
      <c r="F531" s="49" t="s">
        <v>3786</v>
      </c>
      <c r="G531" s="49" t="s">
        <v>1104</v>
      </c>
      <c r="H531" s="49" t="s">
        <v>3787</v>
      </c>
      <c r="I531" s="49" t="s">
        <v>1106</v>
      </c>
      <c r="J531" s="316">
        <v>45656</v>
      </c>
      <c r="K531" s="360">
        <v>45659</v>
      </c>
      <c r="L531" s="363" t="s">
        <v>28</v>
      </c>
      <c r="M531" s="317" t="s">
        <v>3567</v>
      </c>
      <c r="N531" s="317">
        <v>2</v>
      </c>
      <c r="O531" s="322">
        <v>45666</v>
      </c>
      <c r="P531" s="365" t="s">
        <v>30</v>
      </c>
      <c r="Q531" s="364">
        <v>45667</v>
      </c>
      <c r="R531" s="364">
        <v>45667</v>
      </c>
      <c r="S531" s="348"/>
    </row>
    <row r="532" spans="1:19" ht="25.5" hidden="1" x14ac:dyDescent="0.25">
      <c r="A532" s="359">
        <v>0</v>
      </c>
      <c r="B532" s="49" t="s">
        <v>3788</v>
      </c>
      <c r="C532" s="49" t="s">
        <v>3557</v>
      </c>
      <c r="D532" s="49"/>
      <c r="E532" s="49">
        <v>184558</v>
      </c>
      <c r="F532" s="49" t="s">
        <v>3789</v>
      </c>
      <c r="G532" s="49" t="s">
        <v>3790</v>
      </c>
      <c r="H532" s="49" t="s">
        <v>3791</v>
      </c>
      <c r="I532" s="49" t="s">
        <v>1106</v>
      </c>
      <c r="J532" s="316">
        <v>45656</v>
      </c>
      <c r="K532" s="360"/>
      <c r="L532" s="363" t="s">
        <v>47</v>
      </c>
      <c r="M532" s="317" t="s">
        <v>3792</v>
      </c>
      <c r="N532" s="317">
        <v>2</v>
      </c>
      <c r="O532" s="322">
        <v>45673</v>
      </c>
      <c r="P532" s="365" t="s">
        <v>30</v>
      </c>
      <c r="Q532" s="364">
        <v>45673</v>
      </c>
      <c r="R532" s="364">
        <v>45673</v>
      </c>
      <c r="S532" s="348"/>
    </row>
    <row r="533" spans="1:19" ht="25.5" hidden="1" x14ac:dyDescent="0.25">
      <c r="A533" s="359">
        <v>0</v>
      </c>
      <c r="B533" s="49" t="s">
        <v>3793</v>
      </c>
      <c r="C533" s="49" t="s">
        <v>3557</v>
      </c>
      <c r="D533" s="49"/>
      <c r="E533" s="49">
        <v>184602</v>
      </c>
      <c r="F533" s="49" t="s">
        <v>3794</v>
      </c>
      <c r="G533" s="49" t="s">
        <v>3795</v>
      </c>
      <c r="H533" s="49" t="s">
        <v>3796</v>
      </c>
      <c r="I533" s="49" t="s">
        <v>1106</v>
      </c>
      <c r="J533" s="316">
        <v>45678</v>
      </c>
      <c r="K533" s="360"/>
      <c r="L533" s="363" t="s">
        <v>28</v>
      </c>
      <c r="M533" s="317" t="s">
        <v>3797</v>
      </c>
      <c r="N533" s="317">
        <v>4</v>
      </c>
      <c r="O533" s="322">
        <v>45685</v>
      </c>
      <c r="P533" s="365" t="s">
        <v>30</v>
      </c>
      <c r="Q533" s="364">
        <v>45686</v>
      </c>
      <c r="R533" s="364">
        <v>45686</v>
      </c>
      <c r="S533" s="348"/>
    </row>
    <row r="534" spans="1:19" ht="25.5" hidden="1" x14ac:dyDescent="0.25">
      <c r="A534" s="359">
        <v>0</v>
      </c>
      <c r="B534" s="49" t="s">
        <v>3798</v>
      </c>
      <c r="C534" s="49" t="s">
        <v>3557</v>
      </c>
      <c r="D534" s="49"/>
      <c r="E534" s="49">
        <v>184571</v>
      </c>
      <c r="F534" s="49" t="s">
        <v>3799</v>
      </c>
      <c r="G534" s="49" t="s">
        <v>3800</v>
      </c>
      <c r="H534" s="49" t="s">
        <v>3801</v>
      </c>
      <c r="I534" s="49" t="s">
        <v>1106</v>
      </c>
      <c r="J534" s="316">
        <v>45670</v>
      </c>
      <c r="K534" s="360">
        <v>45671</v>
      </c>
      <c r="L534" s="363" t="s">
        <v>47</v>
      </c>
      <c r="M534" s="317" t="s">
        <v>3784</v>
      </c>
      <c r="N534" s="317">
        <v>2</v>
      </c>
      <c r="O534" s="322">
        <v>45674</v>
      </c>
      <c r="P534" s="365" t="s">
        <v>30</v>
      </c>
      <c r="Q534" s="364">
        <v>45677</v>
      </c>
      <c r="R534" s="364">
        <v>45677</v>
      </c>
      <c r="S534" s="348"/>
    </row>
    <row r="535" spans="1:19" ht="25.5" hidden="1" x14ac:dyDescent="0.25">
      <c r="A535" s="359">
        <v>0</v>
      </c>
      <c r="B535" s="49" t="s">
        <v>3802</v>
      </c>
      <c r="C535" s="49" t="s">
        <v>3557</v>
      </c>
      <c r="D535" s="49"/>
      <c r="E535" s="49">
        <v>184543</v>
      </c>
      <c r="F535" s="49" t="s">
        <v>3803</v>
      </c>
      <c r="G535" s="49" t="s">
        <v>3804</v>
      </c>
      <c r="H535" s="49" t="s">
        <v>3805</v>
      </c>
      <c r="I535" s="49" t="s">
        <v>1106</v>
      </c>
      <c r="J535" s="316"/>
      <c r="K535" s="360"/>
      <c r="L535" s="363" t="s">
        <v>28</v>
      </c>
      <c r="M535" s="317">
        <v>3022694</v>
      </c>
      <c r="N535" s="317">
        <v>2</v>
      </c>
      <c r="O535" s="322">
        <v>45644</v>
      </c>
      <c r="P535" s="365" t="s">
        <v>30</v>
      </c>
      <c r="Q535" s="364">
        <v>45645</v>
      </c>
      <c r="R535" s="364">
        <v>45645</v>
      </c>
      <c r="S535" s="348"/>
    </row>
    <row r="536" spans="1:19" ht="25.5" hidden="1" x14ac:dyDescent="0.25">
      <c r="A536" s="359">
        <v>0</v>
      </c>
      <c r="B536" s="49" t="s">
        <v>3806</v>
      </c>
      <c r="C536" s="49" t="s">
        <v>3557</v>
      </c>
      <c r="D536" s="49"/>
      <c r="E536" s="49">
        <v>184510</v>
      </c>
      <c r="F536" s="49" t="s">
        <v>3807</v>
      </c>
      <c r="G536" s="49" t="s">
        <v>1113</v>
      </c>
      <c r="H536" s="49" t="s">
        <v>3808</v>
      </c>
      <c r="I536" s="49" t="s">
        <v>1106</v>
      </c>
      <c r="J536" s="316"/>
      <c r="K536" s="360"/>
      <c r="L536" s="363" t="s">
        <v>28</v>
      </c>
      <c r="M536" s="317" t="s">
        <v>1142</v>
      </c>
      <c r="N536" s="317">
        <v>1</v>
      </c>
      <c r="O536" s="322">
        <v>45632</v>
      </c>
      <c r="P536" s="365" t="s">
        <v>30</v>
      </c>
      <c r="Q536" s="364">
        <v>45632</v>
      </c>
      <c r="R536" s="364">
        <v>45632</v>
      </c>
      <c r="S536" s="348"/>
    </row>
    <row r="537" spans="1:19" ht="25.5" hidden="1" x14ac:dyDescent="0.25">
      <c r="A537" s="359">
        <v>0</v>
      </c>
      <c r="B537" s="49" t="s">
        <v>3809</v>
      </c>
      <c r="C537" s="49" t="s">
        <v>3557</v>
      </c>
      <c r="D537" s="49"/>
      <c r="E537" s="49">
        <v>184511</v>
      </c>
      <c r="F537" s="49" t="s">
        <v>3810</v>
      </c>
      <c r="G537" s="49" t="s">
        <v>1104</v>
      </c>
      <c r="H537" s="49" t="s">
        <v>3811</v>
      </c>
      <c r="I537" s="49" t="s">
        <v>1106</v>
      </c>
      <c r="J537" s="316"/>
      <c r="K537" s="360"/>
      <c r="L537" s="363" t="s">
        <v>28</v>
      </c>
      <c r="M537" s="317" t="s">
        <v>3812</v>
      </c>
      <c r="N537" s="317">
        <v>2</v>
      </c>
      <c r="O537" s="322">
        <v>45635</v>
      </c>
      <c r="P537" s="365" t="s">
        <v>30</v>
      </c>
      <c r="Q537" s="364">
        <v>45637</v>
      </c>
      <c r="R537" s="364">
        <v>45637</v>
      </c>
      <c r="S537" s="348"/>
    </row>
    <row r="538" spans="1:19" ht="25.5" hidden="1" x14ac:dyDescent="0.25">
      <c r="A538" s="359">
        <v>0</v>
      </c>
      <c r="B538" s="49" t="s">
        <v>3813</v>
      </c>
      <c r="C538" s="49" t="s">
        <v>3557</v>
      </c>
      <c r="D538" s="49"/>
      <c r="E538" s="49">
        <v>184266</v>
      </c>
      <c r="F538" s="49" t="s">
        <v>3814</v>
      </c>
      <c r="G538" s="49" t="s">
        <v>3795</v>
      </c>
      <c r="H538" s="49" t="s">
        <v>3815</v>
      </c>
      <c r="I538" s="49" t="s">
        <v>1106</v>
      </c>
      <c r="J538" s="316">
        <v>45560</v>
      </c>
      <c r="K538" s="360">
        <v>45560</v>
      </c>
      <c r="L538" s="363" t="s">
        <v>47</v>
      </c>
      <c r="M538" s="317" t="s">
        <v>3797</v>
      </c>
      <c r="N538" s="317">
        <v>12</v>
      </c>
      <c r="O538" s="322">
        <v>45575</v>
      </c>
      <c r="P538" s="365" t="s">
        <v>30</v>
      </c>
      <c r="Q538" s="364">
        <v>45575</v>
      </c>
      <c r="R538" s="364">
        <v>45575</v>
      </c>
      <c r="S538" s="348"/>
    </row>
    <row r="539" spans="1:19" ht="25.5" hidden="1" x14ac:dyDescent="0.25">
      <c r="A539" s="359">
        <v>0</v>
      </c>
      <c r="B539" s="49" t="s">
        <v>3816</v>
      </c>
      <c r="C539" s="49" t="s">
        <v>3557</v>
      </c>
      <c r="D539" s="49"/>
      <c r="E539" s="49">
        <v>184530</v>
      </c>
      <c r="F539" s="49" t="s">
        <v>3817</v>
      </c>
      <c r="G539" s="49" t="s">
        <v>3818</v>
      </c>
      <c r="H539" s="49" t="s">
        <v>3819</v>
      </c>
      <c r="I539" s="49" t="s">
        <v>1106</v>
      </c>
      <c r="J539" s="316">
        <v>46004</v>
      </c>
      <c r="K539" s="360"/>
      <c r="L539" s="363" t="s">
        <v>28</v>
      </c>
      <c r="M539" s="317" t="s">
        <v>3820</v>
      </c>
      <c r="N539" s="317">
        <v>10</v>
      </c>
      <c r="O539" s="322">
        <v>45646</v>
      </c>
      <c r="P539" s="365" t="s">
        <v>30</v>
      </c>
      <c r="Q539" s="364">
        <v>45660</v>
      </c>
      <c r="R539" s="364">
        <v>45660</v>
      </c>
      <c r="S539" s="348"/>
    </row>
    <row r="540" spans="1:19" ht="25.5" hidden="1" x14ac:dyDescent="0.25">
      <c r="A540" s="359">
        <v>0</v>
      </c>
      <c r="B540" s="49" t="s">
        <v>3821</v>
      </c>
      <c r="C540" s="49" t="s">
        <v>3557</v>
      </c>
      <c r="D540" s="49"/>
      <c r="E540" s="49">
        <v>184570</v>
      </c>
      <c r="F540" s="49" t="s">
        <v>3822</v>
      </c>
      <c r="G540" s="49" t="s">
        <v>3823</v>
      </c>
      <c r="H540" s="49" t="s">
        <v>3824</v>
      </c>
      <c r="I540" s="49" t="s">
        <v>1106</v>
      </c>
      <c r="J540" s="316">
        <v>45671</v>
      </c>
      <c r="K540" s="360">
        <v>45674</v>
      </c>
      <c r="L540" s="363" t="s">
        <v>47</v>
      </c>
      <c r="M540" s="317" t="s">
        <v>1149</v>
      </c>
      <c r="N540" s="317">
        <v>5</v>
      </c>
      <c r="O540" s="322">
        <v>45672</v>
      </c>
      <c r="P540" s="365" t="s">
        <v>30</v>
      </c>
      <c r="Q540" s="364">
        <v>45673</v>
      </c>
      <c r="R540" s="364">
        <v>45673</v>
      </c>
      <c r="S540" s="348"/>
    </row>
    <row r="541" spans="1:19" ht="25.5" hidden="1" x14ac:dyDescent="0.25">
      <c r="A541" s="359">
        <v>0</v>
      </c>
      <c r="B541" s="49" t="s">
        <v>3825</v>
      </c>
      <c r="C541" s="49" t="s">
        <v>3557</v>
      </c>
      <c r="D541" s="49"/>
      <c r="E541" s="49">
        <v>184614</v>
      </c>
      <c r="F541" s="49" t="s">
        <v>3826</v>
      </c>
      <c r="G541" s="49" t="s">
        <v>3804</v>
      </c>
      <c r="H541" s="49" t="s">
        <v>3827</v>
      </c>
      <c r="I541" s="49" t="s">
        <v>1106</v>
      </c>
      <c r="J541" s="316">
        <v>45680</v>
      </c>
      <c r="K541" s="360">
        <v>45684</v>
      </c>
      <c r="L541" s="363" t="s">
        <v>28</v>
      </c>
      <c r="M541" s="317" t="s">
        <v>3828</v>
      </c>
      <c r="N541" s="317">
        <v>5</v>
      </c>
      <c r="O541" s="322">
        <v>45692</v>
      </c>
      <c r="P541" s="365" t="s">
        <v>30</v>
      </c>
      <c r="Q541" s="364">
        <v>45693</v>
      </c>
      <c r="R541" s="364">
        <v>45693</v>
      </c>
      <c r="S541" s="348"/>
    </row>
    <row r="542" spans="1:19" ht="25.5" hidden="1" x14ac:dyDescent="0.25">
      <c r="A542" s="359">
        <v>0</v>
      </c>
      <c r="B542" s="49" t="s">
        <v>3829</v>
      </c>
      <c r="C542" s="49" t="s">
        <v>3557</v>
      </c>
      <c r="D542" s="49"/>
      <c r="E542" s="49">
        <v>184616</v>
      </c>
      <c r="F542" s="49" t="s">
        <v>3830</v>
      </c>
      <c r="G542" s="49" t="s">
        <v>3831</v>
      </c>
      <c r="H542" s="49" t="s">
        <v>1114</v>
      </c>
      <c r="I542" s="49" t="s">
        <v>1106</v>
      </c>
      <c r="J542" s="316">
        <v>45680</v>
      </c>
      <c r="K542" s="360">
        <v>45684</v>
      </c>
      <c r="L542" s="363" t="s">
        <v>28</v>
      </c>
      <c r="M542" s="317" t="s">
        <v>1115</v>
      </c>
      <c r="N542" s="317">
        <v>2</v>
      </c>
      <c r="O542" s="322">
        <v>45688</v>
      </c>
      <c r="P542" s="365" t="s">
        <v>30</v>
      </c>
      <c r="Q542" s="364">
        <v>45688</v>
      </c>
      <c r="R542" s="364">
        <v>45688</v>
      </c>
      <c r="S542" s="348"/>
    </row>
    <row r="543" spans="1:19" ht="25.5" hidden="1" x14ac:dyDescent="0.25">
      <c r="A543" s="359">
        <v>0</v>
      </c>
      <c r="B543" s="49" t="s">
        <v>3832</v>
      </c>
      <c r="C543" s="49" t="s">
        <v>3557</v>
      </c>
      <c r="D543" s="49"/>
      <c r="E543" s="49">
        <v>184615</v>
      </c>
      <c r="F543" s="49" t="s">
        <v>3833</v>
      </c>
      <c r="G543" s="49" t="s">
        <v>3818</v>
      </c>
      <c r="H543" s="49" t="s">
        <v>3819</v>
      </c>
      <c r="I543" s="49" t="s">
        <v>1106</v>
      </c>
      <c r="J543" s="316">
        <v>45680</v>
      </c>
      <c r="K543" s="360">
        <v>45684</v>
      </c>
      <c r="L543" s="363" t="s">
        <v>28</v>
      </c>
      <c r="M543" s="317" t="s">
        <v>1149</v>
      </c>
      <c r="N543" s="317">
        <v>4</v>
      </c>
      <c r="O543" s="322">
        <v>45687</v>
      </c>
      <c r="P543" s="365" t="s">
        <v>30</v>
      </c>
      <c r="Q543" s="364">
        <v>45688</v>
      </c>
      <c r="R543" s="364">
        <v>45688</v>
      </c>
      <c r="S543" s="348"/>
    </row>
    <row r="544" spans="1:19" ht="25.5" hidden="1" x14ac:dyDescent="0.25">
      <c r="A544" s="359">
        <v>0</v>
      </c>
      <c r="B544" s="49" t="s">
        <v>3834</v>
      </c>
      <c r="C544" s="49" t="s">
        <v>3557</v>
      </c>
      <c r="D544" s="49"/>
      <c r="E544" s="49">
        <v>184618</v>
      </c>
      <c r="F544" s="49" t="s">
        <v>3835</v>
      </c>
      <c r="G544" s="49" t="s">
        <v>1113</v>
      </c>
      <c r="H544" s="49" t="s">
        <v>3808</v>
      </c>
      <c r="I544" s="49" t="s">
        <v>1106</v>
      </c>
      <c r="J544" s="316">
        <v>45681</v>
      </c>
      <c r="K544" s="360">
        <v>45681</v>
      </c>
      <c r="L544" s="363" t="s">
        <v>47</v>
      </c>
      <c r="M544" s="317" t="s">
        <v>1142</v>
      </c>
      <c r="N544" s="317">
        <v>1</v>
      </c>
      <c r="O544" s="322">
        <v>45701</v>
      </c>
      <c r="P544" s="365" t="s">
        <v>30</v>
      </c>
      <c r="Q544" s="364">
        <v>45701</v>
      </c>
      <c r="R544" s="364">
        <v>45701</v>
      </c>
      <c r="S544" s="348"/>
    </row>
    <row r="545" spans="1:19" ht="25.5" hidden="1" x14ac:dyDescent="0.25">
      <c r="A545" s="359">
        <v>0</v>
      </c>
      <c r="B545" s="49" t="s">
        <v>3836</v>
      </c>
      <c r="C545" s="49" t="s">
        <v>3557</v>
      </c>
      <c r="D545" s="49"/>
      <c r="E545" s="49">
        <v>184316</v>
      </c>
      <c r="F545" s="49" t="s">
        <v>3837</v>
      </c>
      <c r="G545" s="49" t="s">
        <v>1135</v>
      </c>
      <c r="H545" s="49" t="s">
        <v>3838</v>
      </c>
      <c r="I545" s="49" t="s">
        <v>1106</v>
      </c>
      <c r="J545" s="316">
        <v>45581</v>
      </c>
      <c r="K545" s="360">
        <v>45581</v>
      </c>
      <c r="L545" s="363" t="s">
        <v>28</v>
      </c>
      <c r="M545" s="317" t="s">
        <v>3839</v>
      </c>
      <c r="N545" s="317">
        <v>3</v>
      </c>
      <c r="O545" s="322">
        <v>45595</v>
      </c>
      <c r="P545" s="365" t="s">
        <v>30</v>
      </c>
      <c r="Q545" s="364">
        <v>45595</v>
      </c>
      <c r="R545" s="364">
        <v>45595</v>
      </c>
      <c r="S545" s="348"/>
    </row>
    <row r="546" spans="1:19" ht="25.5" hidden="1" x14ac:dyDescent="0.25">
      <c r="A546" s="359">
        <v>0</v>
      </c>
      <c r="B546" s="49" t="s">
        <v>3840</v>
      </c>
      <c r="C546" s="49" t="s">
        <v>2059</v>
      </c>
      <c r="D546" s="49"/>
      <c r="E546" s="49">
        <v>184278</v>
      </c>
      <c r="F546" s="49" t="s">
        <v>3841</v>
      </c>
      <c r="G546" s="49" t="s">
        <v>3842</v>
      </c>
      <c r="H546" s="49" t="s">
        <v>3843</v>
      </c>
      <c r="I546" s="49" t="s">
        <v>3844</v>
      </c>
      <c r="J546" s="316">
        <v>45573</v>
      </c>
      <c r="K546" s="360">
        <v>45587</v>
      </c>
      <c r="L546" s="363" t="s">
        <v>47</v>
      </c>
      <c r="M546" s="317" t="s">
        <v>3845</v>
      </c>
      <c r="N546" s="317">
        <v>1</v>
      </c>
      <c r="O546" s="322">
        <v>45590</v>
      </c>
      <c r="P546" s="365" t="s">
        <v>30</v>
      </c>
      <c r="Q546" s="364">
        <v>45593</v>
      </c>
      <c r="R546" s="364">
        <v>45593</v>
      </c>
      <c r="S546" s="348"/>
    </row>
    <row r="547" spans="1:19" ht="25.5" hidden="1" x14ac:dyDescent="0.25">
      <c r="A547" s="359">
        <v>0</v>
      </c>
      <c r="B547" s="49" t="s">
        <v>3846</v>
      </c>
      <c r="C547" s="49" t="s">
        <v>1680</v>
      </c>
      <c r="D547" s="49"/>
      <c r="E547" s="49">
        <v>184279</v>
      </c>
      <c r="F547" s="49" t="s">
        <v>3847</v>
      </c>
      <c r="G547" s="49" t="s">
        <v>3848</v>
      </c>
      <c r="H547" s="49" t="s">
        <v>3849</v>
      </c>
      <c r="I547" s="49" t="s">
        <v>143</v>
      </c>
      <c r="J547" s="316">
        <v>45569</v>
      </c>
      <c r="K547" s="360">
        <v>45572</v>
      </c>
      <c r="L547" s="363" t="s">
        <v>47</v>
      </c>
      <c r="M547" s="317" t="s">
        <v>3850</v>
      </c>
      <c r="N547" s="317">
        <v>2</v>
      </c>
      <c r="O547" s="322">
        <v>45572</v>
      </c>
      <c r="P547" s="365" t="s">
        <v>30</v>
      </c>
      <c r="Q547" s="364">
        <v>45573</v>
      </c>
      <c r="R547" s="364">
        <v>45573</v>
      </c>
      <c r="S547" s="348"/>
    </row>
    <row r="548" spans="1:19" ht="25.5" hidden="1" x14ac:dyDescent="0.25">
      <c r="A548" s="359">
        <v>0</v>
      </c>
      <c r="B548" s="49" t="s">
        <v>3851</v>
      </c>
      <c r="C548" s="49" t="s">
        <v>2059</v>
      </c>
      <c r="D548" s="49"/>
      <c r="E548" s="49">
        <v>184283</v>
      </c>
      <c r="F548" s="49" t="s">
        <v>3852</v>
      </c>
      <c r="G548" s="49" t="s">
        <v>2119</v>
      </c>
      <c r="H548" s="49" t="s">
        <v>3853</v>
      </c>
      <c r="I548" s="49" t="s">
        <v>3854</v>
      </c>
      <c r="J548" s="316">
        <v>45572</v>
      </c>
      <c r="K548" s="360">
        <v>45587</v>
      </c>
      <c r="L548" s="363" t="s">
        <v>28</v>
      </c>
      <c r="M548" s="317" t="s">
        <v>3855</v>
      </c>
      <c r="N548" s="317">
        <v>2</v>
      </c>
      <c r="O548" s="322">
        <v>45590</v>
      </c>
      <c r="P548" s="365" t="s">
        <v>30</v>
      </c>
      <c r="Q548" s="364">
        <v>45590</v>
      </c>
      <c r="R548" s="364">
        <v>45590</v>
      </c>
      <c r="S548" s="348"/>
    </row>
    <row r="549" spans="1:19" ht="25.5" hidden="1" x14ac:dyDescent="0.25">
      <c r="A549" s="359">
        <v>0</v>
      </c>
      <c r="B549" s="49" t="s">
        <v>3856</v>
      </c>
      <c r="C549" s="49" t="s">
        <v>1820</v>
      </c>
      <c r="D549" s="49"/>
      <c r="E549" s="49">
        <v>184284</v>
      </c>
      <c r="F549" s="49" t="s">
        <v>3857</v>
      </c>
      <c r="G549" s="49" t="s">
        <v>427</v>
      </c>
      <c r="H549" s="49" t="s">
        <v>3858</v>
      </c>
      <c r="I549" s="49" t="s">
        <v>2640</v>
      </c>
      <c r="J549" s="316">
        <v>45573</v>
      </c>
      <c r="K549" s="360">
        <v>45575</v>
      </c>
      <c r="L549" s="363" t="s">
        <v>47</v>
      </c>
      <c r="M549" s="317" t="s">
        <v>2641</v>
      </c>
      <c r="N549" s="317">
        <v>2</v>
      </c>
      <c r="O549" s="322">
        <v>45576</v>
      </c>
      <c r="P549" s="365" t="s">
        <v>30</v>
      </c>
      <c r="Q549" s="364">
        <v>45576</v>
      </c>
      <c r="R549" s="364">
        <v>45576</v>
      </c>
      <c r="S549" s="348"/>
    </row>
    <row r="550" spans="1:19" ht="25.5" hidden="1" x14ac:dyDescent="0.25">
      <c r="A550" s="359">
        <v>0</v>
      </c>
      <c r="B550" s="49" t="s">
        <v>3859</v>
      </c>
      <c r="C550" s="49" t="s">
        <v>1711</v>
      </c>
      <c r="D550" s="49"/>
      <c r="E550" s="49">
        <v>184285</v>
      </c>
      <c r="F550" s="49"/>
      <c r="G550" s="49"/>
      <c r="H550" s="49"/>
      <c r="I550" s="49"/>
      <c r="J550" s="316"/>
      <c r="K550" s="360"/>
      <c r="L550" s="363"/>
      <c r="M550" s="317"/>
      <c r="N550" s="317"/>
      <c r="O550" s="322"/>
      <c r="P550" s="365"/>
      <c r="Q550" s="364"/>
      <c r="R550" s="364"/>
      <c r="S550" s="348"/>
    </row>
    <row r="551" spans="1:19" hidden="1" x14ac:dyDescent="0.25">
      <c r="A551" s="359">
        <v>0</v>
      </c>
      <c r="B551" s="49" t="s">
        <v>3860</v>
      </c>
      <c r="C551" s="49" t="s">
        <v>83</v>
      </c>
      <c r="D551" s="49"/>
      <c r="E551" s="49">
        <v>184287</v>
      </c>
      <c r="F551" s="49" t="s">
        <v>3861</v>
      </c>
      <c r="G551" s="49" t="s">
        <v>2155</v>
      </c>
      <c r="H551" s="49" t="s">
        <v>3862</v>
      </c>
      <c r="I551" s="49" t="s">
        <v>73</v>
      </c>
      <c r="J551" s="316"/>
      <c r="K551" s="360"/>
      <c r="L551" s="363" t="s">
        <v>28</v>
      </c>
      <c r="M551" s="317" t="s">
        <v>2138</v>
      </c>
      <c r="N551" s="317">
        <v>17</v>
      </c>
      <c r="O551" s="322">
        <v>45637</v>
      </c>
      <c r="P551" s="365" t="s">
        <v>30</v>
      </c>
      <c r="Q551" s="364">
        <v>45642</v>
      </c>
      <c r="R551" s="364">
        <v>45642</v>
      </c>
      <c r="S551" s="348"/>
    </row>
    <row r="552" spans="1:19" hidden="1" x14ac:dyDescent="0.25">
      <c r="A552" s="359">
        <v>0</v>
      </c>
      <c r="B552" s="49" t="s">
        <v>3863</v>
      </c>
      <c r="C552" s="49" t="s">
        <v>83</v>
      </c>
      <c r="D552" s="49"/>
      <c r="E552" s="49">
        <v>184287</v>
      </c>
      <c r="F552" s="49" t="s">
        <v>3864</v>
      </c>
      <c r="G552" s="49" t="s">
        <v>2155</v>
      </c>
      <c r="H552" s="49" t="s">
        <v>3865</v>
      </c>
      <c r="I552" s="49" t="s">
        <v>73</v>
      </c>
      <c r="J552" s="316"/>
      <c r="K552" s="360"/>
      <c r="L552" s="363" t="s">
        <v>28</v>
      </c>
      <c r="M552" s="317" t="s">
        <v>2157</v>
      </c>
      <c r="N552" s="317">
        <v>8</v>
      </c>
      <c r="O552" s="322">
        <v>45642</v>
      </c>
      <c r="P552" s="365" t="s">
        <v>30</v>
      </c>
      <c r="Q552" s="364">
        <v>45644</v>
      </c>
      <c r="R552" s="364">
        <v>45644</v>
      </c>
      <c r="S552" s="348"/>
    </row>
    <row r="553" spans="1:19" ht="25.5" hidden="1" x14ac:dyDescent="0.25">
      <c r="A553" s="359">
        <v>0</v>
      </c>
      <c r="B553" s="49" t="s">
        <v>3866</v>
      </c>
      <c r="C553" s="49" t="s">
        <v>3557</v>
      </c>
      <c r="D553" s="49"/>
      <c r="E553" s="49">
        <v>184324</v>
      </c>
      <c r="F553" s="49" t="s">
        <v>3867</v>
      </c>
      <c r="G553" s="49" t="s">
        <v>3868</v>
      </c>
      <c r="H553" s="49" t="s">
        <v>3869</v>
      </c>
      <c r="I553" s="49" t="s">
        <v>1106</v>
      </c>
      <c r="J553" s="316">
        <v>45583</v>
      </c>
      <c r="K553" s="360">
        <v>45583</v>
      </c>
      <c r="L553" s="363" t="s">
        <v>28</v>
      </c>
      <c r="M553" s="317" t="s">
        <v>3870</v>
      </c>
      <c r="N553" s="317">
        <v>2</v>
      </c>
      <c r="O553" s="322">
        <v>45593</v>
      </c>
      <c r="P553" s="365" t="s">
        <v>30</v>
      </c>
      <c r="Q553" s="364">
        <v>45593</v>
      </c>
      <c r="R553" s="364">
        <v>45593</v>
      </c>
      <c r="S553" s="348"/>
    </row>
    <row r="554" spans="1:19" ht="25.5" hidden="1" x14ac:dyDescent="0.25">
      <c r="A554" s="359">
        <v>0</v>
      </c>
      <c r="B554" s="49" t="s">
        <v>3871</v>
      </c>
      <c r="C554" s="49" t="s">
        <v>3557</v>
      </c>
      <c r="D554" s="49"/>
      <c r="E554" s="49">
        <v>184325</v>
      </c>
      <c r="F554" s="49" t="s">
        <v>3872</v>
      </c>
      <c r="G554" s="49" t="s">
        <v>1113</v>
      </c>
      <c r="H554" s="49" t="s">
        <v>3873</v>
      </c>
      <c r="I554" s="49" t="s">
        <v>1106</v>
      </c>
      <c r="J554" s="316">
        <v>45583</v>
      </c>
      <c r="K554" s="360">
        <v>45583</v>
      </c>
      <c r="L554" s="363" t="s">
        <v>28</v>
      </c>
      <c r="M554" s="317" t="s">
        <v>3594</v>
      </c>
      <c r="N554" s="317">
        <v>2</v>
      </c>
      <c r="O554" s="322">
        <v>45593</v>
      </c>
      <c r="P554" s="365" t="s">
        <v>30</v>
      </c>
      <c r="Q554" s="364">
        <v>45593</v>
      </c>
      <c r="R554" s="364">
        <v>45593</v>
      </c>
      <c r="S554" s="348"/>
    </row>
    <row r="555" spans="1:19" ht="25.5" hidden="1" x14ac:dyDescent="0.25">
      <c r="A555" s="359">
        <v>0</v>
      </c>
      <c r="B555" s="49" t="s">
        <v>3874</v>
      </c>
      <c r="C555" s="49" t="s">
        <v>3557</v>
      </c>
      <c r="D555" s="49"/>
      <c r="E555" s="49">
        <v>184323</v>
      </c>
      <c r="F555" s="49" t="s">
        <v>3875</v>
      </c>
      <c r="G555" s="49" t="s">
        <v>3574</v>
      </c>
      <c r="H555" s="49" t="s">
        <v>3876</v>
      </c>
      <c r="I555" s="49" t="s">
        <v>3584</v>
      </c>
      <c r="J555" s="316">
        <v>45583</v>
      </c>
      <c r="K555" s="360">
        <v>45583</v>
      </c>
      <c r="L555" s="363" t="s">
        <v>28</v>
      </c>
      <c r="M555" s="317" t="s">
        <v>1115</v>
      </c>
      <c r="N555" s="317">
        <v>2</v>
      </c>
      <c r="O555" s="322">
        <v>45593</v>
      </c>
      <c r="P555" s="365" t="s">
        <v>30</v>
      </c>
      <c r="Q555" s="364">
        <v>45593</v>
      </c>
      <c r="R555" s="364">
        <v>45593</v>
      </c>
      <c r="S555" s="348"/>
    </row>
    <row r="556" spans="1:19" ht="25.5" hidden="1" x14ac:dyDescent="0.25">
      <c r="A556" s="359">
        <v>0</v>
      </c>
      <c r="B556" s="49" t="s">
        <v>3877</v>
      </c>
      <c r="C556" s="49" t="s">
        <v>3557</v>
      </c>
      <c r="D556" s="49"/>
      <c r="E556" s="49">
        <v>184291</v>
      </c>
      <c r="F556" s="49" t="s">
        <v>3878</v>
      </c>
      <c r="G556" s="49" t="s">
        <v>1113</v>
      </c>
      <c r="H556" s="49" t="s">
        <v>3879</v>
      </c>
      <c r="I556" s="49" t="s">
        <v>1106</v>
      </c>
      <c r="J556" s="316">
        <v>45574</v>
      </c>
      <c r="K556" s="360">
        <v>45574</v>
      </c>
      <c r="L556" s="363" t="s">
        <v>47</v>
      </c>
      <c r="M556" s="317" t="s">
        <v>3880</v>
      </c>
      <c r="N556" s="317">
        <v>1</v>
      </c>
      <c r="O556" s="322">
        <v>45579</v>
      </c>
      <c r="P556" s="365" t="s">
        <v>30</v>
      </c>
      <c r="Q556" s="364">
        <v>45580</v>
      </c>
      <c r="R556" s="364">
        <v>45580</v>
      </c>
      <c r="S556" s="348"/>
    </row>
    <row r="557" spans="1:19" ht="25.5" hidden="1" x14ac:dyDescent="0.25">
      <c r="A557" s="359">
        <v>0</v>
      </c>
      <c r="B557" s="49" t="s">
        <v>3881</v>
      </c>
      <c r="C557" s="49" t="s">
        <v>3557</v>
      </c>
      <c r="D557" s="49"/>
      <c r="E557" s="49">
        <v>184488</v>
      </c>
      <c r="F557" s="49" t="s">
        <v>3882</v>
      </c>
      <c r="G557" s="49" t="s">
        <v>3565</v>
      </c>
      <c r="H557" s="49" t="s">
        <v>3883</v>
      </c>
      <c r="I557" s="49" t="s">
        <v>1106</v>
      </c>
      <c r="J557" s="316">
        <v>45622</v>
      </c>
      <c r="K557" s="360">
        <v>45623</v>
      </c>
      <c r="L557" s="363" t="s">
        <v>47</v>
      </c>
      <c r="M557" s="317" t="s">
        <v>3884</v>
      </c>
      <c r="N557" s="317">
        <v>1</v>
      </c>
      <c r="O557" s="322">
        <v>45624</v>
      </c>
      <c r="P557" s="365" t="s">
        <v>30</v>
      </c>
      <c r="Q557" s="364">
        <v>45624</v>
      </c>
      <c r="R557" s="364">
        <v>45624</v>
      </c>
      <c r="S557" s="348"/>
    </row>
    <row r="558" spans="1:19" ht="25.5" hidden="1" x14ac:dyDescent="0.25">
      <c r="A558" s="359">
        <v>0</v>
      </c>
      <c r="B558" s="49" t="s">
        <v>3885</v>
      </c>
      <c r="C558" s="49" t="s">
        <v>3557</v>
      </c>
      <c r="D558" s="49"/>
      <c r="E558" s="49">
        <v>184494</v>
      </c>
      <c r="F558" s="49" t="s">
        <v>3886</v>
      </c>
      <c r="G558" s="49" t="s">
        <v>1113</v>
      </c>
      <c r="H558" s="49" t="s">
        <v>3887</v>
      </c>
      <c r="I558" s="49" t="s">
        <v>1106</v>
      </c>
      <c r="J558" s="316"/>
      <c r="K558" s="360"/>
      <c r="L558" s="363" t="s">
        <v>28</v>
      </c>
      <c r="M558" s="317" t="s">
        <v>3594</v>
      </c>
      <c r="N558" s="317">
        <v>1</v>
      </c>
      <c r="O558" s="322">
        <v>45636</v>
      </c>
      <c r="P558" s="365" t="s">
        <v>30</v>
      </c>
      <c r="Q558" s="364">
        <v>45636</v>
      </c>
      <c r="R558" s="364">
        <v>45636</v>
      </c>
      <c r="S558" s="348"/>
    </row>
    <row r="559" spans="1:19" ht="25.5" hidden="1" x14ac:dyDescent="0.25">
      <c r="A559" s="359">
        <v>0</v>
      </c>
      <c r="B559" s="49" t="s">
        <v>3888</v>
      </c>
      <c r="C559" s="49" t="s">
        <v>3557</v>
      </c>
      <c r="D559" s="49"/>
      <c r="E559" s="49">
        <v>184290</v>
      </c>
      <c r="F559" s="49" t="s">
        <v>3889</v>
      </c>
      <c r="G559" s="49" t="s">
        <v>3890</v>
      </c>
      <c r="H559" s="49" t="s">
        <v>3891</v>
      </c>
      <c r="I559" s="49" t="s">
        <v>1106</v>
      </c>
      <c r="J559" s="316">
        <v>45574</v>
      </c>
      <c r="K559" s="360">
        <v>45574</v>
      </c>
      <c r="L559" s="363" t="s">
        <v>47</v>
      </c>
      <c r="M559" s="317" t="s">
        <v>3892</v>
      </c>
      <c r="N559" s="317">
        <v>1</v>
      </c>
      <c r="O559" s="322">
        <v>45575</v>
      </c>
      <c r="P559" s="365" t="s">
        <v>30</v>
      </c>
      <c r="Q559" s="364">
        <v>45575</v>
      </c>
      <c r="R559" s="364">
        <v>45575</v>
      </c>
      <c r="S559" s="348"/>
    </row>
    <row r="560" spans="1:19" ht="25.5" hidden="1" x14ac:dyDescent="0.25">
      <c r="A560" s="359">
        <v>0</v>
      </c>
      <c r="B560" s="49" t="s">
        <v>3893</v>
      </c>
      <c r="C560" s="49" t="s">
        <v>3894</v>
      </c>
      <c r="D560" s="49"/>
      <c r="E560" s="49">
        <v>184300</v>
      </c>
      <c r="F560" s="49" t="s">
        <v>3895</v>
      </c>
      <c r="G560" s="49" t="s">
        <v>3458</v>
      </c>
      <c r="H560" s="49" t="s">
        <v>3459</v>
      </c>
      <c r="I560" s="49" t="s">
        <v>3460</v>
      </c>
      <c r="J560" s="316">
        <v>45575</v>
      </c>
      <c r="K560" s="360">
        <v>45580</v>
      </c>
      <c r="L560" s="363" t="s">
        <v>47</v>
      </c>
      <c r="M560" s="317" t="s">
        <v>3461</v>
      </c>
      <c r="N560" s="317">
        <v>20</v>
      </c>
      <c r="O560" s="322">
        <v>45583</v>
      </c>
      <c r="P560" s="365" t="s">
        <v>30</v>
      </c>
      <c r="Q560" s="364">
        <v>45583</v>
      </c>
      <c r="R560" s="364">
        <v>45583</v>
      </c>
      <c r="S560" s="348"/>
    </row>
    <row r="561" spans="1:19" ht="25.5" hidden="1" x14ac:dyDescent="0.25">
      <c r="A561" s="359">
        <v>0</v>
      </c>
      <c r="B561" s="49" t="s">
        <v>3896</v>
      </c>
      <c r="C561" s="49" t="s">
        <v>3897</v>
      </c>
      <c r="D561" s="49"/>
      <c r="E561" s="49">
        <v>184292</v>
      </c>
      <c r="F561" s="49" t="s">
        <v>3898</v>
      </c>
      <c r="G561" s="49" t="s">
        <v>3400</v>
      </c>
      <c r="H561" s="49" t="s">
        <v>370</v>
      </c>
      <c r="I561" s="49" t="s">
        <v>371</v>
      </c>
      <c r="J561" s="316">
        <v>45574</v>
      </c>
      <c r="K561" s="360">
        <v>45576</v>
      </c>
      <c r="L561" s="363" t="s">
        <v>47</v>
      </c>
      <c r="M561" s="317" t="s">
        <v>372</v>
      </c>
      <c r="N561" s="317">
        <v>4</v>
      </c>
      <c r="O561" s="322">
        <v>45581</v>
      </c>
      <c r="P561" s="365" t="s">
        <v>30</v>
      </c>
      <c r="Q561" s="364">
        <v>45582</v>
      </c>
      <c r="R561" s="364">
        <v>45582</v>
      </c>
      <c r="S561" s="348"/>
    </row>
    <row r="562" spans="1:19" ht="38.25" hidden="1" x14ac:dyDescent="0.25">
      <c r="A562" s="359">
        <v>0</v>
      </c>
      <c r="B562" s="49" t="s">
        <v>3899</v>
      </c>
      <c r="C562" s="49" t="s">
        <v>1791</v>
      </c>
      <c r="D562" s="49"/>
      <c r="E562" s="49">
        <v>184293</v>
      </c>
      <c r="F562" s="49" t="s">
        <v>3900</v>
      </c>
      <c r="G562" s="49" t="s">
        <v>1445</v>
      </c>
      <c r="H562" s="49" t="s">
        <v>3227</v>
      </c>
      <c r="I562" s="49" t="s">
        <v>2618</v>
      </c>
      <c r="J562" s="316">
        <v>45575</v>
      </c>
      <c r="K562" s="360">
        <v>45575</v>
      </c>
      <c r="L562" s="363" t="s">
        <v>47</v>
      </c>
      <c r="M562" s="317" t="s">
        <v>3901</v>
      </c>
      <c r="N562" s="317">
        <v>1</v>
      </c>
      <c r="O562" s="322">
        <v>45579</v>
      </c>
      <c r="P562" s="365" t="s">
        <v>30</v>
      </c>
      <c r="Q562" s="364">
        <v>45579</v>
      </c>
      <c r="R562" s="364">
        <v>45579</v>
      </c>
      <c r="S562" s="348"/>
    </row>
    <row r="563" spans="1:19" hidden="1" x14ac:dyDescent="0.25">
      <c r="A563" s="359">
        <v>0</v>
      </c>
      <c r="B563" s="49" t="s">
        <v>3902</v>
      </c>
      <c r="C563" s="49" t="s">
        <v>3903</v>
      </c>
      <c r="D563" s="49"/>
      <c r="E563" s="49">
        <v>184294</v>
      </c>
      <c r="F563" s="49" t="s">
        <v>3904</v>
      </c>
      <c r="G563" s="49"/>
      <c r="H563" s="49"/>
      <c r="I563" s="49"/>
      <c r="J563" s="316"/>
      <c r="K563" s="360"/>
      <c r="L563" s="363"/>
      <c r="M563" s="317"/>
      <c r="N563" s="317"/>
      <c r="O563" s="322"/>
      <c r="P563" s="365"/>
      <c r="Q563" s="364"/>
      <c r="R563" s="364"/>
      <c r="S563" s="348"/>
    </row>
    <row r="564" spans="1:19" ht="25.5" hidden="1" x14ac:dyDescent="0.25">
      <c r="A564" s="359">
        <v>0</v>
      </c>
      <c r="B564" s="49" t="s">
        <v>3905</v>
      </c>
      <c r="C564" s="49" t="s">
        <v>132</v>
      </c>
      <c r="D564" s="49"/>
      <c r="E564" s="49">
        <v>184296</v>
      </c>
      <c r="F564" s="49" t="s">
        <v>3906</v>
      </c>
      <c r="G564" s="49" t="s">
        <v>3907</v>
      </c>
      <c r="H564" s="49" t="s">
        <v>3908</v>
      </c>
      <c r="I564" s="49" t="s">
        <v>3909</v>
      </c>
      <c r="J564" s="316">
        <v>45575</v>
      </c>
      <c r="K564" s="360">
        <v>45576</v>
      </c>
      <c r="L564" s="363" t="s">
        <v>47</v>
      </c>
      <c r="M564" s="317" t="s">
        <v>1891</v>
      </c>
      <c r="N564" s="317">
        <v>3</v>
      </c>
      <c r="O564" s="322">
        <v>45576</v>
      </c>
      <c r="P564" s="365" t="s">
        <v>30</v>
      </c>
      <c r="Q564" s="364">
        <v>45579</v>
      </c>
      <c r="R564" s="364">
        <v>45579</v>
      </c>
      <c r="S564" s="348"/>
    </row>
    <row r="565" spans="1:19" ht="25.5" hidden="1" x14ac:dyDescent="0.25">
      <c r="A565" s="359">
        <v>0</v>
      </c>
      <c r="B565" s="49" t="s">
        <v>3910</v>
      </c>
      <c r="C565" s="49" t="s">
        <v>1820</v>
      </c>
      <c r="D565" s="49"/>
      <c r="E565" s="49">
        <v>184305</v>
      </c>
      <c r="F565" s="49" t="s">
        <v>3911</v>
      </c>
      <c r="G565" s="49" t="s">
        <v>427</v>
      </c>
      <c r="H565" s="49" t="s">
        <v>3912</v>
      </c>
      <c r="I565" s="49" t="s">
        <v>2604</v>
      </c>
      <c r="J565" s="316">
        <v>45579</v>
      </c>
      <c r="K565" s="360">
        <v>45580</v>
      </c>
      <c r="L565" s="363" t="s">
        <v>47</v>
      </c>
      <c r="M565" s="317" t="s">
        <v>2641</v>
      </c>
      <c r="N565" s="317">
        <v>4</v>
      </c>
      <c r="O565" s="322">
        <v>45580</v>
      </c>
      <c r="P565" s="365" t="s">
        <v>30</v>
      </c>
      <c r="Q565" s="364">
        <v>45581</v>
      </c>
      <c r="R565" s="364">
        <v>45581</v>
      </c>
      <c r="S565" s="348"/>
    </row>
    <row r="566" spans="1:19" ht="25.5" hidden="1" x14ac:dyDescent="0.25">
      <c r="A566" s="359">
        <v>0</v>
      </c>
      <c r="B566" s="49" t="s">
        <v>3913</v>
      </c>
      <c r="C566" s="49" t="s">
        <v>3914</v>
      </c>
      <c r="D566" s="49"/>
      <c r="E566" s="49">
        <v>184306</v>
      </c>
      <c r="F566" s="49" t="s">
        <v>3915</v>
      </c>
      <c r="G566" s="49" t="s">
        <v>3916</v>
      </c>
      <c r="H566" s="49" t="s">
        <v>3917</v>
      </c>
      <c r="I566" s="49" t="s">
        <v>3918</v>
      </c>
      <c r="J566" s="316">
        <v>45579</v>
      </c>
      <c r="K566" s="360">
        <v>45579</v>
      </c>
      <c r="L566" s="363" t="s">
        <v>47</v>
      </c>
      <c r="M566" s="317" t="s">
        <v>3919</v>
      </c>
      <c r="N566" s="317">
        <v>4</v>
      </c>
      <c r="O566" s="322">
        <v>45597</v>
      </c>
      <c r="P566" s="365" t="s">
        <v>30</v>
      </c>
      <c r="Q566" s="364">
        <v>45597</v>
      </c>
      <c r="R566" s="364">
        <v>45597</v>
      </c>
      <c r="S566" s="348"/>
    </row>
    <row r="567" spans="1:19" ht="25.5" hidden="1" x14ac:dyDescent="0.25">
      <c r="A567" s="359">
        <v>0</v>
      </c>
      <c r="B567" s="49" t="s">
        <v>3920</v>
      </c>
      <c r="C567" s="49" t="s">
        <v>3914</v>
      </c>
      <c r="D567" s="49"/>
      <c r="E567" s="49">
        <v>184307</v>
      </c>
      <c r="F567" s="49" t="s">
        <v>3921</v>
      </c>
      <c r="G567" s="49" t="s">
        <v>3922</v>
      </c>
      <c r="H567" s="49" t="s">
        <v>3923</v>
      </c>
      <c r="I567" s="49" t="s">
        <v>3924</v>
      </c>
      <c r="J567" s="316">
        <v>45579</v>
      </c>
      <c r="K567" s="360">
        <v>45579</v>
      </c>
      <c r="L567" s="363" t="s">
        <v>47</v>
      </c>
      <c r="M567" s="317" t="s">
        <v>3925</v>
      </c>
      <c r="N567" s="317">
        <v>2</v>
      </c>
      <c r="O567" s="322">
        <v>45593</v>
      </c>
      <c r="P567" s="365" t="s">
        <v>30</v>
      </c>
      <c r="Q567" s="364">
        <v>45597</v>
      </c>
      <c r="R567" s="364">
        <v>45597</v>
      </c>
      <c r="S567" s="348"/>
    </row>
    <row r="568" spans="1:19" ht="25.5" hidden="1" x14ac:dyDescent="0.25">
      <c r="A568" s="359">
        <v>0</v>
      </c>
      <c r="B568" s="49" t="s">
        <v>3926</v>
      </c>
      <c r="C568" s="49" t="s">
        <v>3927</v>
      </c>
      <c r="D568" s="49"/>
      <c r="E568" s="49">
        <v>184308</v>
      </c>
      <c r="F568" s="49" t="s">
        <v>3928</v>
      </c>
      <c r="G568" s="49" t="s">
        <v>3929</v>
      </c>
      <c r="H568" s="49" t="s">
        <v>3930</v>
      </c>
      <c r="I568" s="49" t="s">
        <v>3918</v>
      </c>
      <c r="J568" s="316">
        <v>45576</v>
      </c>
      <c r="K568" s="360">
        <v>45579</v>
      </c>
      <c r="L568" s="363" t="s">
        <v>47</v>
      </c>
      <c r="M568" s="317" t="s">
        <v>3931</v>
      </c>
      <c r="N568" s="317">
        <v>4</v>
      </c>
      <c r="O568" s="322">
        <v>45593</v>
      </c>
      <c r="P568" s="365" t="s">
        <v>30</v>
      </c>
      <c r="Q568" s="364">
        <v>45600</v>
      </c>
      <c r="R568" s="364">
        <v>45600</v>
      </c>
      <c r="S568" s="348"/>
    </row>
    <row r="569" spans="1:19" hidden="1" x14ac:dyDescent="0.25">
      <c r="A569" s="359">
        <v>0</v>
      </c>
      <c r="B569" s="49" t="s">
        <v>3932</v>
      </c>
      <c r="C569" s="49" t="s">
        <v>1680</v>
      </c>
      <c r="D569" s="49"/>
      <c r="E569" s="49">
        <v>184311</v>
      </c>
      <c r="F569" s="49" t="s">
        <v>3933</v>
      </c>
      <c r="G569" s="49" t="s">
        <v>2811</v>
      </c>
      <c r="H569" s="49" t="s">
        <v>3934</v>
      </c>
      <c r="I569" s="49" t="s">
        <v>143</v>
      </c>
      <c r="J569" s="316">
        <v>45580</v>
      </c>
      <c r="K569" s="360">
        <v>45581</v>
      </c>
      <c r="L569" s="363" t="s">
        <v>47</v>
      </c>
      <c r="M569" s="317" t="s">
        <v>3935</v>
      </c>
      <c r="N569" s="317">
        <v>1</v>
      </c>
      <c r="O569" s="322">
        <v>45580</v>
      </c>
      <c r="P569" s="365" t="s">
        <v>30</v>
      </c>
      <c r="Q569" s="364">
        <v>45583</v>
      </c>
      <c r="R569" s="364">
        <v>45583</v>
      </c>
      <c r="S569" s="348"/>
    </row>
    <row r="570" spans="1:19" hidden="1" x14ac:dyDescent="0.25">
      <c r="A570" s="359">
        <v>0</v>
      </c>
      <c r="B570" s="49" t="s">
        <v>3936</v>
      </c>
      <c r="C570" s="49" t="s">
        <v>1680</v>
      </c>
      <c r="D570" s="49"/>
      <c r="E570" s="49">
        <v>184312</v>
      </c>
      <c r="F570" s="49" t="s">
        <v>3937</v>
      </c>
      <c r="G570" s="49" t="s">
        <v>3038</v>
      </c>
      <c r="H570" s="49" t="s">
        <v>3039</v>
      </c>
      <c r="I570" s="49" t="s">
        <v>127</v>
      </c>
      <c r="J570" s="316">
        <v>45580</v>
      </c>
      <c r="K570" s="360">
        <v>45581</v>
      </c>
      <c r="L570" s="363" t="s">
        <v>47</v>
      </c>
      <c r="M570" s="317" t="s">
        <v>241</v>
      </c>
      <c r="N570" s="317">
        <v>1</v>
      </c>
      <c r="O570" s="322">
        <v>45583</v>
      </c>
      <c r="P570" s="365" t="s">
        <v>30</v>
      </c>
      <c r="Q570" s="364">
        <v>45586</v>
      </c>
      <c r="R570" s="364">
        <v>45586</v>
      </c>
      <c r="S570" s="348"/>
    </row>
    <row r="571" spans="1:19" ht="38.25" hidden="1" x14ac:dyDescent="0.25">
      <c r="A571" s="359">
        <v>0</v>
      </c>
      <c r="B571" s="49" t="s">
        <v>3938</v>
      </c>
      <c r="C571" s="49" t="s">
        <v>2019</v>
      </c>
      <c r="D571" s="49"/>
      <c r="E571" s="49">
        <v>184318</v>
      </c>
      <c r="F571" s="49" t="s">
        <v>3939</v>
      </c>
      <c r="G571" s="49" t="s">
        <v>3940</v>
      </c>
      <c r="H571" s="49" t="s">
        <v>3941</v>
      </c>
      <c r="I571" s="49" t="s">
        <v>3942</v>
      </c>
      <c r="J571" s="316">
        <v>45581</v>
      </c>
      <c r="K571" s="360">
        <v>45597</v>
      </c>
      <c r="L571" s="363" t="s">
        <v>28</v>
      </c>
      <c r="M571" s="317" t="s">
        <v>2028</v>
      </c>
      <c r="N571" s="317">
        <v>2</v>
      </c>
      <c r="O571" s="322">
        <v>45614</v>
      </c>
      <c r="P571" s="365" t="s">
        <v>30</v>
      </c>
      <c r="Q571" s="364">
        <v>45614</v>
      </c>
      <c r="R571" s="364">
        <v>45614</v>
      </c>
      <c r="S571" s="348"/>
    </row>
    <row r="572" spans="1:19" ht="38.25" hidden="1" x14ac:dyDescent="0.25">
      <c r="A572" s="359">
        <v>0</v>
      </c>
      <c r="B572" s="49" t="s">
        <v>3943</v>
      </c>
      <c r="C572" s="49" t="s">
        <v>2952</v>
      </c>
      <c r="D572" s="49"/>
      <c r="E572" s="49">
        <v>184321</v>
      </c>
      <c r="F572" s="49" t="s">
        <v>3944</v>
      </c>
      <c r="G572" s="49" t="s">
        <v>3945</v>
      </c>
      <c r="H572" s="49" t="s">
        <v>3946</v>
      </c>
      <c r="I572" s="49" t="s">
        <v>3947</v>
      </c>
      <c r="J572" s="316"/>
      <c r="K572" s="360"/>
      <c r="L572" s="363" t="s">
        <v>47</v>
      </c>
      <c r="M572" s="317" t="s">
        <v>3948</v>
      </c>
      <c r="N572" s="317"/>
      <c r="O572" s="322"/>
      <c r="P572" s="365"/>
      <c r="Q572" s="364"/>
      <c r="R572" s="364"/>
      <c r="S572" s="348"/>
    </row>
    <row r="573" spans="1:19" ht="25.5" hidden="1" x14ac:dyDescent="0.25">
      <c r="A573" s="359">
        <v>0</v>
      </c>
      <c r="B573" s="49" t="s">
        <v>3949</v>
      </c>
      <c r="C573" s="49" t="s">
        <v>2187</v>
      </c>
      <c r="D573" s="49"/>
      <c r="E573" s="49">
        <v>184328</v>
      </c>
      <c r="F573" s="49"/>
      <c r="G573" s="49"/>
      <c r="H573" s="49"/>
      <c r="I573" s="49"/>
      <c r="J573" s="316"/>
      <c r="K573" s="360"/>
      <c r="L573" s="363"/>
      <c r="M573" s="317"/>
      <c r="N573" s="317"/>
      <c r="O573" s="322"/>
      <c r="P573" s="365"/>
      <c r="Q573" s="364"/>
      <c r="R573" s="364"/>
      <c r="S573" s="348"/>
    </row>
    <row r="574" spans="1:19" ht="25.5" hidden="1" x14ac:dyDescent="0.25">
      <c r="A574" s="359">
        <v>0</v>
      </c>
      <c r="B574" s="49" t="s">
        <v>3950</v>
      </c>
      <c r="C574" s="49" t="s">
        <v>3004</v>
      </c>
      <c r="D574" s="49"/>
      <c r="E574" s="49">
        <v>184331</v>
      </c>
      <c r="F574" s="49" t="s">
        <v>3951</v>
      </c>
      <c r="G574" s="49" t="s">
        <v>3952</v>
      </c>
      <c r="H574" s="49" t="s">
        <v>3953</v>
      </c>
      <c r="I574" s="49" t="s">
        <v>3503</v>
      </c>
      <c r="J574" s="316">
        <v>45586</v>
      </c>
      <c r="K574" s="360">
        <v>45587</v>
      </c>
      <c r="L574" s="363" t="s">
        <v>28</v>
      </c>
      <c r="M574" s="317" t="s">
        <v>549</v>
      </c>
      <c r="N574" s="317">
        <v>1</v>
      </c>
      <c r="O574" s="322">
        <v>45588</v>
      </c>
      <c r="P574" s="365" t="s">
        <v>30</v>
      </c>
      <c r="Q574" s="364">
        <v>45588</v>
      </c>
      <c r="R574" s="364">
        <v>45588</v>
      </c>
      <c r="S574" s="348"/>
    </row>
    <row r="575" spans="1:19" ht="38.25" hidden="1" x14ac:dyDescent="0.25">
      <c r="A575" s="359">
        <v>0</v>
      </c>
      <c r="B575" s="49" t="s">
        <v>3954</v>
      </c>
      <c r="C575" s="49" t="s">
        <v>1802</v>
      </c>
      <c r="D575" s="49"/>
      <c r="E575" s="49">
        <v>184329</v>
      </c>
      <c r="F575" s="49"/>
      <c r="G575" s="49"/>
      <c r="H575" s="49"/>
      <c r="I575" s="49"/>
      <c r="J575" s="316"/>
      <c r="K575" s="360"/>
      <c r="L575" s="363"/>
      <c r="M575" s="317"/>
      <c r="N575" s="317"/>
      <c r="O575" s="322"/>
      <c r="P575" s="365"/>
      <c r="Q575" s="364"/>
      <c r="R575" s="364"/>
      <c r="S575" s="348"/>
    </row>
    <row r="576" spans="1:19" ht="25.5" hidden="1" x14ac:dyDescent="0.25">
      <c r="A576" s="359">
        <v>0</v>
      </c>
      <c r="B576" s="49" t="s">
        <v>3955</v>
      </c>
      <c r="C576" s="49" t="s">
        <v>3956</v>
      </c>
      <c r="D576" s="49"/>
      <c r="E576" s="49">
        <v>184221</v>
      </c>
      <c r="F576" s="49" t="s">
        <v>3957</v>
      </c>
      <c r="G576" s="49" t="s">
        <v>3958</v>
      </c>
      <c r="H576" s="49" t="s">
        <v>3959</v>
      </c>
      <c r="I576" s="49" t="s">
        <v>3960</v>
      </c>
      <c r="J576" s="316">
        <v>45541</v>
      </c>
      <c r="K576" s="360">
        <v>45573</v>
      </c>
      <c r="L576" s="363" t="s">
        <v>47</v>
      </c>
      <c r="M576" s="317" t="s">
        <v>3961</v>
      </c>
      <c r="N576" s="317">
        <v>1</v>
      </c>
      <c r="O576" s="322">
        <v>45643</v>
      </c>
      <c r="P576" s="365" t="s">
        <v>30</v>
      </c>
      <c r="Q576" s="364">
        <v>45678</v>
      </c>
      <c r="R576" s="364">
        <v>45678</v>
      </c>
      <c r="S576" s="348"/>
    </row>
    <row r="577" spans="1:19" ht="25.5" hidden="1" x14ac:dyDescent="0.25">
      <c r="A577" s="359">
        <v>0</v>
      </c>
      <c r="B577" s="49" t="s">
        <v>3962</v>
      </c>
      <c r="C577" s="49" t="s">
        <v>2470</v>
      </c>
      <c r="D577" s="49"/>
      <c r="E577" s="49">
        <v>184227</v>
      </c>
      <c r="F577" s="49" t="s">
        <v>3963</v>
      </c>
      <c r="G577" s="49" t="s">
        <v>3964</v>
      </c>
      <c r="H577" s="49">
        <v>60160</v>
      </c>
      <c r="I577" s="49" t="s">
        <v>3965</v>
      </c>
      <c r="J577" s="316">
        <v>45544</v>
      </c>
      <c r="K577" s="360">
        <v>45545</v>
      </c>
      <c r="L577" s="363" t="s">
        <v>28</v>
      </c>
      <c r="M577" s="317" t="s">
        <v>3966</v>
      </c>
      <c r="N577" s="317">
        <v>20</v>
      </c>
      <c r="O577" s="322">
        <v>45600</v>
      </c>
      <c r="P577" s="365" t="s">
        <v>30</v>
      </c>
      <c r="Q577" s="364">
        <v>45600</v>
      </c>
      <c r="R577" s="364">
        <v>45600</v>
      </c>
      <c r="S577" s="348"/>
    </row>
    <row r="578" spans="1:19" ht="25.5" hidden="1" x14ac:dyDescent="0.25">
      <c r="A578" s="359">
        <v>0</v>
      </c>
      <c r="B578" s="49" t="s">
        <v>3967</v>
      </c>
      <c r="C578" s="49" t="s">
        <v>3251</v>
      </c>
      <c r="D578" s="49"/>
      <c r="E578" s="49">
        <v>184344</v>
      </c>
      <c r="F578" s="49" t="s">
        <v>2043</v>
      </c>
      <c r="G578" s="49" t="s">
        <v>369</v>
      </c>
      <c r="H578" s="49" t="s">
        <v>370</v>
      </c>
      <c r="I578" s="49" t="s">
        <v>371</v>
      </c>
      <c r="J578" s="316">
        <v>45594</v>
      </c>
      <c r="K578" s="360">
        <v>45595</v>
      </c>
      <c r="L578" s="363" t="s">
        <v>47</v>
      </c>
      <c r="M578" s="317" t="s">
        <v>3968</v>
      </c>
      <c r="N578" s="317">
        <v>12</v>
      </c>
      <c r="O578" s="322">
        <v>45595</v>
      </c>
      <c r="P578" s="365" t="s">
        <v>30</v>
      </c>
      <c r="Q578" s="364">
        <v>45595</v>
      </c>
      <c r="R578" s="364">
        <v>45595</v>
      </c>
      <c r="S578" s="348"/>
    </row>
    <row r="579" spans="1:19" ht="25.5" hidden="1" x14ac:dyDescent="0.25">
      <c r="A579" s="359">
        <v>0</v>
      </c>
      <c r="B579" s="49" t="s">
        <v>3969</v>
      </c>
      <c r="C579" s="49" t="s">
        <v>3970</v>
      </c>
      <c r="D579" s="49"/>
      <c r="E579" s="49">
        <v>184345</v>
      </c>
      <c r="F579" s="49" t="s">
        <v>3971</v>
      </c>
      <c r="G579" s="49" t="s">
        <v>542</v>
      </c>
      <c r="H579" s="49" t="s">
        <v>370</v>
      </c>
      <c r="I579" s="49" t="s">
        <v>599</v>
      </c>
      <c r="J579" s="316">
        <v>45594</v>
      </c>
      <c r="K579" s="360">
        <v>45595</v>
      </c>
      <c r="L579" s="363" t="s">
        <v>47</v>
      </c>
      <c r="M579" s="317" t="s">
        <v>372</v>
      </c>
      <c r="N579" s="317">
        <v>8</v>
      </c>
      <c r="O579" s="322">
        <v>45595</v>
      </c>
      <c r="P579" s="365" t="s">
        <v>30</v>
      </c>
      <c r="Q579" s="364">
        <v>45595</v>
      </c>
      <c r="R579" s="364">
        <v>45595</v>
      </c>
      <c r="S579" s="348"/>
    </row>
    <row r="580" spans="1:19" ht="25.5" hidden="1" x14ac:dyDescent="0.25">
      <c r="A580" s="359">
        <v>0</v>
      </c>
      <c r="B580" s="49" t="s">
        <v>3972</v>
      </c>
      <c r="C580" s="49" t="s">
        <v>3973</v>
      </c>
      <c r="D580" s="49"/>
      <c r="E580" s="49">
        <v>184346</v>
      </c>
      <c r="F580" s="49">
        <v>184346</v>
      </c>
      <c r="G580" s="49" t="s">
        <v>369</v>
      </c>
      <c r="H580" s="49" t="s">
        <v>370</v>
      </c>
      <c r="I580" s="49" t="s">
        <v>371</v>
      </c>
      <c r="J580" s="316">
        <v>45594</v>
      </c>
      <c r="K580" s="360">
        <v>45595</v>
      </c>
      <c r="L580" s="363" t="s">
        <v>47</v>
      </c>
      <c r="M580" s="317" t="s">
        <v>372</v>
      </c>
      <c r="N580" s="317">
        <v>7</v>
      </c>
      <c r="O580" s="322">
        <v>45595</v>
      </c>
      <c r="P580" s="365" t="s">
        <v>30</v>
      </c>
      <c r="Q580" s="364">
        <v>45595</v>
      </c>
      <c r="R580" s="364">
        <v>45595</v>
      </c>
      <c r="S580" s="348"/>
    </row>
    <row r="581" spans="1:19" ht="25.5" hidden="1" x14ac:dyDescent="0.25">
      <c r="A581" s="359">
        <v>0</v>
      </c>
      <c r="B581" s="49" t="s">
        <v>3974</v>
      </c>
      <c r="C581" s="49" t="s">
        <v>536</v>
      </c>
      <c r="D581" s="49"/>
      <c r="E581" s="49">
        <v>184429</v>
      </c>
      <c r="F581" s="49"/>
      <c r="G581" s="49" t="s">
        <v>3975</v>
      </c>
      <c r="H581" s="49"/>
      <c r="I581" s="49"/>
      <c r="J581" s="316"/>
      <c r="K581" s="360"/>
      <c r="L581" s="363"/>
      <c r="M581" s="317"/>
      <c r="N581" s="317"/>
      <c r="O581" s="322"/>
      <c r="P581" s="365"/>
      <c r="Q581" s="364"/>
      <c r="R581" s="364"/>
      <c r="S581" s="348"/>
    </row>
    <row r="582" spans="1:19" ht="25.5" hidden="1" x14ac:dyDescent="0.25">
      <c r="A582" s="359">
        <v>0</v>
      </c>
      <c r="B582" s="49" t="s">
        <v>3976</v>
      </c>
      <c r="C582" s="49" t="s">
        <v>536</v>
      </c>
      <c r="D582" s="49"/>
      <c r="E582" s="49">
        <v>184431</v>
      </c>
      <c r="F582" s="49" t="s">
        <v>3977</v>
      </c>
      <c r="G582" s="49" t="s">
        <v>538</v>
      </c>
      <c r="H582" s="49" t="s">
        <v>3978</v>
      </c>
      <c r="I582" s="49" t="s">
        <v>3979</v>
      </c>
      <c r="J582" s="316">
        <v>45595</v>
      </c>
      <c r="K582" s="360">
        <v>45600</v>
      </c>
      <c r="L582" s="363" t="s">
        <v>47</v>
      </c>
      <c r="M582" s="317" t="s">
        <v>3980</v>
      </c>
      <c r="N582" s="317">
        <v>2</v>
      </c>
      <c r="O582" s="322">
        <v>45632</v>
      </c>
      <c r="P582" s="365" t="s">
        <v>30</v>
      </c>
      <c r="Q582" s="364">
        <v>45632</v>
      </c>
      <c r="R582" s="364">
        <v>45632</v>
      </c>
      <c r="S582" s="348"/>
    </row>
    <row r="583" spans="1:19" ht="25.5" hidden="1" x14ac:dyDescent="0.25">
      <c r="A583" s="359">
        <v>0</v>
      </c>
      <c r="B583" s="49" t="s">
        <v>3981</v>
      </c>
      <c r="C583" s="49" t="s">
        <v>2643</v>
      </c>
      <c r="D583" s="49"/>
      <c r="E583" s="49">
        <v>184427</v>
      </c>
      <c r="F583" s="49" t="s">
        <v>3982</v>
      </c>
      <c r="G583" s="49" t="s">
        <v>3983</v>
      </c>
      <c r="H583" s="49" t="s">
        <v>3984</v>
      </c>
      <c r="I583" s="49" t="s">
        <v>160</v>
      </c>
      <c r="J583" s="316">
        <v>45594</v>
      </c>
      <c r="K583" s="360">
        <v>45597</v>
      </c>
      <c r="L583" s="363" t="s">
        <v>28</v>
      </c>
      <c r="M583" s="317" t="s">
        <v>3985</v>
      </c>
      <c r="N583" s="317">
        <v>6</v>
      </c>
      <c r="O583" s="322">
        <v>45608</v>
      </c>
      <c r="P583" s="365" t="s">
        <v>30</v>
      </c>
      <c r="Q583" s="364">
        <v>45608</v>
      </c>
      <c r="R583" s="364">
        <v>45608</v>
      </c>
      <c r="S583" s="348"/>
    </row>
    <row r="584" spans="1:19" ht="25.5" hidden="1" x14ac:dyDescent="0.25">
      <c r="A584" s="359">
        <v>0</v>
      </c>
      <c r="B584" s="49" t="s">
        <v>3986</v>
      </c>
      <c r="C584" s="49" t="s">
        <v>1904</v>
      </c>
      <c r="D584" s="49"/>
      <c r="E584" s="49">
        <v>184432</v>
      </c>
      <c r="F584" s="49" t="s">
        <v>3987</v>
      </c>
      <c r="G584" s="49" t="s">
        <v>1900</v>
      </c>
      <c r="H584" s="49" t="s">
        <v>3988</v>
      </c>
      <c r="I584" s="49" t="s">
        <v>3989</v>
      </c>
      <c r="J584" s="316">
        <v>45595</v>
      </c>
      <c r="K584" s="360">
        <v>45595</v>
      </c>
      <c r="L584" s="363" t="s">
        <v>28</v>
      </c>
      <c r="M584" s="317" t="s">
        <v>3990</v>
      </c>
      <c r="N584" s="317">
        <v>8</v>
      </c>
      <c r="O584" s="322">
        <v>45597</v>
      </c>
      <c r="P584" s="365" t="s">
        <v>30</v>
      </c>
      <c r="Q584" s="364">
        <v>45600</v>
      </c>
      <c r="R584" s="364">
        <v>45600</v>
      </c>
      <c r="S584" s="348"/>
    </row>
    <row r="585" spans="1:19" ht="25.5" hidden="1" x14ac:dyDescent="0.25">
      <c r="A585" s="359">
        <v>0</v>
      </c>
      <c r="B585" s="49" t="s">
        <v>3991</v>
      </c>
      <c r="C585" s="49" t="s">
        <v>1904</v>
      </c>
      <c r="D585" s="49"/>
      <c r="E585" s="49">
        <v>184433</v>
      </c>
      <c r="F585" s="49" t="s">
        <v>3992</v>
      </c>
      <c r="G585" s="49" t="s">
        <v>2581</v>
      </c>
      <c r="H585" s="49" t="s">
        <v>3993</v>
      </c>
      <c r="I585" s="49" t="s">
        <v>1902</v>
      </c>
      <c r="J585" s="316">
        <v>45595</v>
      </c>
      <c r="K585" s="360">
        <v>45595</v>
      </c>
      <c r="L585" s="363" t="s">
        <v>28</v>
      </c>
      <c r="M585" s="317" t="s">
        <v>3994</v>
      </c>
      <c r="N585" s="317">
        <v>1</v>
      </c>
      <c r="O585" s="322">
        <v>45597</v>
      </c>
      <c r="P585" s="365" t="s">
        <v>30</v>
      </c>
      <c r="Q585" s="364">
        <v>45600</v>
      </c>
      <c r="R585" s="364">
        <v>45600</v>
      </c>
      <c r="S585" s="348"/>
    </row>
    <row r="586" spans="1:19" ht="25.5" hidden="1" x14ac:dyDescent="0.25">
      <c r="A586" s="359">
        <v>0</v>
      </c>
      <c r="B586" s="49" t="s">
        <v>3995</v>
      </c>
      <c r="C586" s="49" t="s">
        <v>1988</v>
      </c>
      <c r="D586" s="49"/>
      <c r="E586" s="49">
        <v>184434</v>
      </c>
      <c r="F586" s="49" t="s">
        <v>3996</v>
      </c>
      <c r="G586" s="49" t="s">
        <v>3997</v>
      </c>
      <c r="H586" s="49" t="s">
        <v>3998</v>
      </c>
      <c r="I586" s="49" t="s">
        <v>3999</v>
      </c>
      <c r="J586" s="316">
        <v>45596</v>
      </c>
      <c r="K586" s="360">
        <v>45596</v>
      </c>
      <c r="L586" s="363" t="s">
        <v>28</v>
      </c>
      <c r="M586" s="317" t="s">
        <v>4000</v>
      </c>
      <c r="N586" s="317">
        <v>20</v>
      </c>
      <c r="O586" s="322">
        <v>45600</v>
      </c>
      <c r="P586" s="365" t="s">
        <v>30</v>
      </c>
      <c r="Q586" s="364">
        <v>45601</v>
      </c>
      <c r="R586" s="364">
        <v>45601</v>
      </c>
      <c r="S586" s="348"/>
    </row>
    <row r="587" spans="1:19" ht="25.5" hidden="1" x14ac:dyDescent="0.25">
      <c r="A587" s="359">
        <v>0</v>
      </c>
      <c r="B587" s="49" t="s">
        <v>4001</v>
      </c>
      <c r="C587" s="49" t="s">
        <v>4002</v>
      </c>
      <c r="D587" s="49"/>
      <c r="E587" s="49">
        <v>184435</v>
      </c>
      <c r="F587" s="49" t="s">
        <v>4003</v>
      </c>
      <c r="G587" s="49" t="s">
        <v>3997</v>
      </c>
      <c r="H587" s="49" t="s">
        <v>4004</v>
      </c>
      <c r="I587" s="49" t="s">
        <v>3999</v>
      </c>
      <c r="J587" s="316">
        <v>45596</v>
      </c>
      <c r="K587" s="360">
        <v>45596</v>
      </c>
      <c r="L587" s="363" t="s">
        <v>28</v>
      </c>
      <c r="M587" s="317" t="s">
        <v>4005</v>
      </c>
      <c r="N587" s="317">
        <v>20</v>
      </c>
      <c r="O587" s="322">
        <v>45600</v>
      </c>
      <c r="P587" s="365" t="s">
        <v>30</v>
      </c>
      <c r="Q587" s="364">
        <v>45601</v>
      </c>
      <c r="R587" s="364">
        <v>45601</v>
      </c>
      <c r="S587" s="348"/>
    </row>
    <row r="588" spans="1:19" ht="25.5" hidden="1" x14ac:dyDescent="0.25">
      <c r="A588" s="359">
        <v>0</v>
      </c>
      <c r="B588" s="49" t="s">
        <v>4006</v>
      </c>
      <c r="C588" s="49" t="s">
        <v>4007</v>
      </c>
      <c r="D588" s="49"/>
      <c r="E588" s="49">
        <v>184436</v>
      </c>
      <c r="F588" s="49" t="s">
        <v>4008</v>
      </c>
      <c r="G588" s="49" t="s">
        <v>3997</v>
      </c>
      <c r="H588" s="49" t="s">
        <v>4009</v>
      </c>
      <c r="I588" s="49" t="s">
        <v>3999</v>
      </c>
      <c r="J588" s="316">
        <v>45596</v>
      </c>
      <c r="K588" s="360">
        <v>45596</v>
      </c>
      <c r="L588" s="363" t="s">
        <v>28</v>
      </c>
      <c r="M588" s="317" t="s">
        <v>4005</v>
      </c>
      <c r="N588" s="317">
        <v>20</v>
      </c>
      <c r="O588" s="322">
        <v>45601</v>
      </c>
      <c r="P588" s="365" t="s">
        <v>30</v>
      </c>
      <c r="Q588" s="364">
        <v>45601</v>
      </c>
      <c r="R588" s="364">
        <v>45601</v>
      </c>
      <c r="S588" s="348"/>
    </row>
    <row r="589" spans="1:19" ht="38.25" hidden="1" x14ac:dyDescent="0.25">
      <c r="A589" s="359">
        <v>0</v>
      </c>
      <c r="B589" s="49" t="s">
        <v>4010</v>
      </c>
      <c r="C589" s="49" t="s">
        <v>2019</v>
      </c>
      <c r="D589" s="49"/>
      <c r="E589" s="49">
        <v>184437</v>
      </c>
      <c r="F589" s="49" t="s">
        <v>4011</v>
      </c>
      <c r="G589" s="49" t="s">
        <v>3940</v>
      </c>
      <c r="H589" s="49" t="s">
        <v>3941</v>
      </c>
      <c r="I589" s="49" t="s">
        <v>2022</v>
      </c>
      <c r="J589" s="316"/>
      <c r="K589" s="360"/>
      <c r="L589" s="363" t="s">
        <v>28</v>
      </c>
      <c r="M589" s="317" t="s">
        <v>2028</v>
      </c>
      <c r="N589" s="317">
        <v>4</v>
      </c>
      <c r="O589" s="322">
        <v>45637</v>
      </c>
      <c r="P589" s="365" t="s">
        <v>30</v>
      </c>
      <c r="Q589" s="364">
        <v>45638</v>
      </c>
      <c r="R589" s="364">
        <v>45638</v>
      </c>
      <c r="S589" s="348"/>
    </row>
    <row r="590" spans="1:19" hidden="1" x14ac:dyDescent="0.25">
      <c r="A590" s="359">
        <v>0</v>
      </c>
      <c r="B590" s="49" t="s">
        <v>4012</v>
      </c>
      <c r="C590" s="49" t="s">
        <v>4013</v>
      </c>
      <c r="D590" s="49"/>
      <c r="E590" s="49">
        <v>184439</v>
      </c>
      <c r="F590" s="49" t="s">
        <v>4014</v>
      </c>
      <c r="G590" s="49" t="s">
        <v>2130</v>
      </c>
      <c r="H590" s="49" t="s">
        <v>4015</v>
      </c>
      <c r="I590" s="49" t="s">
        <v>2132</v>
      </c>
      <c r="J590" s="316">
        <v>45961</v>
      </c>
      <c r="K590" s="360">
        <v>45965</v>
      </c>
      <c r="L590" s="363" t="s">
        <v>47</v>
      </c>
      <c r="M590" s="317" t="s">
        <v>2133</v>
      </c>
      <c r="N590" s="317">
        <v>3</v>
      </c>
      <c r="O590" s="322">
        <v>45698</v>
      </c>
      <c r="P590" s="365" t="s">
        <v>30</v>
      </c>
      <c r="Q590" s="364">
        <v>45699</v>
      </c>
      <c r="R590" s="364">
        <v>45699</v>
      </c>
      <c r="S590" s="348"/>
    </row>
    <row r="591" spans="1:19" ht="25.5" hidden="1" x14ac:dyDescent="0.25">
      <c r="A591" s="359">
        <v>0</v>
      </c>
      <c r="B591" s="49" t="s">
        <v>4016</v>
      </c>
      <c r="C591" s="49" t="s">
        <v>536</v>
      </c>
      <c r="D591" s="49"/>
      <c r="E591" s="49">
        <v>184440</v>
      </c>
      <c r="F591" s="49" t="s">
        <v>4017</v>
      </c>
      <c r="G591" s="49" t="s">
        <v>4018</v>
      </c>
      <c r="H591" s="49" t="s">
        <v>3328</v>
      </c>
      <c r="I591" s="49" t="s">
        <v>4019</v>
      </c>
      <c r="J591" s="316">
        <v>45596</v>
      </c>
      <c r="K591" s="360">
        <v>45602</v>
      </c>
      <c r="L591" s="363" t="s">
        <v>28</v>
      </c>
      <c r="M591" s="317" t="s">
        <v>3330</v>
      </c>
      <c r="N591" s="317">
        <v>4</v>
      </c>
      <c r="O591" s="322">
        <v>45607</v>
      </c>
      <c r="P591" s="365" t="s">
        <v>30</v>
      </c>
      <c r="Q591" s="364">
        <v>45608</v>
      </c>
      <c r="R591" s="364">
        <v>45608</v>
      </c>
      <c r="S591" s="348"/>
    </row>
    <row r="592" spans="1:19" ht="25.5" hidden="1" x14ac:dyDescent="0.25">
      <c r="A592" s="359">
        <v>0</v>
      </c>
      <c r="B592" s="49" t="s">
        <v>4020</v>
      </c>
      <c r="C592" s="49" t="s">
        <v>1775</v>
      </c>
      <c r="D592" s="49"/>
      <c r="E592" s="49">
        <v>184444</v>
      </c>
      <c r="F592" s="49" t="s">
        <v>4021</v>
      </c>
      <c r="G592" s="49" t="s">
        <v>4022</v>
      </c>
      <c r="H592" s="49" t="s">
        <v>4023</v>
      </c>
      <c r="I592" s="49" t="s">
        <v>4024</v>
      </c>
      <c r="J592" s="316">
        <v>45600</v>
      </c>
      <c r="K592" s="360">
        <v>45603</v>
      </c>
      <c r="L592" s="363" t="s">
        <v>47</v>
      </c>
      <c r="M592" s="317" t="s">
        <v>4025</v>
      </c>
      <c r="N592" s="317">
        <v>10</v>
      </c>
      <c r="O592" s="322">
        <v>45623</v>
      </c>
      <c r="P592" s="365" t="s">
        <v>30</v>
      </c>
      <c r="Q592" s="364">
        <v>45623</v>
      </c>
      <c r="R592" s="364">
        <v>45623</v>
      </c>
      <c r="S592" s="348"/>
    </row>
    <row r="593" spans="1:19" ht="25.5" hidden="1" x14ac:dyDescent="0.25">
      <c r="A593" s="359">
        <v>0</v>
      </c>
      <c r="B593" s="49" t="s">
        <v>4026</v>
      </c>
      <c r="C593" s="49" t="s">
        <v>1775</v>
      </c>
      <c r="D593" s="49"/>
      <c r="E593" s="49">
        <v>184445</v>
      </c>
      <c r="F593" s="49" t="s">
        <v>4027</v>
      </c>
      <c r="G593" s="49" t="s">
        <v>3322</v>
      </c>
      <c r="H593" s="49" t="s">
        <v>3323</v>
      </c>
      <c r="I593" s="49" t="s">
        <v>4028</v>
      </c>
      <c r="J593" s="316">
        <v>45600</v>
      </c>
      <c r="K593" s="360">
        <v>45603</v>
      </c>
      <c r="L593" s="363" t="s">
        <v>47</v>
      </c>
      <c r="M593" s="317" t="s">
        <v>4029</v>
      </c>
      <c r="N593" s="317">
        <v>5</v>
      </c>
      <c r="O593" s="322">
        <v>45622</v>
      </c>
      <c r="P593" s="365" t="s">
        <v>30</v>
      </c>
      <c r="Q593" s="364">
        <v>45622</v>
      </c>
      <c r="R593" s="364">
        <v>45622</v>
      </c>
      <c r="S593" s="348"/>
    </row>
    <row r="594" spans="1:19" ht="25.5" hidden="1" x14ac:dyDescent="0.25">
      <c r="A594" s="359">
        <v>0</v>
      </c>
      <c r="B594" s="49" t="s">
        <v>4030</v>
      </c>
      <c r="C594" s="49" t="s">
        <v>3254</v>
      </c>
      <c r="D594" s="49"/>
      <c r="E594" s="49">
        <v>184447</v>
      </c>
      <c r="F594" s="49" t="s">
        <v>4031</v>
      </c>
      <c r="G594" s="49" t="s">
        <v>4032</v>
      </c>
      <c r="H594" s="49" t="s">
        <v>370</v>
      </c>
      <c r="I594" s="49" t="s">
        <v>599</v>
      </c>
      <c r="J594" s="316">
        <v>45601</v>
      </c>
      <c r="K594" s="360">
        <v>45607</v>
      </c>
      <c r="L594" s="363" t="s">
        <v>28</v>
      </c>
      <c r="M594" s="317" t="s">
        <v>3968</v>
      </c>
      <c r="N594" s="317">
        <v>8</v>
      </c>
      <c r="O594" s="322">
        <v>45608</v>
      </c>
      <c r="P594" s="365" t="s">
        <v>30</v>
      </c>
      <c r="Q594" s="364">
        <v>45608</v>
      </c>
      <c r="R594" s="364">
        <v>45608</v>
      </c>
      <c r="S594" s="348"/>
    </row>
    <row r="595" spans="1:19" ht="25.5" hidden="1" x14ac:dyDescent="0.25">
      <c r="A595" s="359">
        <v>0</v>
      </c>
      <c r="B595" s="49" t="s">
        <v>4033</v>
      </c>
      <c r="C595" s="49" t="s">
        <v>2059</v>
      </c>
      <c r="D595" s="49"/>
      <c r="E595" s="49">
        <v>184451</v>
      </c>
      <c r="F595" s="49" t="s">
        <v>4034</v>
      </c>
      <c r="G595" s="49" t="s">
        <v>2119</v>
      </c>
      <c r="H595" s="49" t="s">
        <v>4035</v>
      </c>
      <c r="I595" s="49" t="s">
        <v>2121</v>
      </c>
      <c r="J595" s="316">
        <v>45603</v>
      </c>
      <c r="K595" s="360">
        <v>45607</v>
      </c>
      <c r="L595" s="363" t="s">
        <v>28</v>
      </c>
      <c r="M595" s="317" t="s">
        <v>2122</v>
      </c>
      <c r="N595" s="317">
        <v>2</v>
      </c>
      <c r="O595" s="322">
        <v>45608</v>
      </c>
      <c r="P595" s="365" t="s">
        <v>30</v>
      </c>
      <c r="Q595" s="364">
        <v>45609</v>
      </c>
      <c r="R595" s="364">
        <v>45609</v>
      </c>
      <c r="S595" s="348"/>
    </row>
    <row r="596" spans="1:19" hidden="1" x14ac:dyDescent="0.25">
      <c r="A596" s="359">
        <v>0</v>
      </c>
      <c r="B596" s="49" t="s">
        <v>4036</v>
      </c>
      <c r="C596" s="49" t="s">
        <v>4037</v>
      </c>
      <c r="D596" s="49"/>
      <c r="E596" s="49">
        <v>184452</v>
      </c>
      <c r="F596" s="49" t="s">
        <v>4038</v>
      </c>
      <c r="G596" s="49"/>
      <c r="H596" s="49"/>
      <c r="I596" s="49"/>
      <c r="J596" s="316"/>
      <c r="K596" s="360"/>
      <c r="L596" s="363"/>
      <c r="M596" s="317"/>
      <c r="N596" s="317"/>
      <c r="O596" s="322"/>
      <c r="P596" s="365"/>
      <c r="Q596" s="364"/>
      <c r="R596" s="364"/>
      <c r="S596" s="348"/>
    </row>
    <row r="597" spans="1:19" ht="25.5" hidden="1" x14ac:dyDescent="0.25">
      <c r="A597" s="359">
        <v>0</v>
      </c>
      <c r="B597" s="49" t="s">
        <v>4039</v>
      </c>
      <c r="C597" s="49" t="s">
        <v>4040</v>
      </c>
      <c r="D597" s="49"/>
      <c r="E597" s="49">
        <v>184453</v>
      </c>
      <c r="F597" s="49" t="s">
        <v>4041</v>
      </c>
      <c r="G597" s="49" t="s">
        <v>4042</v>
      </c>
      <c r="H597" s="49" t="s">
        <v>4043</v>
      </c>
      <c r="I597" s="49" t="s">
        <v>4044</v>
      </c>
      <c r="J597" s="316">
        <v>45603</v>
      </c>
      <c r="K597" s="360">
        <v>45604</v>
      </c>
      <c r="L597" s="363" t="s">
        <v>28</v>
      </c>
      <c r="M597" s="317" t="s">
        <v>4045</v>
      </c>
      <c r="N597" s="317">
        <v>1</v>
      </c>
      <c r="O597" s="322">
        <v>45607</v>
      </c>
      <c r="P597" s="365" t="s">
        <v>30</v>
      </c>
      <c r="Q597" s="364">
        <v>45607</v>
      </c>
      <c r="R597" s="364">
        <v>45607</v>
      </c>
      <c r="S597" s="348"/>
    </row>
    <row r="598" spans="1:19" ht="25.5" hidden="1" x14ac:dyDescent="0.25">
      <c r="A598" s="359">
        <v>0</v>
      </c>
      <c r="B598" s="49" t="s">
        <v>4046</v>
      </c>
      <c r="C598" s="49" t="s">
        <v>132</v>
      </c>
      <c r="D598" s="49"/>
      <c r="E598" s="49">
        <v>184454</v>
      </c>
      <c r="F598" s="49" t="s">
        <v>4047</v>
      </c>
      <c r="G598" s="49" t="s">
        <v>4048</v>
      </c>
      <c r="H598" s="49" t="s">
        <v>4049</v>
      </c>
      <c r="I598" s="49" t="s">
        <v>4050</v>
      </c>
      <c r="J598" s="316">
        <v>45604</v>
      </c>
      <c r="K598" s="360">
        <v>45604</v>
      </c>
      <c r="L598" s="363" t="s">
        <v>28</v>
      </c>
      <c r="M598" s="317" t="s">
        <v>4051</v>
      </c>
      <c r="N598" s="317">
        <v>2</v>
      </c>
      <c r="O598" s="322">
        <v>45607</v>
      </c>
      <c r="P598" s="365" t="s">
        <v>30</v>
      </c>
      <c r="Q598" s="364">
        <v>45607</v>
      </c>
      <c r="R598" s="364">
        <v>45607</v>
      </c>
      <c r="S598" s="348"/>
    </row>
    <row r="599" spans="1:19" ht="25.5" hidden="1" x14ac:dyDescent="0.25">
      <c r="A599" s="359">
        <v>0</v>
      </c>
      <c r="B599" s="49" t="s">
        <v>4052</v>
      </c>
      <c r="C599" s="49" t="s">
        <v>1680</v>
      </c>
      <c r="D599" s="49"/>
      <c r="E599" s="49">
        <v>184456</v>
      </c>
      <c r="F599" s="49" t="s">
        <v>4053</v>
      </c>
      <c r="G599" s="49" t="s">
        <v>4054</v>
      </c>
      <c r="H599" s="49" t="s">
        <v>3415</v>
      </c>
      <c r="I599" s="49" t="s">
        <v>4055</v>
      </c>
      <c r="J599" s="316">
        <v>45603</v>
      </c>
      <c r="K599" s="360">
        <v>45608</v>
      </c>
      <c r="L599" s="363" t="s">
        <v>28</v>
      </c>
      <c r="M599" s="317" t="s">
        <v>4056</v>
      </c>
      <c r="N599" s="317">
        <v>1</v>
      </c>
      <c r="O599" s="322">
        <v>45608</v>
      </c>
      <c r="P599" s="365" t="s">
        <v>30</v>
      </c>
      <c r="Q599" s="364">
        <v>45608</v>
      </c>
      <c r="R599" s="364">
        <v>45608</v>
      </c>
      <c r="S599" s="348"/>
    </row>
    <row r="600" spans="1:19" ht="51" hidden="1" x14ac:dyDescent="0.25">
      <c r="A600" s="359">
        <v>0</v>
      </c>
      <c r="B600" s="49" t="s">
        <v>4057</v>
      </c>
      <c r="C600" s="49" t="s">
        <v>2940</v>
      </c>
      <c r="D600" s="49"/>
      <c r="E600" s="49">
        <v>184457</v>
      </c>
      <c r="F600" s="49" t="s">
        <v>4058</v>
      </c>
      <c r="G600" s="49" t="s">
        <v>4059</v>
      </c>
      <c r="H600" s="49" t="s">
        <v>4060</v>
      </c>
      <c r="I600" s="49" t="s">
        <v>4061</v>
      </c>
      <c r="J600" s="316"/>
      <c r="K600" s="360"/>
      <c r="L600" s="363" t="s">
        <v>28</v>
      </c>
      <c r="M600" s="317" t="s">
        <v>154</v>
      </c>
      <c r="N600" s="317">
        <v>2</v>
      </c>
      <c r="O600" s="322">
        <v>45637</v>
      </c>
      <c r="P600" s="365" t="s">
        <v>30</v>
      </c>
      <c r="Q600" s="364">
        <v>45637</v>
      </c>
      <c r="R600" s="364">
        <v>45637</v>
      </c>
      <c r="S600" s="348"/>
    </row>
    <row r="601" spans="1:19" ht="25.5" hidden="1" x14ac:dyDescent="0.25">
      <c r="A601" s="359">
        <v>0</v>
      </c>
      <c r="B601" s="49" t="s">
        <v>4062</v>
      </c>
      <c r="C601" s="49" t="s">
        <v>2940</v>
      </c>
      <c r="D601" s="49"/>
      <c r="E601" s="49">
        <v>184458</v>
      </c>
      <c r="F601" s="49" t="s">
        <v>4063</v>
      </c>
      <c r="G601" s="49" t="s">
        <v>1406</v>
      </c>
      <c r="H601" s="49" t="s">
        <v>4064</v>
      </c>
      <c r="I601" s="49" t="s">
        <v>46</v>
      </c>
      <c r="J601" s="316"/>
      <c r="K601" s="360"/>
      <c r="L601" s="363" t="s">
        <v>28</v>
      </c>
      <c r="M601" s="317" t="s">
        <v>154</v>
      </c>
      <c r="N601" s="317">
        <v>2</v>
      </c>
      <c r="O601" s="322">
        <v>45636</v>
      </c>
      <c r="P601" s="365" t="s">
        <v>30</v>
      </c>
      <c r="Q601" s="364">
        <v>45636</v>
      </c>
      <c r="R601" s="364">
        <v>45636</v>
      </c>
      <c r="S601" s="348"/>
    </row>
    <row r="602" spans="1:19" ht="38.25" hidden="1" x14ac:dyDescent="0.25">
      <c r="A602" s="359">
        <v>0</v>
      </c>
      <c r="B602" s="49" t="s">
        <v>4065</v>
      </c>
      <c r="C602" s="49" t="s">
        <v>4066</v>
      </c>
      <c r="D602" s="49"/>
      <c r="E602" s="49">
        <v>184459</v>
      </c>
      <c r="F602" s="49" t="s">
        <v>4067</v>
      </c>
      <c r="G602" s="49" t="s">
        <v>4068</v>
      </c>
      <c r="H602" s="49" t="s">
        <v>4069</v>
      </c>
      <c r="I602" s="49" t="s">
        <v>4070</v>
      </c>
      <c r="J602" s="316">
        <v>45607</v>
      </c>
      <c r="K602" s="360">
        <v>45608</v>
      </c>
      <c r="L602" s="363" t="s">
        <v>28</v>
      </c>
      <c r="M602" s="317" t="s">
        <v>4071</v>
      </c>
      <c r="N602" s="317">
        <v>10</v>
      </c>
      <c r="O602" s="322">
        <v>45615</v>
      </c>
      <c r="P602" s="365" t="s">
        <v>30</v>
      </c>
      <c r="Q602" s="364">
        <v>45615</v>
      </c>
      <c r="R602" s="364">
        <v>45615</v>
      </c>
      <c r="S602" s="348"/>
    </row>
    <row r="603" spans="1:19" ht="25.5" hidden="1" x14ac:dyDescent="0.25">
      <c r="A603" s="359">
        <v>0</v>
      </c>
      <c r="B603" s="49" t="s">
        <v>4072</v>
      </c>
      <c r="C603" s="49" t="s">
        <v>4040</v>
      </c>
      <c r="D603" s="49"/>
      <c r="E603" s="49">
        <v>184460</v>
      </c>
      <c r="F603" s="49" t="s">
        <v>4073</v>
      </c>
      <c r="G603" s="49" t="s">
        <v>4068</v>
      </c>
      <c r="H603" s="49" t="s">
        <v>4069</v>
      </c>
      <c r="I603" s="49" t="s">
        <v>4074</v>
      </c>
      <c r="J603" s="316">
        <v>45607</v>
      </c>
      <c r="K603" s="360">
        <v>45608</v>
      </c>
      <c r="L603" s="363" t="s">
        <v>28</v>
      </c>
      <c r="M603" s="317" t="s">
        <v>4071</v>
      </c>
      <c r="N603" s="317">
        <v>20</v>
      </c>
      <c r="O603" s="322">
        <v>45615</v>
      </c>
      <c r="P603" s="365" t="s">
        <v>30</v>
      </c>
      <c r="Q603" s="364">
        <v>45615</v>
      </c>
      <c r="R603" s="364">
        <v>45615</v>
      </c>
      <c r="S603" s="348"/>
    </row>
    <row r="604" spans="1:19" ht="38.25" hidden="1" x14ac:dyDescent="0.25">
      <c r="A604" s="359">
        <v>0</v>
      </c>
      <c r="B604" s="49" t="s">
        <v>4075</v>
      </c>
      <c r="C604" s="49" t="s">
        <v>4076</v>
      </c>
      <c r="D604" s="49"/>
      <c r="E604" s="49">
        <v>184461</v>
      </c>
      <c r="F604" s="49" t="s">
        <v>4077</v>
      </c>
      <c r="G604" s="49" t="s">
        <v>4068</v>
      </c>
      <c r="H604" s="49" t="s">
        <v>4078</v>
      </c>
      <c r="I604" s="49" t="s">
        <v>4074</v>
      </c>
      <c r="J604" s="316">
        <v>45607</v>
      </c>
      <c r="K604" s="360">
        <v>45608</v>
      </c>
      <c r="L604" s="363" t="s">
        <v>28</v>
      </c>
      <c r="M604" s="317" t="s">
        <v>4079</v>
      </c>
      <c r="N604" s="317">
        <v>20</v>
      </c>
      <c r="O604" s="322">
        <v>45615</v>
      </c>
      <c r="P604" s="365" t="s">
        <v>30</v>
      </c>
      <c r="Q604" s="364">
        <v>45615</v>
      </c>
      <c r="R604" s="364">
        <v>45615</v>
      </c>
      <c r="S604" s="348"/>
    </row>
    <row r="605" spans="1:19" ht="25.5" hidden="1" x14ac:dyDescent="0.25">
      <c r="A605" s="359">
        <v>0</v>
      </c>
      <c r="B605" s="49" t="s">
        <v>4080</v>
      </c>
      <c r="C605" s="49" t="s">
        <v>4040</v>
      </c>
      <c r="D605" s="49"/>
      <c r="E605" s="49">
        <v>184462</v>
      </c>
      <c r="F605" s="49" t="s">
        <v>4081</v>
      </c>
      <c r="G605" s="49" t="s">
        <v>4068</v>
      </c>
      <c r="H605" s="49" t="s">
        <v>4078</v>
      </c>
      <c r="I605" s="49" t="s">
        <v>4070</v>
      </c>
      <c r="J605" s="316">
        <v>45607</v>
      </c>
      <c r="K605" s="360">
        <v>45608</v>
      </c>
      <c r="L605" s="363" t="s">
        <v>28</v>
      </c>
      <c r="M605" s="317" t="s">
        <v>4079</v>
      </c>
      <c r="N605" s="317">
        <v>20</v>
      </c>
      <c r="O605" s="322">
        <v>45615</v>
      </c>
      <c r="P605" s="365" t="s">
        <v>30</v>
      </c>
      <c r="Q605" s="364">
        <v>45615</v>
      </c>
      <c r="R605" s="364">
        <v>45615</v>
      </c>
      <c r="S605" s="348"/>
    </row>
    <row r="606" spans="1:19" ht="25.5" hidden="1" x14ac:dyDescent="0.25">
      <c r="A606" s="359">
        <v>0</v>
      </c>
      <c r="B606" s="49" t="s">
        <v>4082</v>
      </c>
      <c r="C606" s="49" t="s">
        <v>2544</v>
      </c>
      <c r="D606" s="49"/>
      <c r="E606" s="49">
        <v>184463</v>
      </c>
      <c r="F606" s="49" t="s">
        <v>4083</v>
      </c>
      <c r="G606" s="49" t="s">
        <v>4084</v>
      </c>
      <c r="H606" s="49" t="s">
        <v>159</v>
      </c>
      <c r="I606" s="49" t="s">
        <v>4085</v>
      </c>
      <c r="J606" s="316">
        <v>45607</v>
      </c>
      <c r="K606" s="360">
        <v>45608</v>
      </c>
      <c r="L606" s="363" t="s">
        <v>28</v>
      </c>
      <c r="M606" s="317" t="s">
        <v>161</v>
      </c>
      <c r="N606" s="317">
        <v>1</v>
      </c>
      <c r="O606" s="322">
        <v>45608</v>
      </c>
      <c r="P606" s="365" t="s">
        <v>30</v>
      </c>
      <c r="Q606" s="364">
        <v>45608</v>
      </c>
      <c r="R606" s="364">
        <v>45608</v>
      </c>
      <c r="S606" s="348"/>
    </row>
    <row r="607" spans="1:19" ht="25.5" hidden="1" x14ac:dyDescent="0.25">
      <c r="A607" s="359">
        <v>0</v>
      </c>
      <c r="B607" s="49" t="s">
        <v>4086</v>
      </c>
      <c r="C607" s="49" t="s">
        <v>2470</v>
      </c>
      <c r="D607" s="49"/>
      <c r="E607" s="49">
        <v>184465</v>
      </c>
      <c r="F607" s="49" t="s">
        <v>4087</v>
      </c>
      <c r="G607" s="49" t="s">
        <v>4088</v>
      </c>
      <c r="H607" s="49" t="s">
        <v>4089</v>
      </c>
      <c r="I607" s="49" t="s">
        <v>4090</v>
      </c>
      <c r="J607" s="316">
        <v>45608</v>
      </c>
      <c r="K607" s="360">
        <v>45608</v>
      </c>
      <c r="L607" s="363" t="s">
        <v>28</v>
      </c>
      <c r="M607" s="317" t="s">
        <v>3375</v>
      </c>
      <c r="N607" s="317">
        <v>20</v>
      </c>
      <c r="O607" s="322">
        <v>45608</v>
      </c>
      <c r="P607" s="365" t="s">
        <v>30</v>
      </c>
      <c r="Q607" s="364">
        <v>45608</v>
      </c>
      <c r="R607" s="364">
        <v>45608</v>
      </c>
      <c r="S607" s="348"/>
    </row>
    <row r="608" spans="1:19" hidden="1" x14ac:dyDescent="0.25">
      <c r="A608" s="359">
        <v>0</v>
      </c>
      <c r="B608" s="49" t="s">
        <v>4091</v>
      </c>
      <c r="C608" s="49" t="s">
        <v>1680</v>
      </c>
      <c r="D608" s="49"/>
      <c r="E608" s="49">
        <v>184467</v>
      </c>
      <c r="F608" s="49" t="s">
        <v>4092</v>
      </c>
      <c r="G608" s="49" t="s">
        <v>135</v>
      </c>
      <c r="H608" s="49" t="s">
        <v>2869</v>
      </c>
      <c r="I608" s="49" t="s">
        <v>4093</v>
      </c>
      <c r="J608" s="316">
        <v>45609</v>
      </c>
      <c r="K608" s="360">
        <v>45610</v>
      </c>
      <c r="L608" s="363" t="s">
        <v>28</v>
      </c>
      <c r="M608" s="317" t="s">
        <v>4094</v>
      </c>
      <c r="N608" s="317">
        <v>1</v>
      </c>
      <c r="O608" s="322">
        <v>45610</v>
      </c>
      <c r="P608" s="365" t="s">
        <v>30</v>
      </c>
      <c r="Q608" s="364">
        <v>45610</v>
      </c>
      <c r="R608" s="364">
        <v>45610</v>
      </c>
      <c r="S608" s="348"/>
    </row>
    <row r="609" spans="1:19" ht="25.5" hidden="1" x14ac:dyDescent="0.25">
      <c r="A609" s="359">
        <v>0</v>
      </c>
      <c r="B609" s="49" t="s">
        <v>4095</v>
      </c>
      <c r="C609" s="49" t="s">
        <v>536</v>
      </c>
      <c r="D609" s="49"/>
      <c r="E609" s="49">
        <v>184468</v>
      </c>
      <c r="F609" s="49" t="s">
        <v>4096</v>
      </c>
      <c r="G609" s="49"/>
      <c r="H609" s="49"/>
      <c r="I609" s="49"/>
      <c r="J609" s="316"/>
      <c r="K609" s="360"/>
      <c r="L609" s="363"/>
      <c r="M609" s="317"/>
      <c r="N609" s="317"/>
      <c r="O609" s="322"/>
      <c r="P609" s="365"/>
      <c r="Q609" s="364"/>
      <c r="R609" s="364"/>
      <c r="S609" s="348"/>
    </row>
    <row r="610" spans="1:19" ht="25.5" hidden="1" x14ac:dyDescent="0.25">
      <c r="A610" s="359">
        <v>0</v>
      </c>
      <c r="B610" s="49" t="s">
        <v>4097</v>
      </c>
      <c r="C610" s="49" t="s">
        <v>1781</v>
      </c>
      <c r="D610" s="49"/>
      <c r="E610" s="49">
        <v>184469</v>
      </c>
      <c r="F610" s="49" t="s">
        <v>4098</v>
      </c>
      <c r="G610" s="49" t="s">
        <v>3156</v>
      </c>
      <c r="H610" s="49" t="s">
        <v>4099</v>
      </c>
      <c r="I610" s="49" t="s">
        <v>4100</v>
      </c>
      <c r="J610" s="316">
        <v>45609</v>
      </c>
      <c r="K610" s="360">
        <v>45610</v>
      </c>
      <c r="L610" s="363" t="s">
        <v>28</v>
      </c>
      <c r="M610" s="317" t="s">
        <v>37</v>
      </c>
      <c r="N610" s="317">
        <v>20</v>
      </c>
      <c r="O610" s="322">
        <v>45617</v>
      </c>
      <c r="P610" s="365" t="s">
        <v>30</v>
      </c>
      <c r="Q610" s="364">
        <v>45617</v>
      </c>
      <c r="R610" s="364">
        <v>45617</v>
      </c>
      <c r="S610" s="348"/>
    </row>
    <row r="611" spans="1:19" ht="38.25" hidden="1" x14ac:dyDescent="0.25">
      <c r="A611" s="359">
        <v>0</v>
      </c>
      <c r="B611" s="49" t="s">
        <v>4101</v>
      </c>
      <c r="C611" s="49" t="s">
        <v>4102</v>
      </c>
      <c r="D611" s="49"/>
      <c r="E611" s="49">
        <v>184470</v>
      </c>
      <c r="F611" s="49" t="s">
        <v>4103</v>
      </c>
      <c r="G611" s="49" t="s">
        <v>3156</v>
      </c>
      <c r="H611" s="49" t="s">
        <v>4104</v>
      </c>
      <c r="I611" s="49" t="s">
        <v>4100</v>
      </c>
      <c r="J611" s="316">
        <v>45609</v>
      </c>
      <c r="K611" s="360">
        <v>45610</v>
      </c>
      <c r="L611" s="363" t="s">
        <v>47</v>
      </c>
      <c r="M611" s="317" t="s">
        <v>4105</v>
      </c>
      <c r="N611" s="317">
        <v>20</v>
      </c>
      <c r="O611" s="322">
        <v>45622</v>
      </c>
      <c r="P611" s="365" t="s">
        <v>30</v>
      </c>
      <c r="Q611" s="364">
        <v>45622</v>
      </c>
      <c r="R611" s="364">
        <v>45622</v>
      </c>
      <c r="S611" s="348"/>
    </row>
    <row r="612" spans="1:19" hidden="1" x14ac:dyDescent="0.25">
      <c r="A612" s="359">
        <v>0</v>
      </c>
      <c r="B612" s="49" t="s">
        <v>4106</v>
      </c>
      <c r="C612" s="49" t="s">
        <v>1705</v>
      </c>
      <c r="D612" s="49"/>
      <c r="E612" s="49">
        <v>184471</v>
      </c>
      <c r="F612" s="49" t="s">
        <v>4107</v>
      </c>
      <c r="G612" s="49" t="s">
        <v>4108</v>
      </c>
      <c r="H612" s="49" t="s">
        <v>4109</v>
      </c>
      <c r="I612" s="49" t="s">
        <v>36</v>
      </c>
      <c r="J612" s="316">
        <v>45609</v>
      </c>
      <c r="K612" s="360">
        <v>45610</v>
      </c>
      <c r="L612" s="363" t="s">
        <v>28</v>
      </c>
      <c r="M612" s="317" t="s">
        <v>37</v>
      </c>
      <c r="N612" s="317">
        <v>10</v>
      </c>
      <c r="O612" s="322">
        <v>45616</v>
      </c>
      <c r="P612" s="365" t="s">
        <v>30</v>
      </c>
      <c r="Q612" s="364">
        <v>45617</v>
      </c>
      <c r="R612" s="364">
        <v>45617</v>
      </c>
      <c r="S612" s="348"/>
    </row>
    <row r="613" spans="1:19" ht="25.5" hidden="1" x14ac:dyDescent="0.25">
      <c r="A613" s="359">
        <v>0</v>
      </c>
      <c r="B613" s="49" t="s">
        <v>4110</v>
      </c>
      <c r="C613" s="49" t="s">
        <v>132</v>
      </c>
      <c r="D613" s="49"/>
      <c r="E613" s="49">
        <v>184472</v>
      </c>
      <c r="F613" s="49" t="s">
        <v>4111</v>
      </c>
      <c r="G613" s="49" t="s">
        <v>4112</v>
      </c>
      <c r="H613" s="49" t="s">
        <v>4113</v>
      </c>
      <c r="I613" s="49" t="s">
        <v>143</v>
      </c>
      <c r="J613" s="316">
        <v>45610</v>
      </c>
      <c r="K613" s="360">
        <v>45610</v>
      </c>
      <c r="L613" s="363" t="s">
        <v>28</v>
      </c>
      <c r="M613" s="317" t="s">
        <v>4114</v>
      </c>
      <c r="N613" s="317">
        <v>1</v>
      </c>
      <c r="O613" s="322">
        <v>45610</v>
      </c>
      <c r="P613" s="365" t="s">
        <v>30</v>
      </c>
      <c r="Q613" s="364">
        <v>45610</v>
      </c>
      <c r="R613" s="364">
        <v>45610</v>
      </c>
      <c r="S613" s="348"/>
    </row>
    <row r="614" spans="1:19" ht="38.25" hidden="1" x14ac:dyDescent="0.25">
      <c r="A614" s="359">
        <v>0</v>
      </c>
      <c r="B614" s="49" t="s">
        <v>4115</v>
      </c>
      <c r="C614" s="49" t="s">
        <v>2952</v>
      </c>
      <c r="D614" s="49"/>
      <c r="E614" s="49">
        <v>184475</v>
      </c>
      <c r="F614" s="49" t="s">
        <v>4116</v>
      </c>
      <c r="G614" s="49" t="s">
        <v>171</v>
      </c>
      <c r="H614" s="49" t="s">
        <v>172</v>
      </c>
      <c r="I614" s="49" t="s">
        <v>4117</v>
      </c>
      <c r="J614" s="316">
        <v>45614</v>
      </c>
      <c r="K614" s="360">
        <v>45614</v>
      </c>
      <c r="L614" s="363" t="s">
        <v>28</v>
      </c>
      <c r="M614" s="317" t="s">
        <v>174</v>
      </c>
      <c r="N614" s="317">
        <v>4</v>
      </c>
      <c r="O614" s="322">
        <v>45616</v>
      </c>
      <c r="P614" s="365" t="s">
        <v>30</v>
      </c>
      <c r="Q614" s="364">
        <v>45621</v>
      </c>
      <c r="R614" s="364">
        <v>45621</v>
      </c>
      <c r="S614" s="348"/>
    </row>
    <row r="615" spans="1:19" ht="25.5" hidden="1" x14ac:dyDescent="0.25">
      <c r="A615" s="359">
        <v>0</v>
      </c>
      <c r="B615" s="49" t="s">
        <v>4118</v>
      </c>
      <c r="C615" s="49" t="s">
        <v>2854</v>
      </c>
      <c r="D615" s="49"/>
      <c r="E615" s="49">
        <v>184476</v>
      </c>
      <c r="F615" s="49" t="s">
        <v>4119</v>
      </c>
      <c r="G615" s="49"/>
      <c r="H615" s="49"/>
      <c r="I615" s="49"/>
      <c r="J615" s="316"/>
      <c r="K615" s="360"/>
      <c r="L615" s="363"/>
      <c r="M615" s="317"/>
      <c r="N615" s="317"/>
      <c r="O615" s="322"/>
      <c r="P615" s="365"/>
      <c r="Q615" s="364"/>
      <c r="R615" s="364"/>
      <c r="S615" s="348"/>
    </row>
    <row r="616" spans="1:19" ht="25.5" hidden="1" x14ac:dyDescent="0.25">
      <c r="A616" s="359">
        <v>0</v>
      </c>
      <c r="B616" s="49" t="s">
        <v>4120</v>
      </c>
      <c r="C616" s="49" t="s">
        <v>1711</v>
      </c>
      <c r="D616" s="49"/>
      <c r="E616" s="49">
        <v>184477</v>
      </c>
      <c r="F616" s="49" t="s">
        <v>4121</v>
      </c>
      <c r="G616" s="49" t="s">
        <v>4122</v>
      </c>
      <c r="H616" s="49" t="s">
        <v>4123</v>
      </c>
      <c r="I616" s="49" t="s">
        <v>4124</v>
      </c>
      <c r="J616" s="316">
        <v>45624</v>
      </c>
      <c r="K616" s="360">
        <v>45624</v>
      </c>
      <c r="L616" s="363" t="s">
        <v>28</v>
      </c>
      <c r="M616" s="317" t="s">
        <v>4125</v>
      </c>
      <c r="N616" s="317">
        <v>8</v>
      </c>
      <c r="O616" s="322">
        <v>45631</v>
      </c>
      <c r="P616" s="365" t="s">
        <v>30</v>
      </c>
      <c r="Q616" s="364">
        <v>45631</v>
      </c>
      <c r="R616" s="364">
        <v>45631</v>
      </c>
      <c r="S616" s="348"/>
    </row>
    <row r="617" spans="1:19" hidden="1" x14ac:dyDescent="0.25">
      <c r="A617" s="359">
        <v>0</v>
      </c>
      <c r="B617" s="49" t="s">
        <v>4126</v>
      </c>
      <c r="C617" s="49" t="s">
        <v>2643</v>
      </c>
      <c r="D617" s="49"/>
      <c r="E617" s="49">
        <v>184489</v>
      </c>
      <c r="F617" s="49" t="s">
        <v>4127</v>
      </c>
      <c r="G617" s="49" t="s">
        <v>52</v>
      </c>
      <c r="H617" s="49">
        <v>981332</v>
      </c>
      <c r="I617" s="49" t="s">
        <v>53</v>
      </c>
      <c r="J617" s="316">
        <v>45624</v>
      </c>
      <c r="K617" s="360">
        <v>45624</v>
      </c>
      <c r="L617" s="363" t="s">
        <v>28</v>
      </c>
      <c r="M617" s="317" t="s">
        <v>54</v>
      </c>
      <c r="N617" s="317">
        <v>2</v>
      </c>
      <c r="O617" s="322">
        <v>45629</v>
      </c>
      <c r="P617" s="365" t="s">
        <v>30</v>
      </c>
      <c r="Q617" s="364">
        <v>45631</v>
      </c>
      <c r="R617" s="364">
        <v>45631</v>
      </c>
      <c r="S617" s="348"/>
    </row>
    <row r="618" spans="1:19" ht="25.5" hidden="1" x14ac:dyDescent="0.25">
      <c r="A618" s="359">
        <v>0</v>
      </c>
      <c r="B618" s="49" t="s">
        <v>4128</v>
      </c>
      <c r="C618" s="49" t="s">
        <v>2643</v>
      </c>
      <c r="D618" s="49"/>
      <c r="E618" s="49">
        <v>184490</v>
      </c>
      <c r="F618" s="49" t="s">
        <v>4129</v>
      </c>
      <c r="G618" s="49" t="s">
        <v>4130</v>
      </c>
      <c r="H618" s="49" t="s">
        <v>4131</v>
      </c>
      <c r="I618" s="49" t="s">
        <v>160</v>
      </c>
      <c r="J618" s="316"/>
      <c r="K618" s="360"/>
      <c r="L618" s="363" t="s">
        <v>47</v>
      </c>
      <c r="M618" s="317" t="s">
        <v>192</v>
      </c>
      <c r="N618" s="317">
        <v>7</v>
      </c>
      <c r="O618" s="322">
        <v>45629</v>
      </c>
      <c r="P618" s="365" t="s">
        <v>30</v>
      </c>
      <c r="Q618" s="364">
        <v>45632</v>
      </c>
      <c r="R618" s="364">
        <v>45632</v>
      </c>
      <c r="S618" s="348"/>
    </row>
    <row r="619" spans="1:19" hidden="1" x14ac:dyDescent="0.25">
      <c r="A619" s="359">
        <v>0</v>
      </c>
      <c r="B619" s="49" t="s">
        <v>4132</v>
      </c>
      <c r="C619" s="49" t="s">
        <v>1680</v>
      </c>
      <c r="D619" s="49"/>
      <c r="E619" s="49">
        <v>184491</v>
      </c>
      <c r="F619" s="49" t="s">
        <v>4133</v>
      </c>
      <c r="G619" s="49" t="s">
        <v>267</v>
      </c>
      <c r="H619" s="49" t="s">
        <v>3934</v>
      </c>
      <c r="I619" s="49" t="s">
        <v>143</v>
      </c>
      <c r="J619" s="316"/>
      <c r="K619" s="360"/>
      <c r="L619" s="363" t="s">
        <v>28</v>
      </c>
      <c r="M619" s="317" t="s">
        <v>269</v>
      </c>
      <c r="N619" s="317">
        <v>1</v>
      </c>
      <c r="O619" s="322">
        <v>45629</v>
      </c>
      <c r="P619" s="365" t="s">
        <v>30</v>
      </c>
      <c r="Q619" s="364">
        <v>45631</v>
      </c>
      <c r="R619" s="364">
        <v>45631</v>
      </c>
      <c r="S619" s="348"/>
    </row>
    <row r="620" spans="1:19" ht="25.5" hidden="1" x14ac:dyDescent="0.25">
      <c r="A620" s="359">
        <v>0</v>
      </c>
      <c r="B620" s="49" t="s">
        <v>4134</v>
      </c>
      <c r="C620" s="49" t="s">
        <v>1711</v>
      </c>
      <c r="D620" s="49"/>
      <c r="E620" s="49">
        <v>184455</v>
      </c>
      <c r="F620" s="49" t="s">
        <v>4135</v>
      </c>
      <c r="G620" s="49" t="s">
        <v>4136</v>
      </c>
      <c r="H620" s="49" t="s">
        <v>4137</v>
      </c>
      <c r="I620" s="49" t="s">
        <v>4138</v>
      </c>
      <c r="J620" s="316">
        <v>45604</v>
      </c>
      <c r="K620" s="360">
        <v>45604</v>
      </c>
      <c r="L620" s="363" t="s">
        <v>28</v>
      </c>
      <c r="M620" s="317" t="s">
        <v>4139</v>
      </c>
      <c r="N620" s="317">
        <v>2</v>
      </c>
      <c r="O620" s="322">
        <v>45652</v>
      </c>
      <c r="P620" s="365" t="s">
        <v>30</v>
      </c>
      <c r="Q620" s="364">
        <v>45652</v>
      </c>
      <c r="R620" s="364">
        <v>45652</v>
      </c>
      <c r="S620" s="348"/>
    </row>
    <row r="621" spans="1:19" ht="25.5" hidden="1" x14ac:dyDescent="0.25">
      <c r="A621" s="359">
        <v>0</v>
      </c>
      <c r="B621" s="49" t="s">
        <v>4140</v>
      </c>
      <c r="C621" s="49" t="s">
        <v>1781</v>
      </c>
      <c r="D621" s="49"/>
      <c r="E621" s="49">
        <v>184492</v>
      </c>
      <c r="F621" s="49" t="s">
        <v>4141</v>
      </c>
      <c r="G621" s="49" t="s">
        <v>3514</v>
      </c>
      <c r="H621" s="49" t="s">
        <v>4142</v>
      </c>
      <c r="I621" s="49" t="s">
        <v>2566</v>
      </c>
      <c r="J621" s="316"/>
      <c r="K621" s="360"/>
      <c r="L621" s="363" t="s">
        <v>28</v>
      </c>
      <c r="M621" s="317" t="s">
        <v>4143</v>
      </c>
      <c r="N621" s="317">
        <v>4</v>
      </c>
      <c r="O621" s="322">
        <v>45629</v>
      </c>
      <c r="P621" s="365" t="s">
        <v>30</v>
      </c>
      <c r="Q621" s="364">
        <v>45631</v>
      </c>
      <c r="R621" s="364">
        <v>45631</v>
      </c>
      <c r="S621" s="348"/>
    </row>
    <row r="622" spans="1:19" ht="25.5" hidden="1" x14ac:dyDescent="0.25">
      <c r="A622" s="359">
        <v>0</v>
      </c>
      <c r="B622" s="49" t="s">
        <v>4144</v>
      </c>
      <c r="C622" s="49" t="s">
        <v>132</v>
      </c>
      <c r="D622" s="49"/>
      <c r="E622" s="49">
        <v>184513</v>
      </c>
      <c r="F622" s="49" t="s">
        <v>4145</v>
      </c>
      <c r="G622" s="49" t="s">
        <v>1862</v>
      </c>
      <c r="H622" s="49" t="s">
        <v>4146</v>
      </c>
      <c r="I622" s="49" t="s">
        <v>4147</v>
      </c>
      <c r="J622" s="316">
        <v>45630</v>
      </c>
      <c r="K622" s="360">
        <v>45630</v>
      </c>
      <c r="L622" s="363" t="s">
        <v>28</v>
      </c>
      <c r="M622" s="317" t="s">
        <v>4148</v>
      </c>
      <c r="N622" s="317">
        <v>1</v>
      </c>
      <c r="O622" s="322">
        <v>45631</v>
      </c>
      <c r="P622" s="365" t="s">
        <v>30</v>
      </c>
      <c r="Q622" s="364">
        <v>45631</v>
      </c>
      <c r="R622" s="364">
        <v>45631</v>
      </c>
      <c r="S622" s="348"/>
    </row>
    <row r="623" spans="1:19" ht="25.5" hidden="1" x14ac:dyDescent="0.25">
      <c r="A623" s="359">
        <v>0</v>
      </c>
      <c r="B623" s="49" t="s">
        <v>4149</v>
      </c>
      <c r="C623" s="49" t="s">
        <v>4040</v>
      </c>
      <c r="D623" s="49"/>
      <c r="E623" s="49">
        <v>184512</v>
      </c>
      <c r="F623" s="49" t="s">
        <v>4150</v>
      </c>
      <c r="G623" s="49" t="s">
        <v>4151</v>
      </c>
      <c r="H623" s="49" t="s">
        <v>4152</v>
      </c>
      <c r="I623" s="49" t="s">
        <v>2572</v>
      </c>
      <c r="J623" s="316">
        <v>45631</v>
      </c>
      <c r="K623" s="360"/>
      <c r="L623" s="363" t="s">
        <v>28</v>
      </c>
      <c r="M623" s="317" t="s">
        <v>4153</v>
      </c>
      <c r="N623" s="317">
        <v>3</v>
      </c>
      <c r="O623" s="322">
        <v>45632</v>
      </c>
      <c r="P623" s="365" t="s">
        <v>30</v>
      </c>
      <c r="Q623" s="364">
        <v>45635</v>
      </c>
      <c r="R623" s="364">
        <v>45635</v>
      </c>
      <c r="S623" s="348"/>
    </row>
    <row r="624" spans="1:19" ht="25.5" hidden="1" x14ac:dyDescent="0.25">
      <c r="A624" s="359">
        <v>0</v>
      </c>
      <c r="B624" s="49" t="s">
        <v>4154</v>
      </c>
      <c r="C624" s="49" t="s">
        <v>2059</v>
      </c>
      <c r="D624" s="49"/>
      <c r="E624" s="49">
        <v>184502</v>
      </c>
      <c r="F624" s="49" t="s">
        <v>4155</v>
      </c>
      <c r="G624" s="49" t="s">
        <v>2119</v>
      </c>
      <c r="H624" s="49" t="s">
        <v>4156</v>
      </c>
      <c r="I624" s="49" t="s">
        <v>2121</v>
      </c>
      <c r="J624" s="316">
        <v>45634</v>
      </c>
      <c r="K624" s="360">
        <v>45636</v>
      </c>
      <c r="L624" s="363" t="s">
        <v>28</v>
      </c>
      <c r="M624" s="317" t="s">
        <v>2122</v>
      </c>
      <c r="N624" s="317">
        <v>2</v>
      </c>
      <c r="O624" s="322">
        <v>45636</v>
      </c>
      <c r="P624" s="365" t="s">
        <v>30</v>
      </c>
      <c r="Q624" s="364">
        <v>45637</v>
      </c>
      <c r="R624" s="364">
        <v>45637</v>
      </c>
      <c r="S624" s="348"/>
    </row>
    <row r="625" spans="1:19" ht="38.25" hidden="1" x14ac:dyDescent="0.25">
      <c r="A625" s="359">
        <v>0</v>
      </c>
      <c r="B625" s="49" t="s">
        <v>4157</v>
      </c>
      <c r="C625" s="49" t="s">
        <v>4158</v>
      </c>
      <c r="D625" s="49"/>
      <c r="E625" s="49">
        <v>184503</v>
      </c>
      <c r="F625" s="49" t="s">
        <v>4159</v>
      </c>
      <c r="G625" s="49" t="s">
        <v>4160</v>
      </c>
      <c r="H625" s="49" t="s">
        <v>4161</v>
      </c>
      <c r="I625" s="49" t="s">
        <v>533</v>
      </c>
      <c r="J625" s="316">
        <v>45628</v>
      </c>
      <c r="K625" s="360">
        <v>45628</v>
      </c>
      <c r="L625" s="363" t="s">
        <v>28</v>
      </c>
      <c r="M625" s="317" t="s">
        <v>534</v>
      </c>
      <c r="N625" s="317">
        <v>1</v>
      </c>
      <c r="O625" s="322">
        <v>45637</v>
      </c>
      <c r="P625" s="365" t="s">
        <v>30</v>
      </c>
      <c r="Q625" s="364">
        <v>45643</v>
      </c>
      <c r="R625" s="364">
        <v>45643</v>
      </c>
      <c r="S625" s="348"/>
    </row>
    <row r="626" spans="1:19" ht="38.25" hidden="1" x14ac:dyDescent="0.25">
      <c r="A626" s="359">
        <v>0</v>
      </c>
      <c r="B626" s="49" t="s">
        <v>4162</v>
      </c>
      <c r="C626" s="49" t="s">
        <v>2933</v>
      </c>
      <c r="D626" s="49"/>
      <c r="E626" s="49">
        <v>184191</v>
      </c>
      <c r="F626" s="49" t="s">
        <v>4163</v>
      </c>
      <c r="G626" s="49" t="s">
        <v>165</v>
      </c>
      <c r="H626" s="49">
        <v>1213</v>
      </c>
      <c r="I626" s="49" t="s">
        <v>166</v>
      </c>
      <c r="J626" s="316"/>
      <c r="K626" s="360"/>
      <c r="L626" s="363" t="s">
        <v>28</v>
      </c>
      <c r="M626" s="317" t="s">
        <v>167</v>
      </c>
      <c r="N626" s="317">
        <v>2</v>
      </c>
      <c r="O626" s="322">
        <v>45637</v>
      </c>
      <c r="P626" s="365" t="s">
        <v>30</v>
      </c>
      <c r="Q626" s="364">
        <v>45637</v>
      </c>
      <c r="R626" s="364">
        <v>45637</v>
      </c>
      <c r="S626" s="348"/>
    </row>
    <row r="627" spans="1:19" hidden="1" x14ac:dyDescent="0.25">
      <c r="A627" s="359">
        <v>0</v>
      </c>
      <c r="B627" s="49" t="s">
        <v>4164</v>
      </c>
      <c r="C627" s="49" t="s">
        <v>83</v>
      </c>
      <c r="D627" s="49"/>
      <c r="E627" s="49">
        <v>184515</v>
      </c>
      <c r="F627" s="49" t="s">
        <v>4165</v>
      </c>
      <c r="G627" s="49" t="s">
        <v>2170</v>
      </c>
      <c r="H627" s="49" t="s">
        <v>4166</v>
      </c>
      <c r="I627" s="49" t="s">
        <v>73</v>
      </c>
      <c r="J627" s="316"/>
      <c r="K627" s="360"/>
      <c r="L627" s="363" t="s">
        <v>28</v>
      </c>
      <c r="M627" s="317" t="s">
        <v>4167</v>
      </c>
      <c r="N627" s="317">
        <v>2</v>
      </c>
      <c r="O627" s="322">
        <v>45642</v>
      </c>
      <c r="P627" s="365" t="s">
        <v>30</v>
      </c>
      <c r="Q627" s="364">
        <v>45642</v>
      </c>
      <c r="R627" s="364">
        <v>45642</v>
      </c>
      <c r="S627" s="348"/>
    </row>
    <row r="628" spans="1:19" hidden="1" x14ac:dyDescent="0.25">
      <c r="A628" s="359">
        <v>0</v>
      </c>
      <c r="B628" s="49" t="s">
        <v>4168</v>
      </c>
      <c r="C628" s="49" t="s">
        <v>1680</v>
      </c>
      <c r="D628" s="49"/>
      <c r="E628" s="49">
        <v>184484</v>
      </c>
      <c r="F628" s="49" t="s">
        <v>4169</v>
      </c>
      <c r="G628" s="49" t="s">
        <v>4170</v>
      </c>
      <c r="H628" s="49" t="s">
        <v>4171</v>
      </c>
      <c r="I628" s="49" t="s">
        <v>143</v>
      </c>
      <c r="J628" s="316"/>
      <c r="K628" s="360"/>
      <c r="L628" s="363" t="s">
        <v>28</v>
      </c>
      <c r="M628" s="317" t="s">
        <v>1896</v>
      </c>
      <c r="N628" s="317">
        <v>12</v>
      </c>
      <c r="O628" s="322">
        <v>45645</v>
      </c>
      <c r="P628" s="365" t="s">
        <v>30</v>
      </c>
      <c r="Q628" s="364">
        <v>45646</v>
      </c>
      <c r="R628" s="364">
        <v>45646</v>
      </c>
      <c r="S628" s="348"/>
    </row>
    <row r="629" spans="1:19" ht="25.5" hidden="1" x14ac:dyDescent="0.25">
      <c r="A629" s="359">
        <v>0</v>
      </c>
      <c r="B629" s="49" t="s">
        <v>4172</v>
      </c>
      <c r="C629" s="49" t="s">
        <v>4173</v>
      </c>
      <c r="D629" s="49"/>
      <c r="E629" s="49">
        <v>184548</v>
      </c>
      <c r="F629" s="49" t="s">
        <v>4174</v>
      </c>
      <c r="G629" s="49" t="s">
        <v>2521</v>
      </c>
      <c r="H629" s="49" t="s">
        <v>4175</v>
      </c>
      <c r="I629" s="49" t="s">
        <v>543</v>
      </c>
      <c r="J629" s="316"/>
      <c r="K629" s="360"/>
      <c r="L629" s="363" t="s">
        <v>28</v>
      </c>
      <c r="M629" s="317" t="s">
        <v>4176</v>
      </c>
      <c r="N629" s="317">
        <v>20</v>
      </c>
      <c r="O629" s="322">
        <v>45649</v>
      </c>
      <c r="P629" s="365" t="s">
        <v>30</v>
      </c>
      <c r="Q629" s="364">
        <v>45649</v>
      </c>
      <c r="R629" s="364">
        <v>45649</v>
      </c>
      <c r="S629" s="348"/>
    </row>
    <row r="630" spans="1:19" ht="25.5" hidden="1" x14ac:dyDescent="0.25">
      <c r="A630" s="359">
        <v>0</v>
      </c>
      <c r="B630" s="49" t="s">
        <v>4177</v>
      </c>
      <c r="C630" s="49" t="s">
        <v>4178</v>
      </c>
      <c r="D630" s="49"/>
      <c r="E630" s="49">
        <v>184496</v>
      </c>
      <c r="F630" s="49" t="s">
        <v>4179</v>
      </c>
      <c r="G630" s="49" t="s">
        <v>3742</v>
      </c>
      <c r="H630" s="49" t="s">
        <v>4180</v>
      </c>
      <c r="I630" s="49" t="s">
        <v>4181</v>
      </c>
      <c r="J630" s="316">
        <v>45636</v>
      </c>
      <c r="K630" s="360">
        <v>45636</v>
      </c>
      <c r="L630" s="363" t="s">
        <v>28</v>
      </c>
      <c r="M630" s="317" t="s">
        <v>4182</v>
      </c>
      <c r="N630" s="317">
        <v>6</v>
      </c>
      <c r="O630" s="322">
        <v>45706</v>
      </c>
      <c r="P630" s="365" t="s">
        <v>30</v>
      </c>
      <c r="Q630" s="364">
        <v>45741</v>
      </c>
      <c r="R630" s="364">
        <v>45741</v>
      </c>
      <c r="S630" s="348"/>
    </row>
    <row r="631" spans="1:19" ht="25.5" hidden="1" x14ac:dyDescent="0.25">
      <c r="A631" s="359">
        <v>0</v>
      </c>
      <c r="B631" s="49" t="s">
        <v>4183</v>
      </c>
      <c r="C631" s="49" t="s">
        <v>4184</v>
      </c>
      <c r="D631" s="49"/>
      <c r="E631" s="49">
        <v>184507</v>
      </c>
      <c r="F631" s="49" t="s">
        <v>4185</v>
      </c>
      <c r="G631" s="49" t="s">
        <v>4186</v>
      </c>
      <c r="H631" s="49" t="s">
        <v>4187</v>
      </c>
      <c r="I631" s="49" t="s">
        <v>4188</v>
      </c>
      <c r="J631" s="316"/>
      <c r="K631" s="360"/>
      <c r="L631" s="363" t="s">
        <v>28</v>
      </c>
      <c r="M631" s="317" t="s">
        <v>4189</v>
      </c>
      <c r="N631" s="317">
        <v>1</v>
      </c>
      <c r="O631" s="322">
        <v>45638</v>
      </c>
      <c r="P631" s="365" t="s">
        <v>30</v>
      </c>
      <c r="Q631" s="364">
        <v>45638</v>
      </c>
      <c r="R631" s="364">
        <v>45638</v>
      </c>
      <c r="S631" s="348"/>
    </row>
    <row r="632" spans="1:19" hidden="1" x14ac:dyDescent="0.25">
      <c r="A632" s="359">
        <v>0</v>
      </c>
      <c r="B632" s="49" t="s">
        <v>4190</v>
      </c>
      <c r="C632" s="49" t="s">
        <v>4184</v>
      </c>
      <c r="D632" s="49"/>
      <c r="E632" s="49">
        <v>184507</v>
      </c>
      <c r="F632" s="49" t="s">
        <v>4191</v>
      </c>
      <c r="G632" s="49"/>
      <c r="H632" s="49"/>
      <c r="I632" s="49"/>
      <c r="J632" s="316"/>
      <c r="K632" s="360"/>
      <c r="L632" s="363"/>
      <c r="M632" s="317"/>
      <c r="N632" s="317"/>
      <c r="O632" s="322"/>
      <c r="P632" s="365"/>
      <c r="Q632" s="364"/>
      <c r="R632" s="364"/>
      <c r="S632" s="348"/>
    </row>
    <row r="633" spans="1:19" hidden="1" x14ac:dyDescent="0.25">
      <c r="A633" s="359">
        <v>0</v>
      </c>
      <c r="B633" s="49" t="s">
        <v>4192</v>
      </c>
      <c r="C633" s="49" t="s">
        <v>4193</v>
      </c>
      <c r="D633" s="49"/>
      <c r="E633" s="49">
        <v>184505</v>
      </c>
      <c r="F633" s="49" t="s">
        <v>4194</v>
      </c>
      <c r="G633" s="49"/>
      <c r="H633" s="49"/>
      <c r="I633" s="49"/>
      <c r="J633" s="316"/>
      <c r="K633" s="360"/>
      <c r="L633" s="363"/>
      <c r="M633" s="317"/>
      <c r="N633" s="317"/>
      <c r="O633" s="322"/>
      <c r="P633" s="365"/>
      <c r="Q633" s="364"/>
      <c r="R633" s="364"/>
      <c r="S633" s="348"/>
    </row>
    <row r="634" spans="1:19" ht="25.5" hidden="1" x14ac:dyDescent="0.25">
      <c r="A634" s="359">
        <v>0</v>
      </c>
      <c r="B634" s="49" t="s">
        <v>4195</v>
      </c>
      <c r="C634" s="49" t="s">
        <v>2940</v>
      </c>
      <c r="D634" s="49"/>
      <c r="E634" s="49">
        <v>184536</v>
      </c>
      <c r="F634" s="49" t="s">
        <v>4196</v>
      </c>
      <c r="G634" s="49" t="s">
        <v>4197</v>
      </c>
      <c r="H634" s="49" t="s">
        <v>2533</v>
      </c>
      <c r="I634" s="49" t="s">
        <v>46</v>
      </c>
      <c r="J634" s="316">
        <v>46002</v>
      </c>
      <c r="K634" s="360"/>
      <c r="L634" s="363" t="s">
        <v>28</v>
      </c>
      <c r="M634" s="317" t="s">
        <v>150</v>
      </c>
      <c r="N634" s="317">
        <v>1</v>
      </c>
      <c r="O634" s="322">
        <v>46011</v>
      </c>
      <c r="P634" s="365" t="s">
        <v>30</v>
      </c>
      <c r="Q634" s="364">
        <v>45659</v>
      </c>
      <c r="R634" s="364">
        <v>45659</v>
      </c>
      <c r="S634" s="348"/>
    </row>
    <row r="635" spans="1:19" ht="25.5" hidden="1" x14ac:dyDescent="0.25">
      <c r="A635" s="359">
        <v>0</v>
      </c>
      <c r="B635" s="49" t="s">
        <v>4198</v>
      </c>
      <c r="C635" s="49" t="s">
        <v>3049</v>
      </c>
      <c r="D635" s="49"/>
      <c r="E635" s="49">
        <v>184501</v>
      </c>
      <c r="F635" s="49" t="s">
        <v>4199</v>
      </c>
      <c r="G635" s="49" t="s">
        <v>3429</v>
      </c>
      <c r="H635" s="49" t="s">
        <v>4200</v>
      </c>
      <c r="I635" s="49" t="s">
        <v>3064</v>
      </c>
      <c r="J635" s="316">
        <v>45638</v>
      </c>
      <c r="K635" s="360">
        <v>45638</v>
      </c>
      <c r="L635" s="363" t="s">
        <v>47</v>
      </c>
      <c r="M635" s="317" t="s">
        <v>471</v>
      </c>
      <c r="N635" s="317">
        <v>2</v>
      </c>
      <c r="O635" s="322">
        <v>45639</v>
      </c>
      <c r="P635" s="365" t="s">
        <v>30</v>
      </c>
      <c r="Q635" s="364">
        <v>45643</v>
      </c>
      <c r="R635" s="364">
        <v>45643</v>
      </c>
      <c r="S635" s="348"/>
    </row>
    <row r="636" spans="1:19" ht="38.25" hidden="1" x14ac:dyDescent="0.25">
      <c r="A636" s="359">
        <v>0</v>
      </c>
      <c r="B636" s="49" t="s">
        <v>4201</v>
      </c>
      <c r="C636" s="49" t="s">
        <v>1941</v>
      </c>
      <c r="D636" s="49"/>
      <c r="E636" s="49">
        <v>184531</v>
      </c>
      <c r="F636" s="49" t="s">
        <v>4202</v>
      </c>
      <c r="G636" s="49" t="s">
        <v>3506</v>
      </c>
      <c r="H636" s="49" t="s">
        <v>4203</v>
      </c>
      <c r="I636" s="49" t="s">
        <v>4204</v>
      </c>
      <c r="J636" s="316">
        <v>45638</v>
      </c>
      <c r="K636" s="360">
        <v>45639</v>
      </c>
      <c r="L636" s="363" t="s">
        <v>28</v>
      </c>
      <c r="M636" s="317" t="s">
        <v>4205</v>
      </c>
      <c r="N636" s="317">
        <v>1</v>
      </c>
      <c r="O636" s="322">
        <v>45656</v>
      </c>
      <c r="P636" s="365" t="s">
        <v>30</v>
      </c>
      <c r="Q636" s="364">
        <v>45656</v>
      </c>
      <c r="R636" s="364">
        <v>45656</v>
      </c>
      <c r="S636" s="348"/>
    </row>
    <row r="637" spans="1:19" hidden="1" x14ac:dyDescent="0.25">
      <c r="A637" s="359">
        <v>0</v>
      </c>
      <c r="B637" s="49" t="s">
        <v>4206</v>
      </c>
      <c r="C637" s="49" t="s">
        <v>83</v>
      </c>
      <c r="D637" s="49"/>
      <c r="E637" s="49">
        <v>184539</v>
      </c>
      <c r="F637" s="49" t="s">
        <v>4207</v>
      </c>
      <c r="G637" s="49" t="s">
        <v>296</v>
      </c>
      <c r="H637" s="49" t="s">
        <v>292</v>
      </c>
      <c r="I637" s="49" t="s">
        <v>73</v>
      </c>
      <c r="J637" s="316"/>
      <c r="K637" s="360"/>
      <c r="L637" s="363" t="s">
        <v>28</v>
      </c>
      <c r="M637" s="317" t="s">
        <v>293</v>
      </c>
      <c r="N637" s="317">
        <v>15</v>
      </c>
      <c r="O637" s="322">
        <v>45643</v>
      </c>
      <c r="P637" s="365" t="s">
        <v>30</v>
      </c>
      <c r="Q637" s="364">
        <v>45644</v>
      </c>
      <c r="R637" s="364">
        <v>45644</v>
      </c>
      <c r="S637" s="348"/>
    </row>
    <row r="638" spans="1:19" ht="25.5" hidden="1" x14ac:dyDescent="0.25">
      <c r="A638" s="359">
        <v>0</v>
      </c>
      <c r="B638" s="49" t="s">
        <v>4208</v>
      </c>
      <c r="C638" s="49" t="s">
        <v>2911</v>
      </c>
      <c r="D638" s="49"/>
      <c r="E638" s="49">
        <v>184540</v>
      </c>
      <c r="F638" s="49" t="s">
        <v>4209</v>
      </c>
      <c r="G638" s="49" t="s">
        <v>291</v>
      </c>
      <c r="H638" s="49" t="s">
        <v>297</v>
      </c>
      <c r="I638" s="49" t="s">
        <v>73</v>
      </c>
      <c r="J638" s="316"/>
      <c r="K638" s="360"/>
      <c r="L638" s="363" t="s">
        <v>28</v>
      </c>
      <c r="M638" s="317" t="s">
        <v>293</v>
      </c>
      <c r="N638" s="317">
        <v>20</v>
      </c>
      <c r="O638" s="322">
        <v>45643</v>
      </c>
      <c r="P638" s="365" t="s">
        <v>30</v>
      </c>
      <c r="Q638" s="364">
        <v>45644</v>
      </c>
      <c r="R638" s="364">
        <v>45644</v>
      </c>
      <c r="S638" s="348"/>
    </row>
    <row r="639" spans="1:19" ht="25.5" hidden="1" x14ac:dyDescent="0.25">
      <c r="A639" s="359">
        <v>0</v>
      </c>
      <c r="B639" s="49" t="s">
        <v>4210</v>
      </c>
      <c r="C639" s="49" t="s">
        <v>1842</v>
      </c>
      <c r="D639" s="49"/>
      <c r="E639" s="49">
        <v>184334</v>
      </c>
      <c r="F639" s="49" t="s">
        <v>4211</v>
      </c>
      <c r="G639" s="49" t="s">
        <v>4212</v>
      </c>
      <c r="H639" s="49" t="s">
        <v>4213</v>
      </c>
      <c r="I639" s="49" t="s">
        <v>4214</v>
      </c>
      <c r="J639" s="316">
        <v>45586</v>
      </c>
      <c r="K639" s="360">
        <v>46007</v>
      </c>
      <c r="L639" s="363" t="s">
        <v>28</v>
      </c>
      <c r="M639" s="317" t="s">
        <v>4215</v>
      </c>
      <c r="N639" s="317">
        <v>20</v>
      </c>
      <c r="O639" s="322">
        <v>45670</v>
      </c>
      <c r="P639" s="365" t="s">
        <v>30</v>
      </c>
      <c r="Q639" s="364">
        <v>45670</v>
      </c>
      <c r="R639" s="364">
        <v>45670</v>
      </c>
      <c r="S639" s="348"/>
    </row>
    <row r="640" spans="1:19" ht="25.5" hidden="1" x14ac:dyDescent="0.25">
      <c r="A640" s="359">
        <v>0</v>
      </c>
      <c r="B640" s="49" t="s">
        <v>4216</v>
      </c>
      <c r="C640" s="49" t="s">
        <v>1711</v>
      </c>
      <c r="D640" s="49"/>
      <c r="E640" s="49">
        <v>184207</v>
      </c>
      <c r="F640" s="49" t="s">
        <v>4217</v>
      </c>
      <c r="G640" s="49" t="s">
        <v>4218</v>
      </c>
      <c r="H640" s="49" t="s">
        <v>4219</v>
      </c>
      <c r="I640" s="49" t="s">
        <v>4220</v>
      </c>
      <c r="J640" s="316">
        <v>45533</v>
      </c>
      <c r="K640" s="360">
        <v>45541</v>
      </c>
      <c r="L640" s="363" t="s">
        <v>28</v>
      </c>
      <c r="M640" s="317" t="s">
        <v>4221</v>
      </c>
      <c r="N640" s="317">
        <v>7</v>
      </c>
      <c r="O640" s="322">
        <v>45664</v>
      </c>
      <c r="P640" s="365" t="s">
        <v>30</v>
      </c>
      <c r="Q640" s="364">
        <v>45664</v>
      </c>
      <c r="R640" s="364">
        <v>45664</v>
      </c>
      <c r="S640" s="348"/>
    </row>
    <row r="641" spans="1:19" hidden="1" x14ac:dyDescent="0.25">
      <c r="A641" s="359">
        <v>0</v>
      </c>
      <c r="B641" s="49" t="s">
        <v>4222</v>
      </c>
      <c r="C641" s="49" t="s">
        <v>2643</v>
      </c>
      <c r="D641" s="49"/>
      <c r="E641" s="49">
        <v>184544</v>
      </c>
      <c r="F641" s="49" t="s">
        <v>4223</v>
      </c>
      <c r="G641" s="49"/>
      <c r="H641" s="49"/>
      <c r="I641" s="49"/>
      <c r="J641" s="316"/>
      <c r="K641" s="360"/>
      <c r="L641" s="363"/>
      <c r="M641" s="317"/>
      <c r="N641" s="317"/>
      <c r="O641" s="322"/>
      <c r="P641" s="365"/>
      <c r="Q641" s="364"/>
      <c r="R641" s="364"/>
      <c r="S641" s="348"/>
    </row>
    <row r="642" spans="1:19" hidden="1" x14ac:dyDescent="0.25">
      <c r="A642" s="359">
        <v>0</v>
      </c>
      <c r="B642" s="49" t="s">
        <v>4224</v>
      </c>
      <c r="C642" s="49" t="s">
        <v>2643</v>
      </c>
      <c r="D642" s="49"/>
      <c r="E642" s="49">
        <v>184544</v>
      </c>
      <c r="F642" s="49" t="s">
        <v>4225</v>
      </c>
      <c r="G642" s="49"/>
      <c r="H642" s="49"/>
      <c r="I642" s="49"/>
      <c r="J642" s="316"/>
      <c r="K642" s="360"/>
      <c r="L642" s="363"/>
      <c r="M642" s="317"/>
      <c r="N642" s="317"/>
      <c r="O642" s="322"/>
      <c r="P642" s="365"/>
      <c r="Q642" s="364"/>
      <c r="R642" s="364"/>
      <c r="S642" s="348"/>
    </row>
    <row r="643" spans="1:19" ht="25.5" hidden="1" x14ac:dyDescent="0.25">
      <c r="A643" s="359">
        <v>0</v>
      </c>
      <c r="B643" s="49" t="s">
        <v>4226</v>
      </c>
      <c r="C643" s="49" t="s">
        <v>1680</v>
      </c>
      <c r="D643" s="49"/>
      <c r="E643" s="49">
        <v>184498</v>
      </c>
      <c r="F643" s="49" t="s">
        <v>4227</v>
      </c>
      <c r="G643" s="49" t="s">
        <v>4048</v>
      </c>
      <c r="H643" s="49" t="s">
        <v>4228</v>
      </c>
      <c r="I643" s="49" t="s">
        <v>4229</v>
      </c>
      <c r="J643" s="316">
        <v>45645</v>
      </c>
      <c r="K643" s="360">
        <v>45645</v>
      </c>
      <c r="L643" s="363" t="s">
        <v>28</v>
      </c>
      <c r="M643" s="317" t="s">
        <v>4114</v>
      </c>
      <c r="N643" s="317">
        <v>12</v>
      </c>
      <c r="O643" s="322">
        <v>45646</v>
      </c>
      <c r="P643" s="365" t="s">
        <v>30</v>
      </c>
      <c r="Q643" s="364">
        <v>45646</v>
      </c>
      <c r="R643" s="364">
        <v>45646</v>
      </c>
      <c r="S643" s="348"/>
    </row>
    <row r="644" spans="1:19" ht="38.25" hidden="1" x14ac:dyDescent="0.25">
      <c r="A644" s="359">
        <v>0</v>
      </c>
      <c r="B644" s="49" t="s">
        <v>4230</v>
      </c>
      <c r="C644" s="49" t="s">
        <v>2940</v>
      </c>
      <c r="D644" s="49"/>
      <c r="E644" s="49">
        <v>184545</v>
      </c>
      <c r="F644" s="49" t="s">
        <v>4231</v>
      </c>
      <c r="G644" s="49" t="s">
        <v>1512</v>
      </c>
      <c r="H644" s="49" t="s">
        <v>4232</v>
      </c>
      <c r="I644" s="49" t="s">
        <v>4233</v>
      </c>
      <c r="J644" s="316">
        <v>45644</v>
      </c>
      <c r="K644" s="360">
        <v>45644</v>
      </c>
      <c r="L644" s="363" t="s">
        <v>28</v>
      </c>
      <c r="M644" s="317" t="s">
        <v>3107</v>
      </c>
      <c r="N644" s="317">
        <v>1</v>
      </c>
      <c r="O644" s="322">
        <v>45695</v>
      </c>
      <c r="P644" s="365" t="s">
        <v>30</v>
      </c>
      <c r="Q644" s="364">
        <v>45698</v>
      </c>
      <c r="R644" s="364">
        <v>45698</v>
      </c>
      <c r="S644" s="348"/>
    </row>
    <row r="645" spans="1:19" ht="25.5" hidden="1" x14ac:dyDescent="0.25">
      <c r="A645" s="359">
        <v>0</v>
      </c>
      <c r="B645" s="49" t="s">
        <v>4234</v>
      </c>
      <c r="C645" s="49" t="s">
        <v>2940</v>
      </c>
      <c r="D645" s="49"/>
      <c r="E645" s="49">
        <v>184546</v>
      </c>
      <c r="F645" s="49" t="s">
        <v>4235</v>
      </c>
      <c r="G645" s="49" t="s">
        <v>1862</v>
      </c>
      <c r="H645" s="49" t="s">
        <v>4236</v>
      </c>
      <c r="I645" s="49" t="s">
        <v>4237</v>
      </c>
      <c r="J645" s="316">
        <v>46009</v>
      </c>
      <c r="K645" s="360"/>
      <c r="L645" s="363" t="s">
        <v>28</v>
      </c>
      <c r="M645" s="317" t="s">
        <v>4238</v>
      </c>
      <c r="N645" s="317">
        <v>8</v>
      </c>
      <c r="O645" s="322">
        <v>45670</v>
      </c>
      <c r="P645" s="365" t="s">
        <v>30</v>
      </c>
      <c r="Q645" s="364">
        <v>45671</v>
      </c>
      <c r="R645" s="364">
        <v>45671</v>
      </c>
      <c r="S645" s="348"/>
    </row>
    <row r="646" spans="1:19" ht="25.5" hidden="1" x14ac:dyDescent="0.25">
      <c r="A646" s="359">
        <v>0</v>
      </c>
      <c r="B646" s="49" t="s">
        <v>4239</v>
      </c>
      <c r="C646" s="49" t="s">
        <v>2940</v>
      </c>
      <c r="D646" s="49"/>
      <c r="E646" s="49">
        <v>184547</v>
      </c>
      <c r="F646" s="49" t="s">
        <v>4240</v>
      </c>
      <c r="G646" s="49" t="s">
        <v>4241</v>
      </c>
      <c r="H646" s="49" t="s">
        <v>4242</v>
      </c>
      <c r="I646" s="49" t="s">
        <v>1869</v>
      </c>
      <c r="J646" s="316">
        <v>45644</v>
      </c>
      <c r="K646" s="360"/>
      <c r="L646" s="363" t="s">
        <v>47</v>
      </c>
      <c r="M646" s="317" t="s">
        <v>4243</v>
      </c>
      <c r="N646" s="317">
        <v>10</v>
      </c>
      <c r="O646" s="322">
        <v>45672</v>
      </c>
      <c r="P646" s="365" t="s">
        <v>30</v>
      </c>
      <c r="Q646" s="364">
        <v>45673</v>
      </c>
      <c r="R646" s="364">
        <v>45673</v>
      </c>
      <c r="S646" s="348"/>
    </row>
    <row r="647" spans="1:19" ht="51" hidden="1" x14ac:dyDescent="0.25">
      <c r="A647" s="359">
        <v>0</v>
      </c>
      <c r="B647" s="49" t="s">
        <v>4244</v>
      </c>
      <c r="C647" s="49" t="s">
        <v>4245</v>
      </c>
      <c r="D647" s="49"/>
      <c r="E647" s="49">
        <v>184541</v>
      </c>
      <c r="F647" s="49" t="s">
        <v>4246</v>
      </c>
      <c r="G647" s="49" t="s">
        <v>4032</v>
      </c>
      <c r="H647" s="49" t="s">
        <v>370</v>
      </c>
      <c r="I647" s="49" t="s">
        <v>543</v>
      </c>
      <c r="J647" s="316"/>
      <c r="K647" s="360"/>
      <c r="L647" s="363" t="s">
        <v>28</v>
      </c>
      <c r="M647" s="317" t="s">
        <v>4176</v>
      </c>
      <c r="N647" s="317">
        <v>12</v>
      </c>
      <c r="O647" s="322">
        <v>45646</v>
      </c>
      <c r="P647" s="365" t="s">
        <v>30</v>
      </c>
      <c r="Q647" s="364">
        <v>45646</v>
      </c>
      <c r="R647" s="364">
        <v>45646</v>
      </c>
      <c r="S647" s="348"/>
    </row>
    <row r="648" spans="1:19" ht="25.5" hidden="1" x14ac:dyDescent="0.25">
      <c r="A648" s="359">
        <v>0</v>
      </c>
      <c r="B648" s="49" t="s">
        <v>4247</v>
      </c>
      <c r="C648" s="49" t="s">
        <v>243</v>
      </c>
      <c r="D648" s="49"/>
      <c r="E648" s="49">
        <v>184533</v>
      </c>
      <c r="F648" s="49" t="s">
        <v>4248</v>
      </c>
      <c r="G648" s="49" t="s">
        <v>4249</v>
      </c>
      <c r="H648" s="49" t="s">
        <v>4250</v>
      </c>
      <c r="I648" s="49" t="s">
        <v>247</v>
      </c>
      <c r="J648" s="316">
        <v>45644</v>
      </c>
      <c r="K648" s="360">
        <v>45644</v>
      </c>
      <c r="L648" s="363" t="s">
        <v>28</v>
      </c>
      <c r="M648" s="317" t="s">
        <v>248</v>
      </c>
      <c r="N648" s="317">
        <v>1</v>
      </c>
      <c r="O648" s="322">
        <v>45646</v>
      </c>
      <c r="P648" s="365" t="s">
        <v>30</v>
      </c>
      <c r="Q648" s="364">
        <v>45663</v>
      </c>
      <c r="R648" s="364">
        <v>45663</v>
      </c>
      <c r="S648" s="348"/>
    </row>
    <row r="649" spans="1:19" ht="25.5" hidden="1" x14ac:dyDescent="0.25">
      <c r="A649" s="359">
        <v>0</v>
      </c>
      <c r="B649" s="49" t="s">
        <v>4251</v>
      </c>
      <c r="C649" s="49" t="s">
        <v>243</v>
      </c>
      <c r="D649" s="49"/>
      <c r="E649" s="49">
        <v>184533</v>
      </c>
      <c r="F649" s="49" t="s">
        <v>4252</v>
      </c>
      <c r="G649" s="49" t="s">
        <v>4249</v>
      </c>
      <c r="H649" s="49" t="s">
        <v>4253</v>
      </c>
      <c r="I649" s="49" t="s">
        <v>247</v>
      </c>
      <c r="J649" s="316">
        <v>45644</v>
      </c>
      <c r="K649" s="360">
        <v>45644</v>
      </c>
      <c r="L649" s="363" t="s">
        <v>28</v>
      </c>
      <c r="M649" s="317" t="s">
        <v>248</v>
      </c>
      <c r="N649" s="317">
        <v>1</v>
      </c>
      <c r="O649" s="322">
        <v>45646</v>
      </c>
      <c r="P649" s="365" t="s">
        <v>30</v>
      </c>
      <c r="Q649" s="364">
        <v>45663</v>
      </c>
      <c r="R649" s="364">
        <v>45663</v>
      </c>
      <c r="S649" s="348"/>
    </row>
    <row r="650" spans="1:19" ht="25.5" hidden="1" x14ac:dyDescent="0.25">
      <c r="A650" s="359">
        <v>0</v>
      </c>
      <c r="B650" s="49" t="s">
        <v>4254</v>
      </c>
      <c r="C650" s="49" t="s">
        <v>1775</v>
      </c>
      <c r="D650" s="49"/>
      <c r="E650" s="49">
        <v>184550</v>
      </c>
      <c r="F650" s="49" t="s">
        <v>4255</v>
      </c>
      <c r="G650" s="49" t="s">
        <v>4256</v>
      </c>
      <c r="H650" s="49" t="s">
        <v>4257</v>
      </c>
      <c r="I650" s="49" t="s">
        <v>4258</v>
      </c>
      <c r="J650" s="316">
        <v>45674</v>
      </c>
      <c r="K650" s="360"/>
      <c r="L650" s="363" t="s">
        <v>47</v>
      </c>
      <c r="M650" s="317" t="s">
        <v>4259</v>
      </c>
      <c r="N650" s="317">
        <v>5</v>
      </c>
      <c r="O650" s="322">
        <v>45681</v>
      </c>
      <c r="P650" s="365" t="s">
        <v>30</v>
      </c>
      <c r="Q650" s="364">
        <v>45681</v>
      </c>
      <c r="R650" s="364">
        <v>45681</v>
      </c>
      <c r="S650" s="348"/>
    </row>
    <row r="651" spans="1:19" ht="25.5" hidden="1" x14ac:dyDescent="0.25">
      <c r="A651" s="359">
        <v>0</v>
      </c>
      <c r="B651" s="49" t="s">
        <v>4260</v>
      </c>
      <c r="C651" s="49" t="s">
        <v>132</v>
      </c>
      <c r="D651" s="49"/>
      <c r="E651" s="49">
        <v>184549</v>
      </c>
      <c r="F651" s="49" t="s">
        <v>4261</v>
      </c>
      <c r="G651" s="49" t="s">
        <v>4262</v>
      </c>
      <c r="H651" s="49" t="s">
        <v>3865</v>
      </c>
      <c r="I651" s="49" t="s">
        <v>73</v>
      </c>
      <c r="J651" s="316"/>
      <c r="K651" s="360"/>
      <c r="L651" s="363" t="s">
        <v>28</v>
      </c>
      <c r="M651" s="317" t="s">
        <v>2157</v>
      </c>
      <c r="N651" s="317">
        <v>1</v>
      </c>
      <c r="O651" s="322">
        <v>45649</v>
      </c>
      <c r="P651" s="365" t="s">
        <v>30</v>
      </c>
      <c r="Q651" s="364">
        <v>45649</v>
      </c>
      <c r="R651" s="364">
        <v>45649</v>
      </c>
      <c r="S651" s="348"/>
    </row>
    <row r="652" spans="1:19" ht="25.5" hidden="1" x14ac:dyDescent="0.25">
      <c r="A652" s="359">
        <v>0</v>
      </c>
      <c r="B652" s="49" t="s">
        <v>4263</v>
      </c>
      <c r="C652" s="49" t="s">
        <v>1680</v>
      </c>
      <c r="D652" s="49"/>
      <c r="E652" s="49">
        <v>184552</v>
      </c>
      <c r="F652" s="49" t="s">
        <v>4264</v>
      </c>
      <c r="G652" s="49" t="s">
        <v>4265</v>
      </c>
      <c r="H652" s="49" t="s">
        <v>4266</v>
      </c>
      <c r="I652" s="49" t="s">
        <v>143</v>
      </c>
      <c r="J652" s="316">
        <v>45645</v>
      </c>
      <c r="K652" s="360">
        <v>45645</v>
      </c>
      <c r="L652" s="363" t="s">
        <v>28</v>
      </c>
      <c r="M652" s="317" t="s">
        <v>3201</v>
      </c>
      <c r="N652" s="317">
        <v>2</v>
      </c>
      <c r="O652" s="322">
        <v>45660</v>
      </c>
      <c r="P652" s="365" t="s">
        <v>30</v>
      </c>
      <c r="Q652" s="364">
        <v>45663</v>
      </c>
      <c r="R652" s="364">
        <v>45663</v>
      </c>
      <c r="S652" s="348"/>
    </row>
    <row r="653" spans="1:19" ht="25.5" hidden="1" x14ac:dyDescent="0.25">
      <c r="A653" s="359">
        <v>0</v>
      </c>
      <c r="B653" s="49" t="s">
        <v>4267</v>
      </c>
      <c r="C653" s="49" t="s">
        <v>1680</v>
      </c>
      <c r="D653" s="49"/>
      <c r="E653" s="49">
        <v>184553</v>
      </c>
      <c r="F653" s="49" t="s">
        <v>4268</v>
      </c>
      <c r="G653" s="49" t="s">
        <v>4269</v>
      </c>
      <c r="H653" s="49" t="s">
        <v>4270</v>
      </c>
      <c r="I653" s="49" t="s">
        <v>143</v>
      </c>
      <c r="J653" s="316">
        <v>45645</v>
      </c>
      <c r="K653" s="360">
        <v>45646</v>
      </c>
      <c r="L653" s="363" t="s">
        <v>28</v>
      </c>
      <c r="M653" s="317" t="s">
        <v>3196</v>
      </c>
      <c r="N653" s="317">
        <v>1</v>
      </c>
      <c r="O653" s="322">
        <v>45664</v>
      </c>
      <c r="P653" s="365" t="s">
        <v>30</v>
      </c>
      <c r="Q653" s="364">
        <v>45664</v>
      </c>
      <c r="R653" s="364">
        <v>45664</v>
      </c>
      <c r="S653" s="348"/>
    </row>
    <row r="654" spans="1:19" hidden="1" x14ac:dyDescent="0.25">
      <c r="A654" s="359">
        <v>0</v>
      </c>
      <c r="B654" s="49" t="s">
        <v>4271</v>
      </c>
      <c r="C654" s="49" t="s">
        <v>83</v>
      </c>
      <c r="D654" s="49"/>
      <c r="E654" s="49">
        <v>184448</v>
      </c>
      <c r="F654" s="49" t="s">
        <v>4272</v>
      </c>
      <c r="G654" s="49"/>
      <c r="H654" s="49"/>
      <c r="I654" s="49"/>
      <c r="J654" s="316"/>
      <c r="K654" s="360"/>
      <c r="L654" s="363"/>
      <c r="M654" s="317"/>
      <c r="N654" s="317"/>
      <c r="O654" s="322"/>
      <c r="P654" s="365"/>
      <c r="Q654" s="364"/>
      <c r="R654" s="364"/>
      <c r="S654" s="348"/>
    </row>
    <row r="655" spans="1:19" ht="25.5" hidden="1" x14ac:dyDescent="0.25">
      <c r="A655" s="359">
        <v>0</v>
      </c>
      <c r="B655" s="49" t="s">
        <v>4273</v>
      </c>
      <c r="C655" s="49" t="s">
        <v>83</v>
      </c>
      <c r="D655" s="49"/>
      <c r="E655" s="49">
        <v>184448</v>
      </c>
      <c r="F655" s="49" t="s">
        <v>4274</v>
      </c>
      <c r="G655" s="49" t="s">
        <v>4275</v>
      </c>
      <c r="H655" s="49" t="s">
        <v>4276</v>
      </c>
      <c r="I655" s="49" t="s">
        <v>73</v>
      </c>
      <c r="J655" s="316">
        <v>45638</v>
      </c>
      <c r="K655" s="360">
        <v>45618</v>
      </c>
      <c r="L655" s="363" t="s">
        <v>28</v>
      </c>
      <c r="M655" s="317" t="s">
        <v>4277</v>
      </c>
      <c r="N655" s="317">
        <v>4</v>
      </c>
      <c r="O655" s="322">
        <v>45665</v>
      </c>
      <c r="P655" s="365" t="s">
        <v>30</v>
      </c>
      <c r="Q655" s="364">
        <v>45665</v>
      </c>
      <c r="R655" s="364">
        <v>45665</v>
      </c>
      <c r="S655" s="348"/>
    </row>
    <row r="656" spans="1:19" ht="25.5" hidden="1" x14ac:dyDescent="0.25">
      <c r="A656" s="359">
        <v>0</v>
      </c>
      <c r="B656" s="49" t="s">
        <v>4278</v>
      </c>
      <c r="C656" s="49" t="s">
        <v>2059</v>
      </c>
      <c r="D656" s="49"/>
      <c r="E656" s="49">
        <v>184534</v>
      </c>
      <c r="F656" s="49" t="s">
        <v>4279</v>
      </c>
      <c r="G656" s="49" t="s">
        <v>3091</v>
      </c>
      <c r="H656" s="49" t="s">
        <v>2576</v>
      </c>
      <c r="I656" s="49" t="s">
        <v>2121</v>
      </c>
      <c r="J656" s="316">
        <v>45652</v>
      </c>
      <c r="K656" s="360">
        <v>45653</v>
      </c>
      <c r="L656" s="363" t="s">
        <v>28</v>
      </c>
      <c r="M656" s="317" t="s">
        <v>2122</v>
      </c>
      <c r="N656" s="317">
        <v>2</v>
      </c>
      <c r="O656" s="322">
        <v>45656</v>
      </c>
      <c r="P656" s="365" t="s">
        <v>30</v>
      </c>
      <c r="Q656" s="364">
        <v>45656</v>
      </c>
      <c r="R656" s="364">
        <v>45656</v>
      </c>
      <c r="S656" s="348"/>
    </row>
    <row r="657" spans="1:19" hidden="1" x14ac:dyDescent="0.25">
      <c r="A657" s="359">
        <v>0</v>
      </c>
      <c r="B657" s="49" t="s">
        <v>4280</v>
      </c>
      <c r="C657" s="49" t="s">
        <v>4037</v>
      </c>
      <c r="D657" s="49"/>
      <c r="E657" s="49">
        <v>184452</v>
      </c>
      <c r="F657" s="49" t="s">
        <v>4281</v>
      </c>
      <c r="G657" s="49"/>
      <c r="H657" s="49"/>
      <c r="I657" s="49"/>
      <c r="J657" s="316"/>
      <c r="K657" s="360"/>
      <c r="L657" s="363"/>
      <c r="M657" s="317"/>
      <c r="N657" s="317"/>
      <c r="O657" s="322"/>
      <c r="P657" s="365"/>
      <c r="Q657" s="364"/>
      <c r="R657" s="364"/>
      <c r="S657" s="348"/>
    </row>
    <row r="658" spans="1:19" hidden="1" x14ac:dyDescent="0.25">
      <c r="A658" s="359">
        <v>0</v>
      </c>
      <c r="B658" s="49" t="s">
        <v>4282</v>
      </c>
      <c r="C658" s="49"/>
      <c r="D658" s="49"/>
      <c r="E658" s="49"/>
      <c r="F658" s="49"/>
      <c r="G658" s="49"/>
      <c r="H658" s="49"/>
      <c r="I658" s="49"/>
      <c r="J658" s="316"/>
      <c r="K658" s="360"/>
      <c r="L658" s="363"/>
      <c r="M658" s="317"/>
      <c r="N658" s="317"/>
      <c r="O658" s="322"/>
      <c r="P658" s="365"/>
      <c r="Q658" s="364"/>
      <c r="R658" s="364"/>
      <c r="S658" s="348"/>
    </row>
    <row r="659" spans="1:19" hidden="1" x14ac:dyDescent="0.25">
      <c r="A659" s="359">
        <v>0</v>
      </c>
      <c r="B659" s="49" t="s">
        <v>4283</v>
      </c>
      <c r="C659" s="49"/>
      <c r="D659" s="49"/>
      <c r="E659" s="49"/>
      <c r="F659" s="49"/>
      <c r="G659" s="49"/>
      <c r="H659" s="49"/>
      <c r="I659" s="49"/>
      <c r="J659" s="316"/>
      <c r="K659" s="360"/>
      <c r="L659" s="363"/>
      <c r="M659" s="317"/>
      <c r="N659" s="317"/>
      <c r="O659" s="322"/>
      <c r="P659" s="365"/>
      <c r="Q659" s="364"/>
      <c r="R659" s="364"/>
      <c r="S659" s="348"/>
    </row>
    <row r="660" spans="1:19" hidden="1" x14ac:dyDescent="0.25">
      <c r="A660" s="359">
        <v>0</v>
      </c>
      <c r="B660" s="49" t="s">
        <v>4284</v>
      </c>
      <c r="C660" s="49"/>
      <c r="D660" s="49"/>
      <c r="E660" s="49"/>
      <c r="F660" s="49"/>
      <c r="G660" s="49"/>
      <c r="H660" s="49"/>
      <c r="I660" s="49"/>
      <c r="J660" s="316"/>
      <c r="K660" s="360"/>
      <c r="L660" s="363"/>
      <c r="M660" s="317"/>
      <c r="N660" s="317"/>
      <c r="O660" s="322"/>
      <c r="P660" s="365"/>
      <c r="Q660" s="364"/>
      <c r="R660" s="364"/>
      <c r="S660" s="348"/>
    </row>
    <row r="661" spans="1:19" hidden="1" x14ac:dyDescent="0.25">
      <c r="A661" s="359">
        <v>0</v>
      </c>
      <c r="B661" s="49" t="s">
        <v>4285</v>
      </c>
      <c r="C661" s="49"/>
      <c r="D661" s="49"/>
      <c r="E661" s="49"/>
      <c r="F661" s="49"/>
      <c r="G661" s="49"/>
      <c r="H661" s="49"/>
      <c r="I661" s="49"/>
      <c r="J661" s="316"/>
      <c r="K661" s="360"/>
      <c r="L661" s="363"/>
      <c r="M661" s="317"/>
      <c r="N661" s="317"/>
      <c r="O661" s="322"/>
      <c r="P661" s="365"/>
      <c r="Q661" s="364"/>
      <c r="R661" s="364"/>
      <c r="S661" s="348"/>
    </row>
    <row r="662" spans="1:19" hidden="1" x14ac:dyDescent="0.25">
      <c r="A662" s="359">
        <v>0</v>
      </c>
      <c r="B662" s="49" t="s">
        <v>4286</v>
      </c>
      <c r="C662" s="49"/>
      <c r="D662" s="49"/>
      <c r="E662" s="49"/>
      <c r="F662" s="49"/>
      <c r="G662" s="49"/>
      <c r="H662" s="49"/>
      <c r="I662" s="49"/>
      <c r="J662" s="316"/>
      <c r="K662" s="360"/>
      <c r="L662" s="363"/>
      <c r="M662" s="317"/>
      <c r="N662" s="317"/>
      <c r="O662" s="322"/>
      <c r="P662" s="365"/>
      <c r="Q662" s="364"/>
      <c r="R662" s="364"/>
      <c r="S662" s="348"/>
    </row>
    <row r="663" spans="1:19" hidden="1" x14ac:dyDescent="0.25">
      <c r="A663" s="359">
        <v>0</v>
      </c>
      <c r="B663" s="49" t="s">
        <v>4287</v>
      </c>
      <c r="C663" s="49"/>
      <c r="D663" s="49"/>
      <c r="E663" s="49"/>
      <c r="F663" s="49"/>
      <c r="G663" s="49"/>
      <c r="H663" s="49"/>
      <c r="I663" s="49"/>
      <c r="J663" s="316"/>
      <c r="K663" s="360"/>
      <c r="L663" s="363"/>
      <c r="M663" s="317"/>
      <c r="N663" s="317"/>
      <c r="O663" s="322"/>
      <c r="P663" s="365"/>
      <c r="Q663" s="364"/>
      <c r="R663" s="364"/>
      <c r="S663" s="348"/>
    </row>
    <row r="664" spans="1:19" hidden="1" x14ac:dyDescent="0.25">
      <c r="A664" s="359">
        <v>0</v>
      </c>
      <c r="B664" s="49" t="s">
        <v>4288</v>
      </c>
      <c r="C664" s="49"/>
      <c r="D664" s="49"/>
      <c r="E664" s="49"/>
      <c r="F664" s="49"/>
      <c r="G664" s="49"/>
      <c r="H664" s="49"/>
      <c r="I664" s="49"/>
      <c r="J664" s="316"/>
      <c r="K664" s="360"/>
      <c r="L664" s="363"/>
      <c r="M664" s="317"/>
      <c r="N664" s="317"/>
      <c r="O664" s="322"/>
      <c r="P664" s="365"/>
      <c r="Q664" s="364"/>
      <c r="R664" s="364"/>
      <c r="S664" s="348"/>
    </row>
    <row r="665" spans="1:19" hidden="1" x14ac:dyDescent="0.25">
      <c r="A665" s="359">
        <v>0</v>
      </c>
      <c r="B665" s="49" t="s">
        <v>4289</v>
      </c>
      <c r="C665" s="49"/>
      <c r="D665" s="49"/>
      <c r="E665" s="49"/>
      <c r="F665" s="49"/>
      <c r="G665" s="49"/>
      <c r="H665" s="49"/>
      <c r="I665" s="49"/>
      <c r="J665" s="316"/>
      <c r="K665" s="360"/>
      <c r="L665" s="363"/>
      <c r="M665" s="317"/>
      <c r="N665" s="317"/>
      <c r="O665" s="322"/>
      <c r="P665" s="365"/>
      <c r="Q665" s="364"/>
      <c r="R665" s="364"/>
      <c r="S665" s="348"/>
    </row>
    <row r="666" spans="1:19" hidden="1" x14ac:dyDescent="0.25">
      <c r="A666" s="359">
        <v>0</v>
      </c>
      <c r="B666" s="49" t="s">
        <v>4290</v>
      </c>
      <c r="C666" s="49"/>
      <c r="D666" s="49"/>
      <c r="E666" s="49"/>
      <c r="F666" s="49"/>
      <c r="G666" s="49"/>
      <c r="H666" s="49"/>
      <c r="I666" s="49"/>
      <c r="J666" s="316"/>
      <c r="K666" s="360"/>
      <c r="L666" s="363"/>
      <c r="M666" s="317"/>
      <c r="N666" s="317"/>
      <c r="O666" s="322"/>
      <c r="P666" s="365"/>
      <c r="Q666" s="364"/>
      <c r="R666" s="364"/>
      <c r="S666" s="348"/>
    </row>
    <row r="667" spans="1:19" hidden="1" x14ac:dyDescent="0.25">
      <c r="A667" s="359">
        <v>0</v>
      </c>
      <c r="B667" s="49" t="s">
        <v>4291</v>
      </c>
      <c r="C667" s="49"/>
      <c r="D667" s="49"/>
      <c r="E667" s="49"/>
      <c r="F667" s="49"/>
      <c r="G667" s="49"/>
      <c r="H667" s="49"/>
      <c r="I667" s="49"/>
      <c r="J667" s="316"/>
      <c r="K667" s="360"/>
      <c r="L667" s="363"/>
      <c r="M667" s="317"/>
      <c r="N667" s="317"/>
      <c r="O667" s="322"/>
      <c r="P667" s="365"/>
      <c r="Q667" s="364"/>
      <c r="R667" s="364"/>
      <c r="S667" s="348"/>
    </row>
    <row r="668" spans="1:19" hidden="1" x14ac:dyDescent="0.25">
      <c r="A668" s="359">
        <v>0</v>
      </c>
      <c r="B668" s="49" t="s">
        <v>4292</v>
      </c>
      <c r="C668" s="49"/>
      <c r="D668" s="49"/>
      <c r="E668" s="49"/>
      <c r="F668" s="49"/>
      <c r="G668" s="49"/>
      <c r="H668" s="49"/>
      <c r="I668" s="49"/>
      <c r="J668" s="316"/>
      <c r="K668" s="360"/>
      <c r="L668" s="363"/>
      <c r="M668" s="317"/>
      <c r="N668" s="317"/>
      <c r="O668" s="322"/>
      <c r="P668" s="365"/>
      <c r="Q668" s="364"/>
      <c r="R668" s="364"/>
      <c r="S668" s="348"/>
    </row>
    <row r="669" spans="1:19" hidden="1" x14ac:dyDescent="0.25">
      <c r="A669" s="359">
        <v>0</v>
      </c>
      <c r="B669" s="49" t="s">
        <v>4293</v>
      </c>
      <c r="C669" s="49"/>
      <c r="D669" s="49"/>
      <c r="E669" s="49"/>
      <c r="F669" s="49"/>
      <c r="G669" s="49"/>
      <c r="H669" s="49"/>
      <c r="I669" s="49"/>
      <c r="J669" s="316"/>
      <c r="K669" s="360"/>
      <c r="L669" s="363"/>
      <c r="M669" s="317"/>
      <c r="N669" s="317"/>
      <c r="O669" s="322"/>
      <c r="P669" s="365"/>
      <c r="Q669" s="364"/>
      <c r="R669" s="364"/>
      <c r="S669" s="348"/>
    </row>
    <row r="670" spans="1:19" hidden="1" x14ac:dyDescent="0.25">
      <c r="A670" s="359">
        <v>0</v>
      </c>
      <c r="B670" s="49" t="s">
        <v>4294</v>
      </c>
      <c r="C670" s="49"/>
      <c r="D670" s="49"/>
      <c r="E670" s="49"/>
      <c r="F670" s="49"/>
      <c r="G670" s="49"/>
      <c r="H670" s="49"/>
      <c r="I670" s="49"/>
      <c r="J670" s="316"/>
      <c r="K670" s="360"/>
      <c r="L670" s="363"/>
      <c r="M670" s="317"/>
      <c r="N670" s="317"/>
      <c r="O670" s="322"/>
      <c r="P670" s="365"/>
      <c r="Q670" s="364"/>
      <c r="R670" s="364"/>
      <c r="S670" s="348"/>
    </row>
    <row r="671" spans="1:19" ht="38.25" hidden="1" x14ac:dyDescent="0.25">
      <c r="A671" s="359">
        <v>0</v>
      </c>
      <c r="B671" s="49" t="s">
        <v>4295</v>
      </c>
      <c r="C671" s="49" t="s">
        <v>1403</v>
      </c>
      <c r="D671" s="49"/>
      <c r="E671" s="49">
        <v>181825</v>
      </c>
      <c r="F671" s="378">
        <v>181825389</v>
      </c>
      <c r="G671" s="49" t="s">
        <v>1540</v>
      </c>
      <c r="H671" s="49"/>
      <c r="I671" s="49"/>
      <c r="J671" s="316"/>
      <c r="K671" s="360"/>
      <c r="L671" s="363"/>
      <c r="M671" s="317"/>
      <c r="N671" s="317"/>
      <c r="O671" s="322"/>
      <c r="P671" s="365"/>
      <c r="Q671" s="364"/>
      <c r="R671" s="364"/>
      <c r="S671" s="348"/>
    </row>
    <row r="672" spans="1:19" ht="25.5" x14ac:dyDescent="0.25">
      <c r="A672" s="359">
        <v>0</v>
      </c>
      <c r="B672" s="49" t="s">
        <v>4296</v>
      </c>
      <c r="C672" s="49" t="s">
        <v>1345</v>
      </c>
      <c r="D672" s="49"/>
      <c r="E672" s="49">
        <v>181825</v>
      </c>
      <c r="F672" s="378">
        <v>181825391</v>
      </c>
      <c r="G672" s="49" t="s">
        <v>1361</v>
      </c>
      <c r="H672" s="49" t="s">
        <v>4297</v>
      </c>
      <c r="I672" s="49" t="s">
        <v>346</v>
      </c>
      <c r="J672" s="316"/>
      <c r="K672" s="360"/>
      <c r="L672" s="363" t="s">
        <v>28</v>
      </c>
      <c r="M672" s="317" t="s">
        <v>1363</v>
      </c>
      <c r="N672" s="317">
        <v>2</v>
      </c>
      <c r="O672" s="322">
        <v>45638</v>
      </c>
      <c r="P672" s="365" t="s">
        <v>30</v>
      </c>
      <c r="Q672" s="364">
        <v>45638</v>
      </c>
      <c r="R672" s="364">
        <v>45638</v>
      </c>
      <c r="S672" s="348"/>
    </row>
    <row r="673" spans="1:19" ht="38.25" hidden="1" x14ac:dyDescent="0.25">
      <c r="A673" s="359">
        <v>0</v>
      </c>
      <c r="B673" s="49" t="s">
        <v>4298</v>
      </c>
      <c r="C673" s="49" t="s">
        <v>1403</v>
      </c>
      <c r="D673" s="49"/>
      <c r="E673" s="49">
        <v>181825</v>
      </c>
      <c r="F673" s="378">
        <v>181825392</v>
      </c>
      <c r="G673" s="49" t="s">
        <v>1361</v>
      </c>
      <c r="H673" s="49" t="s">
        <v>1417</v>
      </c>
      <c r="I673" s="49" t="s">
        <v>346</v>
      </c>
      <c r="J673" s="316"/>
      <c r="K673" s="360"/>
      <c r="L673" s="363" t="s">
        <v>28</v>
      </c>
      <c r="M673" s="317" t="s">
        <v>1363</v>
      </c>
      <c r="N673" s="317">
        <v>1</v>
      </c>
      <c r="O673" s="322">
        <v>45638</v>
      </c>
      <c r="P673" s="365" t="s">
        <v>30</v>
      </c>
      <c r="Q673" s="364">
        <v>45638</v>
      </c>
      <c r="R673" s="364">
        <v>45638</v>
      </c>
      <c r="S673" s="348"/>
    </row>
    <row r="674" spans="1:19" ht="25.5" x14ac:dyDescent="0.25">
      <c r="A674" s="359">
        <v>0</v>
      </c>
      <c r="B674" s="49" t="s">
        <v>4299</v>
      </c>
      <c r="C674" s="49" t="s">
        <v>1345</v>
      </c>
      <c r="D674" s="49"/>
      <c r="E674" s="49">
        <v>181825</v>
      </c>
      <c r="F674" s="378">
        <v>181825393</v>
      </c>
      <c r="G674" s="49" t="s">
        <v>147</v>
      </c>
      <c r="H674" s="49" t="s">
        <v>4300</v>
      </c>
      <c r="I674" s="49" t="s">
        <v>346</v>
      </c>
      <c r="J674" s="316"/>
      <c r="K674" s="360"/>
      <c r="L674" s="363" t="s">
        <v>28</v>
      </c>
      <c r="M674" s="317" t="s">
        <v>1359</v>
      </c>
      <c r="N674" s="317">
        <v>1</v>
      </c>
      <c r="O674" s="322">
        <v>45638</v>
      </c>
      <c r="P674" s="365" t="s">
        <v>30</v>
      </c>
      <c r="Q674" s="364">
        <v>45638</v>
      </c>
      <c r="R674" s="364">
        <v>45638</v>
      </c>
      <c r="S674" s="348"/>
    </row>
    <row r="675" spans="1:19" ht="25.5" x14ac:dyDescent="0.25">
      <c r="A675" s="359">
        <v>0</v>
      </c>
      <c r="B675" s="49" t="s">
        <v>4301</v>
      </c>
      <c r="C675" s="49" t="s">
        <v>1345</v>
      </c>
      <c r="D675" s="49"/>
      <c r="E675" s="49">
        <v>181825</v>
      </c>
      <c r="F675" s="378">
        <v>181825394</v>
      </c>
      <c r="G675" s="49" t="s">
        <v>34</v>
      </c>
      <c r="H675" s="49" t="s">
        <v>4302</v>
      </c>
      <c r="I675" s="49" t="s">
        <v>346</v>
      </c>
      <c r="J675" s="316"/>
      <c r="K675" s="360"/>
      <c r="L675" s="363" t="s">
        <v>28</v>
      </c>
      <c r="M675" s="317" t="s">
        <v>1356</v>
      </c>
      <c r="N675" s="317">
        <v>2</v>
      </c>
      <c r="O675" s="322">
        <v>45638</v>
      </c>
      <c r="P675" s="365" t="s">
        <v>30</v>
      </c>
      <c r="Q675" s="364">
        <v>45638</v>
      </c>
      <c r="R675" s="364">
        <v>45638</v>
      </c>
      <c r="S675" s="348"/>
    </row>
    <row r="676" spans="1:19" ht="25.5" x14ac:dyDescent="0.25">
      <c r="A676" s="359">
        <v>0</v>
      </c>
      <c r="B676" s="49" t="s">
        <v>4303</v>
      </c>
      <c r="C676" s="49" t="s">
        <v>1345</v>
      </c>
      <c r="D676" s="49"/>
      <c r="E676" s="49">
        <v>181825</v>
      </c>
      <c r="F676" s="378">
        <v>181825395</v>
      </c>
      <c r="G676" s="49" t="s">
        <v>34</v>
      </c>
      <c r="H676" s="49" t="s">
        <v>4304</v>
      </c>
      <c r="I676" s="49" t="s">
        <v>2440</v>
      </c>
      <c r="J676" s="316"/>
      <c r="K676" s="360"/>
      <c r="L676" s="363" t="s">
        <v>28</v>
      </c>
      <c r="M676" s="317" t="s">
        <v>4305</v>
      </c>
      <c r="N676" s="317">
        <v>1</v>
      </c>
      <c r="O676" s="322">
        <v>45639</v>
      </c>
      <c r="P676" s="365" t="s">
        <v>30</v>
      </c>
      <c r="Q676" s="364">
        <v>45639</v>
      </c>
      <c r="R676" s="364">
        <v>45639</v>
      </c>
      <c r="S676" s="348"/>
    </row>
    <row r="677" spans="1:19" ht="25.5" x14ac:dyDescent="0.25">
      <c r="A677" s="359">
        <v>0</v>
      </c>
      <c r="B677" s="49" t="s">
        <v>4306</v>
      </c>
      <c r="C677" s="49" t="s">
        <v>1345</v>
      </c>
      <c r="D677" s="49"/>
      <c r="E677" s="49">
        <v>181825</v>
      </c>
      <c r="F677" s="378">
        <v>181825396</v>
      </c>
      <c r="G677" s="49" t="s">
        <v>147</v>
      </c>
      <c r="H677" s="49" t="s">
        <v>1468</v>
      </c>
      <c r="I677" s="49" t="s">
        <v>1352</v>
      </c>
      <c r="J677" s="316">
        <v>45639</v>
      </c>
      <c r="K677" s="360"/>
      <c r="L677" s="363" t="s">
        <v>47</v>
      </c>
      <c r="M677" s="317" t="s">
        <v>1469</v>
      </c>
      <c r="N677" s="317">
        <v>2</v>
      </c>
      <c r="O677" s="322">
        <v>45638</v>
      </c>
      <c r="P677" s="365" t="s">
        <v>30</v>
      </c>
      <c r="Q677" s="364">
        <v>45638</v>
      </c>
      <c r="R677" s="364">
        <v>45638</v>
      </c>
      <c r="S677" s="348"/>
    </row>
    <row r="678" spans="1:19" ht="25.5" x14ac:dyDescent="0.25">
      <c r="A678" s="359">
        <v>0</v>
      </c>
      <c r="B678" s="49" t="s">
        <v>4307</v>
      </c>
      <c r="C678" s="49" t="s">
        <v>1345</v>
      </c>
      <c r="D678" s="49"/>
      <c r="E678" s="49">
        <v>181825</v>
      </c>
      <c r="F678" s="378">
        <v>181825398</v>
      </c>
      <c r="G678" s="49" t="s">
        <v>4308</v>
      </c>
      <c r="H678" s="49" t="s">
        <v>4309</v>
      </c>
      <c r="I678" s="49" t="s">
        <v>346</v>
      </c>
      <c r="J678" s="316"/>
      <c r="K678" s="360"/>
      <c r="L678" s="363" t="s">
        <v>28</v>
      </c>
      <c r="M678" s="317" t="s">
        <v>4310</v>
      </c>
      <c r="N678" s="317">
        <v>1</v>
      </c>
      <c r="O678" s="322">
        <v>45645</v>
      </c>
      <c r="P678" s="365" t="s">
        <v>30</v>
      </c>
      <c r="Q678" s="364">
        <v>45645</v>
      </c>
      <c r="R678" s="364">
        <v>45645</v>
      </c>
      <c r="S678" s="348"/>
    </row>
    <row r="679" spans="1:19" ht="25.5" x14ac:dyDescent="0.25">
      <c r="A679" s="359">
        <v>0</v>
      </c>
      <c r="B679" s="49" t="s">
        <v>4311</v>
      </c>
      <c r="C679" s="49" t="s">
        <v>1345</v>
      </c>
      <c r="D679" s="49"/>
      <c r="E679" s="49">
        <v>181825</v>
      </c>
      <c r="F679" s="378">
        <v>181825399</v>
      </c>
      <c r="G679" s="49" t="s">
        <v>147</v>
      </c>
      <c r="H679" s="49" t="s">
        <v>4312</v>
      </c>
      <c r="I679" s="49" t="s">
        <v>1352</v>
      </c>
      <c r="J679" s="316"/>
      <c r="K679" s="360"/>
      <c r="L679" s="363" t="s">
        <v>28</v>
      </c>
      <c r="M679" s="317" t="s">
        <v>1390</v>
      </c>
      <c r="N679" s="317">
        <v>1</v>
      </c>
      <c r="O679" s="322">
        <v>45645</v>
      </c>
      <c r="P679" s="365" t="s">
        <v>30</v>
      </c>
      <c r="Q679" s="364">
        <v>45645</v>
      </c>
      <c r="R679" s="364">
        <v>45645</v>
      </c>
      <c r="S679" s="348"/>
    </row>
    <row r="680" spans="1:19" ht="25.5" x14ac:dyDescent="0.25">
      <c r="A680" s="359">
        <v>0</v>
      </c>
      <c r="B680" s="49" t="s">
        <v>4313</v>
      </c>
      <c r="C680" s="49" t="s">
        <v>1345</v>
      </c>
      <c r="D680" s="49"/>
      <c r="E680" s="49">
        <v>181825</v>
      </c>
      <c r="F680" s="378">
        <v>181825397</v>
      </c>
      <c r="G680" s="49" t="s">
        <v>34</v>
      </c>
      <c r="H680" s="49" t="s">
        <v>1394</v>
      </c>
      <c r="I680" s="49" t="s">
        <v>4314</v>
      </c>
      <c r="J680" s="316"/>
      <c r="K680" s="360"/>
      <c r="L680" s="363" t="s">
        <v>28</v>
      </c>
      <c r="M680" s="317" t="s">
        <v>1396</v>
      </c>
      <c r="N680" s="317">
        <v>3</v>
      </c>
      <c r="O680" s="322">
        <v>45644</v>
      </c>
      <c r="P680" s="365" t="s">
        <v>30</v>
      </c>
      <c r="Q680" s="364">
        <v>45644</v>
      </c>
      <c r="R680" s="364">
        <v>45644</v>
      </c>
      <c r="S680" s="348"/>
    </row>
    <row r="681" spans="1:19" ht="25.5" x14ac:dyDescent="0.25">
      <c r="A681" s="359">
        <v>0</v>
      </c>
      <c r="B681" s="49" t="s">
        <v>4315</v>
      </c>
      <c r="C681" s="49" t="s">
        <v>1345</v>
      </c>
      <c r="D681" s="49"/>
      <c r="E681" s="49">
        <v>181825</v>
      </c>
      <c r="F681" s="49"/>
      <c r="G681" s="49"/>
      <c r="H681" s="49"/>
      <c r="I681" s="49"/>
      <c r="J681" s="316"/>
      <c r="K681" s="360"/>
      <c r="L681" s="363"/>
      <c r="M681" s="317"/>
      <c r="N681" s="317"/>
      <c r="O681" s="322"/>
      <c r="P681" s="365"/>
      <c r="Q681" s="364"/>
      <c r="R681" s="364"/>
      <c r="S681" s="348"/>
    </row>
    <row r="682" spans="1:19" ht="25.5" x14ac:dyDescent="0.25">
      <c r="A682" s="359">
        <v>0</v>
      </c>
      <c r="B682" s="49" t="s">
        <v>4316</v>
      </c>
      <c r="C682" s="49" t="s">
        <v>1345</v>
      </c>
      <c r="D682" s="49"/>
      <c r="E682" s="49">
        <v>181825</v>
      </c>
      <c r="F682" s="378">
        <v>181825401</v>
      </c>
      <c r="G682" s="49" t="s">
        <v>1406</v>
      </c>
      <c r="H682" s="49" t="s">
        <v>4317</v>
      </c>
      <c r="I682" s="49" t="s">
        <v>346</v>
      </c>
      <c r="J682" s="316">
        <v>45645</v>
      </c>
      <c r="K682" s="360"/>
      <c r="L682" s="363" t="s">
        <v>28</v>
      </c>
      <c r="M682" s="317" t="s">
        <v>1412</v>
      </c>
      <c r="N682" s="317">
        <v>1</v>
      </c>
      <c r="O682" s="322">
        <v>45645</v>
      </c>
      <c r="P682" s="365" t="s">
        <v>30</v>
      </c>
      <c r="Q682" s="364">
        <v>45649</v>
      </c>
      <c r="R682" s="364">
        <v>45649</v>
      </c>
      <c r="S682" s="348"/>
    </row>
    <row r="683" spans="1:19" ht="38.25" hidden="1" x14ac:dyDescent="0.25">
      <c r="A683" s="359">
        <v>0</v>
      </c>
      <c r="B683" s="49" t="s">
        <v>4318</v>
      </c>
      <c r="C683" s="49" t="s">
        <v>1403</v>
      </c>
      <c r="D683" s="49"/>
      <c r="E683" s="49">
        <v>181825</v>
      </c>
      <c r="F683" s="378">
        <v>181825400</v>
      </c>
      <c r="G683" s="49" t="s">
        <v>1361</v>
      </c>
      <c r="H683" s="49" t="s">
        <v>1422</v>
      </c>
      <c r="I683" s="49" t="s">
        <v>346</v>
      </c>
      <c r="J683" s="316">
        <v>45645</v>
      </c>
      <c r="K683" s="360"/>
      <c r="L683" s="363" t="s">
        <v>28</v>
      </c>
      <c r="M683" s="317" t="s">
        <v>1363</v>
      </c>
      <c r="N683" s="317">
        <v>2</v>
      </c>
      <c r="O683" s="322">
        <v>45645</v>
      </c>
      <c r="P683" s="365" t="s">
        <v>30</v>
      </c>
      <c r="Q683" s="364">
        <v>45646</v>
      </c>
      <c r="R683" s="364">
        <v>45646</v>
      </c>
      <c r="S683" s="348"/>
    </row>
    <row r="684" spans="1:19" ht="25.5" x14ac:dyDescent="0.25">
      <c r="A684" s="359">
        <v>0</v>
      </c>
      <c r="B684" s="49" t="s">
        <v>4319</v>
      </c>
      <c r="C684" s="49" t="s">
        <v>1345</v>
      </c>
      <c r="D684" s="49"/>
      <c r="E684" s="49">
        <v>181825</v>
      </c>
      <c r="F684" s="378">
        <v>181825402</v>
      </c>
      <c r="G684" s="49" t="s">
        <v>1406</v>
      </c>
      <c r="H684" s="49" t="s">
        <v>4320</v>
      </c>
      <c r="I684" s="49" t="s">
        <v>346</v>
      </c>
      <c r="J684" s="316">
        <v>45645</v>
      </c>
      <c r="K684" s="360"/>
      <c r="L684" s="363" t="s">
        <v>28</v>
      </c>
      <c r="M684" s="317" t="s">
        <v>1456</v>
      </c>
      <c r="N684" s="317">
        <v>2</v>
      </c>
      <c r="O684" s="322">
        <v>45645</v>
      </c>
      <c r="P684" s="365" t="s">
        <v>30</v>
      </c>
      <c r="Q684" s="364">
        <v>45649</v>
      </c>
      <c r="R684" s="364">
        <v>45649</v>
      </c>
      <c r="S684" s="348"/>
    </row>
    <row r="685" spans="1:19" ht="38.25" hidden="1" x14ac:dyDescent="0.25">
      <c r="A685" s="359">
        <v>0</v>
      </c>
      <c r="B685" s="49" t="s">
        <v>4321</v>
      </c>
      <c r="C685" s="49" t="s">
        <v>1403</v>
      </c>
      <c r="D685" s="49"/>
      <c r="E685" s="49">
        <v>181825</v>
      </c>
      <c r="F685" s="378">
        <v>181825404</v>
      </c>
      <c r="G685" s="49" t="s">
        <v>147</v>
      </c>
      <c r="H685" s="49" t="s">
        <v>4322</v>
      </c>
      <c r="I685" s="49" t="s">
        <v>346</v>
      </c>
      <c r="J685" s="316">
        <v>45649</v>
      </c>
      <c r="K685" s="360"/>
      <c r="L685" s="363" t="s">
        <v>28</v>
      </c>
      <c r="M685" s="317" t="s">
        <v>1466</v>
      </c>
      <c r="N685" s="317">
        <v>6</v>
      </c>
      <c r="O685" s="322">
        <v>45649</v>
      </c>
      <c r="P685" s="365" t="s">
        <v>30</v>
      </c>
      <c r="Q685" s="364">
        <v>45649</v>
      </c>
      <c r="R685" s="364">
        <v>45649</v>
      </c>
      <c r="S685" s="348"/>
    </row>
    <row r="686" spans="1:19" ht="38.25" hidden="1" x14ac:dyDescent="0.25">
      <c r="A686" s="359">
        <v>0</v>
      </c>
      <c r="B686" s="49" t="s">
        <v>4323</v>
      </c>
      <c r="C686" s="49" t="s">
        <v>1403</v>
      </c>
      <c r="D686" s="49"/>
      <c r="E686" s="49">
        <v>181825</v>
      </c>
      <c r="F686" s="378">
        <v>181825403</v>
      </c>
      <c r="G686" s="49" t="s">
        <v>1361</v>
      </c>
      <c r="H686" s="49" t="s">
        <v>4324</v>
      </c>
      <c r="I686" s="49" t="s">
        <v>346</v>
      </c>
      <c r="J686" s="316">
        <v>46011</v>
      </c>
      <c r="K686" s="360"/>
      <c r="L686" s="363" t="s">
        <v>28</v>
      </c>
      <c r="M686" s="317" t="s">
        <v>1363</v>
      </c>
      <c r="N686" s="317">
        <v>1</v>
      </c>
      <c r="O686" s="322">
        <v>45730</v>
      </c>
      <c r="P686" s="365" t="s">
        <v>30</v>
      </c>
      <c r="Q686" s="364">
        <v>45733</v>
      </c>
      <c r="R686" s="364">
        <v>45733</v>
      </c>
      <c r="S686" s="348"/>
    </row>
    <row r="687" spans="1:19" ht="25.5" x14ac:dyDescent="0.25">
      <c r="A687" s="359">
        <v>0</v>
      </c>
      <c r="B687" s="49" t="s">
        <v>4325</v>
      </c>
      <c r="C687" s="49" t="s">
        <v>1345</v>
      </c>
      <c r="D687" s="49"/>
      <c r="E687" s="49">
        <v>181825</v>
      </c>
      <c r="F687" s="378">
        <v>181825405</v>
      </c>
      <c r="G687" s="49" t="s">
        <v>4326</v>
      </c>
      <c r="H687" s="49"/>
      <c r="I687" s="49"/>
      <c r="J687" s="316"/>
      <c r="K687" s="360"/>
      <c r="L687" s="363"/>
      <c r="M687" s="317"/>
      <c r="N687" s="317"/>
      <c r="O687" s="322"/>
      <c r="P687" s="365"/>
      <c r="Q687" s="364"/>
      <c r="R687" s="364"/>
      <c r="S687" s="348"/>
    </row>
    <row r="688" spans="1:19" ht="25.5" x14ac:dyDescent="0.25">
      <c r="A688" s="359">
        <v>0</v>
      </c>
      <c r="B688" s="49" t="s">
        <v>4327</v>
      </c>
      <c r="C688" s="49" t="s">
        <v>1345</v>
      </c>
      <c r="D688" s="49"/>
      <c r="E688" s="49">
        <v>181825</v>
      </c>
      <c r="F688" s="378"/>
      <c r="G688" s="49"/>
      <c r="H688" s="49"/>
      <c r="I688" s="49"/>
      <c r="J688" s="316"/>
      <c r="K688" s="360"/>
      <c r="L688" s="363"/>
      <c r="M688" s="317"/>
      <c r="N688" s="317"/>
      <c r="O688" s="322"/>
      <c r="P688" s="365"/>
      <c r="Q688" s="364"/>
      <c r="R688" s="364"/>
      <c r="S688" s="348"/>
    </row>
    <row r="689" spans="1:19" ht="25.5" x14ac:dyDescent="0.25">
      <c r="A689" s="359">
        <v>0</v>
      </c>
      <c r="B689" s="49" t="s">
        <v>4328</v>
      </c>
      <c r="C689" s="49" t="s">
        <v>1345</v>
      </c>
      <c r="D689" s="49"/>
      <c r="E689" s="49">
        <v>181825</v>
      </c>
      <c r="F689" s="49"/>
      <c r="G689" s="49"/>
      <c r="H689" s="49"/>
      <c r="I689" s="49"/>
      <c r="J689" s="316"/>
      <c r="K689" s="360"/>
      <c r="L689" s="363"/>
      <c r="M689" s="317"/>
      <c r="N689" s="317"/>
      <c r="O689" s="322"/>
      <c r="P689" s="365"/>
      <c r="Q689" s="364"/>
      <c r="R689" s="364"/>
      <c r="S689" s="348"/>
    </row>
    <row r="690" spans="1:19" ht="25.5" x14ac:dyDescent="0.25">
      <c r="A690" s="359">
        <v>0</v>
      </c>
      <c r="B690" s="49" t="s">
        <v>4329</v>
      </c>
      <c r="C690" s="49" t="s">
        <v>1345</v>
      </c>
      <c r="D690" s="49"/>
      <c r="E690" s="49">
        <v>181825</v>
      </c>
      <c r="F690" s="49"/>
      <c r="G690" s="49"/>
      <c r="H690" s="49"/>
      <c r="I690" s="49"/>
      <c r="J690" s="316"/>
      <c r="K690" s="360"/>
      <c r="L690" s="363"/>
      <c r="M690" s="317"/>
      <c r="N690" s="317"/>
      <c r="O690" s="322"/>
      <c r="P690" s="365"/>
      <c r="Q690" s="364"/>
      <c r="R690" s="364"/>
      <c r="S690" s="348"/>
    </row>
    <row r="691" spans="1:19" ht="25.5" x14ac:dyDescent="0.25">
      <c r="A691" s="359">
        <v>0</v>
      </c>
      <c r="B691" s="49" t="s">
        <v>4330</v>
      </c>
      <c r="C691" s="49" t="s">
        <v>1345</v>
      </c>
      <c r="D691" s="49"/>
      <c r="E691" s="49">
        <v>181825</v>
      </c>
      <c r="F691" s="49"/>
      <c r="G691" s="49"/>
      <c r="H691" s="49"/>
      <c r="I691" s="49"/>
      <c r="J691" s="316"/>
      <c r="K691" s="360"/>
      <c r="L691" s="363"/>
      <c r="M691" s="317"/>
      <c r="N691" s="317"/>
      <c r="O691" s="322"/>
      <c r="P691" s="365"/>
      <c r="Q691" s="364"/>
      <c r="R691" s="364"/>
      <c r="S691" s="348"/>
    </row>
    <row r="692" spans="1:19" ht="25.5" x14ac:dyDescent="0.25">
      <c r="A692" s="359">
        <v>0</v>
      </c>
      <c r="B692" s="49" t="s">
        <v>4331</v>
      </c>
      <c r="C692" s="49" t="s">
        <v>1345</v>
      </c>
      <c r="D692" s="49"/>
      <c r="E692" s="49">
        <v>181825</v>
      </c>
      <c r="F692" s="49"/>
      <c r="G692" s="49"/>
      <c r="H692" s="49"/>
      <c r="I692" s="49"/>
      <c r="J692" s="316"/>
      <c r="K692" s="360"/>
      <c r="L692" s="363"/>
      <c r="M692" s="317"/>
      <c r="N692" s="317"/>
      <c r="O692" s="322"/>
      <c r="P692" s="365"/>
      <c r="Q692" s="364"/>
      <c r="R692" s="364"/>
      <c r="S692" s="348"/>
    </row>
    <row r="693" spans="1:19" ht="25.5" x14ac:dyDescent="0.25">
      <c r="A693" s="359">
        <v>0</v>
      </c>
      <c r="B693" s="49" t="s">
        <v>4332</v>
      </c>
      <c r="C693" s="49" t="s">
        <v>1345</v>
      </c>
      <c r="D693" s="49"/>
      <c r="E693" s="49">
        <v>181825</v>
      </c>
      <c r="F693" s="49"/>
      <c r="G693" s="49"/>
      <c r="H693" s="49"/>
      <c r="I693" s="49"/>
      <c r="J693" s="316"/>
      <c r="K693" s="360"/>
      <c r="L693" s="363"/>
      <c r="M693" s="317"/>
      <c r="N693" s="317"/>
      <c r="O693" s="322"/>
      <c r="P693" s="365"/>
      <c r="Q693" s="364"/>
      <c r="R693" s="364"/>
      <c r="S693" s="348"/>
    </row>
    <row r="694" spans="1:19" ht="25.5" x14ac:dyDescent="0.25">
      <c r="A694" s="359">
        <v>0</v>
      </c>
      <c r="B694" s="49" t="s">
        <v>4333</v>
      </c>
      <c r="C694" s="49" t="s">
        <v>1345</v>
      </c>
      <c r="D694" s="49"/>
      <c r="E694" s="49">
        <v>181825</v>
      </c>
      <c r="F694" s="49"/>
      <c r="G694" s="49"/>
      <c r="H694" s="49"/>
      <c r="I694" s="49"/>
      <c r="J694" s="316"/>
      <c r="K694" s="360"/>
      <c r="L694" s="363"/>
      <c r="M694" s="317"/>
      <c r="N694" s="317"/>
      <c r="O694" s="322"/>
      <c r="P694" s="365"/>
      <c r="Q694" s="364"/>
      <c r="R694" s="364"/>
      <c r="S694" s="348"/>
    </row>
    <row r="695" spans="1:19" ht="25.5" x14ac:dyDescent="0.25">
      <c r="A695" s="359">
        <v>0</v>
      </c>
      <c r="B695" s="49" t="s">
        <v>4334</v>
      </c>
      <c r="C695" s="49" t="s">
        <v>1345</v>
      </c>
      <c r="D695" s="49"/>
      <c r="E695" s="49">
        <v>181825</v>
      </c>
      <c r="F695" s="49"/>
      <c r="G695" s="49"/>
      <c r="H695" s="49"/>
      <c r="I695" s="49"/>
      <c r="J695" s="316"/>
      <c r="K695" s="360"/>
      <c r="L695" s="363"/>
      <c r="M695" s="317"/>
      <c r="N695" s="317"/>
      <c r="O695" s="322"/>
      <c r="P695" s="365"/>
      <c r="Q695" s="364"/>
      <c r="R695" s="364"/>
      <c r="S695" s="348"/>
    </row>
    <row r="696" spans="1:19" ht="25.5" x14ac:dyDescent="0.25">
      <c r="A696" s="359">
        <v>0</v>
      </c>
      <c r="B696" s="49" t="s">
        <v>4335</v>
      </c>
      <c r="C696" s="49" t="s">
        <v>1345</v>
      </c>
      <c r="D696" s="49"/>
      <c r="E696" s="49">
        <v>181825</v>
      </c>
      <c r="F696" s="49"/>
      <c r="G696" s="49"/>
      <c r="H696" s="49"/>
      <c r="I696" s="49"/>
      <c r="J696" s="316"/>
      <c r="K696" s="360"/>
      <c r="L696" s="363"/>
      <c r="M696" s="317"/>
      <c r="N696" s="317"/>
      <c r="O696" s="322"/>
      <c r="P696" s="365"/>
      <c r="Q696" s="364"/>
      <c r="R696" s="364"/>
      <c r="S696" s="348"/>
    </row>
    <row r="697" spans="1:19" ht="25.5" x14ac:dyDescent="0.25">
      <c r="A697" s="359">
        <v>0</v>
      </c>
      <c r="B697" s="49" t="s">
        <v>4336</v>
      </c>
      <c r="C697" s="49" t="s">
        <v>1345</v>
      </c>
      <c r="D697" s="49"/>
      <c r="E697" s="49">
        <v>181825</v>
      </c>
      <c r="F697" s="49"/>
      <c r="G697" s="49"/>
      <c r="H697" s="49"/>
      <c r="I697" s="49"/>
      <c r="J697" s="316"/>
      <c r="K697" s="360"/>
      <c r="L697" s="363"/>
      <c r="M697" s="317"/>
      <c r="N697" s="317"/>
      <c r="O697" s="322"/>
      <c r="P697" s="365"/>
      <c r="Q697" s="364"/>
      <c r="R697" s="364"/>
      <c r="S697" s="348"/>
    </row>
    <row r="698" spans="1:19" ht="25.5" x14ac:dyDescent="0.25">
      <c r="A698" s="359">
        <v>0</v>
      </c>
      <c r="B698" s="49" t="s">
        <v>4337</v>
      </c>
      <c r="C698" s="49" t="s">
        <v>1345</v>
      </c>
      <c r="D698" s="49"/>
      <c r="E698" s="49">
        <v>181825</v>
      </c>
      <c r="F698" s="49"/>
      <c r="G698" s="49"/>
      <c r="H698" s="49"/>
      <c r="I698" s="49"/>
      <c r="J698" s="316"/>
      <c r="K698" s="360"/>
      <c r="L698" s="363"/>
      <c r="M698" s="317"/>
      <c r="N698" s="317"/>
      <c r="O698" s="322"/>
      <c r="P698" s="365"/>
      <c r="Q698" s="364"/>
      <c r="R698" s="364"/>
      <c r="S698" s="348"/>
    </row>
    <row r="699" spans="1:19" ht="25.5" x14ac:dyDescent="0.25">
      <c r="A699" s="359">
        <v>0</v>
      </c>
      <c r="B699" s="49" t="s">
        <v>4338</v>
      </c>
      <c r="C699" s="49" t="s">
        <v>1345</v>
      </c>
      <c r="D699" s="49"/>
      <c r="E699" s="49">
        <v>181825</v>
      </c>
      <c r="F699" s="49"/>
      <c r="G699" s="49"/>
      <c r="H699" s="49"/>
      <c r="I699" s="49"/>
      <c r="J699" s="316"/>
      <c r="K699" s="360"/>
      <c r="L699" s="363"/>
      <c r="M699" s="317"/>
      <c r="N699" s="317"/>
      <c r="O699" s="322"/>
      <c r="P699" s="365"/>
      <c r="Q699" s="364"/>
      <c r="R699" s="364"/>
      <c r="S699" s="348"/>
    </row>
    <row r="700" spans="1:19" ht="25.5" x14ac:dyDescent="0.25">
      <c r="A700" s="359">
        <v>0</v>
      </c>
      <c r="B700" s="49" t="s">
        <v>4339</v>
      </c>
      <c r="C700" s="49" t="s">
        <v>1345</v>
      </c>
      <c r="D700" s="49"/>
      <c r="E700" s="49">
        <v>181825</v>
      </c>
      <c r="F700" s="49"/>
      <c r="G700" s="49"/>
      <c r="H700" s="49"/>
      <c r="I700" s="49"/>
      <c r="J700" s="316"/>
      <c r="K700" s="360"/>
      <c r="L700" s="363"/>
      <c r="M700" s="317"/>
      <c r="N700" s="317"/>
      <c r="O700" s="322"/>
      <c r="P700" s="365"/>
      <c r="Q700" s="364"/>
      <c r="R700" s="364"/>
      <c r="S700" s="348"/>
    </row>
    <row r="701" spans="1:19" ht="25.5" x14ac:dyDescent="0.25">
      <c r="A701" s="359">
        <v>0</v>
      </c>
      <c r="B701" s="49" t="s">
        <v>4340</v>
      </c>
      <c r="C701" s="49" t="s">
        <v>1345</v>
      </c>
      <c r="D701" s="49"/>
      <c r="E701" s="49">
        <v>181825</v>
      </c>
      <c r="F701" s="49"/>
      <c r="G701" s="49"/>
      <c r="H701" s="49"/>
      <c r="I701" s="49"/>
      <c r="J701" s="316"/>
      <c r="K701" s="360"/>
      <c r="L701" s="363"/>
      <c r="M701" s="317"/>
      <c r="N701" s="317"/>
      <c r="O701" s="322"/>
      <c r="P701" s="365"/>
      <c r="Q701" s="364"/>
      <c r="R701" s="364"/>
      <c r="S701" s="348"/>
    </row>
    <row r="702" spans="1:19" ht="25.5" x14ac:dyDescent="0.25">
      <c r="A702" s="359">
        <v>0</v>
      </c>
      <c r="B702" s="49" t="s">
        <v>4341</v>
      </c>
      <c r="C702" s="49" t="s">
        <v>1345</v>
      </c>
      <c r="D702" s="49"/>
      <c r="E702" s="49">
        <v>181825</v>
      </c>
      <c r="F702" s="49"/>
      <c r="G702" s="49"/>
      <c r="H702" s="49"/>
      <c r="I702" s="49"/>
      <c r="J702" s="316"/>
      <c r="K702" s="360"/>
      <c r="L702" s="363"/>
      <c r="M702" s="317"/>
      <c r="N702" s="317"/>
      <c r="O702" s="322"/>
      <c r="P702" s="365"/>
      <c r="Q702" s="364"/>
      <c r="R702" s="364"/>
      <c r="S702" s="348"/>
    </row>
    <row r="703" spans="1:19" ht="25.5" x14ac:dyDescent="0.25">
      <c r="A703" s="359">
        <v>0</v>
      </c>
      <c r="B703" s="49" t="s">
        <v>4342</v>
      </c>
      <c r="C703" s="49" t="s">
        <v>1345</v>
      </c>
      <c r="D703" s="49"/>
      <c r="E703" s="49">
        <v>181825</v>
      </c>
      <c r="F703" s="49"/>
      <c r="G703" s="49"/>
      <c r="H703" s="49"/>
      <c r="I703" s="49"/>
      <c r="J703" s="316"/>
      <c r="K703" s="360"/>
      <c r="L703" s="363"/>
      <c r="M703" s="317"/>
      <c r="N703" s="317"/>
      <c r="O703" s="322"/>
      <c r="P703" s="365"/>
      <c r="Q703" s="364"/>
      <c r="R703" s="364"/>
      <c r="S703" s="348"/>
    </row>
    <row r="704" spans="1:19" ht="25.5" x14ac:dyDescent="0.25">
      <c r="A704" s="359">
        <v>0</v>
      </c>
      <c r="B704" s="49" t="s">
        <v>4343</v>
      </c>
      <c r="C704" s="49" t="s">
        <v>1345</v>
      </c>
      <c r="D704" s="49"/>
      <c r="E704" s="49">
        <v>181825</v>
      </c>
      <c r="F704" s="49"/>
      <c r="G704" s="49"/>
      <c r="H704" s="49"/>
      <c r="I704" s="49"/>
      <c r="J704" s="316"/>
      <c r="K704" s="360"/>
      <c r="L704" s="363"/>
      <c r="M704" s="317"/>
      <c r="N704" s="317"/>
      <c r="O704" s="322"/>
      <c r="P704" s="365"/>
      <c r="Q704" s="364"/>
      <c r="R704" s="364"/>
      <c r="S704" s="348"/>
    </row>
    <row r="705" spans="1:19" ht="25.5" x14ac:dyDescent="0.25">
      <c r="A705" s="359">
        <v>0</v>
      </c>
      <c r="B705" s="49" t="s">
        <v>4344</v>
      </c>
      <c r="C705" s="49" t="s">
        <v>1345</v>
      </c>
      <c r="D705" s="49"/>
      <c r="E705" s="49">
        <v>181825</v>
      </c>
      <c r="F705" s="49"/>
      <c r="G705" s="49"/>
      <c r="H705" s="49"/>
      <c r="I705" s="49"/>
      <c r="J705" s="316"/>
      <c r="K705" s="360"/>
      <c r="L705" s="363"/>
      <c r="M705" s="317"/>
      <c r="N705" s="317"/>
      <c r="O705" s="322"/>
      <c r="P705" s="365"/>
      <c r="Q705" s="364"/>
      <c r="R705" s="364"/>
      <c r="S705" s="348"/>
    </row>
    <row r="706" spans="1:19" ht="25.5" x14ac:dyDescent="0.25">
      <c r="A706" s="359">
        <v>0</v>
      </c>
      <c r="B706" s="49" t="s">
        <v>4345</v>
      </c>
      <c r="C706" s="49" t="s">
        <v>1345</v>
      </c>
      <c r="D706" s="49"/>
      <c r="E706" s="49">
        <v>181825</v>
      </c>
      <c r="F706" s="49"/>
      <c r="G706" s="49"/>
      <c r="H706" s="49"/>
      <c r="I706" s="49"/>
      <c r="J706" s="316"/>
      <c r="K706" s="360"/>
      <c r="L706" s="363"/>
      <c r="M706" s="317"/>
      <c r="N706" s="317"/>
      <c r="O706" s="322"/>
      <c r="P706" s="365"/>
      <c r="Q706" s="364"/>
      <c r="R706" s="364"/>
      <c r="S706" s="348"/>
    </row>
    <row r="707" spans="1:19" ht="25.5" x14ac:dyDescent="0.25">
      <c r="A707" s="359">
        <v>0</v>
      </c>
      <c r="B707" s="49" t="s">
        <v>4346</v>
      </c>
      <c r="C707" s="49" t="s">
        <v>1345</v>
      </c>
      <c r="D707" s="49"/>
      <c r="E707" s="49">
        <v>181825</v>
      </c>
      <c r="F707" s="49"/>
      <c r="G707" s="49"/>
      <c r="H707" s="49"/>
      <c r="I707" s="49"/>
      <c r="J707" s="316"/>
      <c r="K707" s="360"/>
      <c r="L707" s="363"/>
      <c r="M707" s="317"/>
      <c r="N707" s="317"/>
      <c r="O707" s="322"/>
      <c r="P707" s="365"/>
      <c r="Q707" s="364"/>
      <c r="R707" s="364"/>
      <c r="S707" s="348"/>
    </row>
    <row r="708" spans="1:19" ht="25.5" x14ac:dyDescent="0.25">
      <c r="A708" s="359">
        <v>0</v>
      </c>
      <c r="B708" s="49" t="s">
        <v>4347</v>
      </c>
      <c r="C708" s="49" t="s">
        <v>1345</v>
      </c>
      <c r="D708" s="49"/>
      <c r="E708" s="49">
        <v>181825</v>
      </c>
      <c r="F708" s="49"/>
      <c r="G708" s="49"/>
      <c r="H708" s="49"/>
      <c r="I708" s="49"/>
      <c r="J708" s="316"/>
      <c r="K708" s="360"/>
      <c r="L708" s="363"/>
      <c r="M708" s="317"/>
      <c r="N708" s="317"/>
      <c r="O708" s="322"/>
      <c r="P708" s="365"/>
      <c r="Q708" s="364"/>
      <c r="R708" s="364"/>
      <c r="S708" s="348"/>
    </row>
    <row r="709" spans="1:19" ht="25.5" x14ac:dyDescent="0.25">
      <c r="A709" s="359">
        <v>0</v>
      </c>
      <c r="B709" s="49" t="s">
        <v>4348</v>
      </c>
      <c r="C709" s="49" t="s">
        <v>1345</v>
      </c>
      <c r="D709" s="49"/>
      <c r="E709" s="49">
        <v>181825</v>
      </c>
      <c r="F709" s="49"/>
      <c r="G709" s="49"/>
      <c r="H709" s="49"/>
      <c r="I709" s="49"/>
      <c r="J709" s="316"/>
      <c r="K709" s="360"/>
      <c r="L709" s="363"/>
      <c r="M709" s="317"/>
      <c r="N709" s="317"/>
      <c r="O709" s="322"/>
      <c r="P709" s="365"/>
      <c r="Q709" s="364"/>
      <c r="R709" s="364"/>
      <c r="S709" s="348"/>
    </row>
    <row r="710" spans="1:19" ht="25.5" x14ac:dyDescent="0.25">
      <c r="A710" s="359">
        <v>0</v>
      </c>
      <c r="B710" s="49" t="s">
        <v>4349</v>
      </c>
      <c r="C710" s="49" t="s">
        <v>1345</v>
      </c>
      <c r="D710" s="49"/>
      <c r="E710" s="49">
        <v>181825</v>
      </c>
      <c r="F710" s="49"/>
      <c r="G710" s="49"/>
      <c r="H710" s="49"/>
      <c r="I710" s="49"/>
      <c r="J710" s="316"/>
      <c r="K710" s="360"/>
      <c r="L710" s="363"/>
      <c r="M710" s="317"/>
      <c r="N710" s="317"/>
      <c r="O710" s="322"/>
      <c r="P710" s="365"/>
      <c r="Q710" s="364"/>
      <c r="R710" s="364"/>
      <c r="S710" s="348"/>
    </row>
    <row r="711" spans="1:19" ht="25.5" x14ac:dyDescent="0.25">
      <c r="A711" s="359">
        <v>0</v>
      </c>
      <c r="B711" s="49" t="s">
        <v>4350</v>
      </c>
      <c r="C711" s="49" t="s">
        <v>1345</v>
      </c>
      <c r="D711" s="49"/>
      <c r="E711" s="49">
        <v>181825</v>
      </c>
      <c r="F711" s="49"/>
      <c r="G711" s="49"/>
      <c r="H711" s="49"/>
      <c r="I711" s="49"/>
      <c r="J711" s="316"/>
      <c r="K711" s="360"/>
      <c r="L711" s="363"/>
      <c r="M711" s="317"/>
      <c r="N711" s="317"/>
      <c r="O711" s="322"/>
      <c r="P711" s="365"/>
      <c r="Q711" s="364"/>
      <c r="R711" s="364"/>
      <c r="S711" s="348"/>
    </row>
    <row r="712" spans="1:19" ht="25.5" x14ac:dyDescent="0.25">
      <c r="A712" s="359">
        <v>0</v>
      </c>
      <c r="B712" s="49" t="s">
        <v>4351</v>
      </c>
      <c r="C712" s="49" t="s">
        <v>1345</v>
      </c>
      <c r="D712" s="49"/>
      <c r="E712" s="49">
        <v>181825</v>
      </c>
      <c r="F712" s="49"/>
      <c r="G712" s="49"/>
      <c r="H712" s="49"/>
      <c r="I712" s="49"/>
      <c r="J712" s="316"/>
      <c r="K712" s="360"/>
      <c r="L712" s="363"/>
      <c r="M712" s="317"/>
      <c r="N712" s="317"/>
      <c r="O712" s="322"/>
      <c r="P712" s="365"/>
      <c r="Q712" s="364"/>
      <c r="R712" s="364"/>
      <c r="S712" s="348"/>
    </row>
    <row r="713" spans="1:19" hidden="1" x14ac:dyDescent="0.25"/>
  </sheetData>
  <autoFilter ref="A5:S713" xr:uid="{C1B76CA8-E1E7-4D9B-92FF-0112408E0478}">
    <filterColumn colId="2">
      <filters>
        <filter val="Alutal Controles Industriais Ltda"/>
      </filters>
    </filterColumn>
  </autoFilter>
  <mergeCells count="3">
    <mergeCell ref="P4:R4"/>
    <mergeCell ref="A4:K4"/>
    <mergeCell ref="L4:O4"/>
  </mergeCells>
  <phoneticPr fontId="6" type="noConversion"/>
  <conditionalFormatting sqref="F564 E1:F3 E5:F257 E411:E427 E431:E433 E435:E441 E443:E451 E565:F577 E578:E580 E581:F712 E714:F1048576 E517:F563 E453:E516 E258:E409">
    <cfRule type="duplicateValues" dxfId="13" priority="17"/>
  </conditionalFormatting>
  <conditionalFormatting sqref="E410">
    <cfRule type="duplicateValues" dxfId="12" priority="16"/>
  </conditionalFormatting>
  <conditionalFormatting sqref="E428:E429">
    <cfRule type="duplicateValues" dxfId="11" priority="13"/>
  </conditionalFormatting>
  <conditionalFormatting sqref="E430">
    <cfRule type="duplicateValues" dxfId="10" priority="12"/>
  </conditionalFormatting>
  <conditionalFormatting sqref="E434">
    <cfRule type="duplicateValues" dxfId="9" priority="10"/>
  </conditionalFormatting>
  <conditionalFormatting sqref="E565:E712 E714:E1048576 E1:E441 E443:E451 E453:E563">
    <cfRule type="duplicateValues" dxfId="8" priority="9"/>
  </conditionalFormatting>
  <conditionalFormatting sqref="E442">
    <cfRule type="duplicateValues" dxfId="7" priority="8"/>
  </conditionalFormatting>
  <conditionalFormatting sqref="E442">
    <cfRule type="duplicateValues" dxfId="6" priority="7"/>
  </conditionalFormatting>
  <conditionalFormatting sqref="F581:F712 F714:F1048576 F1:F257 F517:F577">
    <cfRule type="duplicateValues" dxfId="5" priority="6"/>
  </conditionalFormatting>
  <conditionalFormatting sqref="E452">
    <cfRule type="duplicateValues" dxfId="4" priority="5"/>
  </conditionalFormatting>
  <conditionalFormatting sqref="E452">
    <cfRule type="duplicateValues" dxfId="3" priority="4"/>
  </conditionalFormatting>
  <conditionalFormatting sqref="E564">
    <cfRule type="duplicateValues" dxfId="2" priority="3"/>
  </conditionalFormatting>
  <conditionalFormatting sqref="E564">
    <cfRule type="duplicateValues" dxfId="1" priority="2"/>
  </conditionalFormatting>
  <conditionalFormatting sqref="F714:F1048576 F1:F257 F517:F712">
    <cfRule type="duplicateValues" dxfId="0" priority="1"/>
  </conditionalFormatting>
  <dataValidations count="3">
    <dataValidation type="list" allowBlank="1" showInputMessage="1" showErrorMessage="1" sqref="L6:L366 L369:L712" xr:uid="{F8F08B8C-42B1-4323-A112-E573B0961FD4}">
      <formula1>"FM,FR,LO,MP"</formula1>
    </dataValidation>
    <dataValidation type="list" allowBlank="1" showInputMessage="1" showErrorMessage="1" sqref="S6:S712" xr:uid="{0DDEA3CC-03FD-405B-B6CE-FE9AB4723872}">
      <formula1>"Pendente,Ok"</formula1>
    </dataValidation>
    <dataValidation type="list" allowBlank="1" showInputMessage="1" showErrorMessage="1" sqref="P6:P712" xr:uid="{D29FF75E-C12A-45B7-82E1-1C3AF81D235B}">
      <formula1>"MP, DT"</formula1>
    </dataValidation>
  </dataValidations>
  <pageMargins left="0.511811024" right="0.511811024" top="0.78740157499999996" bottom="0.78740157499999996" header="0.31496062000000002" footer="0.31496062000000002"/>
  <pageSetup paperSize="9" orientation="portrait" r:id="rId1"/>
  <ignoredErrors>
    <ignoredError sqref="F110:F156 F157:F163 F164:F165 E353" numberStoredAsText="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8C1ED-20DF-4FF6-82F6-8028941A3BDE}">
  <dimension ref="F3:F1350"/>
  <sheetViews>
    <sheetView topLeftCell="F3" workbookViewId="0">
      <selection activeCell="F3" sqref="F3"/>
    </sheetView>
  </sheetViews>
  <sheetFormatPr defaultRowHeight="15" x14ac:dyDescent="0.25"/>
  <cols>
    <col min="6" max="6" width="23.42578125" customWidth="1"/>
    <col min="8" max="8" width="17.85546875" customWidth="1"/>
  </cols>
  <sheetData>
    <row r="3" spans="6:6" x14ac:dyDescent="0.25">
      <c r="F3" s="49" t="s">
        <v>1679</v>
      </c>
    </row>
    <row r="4" spans="6:6" x14ac:dyDescent="0.25">
      <c r="F4" s="49" t="s">
        <v>1688</v>
      </c>
    </row>
    <row r="5" spans="6:6" x14ac:dyDescent="0.25">
      <c r="F5" s="49" t="s">
        <v>1690</v>
      </c>
    </row>
    <row r="6" spans="6:6" x14ac:dyDescent="0.25">
      <c r="F6" s="49" t="s">
        <v>1697</v>
      </c>
    </row>
    <row r="7" spans="6:6" x14ac:dyDescent="0.25">
      <c r="F7" s="49" t="s">
        <v>1704</v>
      </c>
    </row>
    <row r="8" spans="6:6" x14ac:dyDescent="0.25">
      <c r="F8" s="49" t="s">
        <v>1710</v>
      </c>
    </row>
    <row r="9" spans="6:6" x14ac:dyDescent="0.25">
      <c r="F9" s="49" t="s">
        <v>1717</v>
      </c>
    </row>
    <row r="10" spans="6:6" x14ac:dyDescent="0.25">
      <c r="F10" s="49" t="s">
        <v>1722</v>
      </c>
    </row>
    <row r="11" spans="6:6" x14ac:dyDescent="0.25">
      <c r="F11" s="49" t="s">
        <v>1726</v>
      </c>
    </row>
    <row r="12" spans="6:6" x14ac:dyDescent="0.25">
      <c r="F12" s="49" t="s">
        <v>1732</v>
      </c>
    </row>
    <row r="13" spans="6:6" x14ac:dyDescent="0.25">
      <c r="F13" s="49" t="s">
        <v>1736</v>
      </c>
    </row>
    <row r="14" spans="6:6" x14ac:dyDescent="0.25">
      <c r="F14" s="49" t="s">
        <v>1741</v>
      </c>
    </row>
    <row r="15" spans="6:6" x14ac:dyDescent="0.25">
      <c r="F15" s="49" t="s">
        <v>1746</v>
      </c>
    </row>
    <row r="16" spans="6:6" x14ac:dyDescent="0.25">
      <c r="F16" s="49" t="s">
        <v>1751</v>
      </c>
    </row>
    <row r="17" spans="6:6" x14ac:dyDescent="0.25">
      <c r="F17" s="49" t="s">
        <v>1755</v>
      </c>
    </row>
    <row r="18" spans="6:6" x14ac:dyDescent="0.25">
      <c r="F18" s="49" t="s">
        <v>1760</v>
      </c>
    </row>
    <row r="19" spans="6:6" x14ac:dyDescent="0.25">
      <c r="F19" s="49" t="s">
        <v>1763</v>
      </c>
    </row>
    <row r="20" spans="6:6" x14ac:dyDescent="0.25">
      <c r="F20" s="49" t="s">
        <v>1767</v>
      </c>
    </row>
    <row r="21" spans="6:6" x14ac:dyDescent="0.25">
      <c r="F21" s="49" t="s">
        <v>1774</v>
      </c>
    </row>
    <row r="22" spans="6:6" x14ac:dyDescent="0.25">
      <c r="F22" s="49" t="s">
        <v>1780</v>
      </c>
    </row>
    <row r="23" spans="6:6" x14ac:dyDescent="0.25">
      <c r="F23" s="49" t="s">
        <v>1785</v>
      </c>
    </row>
    <row r="24" spans="6:6" x14ac:dyDescent="0.25">
      <c r="F24" s="49" t="s">
        <v>1790</v>
      </c>
    </row>
    <row r="25" spans="6:6" x14ac:dyDescent="0.25">
      <c r="F25" s="49" t="s">
        <v>1795</v>
      </c>
    </row>
    <row r="26" spans="6:6" x14ac:dyDescent="0.25">
      <c r="F26" s="49" t="s">
        <v>1801</v>
      </c>
    </row>
    <row r="27" spans="6:6" x14ac:dyDescent="0.25">
      <c r="F27" s="49" t="s">
        <v>1807</v>
      </c>
    </row>
    <row r="28" spans="6:6" x14ac:dyDescent="0.25">
      <c r="F28" s="49" t="s">
        <v>1814</v>
      </c>
    </row>
    <row r="29" spans="6:6" x14ac:dyDescent="0.25">
      <c r="F29" s="49" t="s">
        <v>1819</v>
      </c>
    </row>
    <row r="30" spans="6:6" x14ac:dyDescent="0.25">
      <c r="F30" s="49" t="s">
        <v>1824</v>
      </c>
    </row>
    <row r="31" spans="6:6" x14ac:dyDescent="0.25">
      <c r="F31" s="49" t="s">
        <v>1830</v>
      </c>
    </row>
    <row r="32" spans="6:6" x14ac:dyDescent="0.25">
      <c r="F32" s="49" t="s">
        <v>1836</v>
      </c>
    </row>
    <row r="33" spans="6:6" x14ac:dyDescent="0.25">
      <c r="F33" s="49" t="s">
        <v>1841</v>
      </c>
    </row>
    <row r="34" spans="6:6" x14ac:dyDescent="0.25">
      <c r="F34" s="49" t="s">
        <v>1847</v>
      </c>
    </row>
    <row r="35" spans="6:6" x14ac:dyDescent="0.25">
      <c r="F35" s="49" t="s">
        <v>1853</v>
      </c>
    </row>
    <row r="36" spans="6:6" x14ac:dyDescent="0.25">
      <c r="F36" s="49" t="s">
        <v>1859</v>
      </c>
    </row>
    <row r="37" spans="6:6" x14ac:dyDescent="0.25">
      <c r="F37" s="49" t="s">
        <v>1866</v>
      </c>
    </row>
    <row r="38" spans="6:6" x14ac:dyDescent="0.25">
      <c r="F38" s="49" t="s">
        <v>1871</v>
      </c>
    </row>
    <row r="39" spans="6:6" x14ac:dyDescent="0.25">
      <c r="F39" s="49" t="s">
        <v>1877</v>
      </c>
    </row>
    <row r="40" spans="6:6" x14ac:dyDescent="0.25">
      <c r="F40" s="49" t="s">
        <v>1880</v>
      </c>
    </row>
    <row r="41" spans="6:6" x14ac:dyDescent="0.25">
      <c r="F41" s="49" t="s">
        <v>1885</v>
      </c>
    </row>
    <row r="42" spans="6:6" x14ac:dyDescent="0.25">
      <c r="F42" s="49" t="s">
        <v>1892</v>
      </c>
    </row>
    <row r="43" spans="6:6" x14ac:dyDescent="0.25">
      <c r="F43" s="49" t="s">
        <v>1897</v>
      </c>
    </row>
    <row r="44" spans="6:6" x14ac:dyDescent="0.25">
      <c r="F44" s="49" t="s">
        <v>1903</v>
      </c>
    </row>
    <row r="45" spans="6:6" x14ac:dyDescent="0.25">
      <c r="F45" s="49" t="s">
        <v>1907</v>
      </c>
    </row>
    <row r="46" spans="6:6" x14ac:dyDescent="0.25">
      <c r="F46" s="49" t="s">
        <v>1912</v>
      </c>
    </row>
    <row r="47" spans="6:6" x14ac:dyDescent="0.25">
      <c r="F47" s="49" t="s">
        <v>1919</v>
      </c>
    </row>
    <row r="48" spans="6:6" x14ac:dyDescent="0.25">
      <c r="F48" s="49" t="s">
        <v>1926</v>
      </c>
    </row>
    <row r="49" spans="6:6" x14ac:dyDescent="0.25">
      <c r="F49" s="49" t="s">
        <v>1932</v>
      </c>
    </row>
    <row r="50" spans="6:6" x14ac:dyDescent="0.25">
      <c r="F50" s="49" t="s">
        <v>1935</v>
      </c>
    </row>
    <row r="51" spans="6:6" x14ac:dyDescent="0.25">
      <c r="F51" s="49" t="s">
        <v>1940</v>
      </c>
    </row>
    <row r="52" spans="6:6" x14ac:dyDescent="0.25">
      <c r="F52" s="49" t="s">
        <v>1947</v>
      </c>
    </row>
    <row r="53" spans="6:6" x14ac:dyDescent="0.25">
      <c r="F53" s="49" t="s">
        <v>1953</v>
      </c>
    </row>
    <row r="54" spans="6:6" x14ac:dyDescent="0.25">
      <c r="F54" s="49" t="s">
        <v>1956</v>
      </c>
    </row>
    <row r="55" spans="6:6" x14ac:dyDescent="0.25">
      <c r="F55" s="49" t="s">
        <v>1961</v>
      </c>
    </row>
    <row r="56" spans="6:6" x14ac:dyDescent="0.25">
      <c r="F56" s="49" t="s">
        <v>1968</v>
      </c>
    </row>
    <row r="57" spans="6:6" x14ac:dyDescent="0.25">
      <c r="F57" s="49" t="s">
        <v>1972</v>
      </c>
    </row>
    <row r="58" spans="6:6" x14ac:dyDescent="0.25">
      <c r="F58" s="49" t="s">
        <v>1976</v>
      </c>
    </row>
    <row r="59" spans="6:6" x14ac:dyDescent="0.25">
      <c r="F59" s="49" t="s">
        <v>1983</v>
      </c>
    </row>
    <row r="60" spans="6:6" x14ac:dyDescent="0.25">
      <c r="F60" s="49" t="s">
        <v>1987</v>
      </c>
    </row>
    <row r="61" spans="6:6" x14ac:dyDescent="0.25">
      <c r="F61" s="49" t="s">
        <v>1993</v>
      </c>
    </row>
    <row r="62" spans="6:6" x14ac:dyDescent="0.25">
      <c r="F62" s="49" t="s">
        <v>1998</v>
      </c>
    </row>
    <row r="63" spans="6:6" x14ac:dyDescent="0.25">
      <c r="F63" s="49" t="s">
        <v>2001</v>
      </c>
    </row>
    <row r="64" spans="6:6" x14ac:dyDescent="0.25">
      <c r="F64" s="49" t="s">
        <v>2003</v>
      </c>
    </row>
    <row r="65" spans="6:6" x14ac:dyDescent="0.25">
      <c r="F65" s="49" t="s">
        <v>2005</v>
      </c>
    </row>
    <row r="66" spans="6:6" x14ac:dyDescent="0.25">
      <c r="F66" s="49" t="s">
        <v>2010</v>
      </c>
    </row>
    <row r="67" spans="6:6" x14ac:dyDescent="0.25">
      <c r="F67" s="49" t="s">
        <v>2014</v>
      </c>
    </row>
    <row r="68" spans="6:6" x14ac:dyDescent="0.25">
      <c r="F68" s="49" t="s">
        <v>2018</v>
      </c>
    </row>
    <row r="69" spans="6:6" x14ac:dyDescent="0.25">
      <c r="F69" s="49" t="s">
        <v>2024</v>
      </c>
    </row>
    <row r="70" spans="6:6" x14ac:dyDescent="0.25">
      <c r="F70" s="49" t="s">
        <v>2029</v>
      </c>
    </row>
    <row r="71" spans="6:6" x14ac:dyDescent="0.25">
      <c r="F71" s="49" t="s">
        <v>2036</v>
      </c>
    </row>
    <row r="72" spans="6:6" x14ac:dyDescent="0.25">
      <c r="F72" s="49" t="s">
        <v>2042</v>
      </c>
    </row>
    <row r="73" spans="6:6" x14ac:dyDescent="0.25">
      <c r="F73" s="49" t="s">
        <v>2045</v>
      </c>
    </row>
    <row r="74" spans="6:6" x14ac:dyDescent="0.25">
      <c r="F74" s="49" t="s">
        <v>2051</v>
      </c>
    </row>
    <row r="75" spans="6:6" x14ac:dyDescent="0.25">
      <c r="F75" s="49" t="s">
        <v>2053</v>
      </c>
    </row>
    <row r="76" spans="6:6" x14ac:dyDescent="0.25">
      <c r="F76" s="49" t="s">
        <v>2055</v>
      </c>
    </row>
    <row r="77" spans="6:6" x14ac:dyDescent="0.25">
      <c r="F77" s="49" t="s">
        <v>2058</v>
      </c>
    </row>
    <row r="78" spans="6:6" x14ac:dyDescent="0.25">
      <c r="F78" s="49" t="s">
        <v>2065</v>
      </c>
    </row>
    <row r="79" spans="6:6" x14ac:dyDescent="0.25">
      <c r="F79" s="49" t="s">
        <v>2069</v>
      </c>
    </row>
    <row r="80" spans="6:6" x14ac:dyDescent="0.25">
      <c r="F80" s="49" t="s">
        <v>2072</v>
      </c>
    </row>
    <row r="81" spans="6:6" x14ac:dyDescent="0.25">
      <c r="F81" s="49" t="s">
        <v>2078</v>
      </c>
    </row>
    <row r="82" spans="6:6" x14ac:dyDescent="0.25">
      <c r="F82" s="49" t="s">
        <v>2081</v>
      </c>
    </row>
    <row r="83" spans="6:6" x14ac:dyDescent="0.25">
      <c r="F83" s="49" t="s">
        <v>2085</v>
      </c>
    </row>
    <row r="84" spans="6:6" x14ac:dyDescent="0.25">
      <c r="F84" s="49" t="s">
        <v>2092</v>
      </c>
    </row>
    <row r="85" spans="6:6" x14ac:dyDescent="0.25">
      <c r="F85" s="49" t="s">
        <v>2096</v>
      </c>
    </row>
    <row r="86" spans="6:6" x14ac:dyDescent="0.25">
      <c r="F86" s="49" t="s">
        <v>2101</v>
      </c>
    </row>
    <row r="87" spans="6:6" x14ac:dyDescent="0.25">
      <c r="F87" s="49" t="s">
        <v>2107</v>
      </c>
    </row>
    <row r="88" spans="6:6" x14ac:dyDescent="0.25">
      <c r="F88" s="49" t="s">
        <v>2113</v>
      </c>
    </row>
    <row r="89" spans="6:6" x14ac:dyDescent="0.25">
      <c r="F89" s="49" t="s">
        <v>2117</v>
      </c>
    </row>
    <row r="90" spans="6:6" x14ac:dyDescent="0.25">
      <c r="F90" s="49" t="s">
        <v>2123</v>
      </c>
    </row>
    <row r="91" spans="6:6" x14ac:dyDescent="0.25">
      <c r="F91" s="49" t="s">
        <v>2128</v>
      </c>
    </row>
    <row r="92" spans="6:6" x14ac:dyDescent="0.25">
      <c r="F92" s="49" t="s">
        <v>2134</v>
      </c>
    </row>
    <row r="93" spans="6:6" x14ac:dyDescent="0.25">
      <c r="F93" s="49" t="s">
        <v>2139</v>
      </c>
    </row>
    <row r="94" spans="6:6" x14ac:dyDescent="0.25">
      <c r="F94" s="49" t="s">
        <v>2143</v>
      </c>
    </row>
    <row r="95" spans="6:6" x14ac:dyDescent="0.25">
      <c r="F95" s="49" t="s">
        <v>2149</v>
      </c>
    </row>
    <row r="96" spans="6:6" x14ac:dyDescent="0.25">
      <c r="F96" s="49" t="s">
        <v>2153</v>
      </c>
    </row>
    <row r="97" spans="6:6" x14ac:dyDescent="0.25">
      <c r="F97" s="49" t="s">
        <v>2158</v>
      </c>
    </row>
    <row r="98" spans="6:6" x14ac:dyDescent="0.25">
      <c r="F98" s="49" t="s">
        <v>2160</v>
      </c>
    </row>
    <row r="99" spans="6:6" x14ac:dyDescent="0.25">
      <c r="F99" s="49" t="s">
        <v>2166</v>
      </c>
    </row>
    <row r="100" spans="6:6" x14ac:dyDescent="0.25">
      <c r="F100" s="49" t="s">
        <v>2168</v>
      </c>
    </row>
    <row r="101" spans="6:6" x14ac:dyDescent="0.25">
      <c r="F101" s="49" t="s">
        <v>2173</v>
      </c>
    </row>
    <row r="102" spans="6:6" x14ac:dyDescent="0.25">
      <c r="F102" s="49" t="s">
        <v>2175</v>
      </c>
    </row>
    <row r="103" spans="6:6" x14ac:dyDescent="0.25">
      <c r="F103" s="49" t="s">
        <v>2177</v>
      </c>
    </row>
    <row r="104" spans="6:6" x14ac:dyDescent="0.25">
      <c r="F104" s="49" t="s">
        <v>2183</v>
      </c>
    </row>
    <row r="105" spans="6:6" x14ac:dyDescent="0.25">
      <c r="F105" s="49" t="s">
        <v>2186</v>
      </c>
    </row>
    <row r="106" spans="6:6" x14ac:dyDescent="0.25">
      <c r="F106" s="49" t="s">
        <v>2189</v>
      </c>
    </row>
    <row r="107" spans="6:6" x14ac:dyDescent="0.25">
      <c r="F107" s="49" t="s">
        <v>2194</v>
      </c>
    </row>
    <row r="108" spans="6:6" x14ac:dyDescent="0.25">
      <c r="F108" s="49" t="s">
        <v>2199</v>
      </c>
    </row>
    <row r="109" spans="6:6" x14ac:dyDescent="0.25">
      <c r="F109" s="49" t="s">
        <v>2202</v>
      </c>
    </row>
    <row r="110" spans="6:6" x14ac:dyDescent="0.25">
      <c r="F110" s="49" t="s">
        <v>2206</v>
      </c>
    </row>
    <row r="111" spans="6:6" x14ac:dyDescent="0.25">
      <c r="F111" s="49" t="s">
        <v>2210</v>
      </c>
    </row>
    <row r="112" spans="6:6" x14ac:dyDescent="0.25">
      <c r="F112" s="49" t="s">
        <v>2213</v>
      </c>
    </row>
    <row r="113" spans="6:6" x14ac:dyDescent="0.25">
      <c r="F113" s="49" t="s">
        <v>2217</v>
      </c>
    </row>
    <row r="114" spans="6:6" x14ac:dyDescent="0.25">
      <c r="F114" s="49" t="s">
        <v>2220</v>
      </c>
    </row>
    <row r="115" spans="6:6" x14ac:dyDescent="0.25">
      <c r="F115" s="49" t="s">
        <v>2224</v>
      </c>
    </row>
    <row r="116" spans="6:6" x14ac:dyDescent="0.25">
      <c r="F116" s="49" t="s">
        <v>2228</v>
      </c>
    </row>
    <row r="117" spans="6:6" x14ac:dyDescent="0.25">
      <c r="F117" s="49" t="s">
        <v>2232</v>
      </c>
    </row>
    <row r="118" spans="6:6" x14ac:dyDescent="0.25">
      <c r="F118" s="49" t="s">
        <v>2236</v>
      </c>
    </row>
    <row r="119" spans="6:6" x14ac:dyDescent="0.25">
      <c r="F119" s="49" t="s">
        <v>2238</v>
      </c>
    </row>
    <row r="120" spans="6:6" x14ac:dyDescent="0.25">
      <c r="F120" s="49" t="s">
        <v>2241</v>
      </c>
    </row>
    <row r="121" spans="6:6" x14ac:dyDescent="0.25">
      <c r="F121" s="49" t="s">
        <v>2244</v>
      </c>
    </row>
    <row r="122" spans="6:6" x14ac:dyDescent="0.25">
      <c r="F122" s="49" t="s">
        <v>2248</v>
      </c>
    </row>
    <row r="123" spans="6:6" x14ac:dyDescent="0.25">
      <c r="F123" s="49" t="s">
        <v>2251</v>
      </c>
    </row>
    <row r="124" spans="6:6" x14ac:dyDescent="0.25">
      <c r="F124" s="49" t="s">
        <v>2254</v>
      </c>
    </row>
    <row r="125" spans="6:6" x14ac:dyDescent="0.25">
      <c r="F125" s="49" t="s">
        <v>2256</v>
      </c>
    </row>
    <row r="126" spans="6:6" x14ac:dyDescent="0.25">
      <c r="F126" s="49" t="s">
        <v>2260</v>
      </c>
    </row>
    <row r="127" spans="6:6" x14ac:dyDescent="0.25">
      <c r="F127" s="49" t="s">
        <v>2263</v>
      </c>
    </row>
    <row r="128" spans="6:6" x14ac:dyDescent="0.25">
      <c r="F128" s="49" t="s">
        <v>2267</v>
      </c>
    </row>
    <row r="129" spans="6:6" x14ac:dyDescent="0.25">
      <c r="F129" s="49" t="s">
        <v>2270</v>
      </c>
    </row>
    <row r="130" spans="6:6" x14ac:dyDescent="0.25">
      <c r="F130" s="49" t="s">
        <v>2273</v>
      </c>
    </row>
    <row r="131" spans="6:6" x14ac:dyDescent="0.25">
      <c r="F131" s="49" t="s">
        <v>2276</v>
      </c>
    </row>
    <row r="132" spans="6:6" x14ac:dyDescent="0.25">
      <c r="F132" s="49" t="s">
        <v>2279</v>
      </c>
    </row>
    <row r="133" spans="6:6" x14ac:dyDescent="0.25">
      <c r="F133" s="49" t="s">
        <v>2282</v>
      </c>
    </row>
    <row r="134" spans="6:6" x14ac:dyDescent="0.25">
      <c r="F134" s="49" t="s">
        <v>2285</v>
      </c>
    </row>
    <row r="135" spans="6:6" x14ac:dyDescent="0.25">
      <c r="F135" s="49" t="s">
        <v>2288</v>
      </c>
    </row>
    <row r="136" spans="6:6" x14ac:dyDescent="0.25">
      <c r="F136" s="49" t="s">
        <v>2291</v>
      </c>
    </row>
    <row r="137" spans="6:6" x14ac:dyDescent="0.25">
      <c r="F137" s="49" t="s">
        <v>2294</v>
      </c>
    </row>
    <row r="138" spans="6:6" x14ac:dyDescent="0.25">
      <c r="F138" s="49" t="s">
        <v>2297</v>
      </c>
    </row>
    <row r="139" spans="6:6" x14ac:dyDescent="0.25">
      <c r="F139" s="49" t="s">
        <v>2300</v>
      </c>
    </row>
    <row r="140" spans="6:6" x14ac:dyDescent="0.25">
      <c r="F140" s="49" t="s">
        <v>2303</v>
      </c>
    </row>
    <row r="141" spans="6:6" x14ac:dyDescent="0.25">
      <c r="F141" s="49" t="s">
        <v>2306</v>
      </c>
    </row>
    <row r="142" spans="6:6" x14ac:dyDescent="0.25">
      <c r="F142" s="49" t="s">
        <v>2309</v>
      </c>
    </row>
    <row r="143" spans="6:6" x14ac:dyDescent="0.25">
      <c r="F143" s="49" t="s">
        <v>2312</v>
      </c>
    </row>
    <row r="144" spans="6:6" x14ac:dyDescent="0.25">
      <c r="F144" s="49" t="s">
        <v>2316</v>
      </c>
    </row>
    <row r="145" spans="6:6" x14ac:dyDescent="0.25">
      <c r="F145" s="49" t="s">
        <v>2319</v>
      </c>
    </row>
    <row r="146" spans="6:6" x14ac:dyDescent="0.25">
      <c r="F146" s="49" t="s">
        <v>2322</v>
      </c>
    </row>
    <row r="147" spans="6:6" x14ac:dyDescent="0.25">
      <c r="F147" s="49" t="s">
        <v>2325</v>
      </c>
    </row>
    <row r="148" spans="6:6" x14ac:dyDescent="0.25">
      <c r="F148" s="49" t="s">
        <v>2328</v>
      </c>
    </row>
    <row r="149" spans="6:6" x14ac:dyDescent="0.25">
      <c r="F149" s="49" t="s">
        <v>2331</v>
      </c>
    </row>
    <row r="150" spans="6:6" x14ac:dyDescent="0.25">
      <c r="F150" s="49" t="s">
        <v>2334</v>
      </c>
    </row>
    <row r="151" spans="6:6" x14ac:dyDescent="0.25">
      <c r="F151" s="49" t="s">
        <v>2340</v>
      </c>
    </row>
    <row r="152" spans="6:6" x14ac:dyDescent="0.25">
      <c r="F152" s="49" t="s">
        <v>2342</v>
      </c>
    </row>
    <row r="153" spans="6:6" x14ac:dyDescent="0.25">
      <c r="F153" s="49" t="s">
        <v>2345</v>
      </c>
    </row>
    <row r="154" spans="6:6" x14ac:dyDescent="0.25">
      <c r="F154" s="49" t="s">
        <v>2349</v>
      </c>
    </row>
    <row r="155" spans="6:6" x14ac:dyDescent="0.25">
      <c r="F155" s="49" t="s">
        <v>2352</v>
      </c>
    </row>
    <row r="156" spans="6:6" x14ac:dyDescent="0.25">
      <c r="F156" s="49" t="s">
        <v>2355</v>
      </c>
    </row>
    <row r="157" spans="6:6" x14ac:dyDescent="0.25">
      <c r="F157" s="49" t="s">
        <v>2358</v>
      </c>
    </row>
    <row r="158" spans="6:6" x14ac:dyDescent="0.25">
      <c r="F158" s="49" t="s">
        <v>2361</v>
      </c>
    </row>
    <row r="159" spans="6:6" x14ac:dyDescent="0.25">
      <c r="F159" s="49" t="s">
        <v>2364</v>
      </c>
    </row>
    <row r="160" spans="6:6" x14ac:dyDescent="0.25">
      <c r="F160" s="49" t="s">
        <v>2368</v>
      </c>
    </row>
    <row r="161" spans="6:6" x14ac:dyDescent="0.25">
      <c r="F161" s="49" t="s">
        <v>2371</v>
      </c>
    </row>
    <row r="162" spans="6:6" x14ac:dyDescent="0.25">
      <c r="F162" s="49" t="s">
        <v>2374</v>
      </c>
    </row>
    <row r="163" spans="6:6" x14ac:dyDescent="0.25">
      <c r="F163" s="49" t="s">
        <v>2377</v>
      </c>
    </row>
    <row r="164" spans="6:6" x14ac:dyDescent="0.25">
      <c r="F164" s="49" t="s">
        <v>2380</v>
      </c>
    </row>
    <row r="165" spans="6:6" x14ac:dyDescent="0.25">
      <c r="F165" s="49" t="s">
        <v>2383</v>
      </c>
    </row>
    <row r="166" spans="6:6" x14ac:dyDescent="0.25">
      <c r="F166" s="49" t="s">
        <v>2386</v>
      </c>
    </row>
    <row r="167" spans="6:6" x14ac:dyDescent="0.25">
      <c r="F167" s="49" t="s">
        <v>2391</v>
      </c>
    </row>
    <row r="168" spans="6:6" x14ac:dyDescent="0.25">
      <c r="F168" s="49" t="s">
        <v>2396</v>
      </c>
    </row>
    <row r="169" spans="6:6" x14ac:dyDescent="0.25">
      <c r="F169" s="49" t="s">
        <v>2400</v>
      </c>
    </row>
    <row r="170" spans="6:6" x14ac:dyDescent="0.25">
      <c r="F170" s="49" t="s">
        <v>2404</v>
      </c>
    </row>
    <row r="171" spans="6:6" x14ac:dyDescent="0.25">
      <c r="F171" s="49" t="s">
        <v>2408</v>
      </c>
    </row>
    <row r="172" spans="6:6" x14ac:dyDescent="0.25">
      <c r="F172" s="49" t="s">
        <v>2410</v>
      </c>
    </row>
    <row r="173" spans="6:6" x14ac:dyDescent="0.25">
      <c r="F173" s="49" t="s">
        <v>2412</v>
      </c>
    </row>
    <row r="174" spans="6:6" x14ac:dyDescent="0.25">
      <c r="F174" s="49" t="s">
        <v>2415</v>
      </c>
    </row>
    <row r="175" spans="6:6" x14ac:dyDescent="0.25">
      <c r="F175" s="49" t="s">
        <v>2416</v>
      </c>
    </row>
    <row r="176" spans="6:6" x14ac:dyDescent="0.25">
      <c r="F176" s="49" t="s">
        <v>2421</v>
      </c>
    </row>
    <row r="177" spans="6:6" x14ac:dyDescent="0.25">
      <c r="F177" s="49" t="s">
        <v>2422</v>
      </c>
    </row>
    <row r="178" spans="6:6" x14ac:dyDescent="0.25">
      <c r="F178" s="49" t="s">
        <v>2424</v>
      </c>
    </row>
    <row r="179" spans="6:6" x14ac:dyDescent="0.25">
      <c r="F179" s="49" t="s">
        <v>2427</v>
      </c>
    </row>
    <row r="180" spans="6:6" x14ac:dyDescent="0.25">
      <c r="F180" s="49" t="s">
        <v>2430</v>
      </c>
    </row>
    <row r="181" spans="6:6" x14ac:dyDescent="0.25">
      <c r="F181" s="49" t="s">
        <v>2432</v>
      </c>
    </row>
    <row r="182" spans="6:6" x14ac:dyDescent="0.25">
      <c r="F182" s="49" t="s">
        <v>2434</v>
      </c>
    </row>
    <row r="183" spans="6:6" x14ac:dyDescent="0.25">
      <c r="F183" s="49" t="s">
        <v>2436</v>
      </c>
    </row>
    <row r="184" spans="6:6" x14ac:dyDescent="0.25">
      <c r="F184" s="49" t="s">
        <v>2438</v>
      </c>
    </row>
    <row r="185" spans="6:6" x14ac:dyDescent="0.25">
      <c r="F185" s="49" t="s">
        <v>2441</v>
      </c>
    </row>
    <row r="186" spans="6:6" x14ac:dyDescent="0.25">
      <c r="F186" s="49" t="s">
        <v>2443</v>
      </c>
    </row>
    <row r="187" spans="6:6" x14ac:dyDescent="0.25">
      <c r="F187" s="49" t="s">
        <v>2445</v>
      </c>
    </row>
    <row r="188" spans="6:6" x14ac:dyDescent="0.25">
      <c r="F188" s="49" t="s">
        <v>2446</v>
      </c>
    </row>
    <row r="189" spans="6:6" x14ac:dyDescent="0.25">
      <c r="F189" s="49" t="s">
        <v>2449</v>
      </c>
    </row>
    <row r="190" spans="6:6" x14ac:dyDescent="0.25">
      <c r="F190" s="49" t="s">
        <v>2450</v>
      </c>
    </row>
    <row r="191" spans="6:6" x14ac:dyDescent="0.25">
      <c r="F191" s="49" t="s">
        <v>2452</v>
      </c>
    </row>
    <row r="192" spans="6:6" x14ac:dyDescent="0.25">
      <c r="F192" s="49" t="s">
        <v>2454</v>
      </c>
    </row>
    <row r="193" spans="6:6" x14ac:dyDescent="0.25">
      <c r="F193" s="49" t="s">
        <v>2455</v>
      </c>
    </row>
    <row r="194" spans="6:6" x14ac:dyDescent="0.25">
      <c r="F194" s="49" t="s">
        <v>2457</v>
      </c>
    </row>
    <row r="195" spans="6:6" x14ac:dyDescent="0.25">
      <c r="F195" s="49" t="s">
        <v>2459</v>
      </c>
    </row>
    <row r="196" spans="6:6" x14ac:dyDescent="0.25">
      <c r="F196" s="49" t="s">
        <v>2463</v>
      </c>
    </row>
    <row r="197" spans="6:6" x14ac:dyDescent="0.25">
      <c r="F197" s="49" t="s">
        <v>2464</v>
      </c>
    </row>
    <row r="198" spans="6:6" x14ac:dyDescent="0.25">
      <c r="F198" s="49" t="s">
        <v>2465</v>
      </c>
    </row>
    <row r="199" spans="6:6" x14ac:dyDescent="0.25">
      <c r="F199" s="49" t="s">
        <v>2466</v>
      </c>
    </row>
    <row r="200" spans="6:6" x14ac:dyDescent="0.25">
      <c r="F200" s="49" t="s">
        <v>2467</v>
      </c>
    </row>
    <row r="201" spans="6:6" x14ac:dyDescent="0.25">
      <c r="F201" s="49" t="s">
        <v>2468</v>
      </c>
    </row>
    <row r="202" spans="6:6" x14ac:dyDescent="0.25">
      <c r="F202" s="49" t="s">
        <v>2469</v>
      </c>
    </row>
    <row r="203" spans="6:6" x14ac:dyDescent="0.25">
      <c r="F203" s="49" t="s">
        <v>2476</v>
      </c>
    </row>
    <row r="204" spans="6:6" x14ac:dyDescent="0.25">
      <c r="F204" s="49" t="s">
        <v>2483</v>
      </c>
    </row>
    <row r="205" spans="6:6" x14ac:dyDescent="0.25">
      <c r="F205" s="49" t="s">
        <v>2488</v>
      </c>
    </row>
    <row r="206" spans="6:6" x14ac:dyDescent="0.25">
      <c r="F206" s="49" t="s">
        <v>2494</v>
      </c>
    </row>
    <row r="207" spans="6:6" x14ac:dyDescent="0.25">
      <c r="F207" s="49" t="s">
        <v>2500</v>
      </c>
    </row>
    <row r="208" spans="6:6" x14ac:dyDescent="0.25">
      <c r="F208" s="49" t="s">
        <v>2506</v>
      </c>
    </row>
    <row r="209" spans="6:6" x14ac:dyDescent="0.25">
      <c r="F209" s="49" t="s">
        <v>2508</v>
      </c>
    </row>
    <row r="210" spans="6:6" x14ac:dyDescent="0.25">
      <c r="F210" s="49" t="s">
        <v>2514</v>
      </c>
    </row>
    <row r="211" spans="6:6" x14ac:dyDescent="0.25">
      <c r="F211" s="49" t="s">
        <v>2519</v>
      </c>
    </row>
    <row r="212" spans="6:6" x14ac:dyDescent="0.25">
      <c r="F212" s="49" t="s">
        <v>2525</v>
      </c>
    </row>
    <row r="213" spans="6:6" x14ac:dyDescent="0.25">
      <c r="F213" s="49" t="s">
        <v>2530</v>
      </c>
    </row>
    <row r="214" spans="6:6" x14ac:dyDescent="0.25">
      <c r="F214" s="49" t="s">
        <v>2535</v>
      </c>
    </row>
    <row r="215" spans="6:6" x14ac:dyDescent="0.25">
      <c r="F215" s="49" t="s">
        <v>2538</v>
      </c>
    </row>
    <row r="216" spans="6:6" x14ac:dyDescent="0.25">
      <c r="F216" s="49" t="s">
        <v>2543</v>
      </c>
    </row>
    <row r="217" spans="6:6" x14ac:dyDescent="0.25">
      <c r="F217" s="49" t="s">
        <v>2548</v>
      </c>
    </row>
    <row r="218" spans="6:6" x14ac:dyDescent="0.25">
      <c r="F218" s="49" t="s">
        <v>2552</v>
      </c>
    </row>
    <row r="219" spans="6:6" x14ac:dyDescent="0.25">
      <c r="F219" s="49" t="s">
        <v>2558</v>
      </c>
    </row>
    <row r="220" spans="6:6" x14ac:dyDescent="0.25">
      <c r="F220" s="49" t="s">
        <v>2563</v>
      </c>
    </row>
    <row r="221" spans="6:6" x14ac:dyDescent="0.25">
      <c r="F221" s="49" t="s">
        <v>2568</v>
      </c>
    </row>
    <row r="222" spans="6:6" x14ac:dyDescent="0.25">
      <c r="F222" s="49" t="s">
        <v>2574</v>
      </c>
    </row>
    <row r="223" spans="6:6" x14ac:dyDescent="0.25">
      <c r="F223" s="49" t="s">
        <v>2577</v>
      </c>
    </row>
    <row r="224" spans="6:6" x14ac:dyDescent="0.25">
      <c r="F224" s="49" t="s">
        <v>2579</v>
      </c>
    </row>
    <row r="225" spans="6:6" x14ac:dyDescent="0.25">
      <c r="F225" s="49" t="s">
        <v>2583</v>
      </c>
    </row>
    <row r="226" spans="6:6" x14ac:dyDescent="0.25">
      <c r="F226" s="49" t="s">
        <v>2586</v>
      </c>
    </row>
    <row r="227" spans="6:6" x14ac:dyDescent="0.25">
      <c r="F227" s="49" t="s">
        <v>2588</v>
      </c>
    </row>
    <row r="228" spans="6:6" x14ac:dyDescent="0.25">
      <c r="F228" s="49" t="s">
        <v>2595</v>
      </c>
    </row>
    <row r="229" spans="6:6" x14ac:dyDescent="0.25">
      <c r="F229" s="49" t="s">
        <v>2601</v>
      </c>
    </row>
    <row r="230" spans="6:6" x14ac:dyDescent="0.25">
      <c r="F230" s="49" t="s">
        <v>2606</v>
      </c>
    </row>
    <row r="231" spans="6:6" x14ac:dyDescent="0.25">
      <c r="F231" s="49" t="s">
        <v>2607</v>
      </c>
    </row>
    <row r="232" spans="6:6" x14ac:dyDescent="0.25">
      <c r="F232" s="49" t="s">
        <v>2608</v>
      </c>
    </row>
    <row r="233" spans="6:6" x14ac:dyDescent="0.25">
      <c r="F233" s="49" t="s">
        <v>2609</v>
      </c>
    </row>
    <row r="234" spans="6:6" x14ac:dyDescent="0.25">
      <c r="F234" s="49" t="s">
        <v>2614</v>
      </c>
    </row>
    <row r="235" spans="6:6" x14ac:dyDescent="0.25">
      <c r="F235" s="49" t="s">
        <v>2620</v>
      </c>
    </row>
    <row r="236" spans="6:6" x14ac:dyDescent="0.25">
      <c r="F236" s="49" t="s">
        <v>2625</v>
      </c>
    </row>
    <row r="237" spans="6:6" x14ac:dyDescent="0.25">
      <c r="F237" s="49" t="s">
        <v>2632</v>
      </c>
    </row>
    <row r="238" spans="6:6" x14ac:dyDescent="0.25">
      <c r="F238" s="49" t="s">
        <v>2637</v>
      </c>
    </row>
    <row r="239" spans="6:6" x14ac:dyDescent="0.25">
      <c r="F239" s="49" t="s">
        <v>2642</v>
      </c>
    </row>
    <row r="240" spans="6:6" x14ac:dyDescent="0.25">
      <c r="F240" s="49" t="s">
        <v>2649</v>
      </c>
    </row>
    <row r="241" spans="6:6" x14ac:dyDescent="0.25">
      <c r="F241" s="49" t="s">
        <v>2653</v>
      </c>
    </row>
    <row r="242" spans="6:6" x14ac:dyDescent="0.25">
      <c r="F242" s="49" t="s">
        <v>2655</v>
      </c>
    </row>
    <row r="243" spans="6:6" x14ac:dyDescent="0.25">
      <c r="F243" s="49" t="s">
        <v>2657</v>
      </c>
    </row>
    <row r="244" spans="6:6" x14ac:dyDescent="0.25">
      <c r="F244" s="49" t="s">
        <v>2658</v>
      </c>
    </row>
    <row r="245" spans="6:6" x14ac:dyDescent="0.25">
      <c r="F245" s="49" t="s">
        <v>2661</v>
      </c>
    </row>
    <row r="246" spans="6:6" x14ac:dyDescent="0.25">
      <c r="F246" s="49" t="s">
        <v>2665</v>
      </c>
    </row>
    <row r="247" spans="6:6" x14ac:dyDescent="0.25">
      <c r="F247" s="49" t="s">
        <v>2667</v>
      </c>
    </row>
    <row r="248" spans="6:6" x14ac:dyDescent="0.25">
      <c r="F248" s="49" t="s">
        <v>2669</v>
      </c>
    </row>
    <row r="249" spans="6:6" x14ac:dyDescent="0.25">
      <c r="F249" s="49" t="s">
        <v>2673</v>
      </c>
    </row>
    <row r="250" spans="6:6" x14ac:dyDescent="0.25">
      <c r="F250" s="49" t="s">
        <v>2675</v>
      </c>
    </row>
    <row r="251" spans="6:6" x14ac:dyDescent="0.25">
      <c r="F251" s="49" t="s">
        <v>2680</v>
      </c>
    </row>
    <row r="252" spans="6:6" x14ac:dyDescent="0.25">
      <c r="F252" s="49" t="s">
        <v>2685</v>
      </c>
    </row>
    <row r="253" spans="6:6" x14ac:dyDescent="0.25">
      <c r="F253" s="49" t="s">
        <v>2691</v>
      </c>
    </row>
    <row r="254" spans="6:6" x14ac:dyDescent="0.25">
      <c r="F254" s="49" t="s">
        <v>2694</v>
      </c>
    </row>
    <row r="255" spans="6:6" x14ac:dyDescent="0.25">
      <c r="F255" s="49" t="s">
        <v>2699</v>
      </c>
    </row>
    <row r="256" spans="6:6" x14ac:dyDescent="0.25">
      <c r="F256" s="49" t="s">
        <v>2704</v>
      </c>
    </row>
    <row r="257" spans="6:6" x14ac:dyDescent="0.25">
      <c r="F257" s="49" t="s">
        <v>2709</v>
      </c>
    </row>
    <row r="258" spans="6:6" x14ac:dyDescent="0.25">
      <c r="F258" s="49" t="s">
        <v>2715</v>
      </c>
    </row>
    <row r="259" spans="6:6" x14ac:dyDescent="0.25">
      <c r="F259" s="49" t="s">
        <v>2719</v>
      </c>
    </row>
    <row r="260" spans="6:6" x14ac:dyDescent="0.25">
      <c r="F260" s="49" t="s">
        <v>2723</v>
      </c>
    </row>
    <row r="261" spans="6:6" x14ac:dyDescent="0.25">
      <c r="F261" s="49" t="s">
        <v>2728</v>
      </c>
    </row>
    <row r="262" spans="6:6" x14ac:dyDescent="0.25">
      <c r="F262" s="49" t="s">
        <v>2732</v>
      </c>
    </row>
    <row r="263" spans="6:6" x14ac:dyDescent="0.25">
      <c r="F263" s="49" t="s">
        <v>2734</v>
      </c>
    </row>
    <row r="264" spans="6:6" x14ac:dyDescent="0.25">
      <c r="F264" s="49" t="s">
        <v>2737</v>
      </c>
    </row>
    <row r="265" spans="6:6" x14ac:dyDescent="0.25">
      <c r="F265" s="49" t="s">
        <v>2744</v>
      </c>
    </row>
    <row r="266" spans="6:6" x14ac:dyDescent="0.25">
      <c r="F266" s="49" t="s">
        <v>2748</v>
      </c>
    </row>
    <row r="267" spans="6:6" x14ac:dyDescent="0.25">
      <c r="F267" s="49" t="s">
        <v>2754</v>
      </c>
    </row>
    <row r="268" spans="6:6" x14ac:dyDescent="0.25">
      <c r="F268" s="49" t="s">
        <v>2758</v>
      </c>
    </row>
    <row r="269" spans="6:6" x14ac:dyDescent="0.25">
      <c r="F269" s="49" t="s">
        <v>2763</v>
      </c>
    </row>
    <row r="270" spans="6:6" x14ac:dyDescent="0.25">
      <c r="F270" s="49" t="s">
        <v>2768</v>
      </c>
    </row>
    <row r="271" spans="6:6" x14ac:dyDescent="0.25">
      <c r="F271" s="49" t="s">
        <v>2773</v>
      </c>
    </row>
    <row r="272" spans="6:6" x14ac:dyDescent="0.25">
      <c r="F272" s="49" t="s">
        <v>2777</v>
      </c>
    </row>
    <row r="273" spans="6:6" x14ac:dyDescent="0.25">
      <c r="F273" s="49" t="s">
        <v>2780</v>
      </c>
    </row>
    <row r="274" spans="6:6" x14ac:dyDescent="0.25">
      <c r="F274" s="49" t="s">
        <v>2786</v>
      </c>
    </row>
    <row r="275" spans="6:6" x14ac:dyDescent="0.25">
      <c r="F275" s="49" t="s">
        <v>2792</v>
      </c>
    </row>
    <row r="276" spans="6:6" x14ac:dyDescent="0.25">
      <c r="F276" s="49" t="s">
        <v>2798</v>
      </c>
    </row>
    <row r="277" spans="6:6" x14ac:dyDescent="0.25">
      <c r="F277" s="49" t="s">
        <v>2803</v>
      </c>
    </row>
    <row r="278" spans="6:6" x14ac:dyDescent="0.25">
      <c r="F278" s="49" t="s">
        <v>2809</v>
      </c>
    </row>
    <row r="279" spans="6:6" x14ac:dyDescent="0.25">
      <c r="F279" s="49" t="s">
        <v>2814</v>
      </c>
    </row>
    <row r="280" spans="6:6" x14ac:dyDescent="0.25">
      <c r="F280" s="49" t="s">
        <v>2818</v>
      </c>
    </row>
    <row r="281" spans="6:6" x14ac:dyDescent="0.25">
      <c r="F281" s="49" t="s">
        <v>2822</v>
      </c>
    </row>
    <row r="282" spans="6:6" x14ac:dyDescent="0.25">
      <c r="F282" s="49" t="s">
        <v>2828</v>
      </c>
    </row>
    <row r="283" spans="6:6" x14ac:dyDescent="0.25">
      <c r="F283" s="49" t="s">
        <v>2835</v>
      </c>
    </row>
    <row r="284" spans="6:6" x14ac:dyDescent="0.25">
      <c r="F284" s="49" t="s">
        <v>2839</v>
      </c>
    </row>
    <row r="285" spans="6:6" x14ac:dyDescent="0.25">
      <c r="F285" s="49" t="s">
        <v>2842</v>
      </c>
    </row>
    <row r="286" spans="6:6" x14ac:dyDescent="0.25">
      <c r="F286" s="49" t="s">
        <v>2848</v>
      </c>
    </row>
    <row r="287" spans="6:6" x14ac:dyDescent="0.25">
      <c r="F287" s="49" t="s">
        <v>2851</v>
      </c>
    </row>
    <row r="288" spans="6:6" x14ac:dyDescent="0.25">
      <c r="F288" s="49" t="s">
        <v>2853</v>
      </c>
    </row>
    <row r="289" spans="6:6" x14ac:dyDescent="0.25">
      <c r="F289" s="49" t="s">
        <v>2860</v>
      </c>
    </row>
    <row r="290" spans="6:6" x14ac:dyDescent="0.25">
      <c r="F290" s="49" t="s">
        <v>2866</v>
      </c>
    </row>
    <row r="291" spans="6:6" x14ac:dyDescent="0.25">
      <c r="F291" s="49" t="s">
        <v>2872</v>
      </c>
    </row>
    <row r="292" spans="6:6" x14ac:dyDescent="0.25">
      <c r="F292" s="49" t="s">
        <v>2878</v>
      </c>
    </row>
    <row r="293" spans="6:6" x14ac:dyDescent="0.25">
      <c r="F293" s="49" t="s">
        <v>2881</v>
      </c>
    </row>
    <row r="294" spans="6:6" x14ac:dyDescent="0.25">
      <c r="F294" s="49" t="s">
        <v>2884</v>
      </c>
    </row>
    <row r="295" spans="6:6" x14ac:dyDescent="0.25">
      <c r="F295" s="49" t="s">
        <v>2890</v>
      </c>
    </row>
    <row r="296" spans="6:6" x14ac:dyDescent="0.25">
      <c r="F296" s="49" t="s">
        <v>2892</v>
      </c>
    </row>
    <row r="297" spans="6:6" x14ac:dyDescent="0.25">
      <c r="F297" s="49" t="s">
        <v>2898</v>
      </c>
    </row>
    <row r="298" spans="6:6" x14ac:dyDescent="0.25">
      <c r="F298" s="49" t="s">
        <v>2903</v>
      </c>
    </row>
    <row r="299" spans="6:6" x14ac:dyDescent="0.25">
      <c r="F299" s="49" t="s">
        <v>2907</v>
      </c>
    </row>
    <row r="300" spans="6:6" x14ac:dyDescent="0.25">
      <c r="F300" s="49" t="s">
        <v>2910</v>
      </c>
    </row>
    <row r="301" spans="6:6" x14ac:dyDescent="0.25">
      <c r="F301" s="49" t="s">
        <v>2914</v>
      </c>
    </row>
    <row r="302" spans="6:6" x14ac:dyDescent="0.25">
      <c r="F302" s="49" t="s">
        <v>2922</v>
      </c>
    </row>
    <row r="303" spans="6:6" x14ac:dyDescent="0.25">
      <c r="F303" s="49" t="s">
        <v>2929</v>
      </c>
    </row>
    <row r="304" spans="6:6" x14ac:dyDescent="0.25">
      <c r="F304" s="49" t="s">
        <v>2932</v>
      </c>
    </row>
    <row r="305" spans="6:6" x14ac:dyDescent="0.25">
      <c r="F305" s="49" t="s">
        <v>2939</v>
      </c>
    </row>
    <row r="306" spans="6:6" x14ac:dyDescent="0.25">
      <c r="F306" s="49" t="s">
        <v>2945</v>
      </c>
    </row>
    <row r="307" spans="6:6" x14ac:dyDescent="0.25">
      <c r="F307" s="49" t="s">
        <v>2948</v>
      </c>
    </row>
    <row r="308" spans="6:6" x14ac:dyDescent="0.25">
      <c r="F308" s="49" t="s">
        <v>2951</v>
      </c>
    </row>
    <row r="309" spans="6:6" x14ac:dyDescent="0.25">
      <c r="F309" s="49" t="s">
        <v>2955</v>
      </c>
    </row>
    <row r="310" spans="6:6" x14ac:dyDescent="0.25">
      <c r="F310" s="49" t="s">
        <v>2963</v>
      </c>
    </row>
    <row r="311" spans="6:6" x14ac:dyDescent="0.25">
      <c r="F311" s="49" t="s">
        <v>2966</v>
      </c>
    </row>
    <row r="312" spans="6:6" x14ac:dyDescent="0.25">
      <c r="F312" s="49" t="s">
        <v>2970</v>
      </c>
    </row>
    <row r="313" spans="6:6" x14ac:dyDescent="0.25">
      <c r="F313" s="49" t="s">
        <v>2975</v>
      </c>
    </row>
    <row r="314" spans="6:6" x14ac:dyDescent="0.25">
      <c r="F314" s="49" t="s">
        <v>2980</v>
      </c>
    </row>
    <row r="315" spans="6:6" x14ac:dyDescent="0.25">
      <c r="F315" s="49" t="s">
        <v>2985</v>
      </c>
    </row>
    <row r="316" spans="6:6" x14ac:dyDescent="0.25">
      <c r="F316" s="49" t="s">
        <v>2991</v>
      </c>
    </row>
    <row r="317" spans="6:6" x14ac:dyDescent="0.25">
      <c r="F317" s="49" t="s">
        <v>2996</v>
      </c>
    </row>
    <row r="318" spans="6:6" x14ac:dyDescent="0.25">
      <c r="F318" s="49" t="s">
        <v>3003</v>
      </c>
    </row>
    <row r="319" spans="6:6" x14ac:dyDescent="0.25">
      <c r="F319" s="49" t="s">
        <v>3008</v>
      </c>
    </row>
    <row r="320" spans="6:6" x14ac:dyDescent="0.25">
      <c r="F320" s="49" t="s">
        <v>3014</v>
      </c>
    </row>
    <row r="321" spans="6:6" x14ac:dyDescent="0.25">
      <c r="F321" s="49" t="s">
        <v>3019</v>
      </c>
    </row>
    <row r="322" spans="6:6" x14ac:dyDescent="0.25">
      <c r="F322" s="49" t="s">
        <v>3024</v>
      </c>
    </row>
    <row r="323" spans="6:6" x14ac:dyDescent="0.25">
      <c r="F323" s="49" t="s">
        <v>3029</v>
      </c>
    </row>
    <row r="324" spans="6:6" x14ac:dyDescent="0.25">
      <c r="F324" s="49" t="s">
        <v>3035</v>
      </c>
    </row>
    <row r="325" spans="6:6" x14ac:dyDescent="0.25">
      <c r="F325" s="49" t="s">
        <v>3040</v>
      </c>
    </row>
    <row r="326" spans="6:6" x14ac:dyDescent="0.25">
      <c r="F326" s="49" t="s">
        <v>3044</v>
      </c>
    </row>
    <row r="327" spans="6:6" x14ac:dyDescent="0.25">
      <c r="F327" s="49" t="s">
        <v>3048</v>
      </c>
    </row>
    <row r="328" spans="6:6" x14ac:dyDescent="0.25">
      <c r="F328" s="49" t="s">
        <v>3054</v>
      </c>
    </row>
    <row r="329" spans="6:6" x14ac:dyDescent="0.25">
      <c r="F329" s="49" t="s">
        <v>3059</v>
      </c>
    </row>
    <row r="330" spans="6:6" x14ac:dyDescent="0.25">
      <c r="F330" s="49" t="s">
        <v>3066</v>
      </c>
    </row>
    <row r="331" spans="6:6" x14ac:dyDescent="0.25">
      <c r="F331" s="49" t="s">
        <v>3072</v>
      </c>
    </row>
    <row r="332" spans="6:6" x14ac:dyDescent="0.25">
      <c r="F332" s="49" t="s">
        <v>3078</v>
      </c>
    </row>
    <row r="333" spans="6:6" x14ac:dyDescent="0.25">
      <c r="F333" s="49" t="s">
        <v>3082</v>
      </c>
    </row>
    <row r="334" spans="6:6" x14ac:dyDescent="0.25">
      <c r="F334" s="49" t="s">
        <v>3085</v>
      </c>
    </row>
    <row r="335" spans="6:6" x14ac:dyDescent="0.25">
      <c r="F335" s="49" t="s">
        <v>3087</v>
      </c>
    </row>
    <row r="336" spans="6:6" x14ac:dyDescent="0.25">
      <c r="F336" s="49" t="s">
        <v>3088</v>
      </c>
    </row>
    <row r="337" spans="6:6" x14ac:dyDescent="0.25">
      <c r="F337" s="49" t="s">
        <v>3093</v>
      </c>
    </row>
    <row r="338" spans="6:6" x14ac:dyDescent="0.25">
      <c r="F338" s="49" t="s">
        <v>3098</v>
      </c>
    </row>
    <row r="339" spans="6:6" x14ac:dyDescent="0.25">
      <c r="F339" s="49" t="s">
        <v>3102</v>
      </c>
    </row>
    <row r="340" spans="6:6" x14ac:dyDescent="0.25">
      <c r="F340" s="49" t="s">
        <v>3108</v>
      </c>
    </row>
    <row r="341" spans="6:6" x14ac:dyDescent="0.25">
      <c r="F341" s="49" t="s">
        <v>3115</v>
      </c>
    </row>
    <row r="342" spans="6:6" x14ac:dyDescent="0.25">
      <c r="F342" s="49" t="s">
        <v>3118</v>
      </c>
    </row>
    <row r="343" spans="6:6" x14ac:dyDescent="0.25">
      <c r="F343" s="49" t="s">
        <v>3121</v>
      </c>
    </row>
    <row r="344" spans="6:6" x14ac:dyDescent="0.25">
      <c r="F344" s="49" t="s">
        <v>3125</v>
      </c>
    </row>
    <row r="345" spans="6:6" x14ac:dyDescent="0.25">
      <c r="F345" s="49" t="s">
        <v>3131</v>
      </c>
    </row>
    <row r="346" spans="6:6" x14ac:dyDescent="0.25">
      <c r="F346" s="49" t="s">
        <v>3134</v>
      </c>
    </row>
    <row r="347" spans="6:6" x14ac:dyDescent="0.25">
      <c r="F347" s="49" t="s">
        <v>3137</v>
      </c>
    </row>
    <row r="348" spans="6:6" x14ac:dyDescent="0.25">
      <c r="F348" s="49" t="s">
        <v>3138</v>
      </c>
    </row>
    <row r="349" spans="6:6" x14ac:dyDescent="0.25">
      <c r="F349" s="49" t="s">
        <v>3144</v>
      </c>
    </row>
    <row r="350" spans="6:6" x14ac:dyDescent="0.25">
      <c r="F350" s="49" t="s">
        <v>3152</v>
      </c>
    </row>
    <row r="351" spans="6:6" x14ac:dyDescent="0.25">
      <c r="F351" s="49" t="s">
        <v>3158</v>
      </c>
    </row>
    <row r="352" spans="6:6" x14ac:dyDescent="0.25">
      <c r="F352" s="49" t="s">
        <v>3161</v>
      </c>
    </row>
    <row r="353" spans="6:6" x14ac:dyDescent="0.25">
      <c r="F353" s="49" t="s">
        <v>3167</v>
      </c>
    </row>
    <row r="354" spans="6:6" x14ac:dyDescent="0.25">
      <c r="F354" s="49" t="s">
        <v>3170</v>
      </c>
    </row>
    <row r="355" spans="6:6" x14ac:dyDescent="0.25">
      <c r="F355" s="49" t="s">
        <v>3177</v>
      </c>
    </row>
    <row r="356" spans="6:6" x14ac:dyDescent="0.25">
      <c r="F356" s="49" t="s">
        <v>3182</v>
      </c>
    </row>
    <row r="357" spans="6:6" x14ac:dyDescent="0.25">
      <c r="F357" s="49" t="s">
        <v>3187</v>
      </c>
    </row>
    <row r="358" spans="6:6" x14ac:dyDescent="0.25">
      <c r="F358" s="49" t="s">
        <v>3192</v>
      </c>
    </row>
    <row r="359" spans="6:6" x14ac:dyDescent="0.25">
      <c r="F359" s="49" t="s">
        <v>3197</v>
      </c>
    </row>
    <row r="360" spans="6:6" x14ac:dyDescent="0.25">
      <c r="F360" s="49" t="s">
        <v>3202</v>
      </c>
    </row>
    <row r="361" spans="6:6" x14ac:dyDescent="0.25">
      <c r="F361" s="49" t="s">
        <v>3203</v>
      </c>
    </row>
    <row r="362" spans="6:6" x14ac:dyDescent="0.25">
      <c r="F362" s="49" t="s">
        <v>3204</v>
      </c>
    </row>
    <row r="363" spans="6:6" x14ac:dyDescent="0.25">
      <c r="F363" s="49" t="s">
        <v>3208</v>
      </c>
    </row>
    <row r="364" spans="6:6" x14ac:dyDescent="0.25">
      <c r="F364" s="49" t="s">
        <v>3214</v>
      </c>
    </row>
    <row r="365" spans="6:6" x14ac:dyDescent="0.25">
      <c r="F365" s="49" t="s">
        <v>3216</v>
      </c>
    </row>
    <row r="366" spans="6:6" x14ac:dyDescent="0.25">
      <c r="F366" s="49" t="s">
        <v>3218</v>
      </c>
    </row>
    <row r="367" spans="6:6" x14ac:dyDescent="0.25">
      <c r="F367" s="49" t="s">
        <v>3222</v>
      </c>
    </row>
    <row r="368" spans="6:6" x14ac:dyDescent="0.25">
      <c r="F368" s="49" t="s">
        <v>3223</v>
      </c>
    </row>
    <row r="369" spans="6:6" x14ac:dyDescent="0.25">
      <c r="F369" s="49" t="s">
        <v>3225</v>
      </c>
    </row>
    <row r="370" spans="6:6" x14ac:dyDescent="0.25">
      <c r="F370" s="49" t="s">
        <v>3229</v>
      </c>
    </row>
    <row r="371" spans="6:6" x14ac:dyDescent="0.25">
      <c r="F371" s="49" t="s">
        <v>3233</v>
      </c>
    </row>
    <row r="372" spans="6:6" x14ac:dyDescent="0.25">
      <c r="F372" s="49" t="s">
        <v>3237</v>
      </c>
    </row>
    <row r="373" spans="6:6" x14ac:dyDescent="0.25">
      <c r="F373" s="49" t="s">
        <v>3241</v>
      </c>
    </row>
    <row r="374" spans="6:6" x14ac:dyDescent="0.25">
      <c r="F374" s="49" t="s">
        <v>3244</v>
      </c>
    </row>
    <row r="375" spans="6:6" x14ac:dyDescent="0.25">
      <c r="F375" s="49" t="s">
        <v>3247</v>
      </c>
    </row>
    <row r="376" spans="6:6" x14ac:dyDescent="0.25">
      <c r="F376" s="49" t="s">
        <v>3250</v>
      </c>
    </row>
    <row r="377" spans="6:6" x14ac:dyDescent="0.25">
      <c r="F377" s="49" t="s">
        <v>3253</v>
      </c>
    </row>
    <row r="378" spans="6:6" x14ac:dyDescent="0.25">
      <c r="F378" s="49" t="s">
        <v>3256</v>
      </c>
    </row>
    <row r="379" spans="6:6" x14ac:dyDescent="0.25">
      <c r="F379" s="49" t="s">
        <v>3260</v>
      </c>
    </row>
    <row r="380" spans="6:6" x14ac:dyDescent="0.25">
      <c r="F380" s="49" t="s">
        <v>3263</v>
      </c>
    </row>
    <row r="381" spans="6:6" x14ac:dyDescent="0.25">
      <c r="F381" s="49" t="s">
        <v>3266</v>
      </c>
    </row>
    <row r="382" spans="6:6" x14ac:dyDescent="0.25">
      <c r="F382" s="49" t="s">
        <v>3268</v>
      </c>
    </row>
    <row r="383" spans="6:6" x14ac:dyDescent="0.25">
      <c r="F383" s="49" t="s">
        <v>3273</v>
      </c>
    </row>
    <row r="384" spans="6:6" x14ac:dyDescent="0.25">
      <c r="F384" s="49" t="s">
        <v>3277</v>
      </c>
    </row>
    <row r="385" spans="6:6" x14ac:dyDescent="0.25">
      <c r="F385" s="49" t="s">
        <v>3280</v>
      </c>
    </row>
    <row r="386" spans="6:6" x14ac:dyDescent="0.25">
      <c r="F386" s="49" t="s">
        <v>3283</v>
      </c>
    </row>
    <row r="387" spans="6:6" x14ac:dyDescent="0.25">
      <c r="F387" s="49" t="s">
        <v>3286</v>
      </c>
    </row>
    <row r="388" spans="6:6" x14ac:dyDescent="0.25">
      <c r="F388" s="49" t="s">
        <v>3289</v>
      </c>
    </row>
    <row r="389" spans="6:6" x14ac:dyDescent="0.25">
      <c r="F389" s="49" t="s">
        <v>3294</v>
      </c>
    </row>
    <row r="390" spans="6:6" x14ac:dyDescent="0.25">
      <c r="F390" s="49" t="s">
        <v>3296</v>
      </c>
    </row>
    <row r="391" spans="6:6" x14ac:dyDescent="0.25">
      <c r="F391" s="49" t="s">
        <v>3300</v>
      </c>
    </row>
    <row r="392" spans="6:6" x14ac:dyDescent="0.25">
      <c r="F392" s="49" t="s">
        <v>3305</v>
      </c>
    </row>
    <row r="393" spans="6:6" x14ac:dyDescent="0.25">
      <c r="F393" s="49" t="s">
        <v>3308</v>
      </c>
    </row>
    <row r="394" spans="6:6" x14ac:dyDescent="0.25">
      <c r="F394" s="49" t="s">
        <v>3311</v>
      </c>
    </row>
    <row r="395" spans="6:6" x14ac:dyDescent="0.25">
      <c r="F395" s="49" t="s">
        <v>3316</v>
      </c>
    </row>
    <row r="396" spans="6:6" x14ac:dyDescent="0.25">
      <c r="F396" s="49" t="s">
        <v>3317</v>
      </c>
    </row>
    <row r="397" spans="6:6" x14ac:dyDescent="0.25">
      <c r="F397" s="49" t="s">
        <v>3320</v>
      </c>
    </row>
    <row r="398" spans="6:6" x14ac:dyDescent="0.25">
      <c r="F398" s="49" t="s">
        <v>3325</v>
      </c>
    </row>
    <row r="399" spans="6:6" x14ac:dyDescent="0.25">
      <c r="F399" s="49" t="s">
        <v>3332</v>
      </c>
    </row>
    <row r="400" spans="6:6" x14ac:dyDescent="0.25">
      <c r="F400" s="49" t="s">
        <v>3337</v>
      </c>
    </row>
    <row r="401" spans="6:6" x14ac:dyDescent="0.25">
      <c r="F401" s="49" t="s">
        <v>3343</v>
      </c>
    </row>
    <row r="402" spans="6:6" x14ac:dyDescent="0.25">
      <c r="F402" s="49" t="s">
        <v>3349</v>
      </c>
    </row>
    <row r="403" spans="6:6" x14ac:dyDescent="0.25">
      <c r="F403" s="49" t="s">
        <v>3353</v>
      </c>
    </row>
    <row r="404" spans="6:6" x14ac:dyDescent="0.25">
      <c r="F404" s="49" t="s">
        <v>3356</v>
      </c>
    </row>
    <row r="405" spans="6:6" x14ac:dyDescent="0.25">
      <c r="F405" s="49" t="s">
        <v>3358</v>
      </c>
    </row>
    <row r="406" spans="6:6" x14ac:dyDescent="0.25">
      <c r="F406" s="49" t="s">
        <v>3361</v>
      </c>
    </row>
    <row r="407" spans="6:6" x14ac:dyDescent="0.25">
      <c r="F407" s="49" t="s">
        <v>3366</v>
      </c>
    </row>
    <row r="408" spans="6:6" x14ac:dyDescent="0.25">
      <c r="F408" s="49" t="s">
        <v>3372</v>
      </c>
    </row>
    <row r="409" spans="6:6" x14ac:dyDescent="0.25">
      <c r="F409" s="49" t="s">
        <v>3376</v>
      </c>
    </row>
    <row r="410" spans="6:6" x14ac:dyDescent="0.25">
      <c r="F410" s="49" t="s">
        <v>3380</v>
      </c>
    </row>
    <row r="411" spans="6:6" x14ac:dyDescent="0.25">
      <c r="F411" s="49" t="s">
        <v>3385</v>
      </c>
    </row>
    <row r="412" spans="6:6" x14ac:dyDescent="0.25">
      <c r="F412" s="49" t="s">
        <v>3390</v>
      </c>
    </row>
    <row r="413" spans="6:6" x14ac:dyDescent="0.25">
      <c r="F413" s="49" t="s">
        <v>3394</v>
      </c>
    </row>
    <row r="414" spans="6:6" x14ac:dyDescent="0.25">
      <c r="F414" s="49" t="s">
        <v>3397</v>
      </c>
    </row>
    <row r="415" spans="6:6" x14ac:dyDescent="0.25">
      <c r="F415" s="49" t="s">
        <v>3401</v>
      </c>
    </row>
    <row r="416" spans="6:6" x14ac:dyDescent="0.25">
      <c r="F416" s="49" t="s">
        <v>3406</v>
      </c>
    </row>
    <row r="417" spans="6:6" x14ac:dyDescent="0.25">
      <c r="F417" s="49" t="s">
        <v>3408</v>
      </c>
    </row>
    <row r="418" spans="6:6" x14ac:dyDescent="0.25">
      <c r="F418" s="49" t="s">
        <v>3410</v>
      </c>
    </row>
    <row r="419" spans="6:6" x14ac:dyDescent="0.25">
      <c r="F419" s="49" t="s">
        <v>3412</v>
      </c>
    </row>
    <row r="420" spans="6:6" x14ac:dyDescent="0.25">
      <c r="F420" s="49" t="s">
        <v>3417</v>
      </c>
    </row>
    <row r="421" spans="6:6" x14ac:dyDescent="0.25">
      <c r="F421" s="49" t="s">
        <v>3420</v>
      </c>
    </row>
    <row r="422" spans="6:6" x14ac:dyDescent="0.25">
      <c r="F422" s="49" t="s">
        <v>3424</v>
      </c>
    </row>
    <row r="423" spans="6:6" x14ac:dyDescent="0.25">
      <c r="F423" s="49" t="s">
        <v>3427</v>
      </c>
    </row>
    <row r="424" spans="6:6" x14ac:dyDescent="0.25">
      <c r="F424" s="49" t="s">
        <v>3431</v>
      </c>
    </row>
    <row r="425" spans="6:6" x14ac:dyDescent="0.25">
      <c r="F425" s="49" t="s">
        <v>3437</v>
      </c>
    </row>
    <row r="426" spans="6:6" x14ac:dyDescent="0.25">
      <c r="F426" s="49" t="s">
        <v>3440</v>
      </c>
    </row>
    <row r="427" spans="6:6" x14ac:dyDescent="0.25">
      <c r="F427" s="49" t="s">
        <v>3442</v>
      </c>
    </row>
    <row r="428" spans="6:6" x14ac:dyDescent="0.25">
      <c r="F428" s="49" t="s">
        <v>3447</v>
      </c>
    </row>
    <row r="429" spans="6:6" x14ac:dyDescent="0.25">
      <c r="F429" s="49" t="s">
        <v>3451</v>
      </c>
    </row>
    <row r="430" spans="6:6" x14ac:dyDescent="0.25">
      <c r="F430" s="49" t="s">
        <v>3456</v>
      </c>
    </row>
    <row r="431" spans="6:6" x14ac:dyDescent="0.25">
      <c r="F431" s="49" t="s">
        <v>3462</v>
      </c>
    </row>
    <row r="432" spans="6:6" x14ac:dyDescent="0.25">
      <c r="F432" s="49" t="s">
        <v>3465</v>
      </c>
    </row>
    <row r="433" spans="6:6" x14ac:dyDescent="0.25">
      <c r="F433" s="49" t="s">
        <v>3472</v>
      </c>
    </row>
    <row r="434" spans="6:6" x14ac:dyDescent="0.25">
      <c r="F434" s="49" t="s">
        <v>3477</v>
      </c>
    </row>
    <row r="435" spans="6:6" x14ac:dyDescent="0.25">
      <c r="F435" s="49" t="s">
        <v>3482</v>
      </c>
    </row>
    <row r="436" spans="6:6" x14ac:dyDescent="0.25">
      <c r="F436" s="49" t="s">
        <v>3488</v>
      </c>
    </row>
    <row r="437" spans="6:6" x14ac:dyDescent="0.25">
      <c r="F437" s="49" t="s">
        <v>3493</v>
      </c>
    </row>
    <row r="438" spans="6:6" x14ac:dyDescent="0.25">
      <c r="F438" s="49" t="s">
        <v>3499</v>
      </c>
    </row>
    <row r="439" spans="6:6" x14ac:dyDescent="0.25">
      <c r="F439" s="49" t="s">
        <v>3504</v>
      </c>
    </row>
    <row r="440" spans="6:6" x14ac:dyDescent="0.25">
      <c r="F440" s="49" t="s">
        <v>3509</v>
      </c>
    </row>
    <row r="441" spans="6:6" x14ac:dyDescent="0.25">
      <c r="F441" s="49" t="s">
        <v>3512</v>
      </c>
    </row>
    <row r="442" spans="6:6" x14ac:dyDescent="0.25">
      <c r="F442" s="49" t="s">
        <v>3517</v>
      </c>
    </row>
    <row r="443" spans="6:6" x14ac:dyDescent="0.25">
      <c r="F443" s="49" t="s">
        <v>3522</v>
      </c>
    </row>
    <row r="444" spans="6:6" x14ac:dyDescent="0.25">
      <c r="F444" s="49" t="s">
        <v>3525</v>
      </c>
    </row>
    <row r="445" spans="6:6" x14ac:dyDescent="0.25">
      <c r="F445" s="49" t="s">
        <v>3528</v>
      </c>
    </row>
    <row r="446" spans="6:6" x14ac:dyDescent="0.25">
      <c r="F446" s="49" t="s">
        <v>3532</v>
      </c>
    </row>
    <row r="447" spans="6:6" x14ac:dyDescent="0.25">
      <c r="F447" s="49" t="s">
        <v>3535</v>
      </c>
    </row>
    <row r="448" spans="6:6" x14ac:dyDescent="0.25">
      <c r="F448" s="49" t="s">
        <v>3541</v>
      </c>
    </row>
    <row r="449" spans="6:6" x14ac:dyDescent="0.25">
      <c r="F449" s="49" t="s">
        <v>3543</v>
      </c>
    </row>
    <row r="450" spans="6:6" x14ac:dyDescent="0.25">
      <c r="F450" s="49" t="s">
        <v>3550</v>
      </c>
    </row>
    <row r="451" spans="6:6" x14ac:dyDescent="0.25">
      <c r="F451" s="49" t="s">
        <v>3553</v>
      </c>
    </row>
    <row r="452" spans="6:6" x14ac:dyDescent="0.25">
      <c r="F452" s="49" t="s">
        <v>3556</v>
      </c>
    </row>
    <row r="453" spans="6:6" x14ac:dyDescent="0.25">
      <c r="F453" s="49" t="s">
        <v>3558</v>
      </c>
    </row>
    <row r="454" spans="6:6" x14ac:dyDescent="0.25">
      <c r="F454" s="49" t="s">
        <v>3559</v>
      </c>
    </row>
    <row r="455" spans="6:6" x14ac:dyDescent="0.25">
      <c r="F455" s="49" t="s">
        <v>3563</v>
      </c>
    </row>
    <row r="456" spans="6:6" x14ac:dyDescent="0.25">
      <c r="F456" s="49" t="s">
        <v>3568</v>
      </c>
    </row>
    <row r="457" spans="6:6" x14ac:dyDescent="0.25">
      <c r="F457" s="49" t="s">
        <v>3572</v>
      </c>
    </row>
    <row r="458" spans="6:6" x14ac:dyDescent="0.25">
      <c r="F458" s="49" t="s">
        <v>3577</v>
      </c>
    </row>
    <row r="459" spans="6:6" x14ac:dyDescent="0.25">
      <c r="F459" s="49" t="s">
        <v>3581</v>
      </c>
    </row>
    <row r="460" spans="6:6" x14ac:dyDescent="0.25">
      <c r="F460" s="49" t="s">
        <v>3586</v>
      </c>
    </row>
    <row r="461" spans="6:6" x14ac:dyDescent="0.25">
      <c r="F461" s="49" t="s">
        <v>3591</v>
      </c>
    </row>
    <row r="462" spans="6:6" x14ac:dyDescent="0.25">
      <c r="F462" s="49" t="s">
        <v>3595</v>
      </c>
    </row>
    <row r="463" spans="6:6" x14ac:dyDescent="0.25">
      <c r="F463" s="49" t="s">
        <v>3597</v>
      </c>
    </row>
    <row r="464" spans="6:6" x14ac:dyDescent="0.25">
      <c r="F464" s="49" t="s">
        <v>3598</v>
      </c>
    </row>
    <row r="465" spans="6:6" x14ac:dyDescent="0.25">
      <c r="F465" s="49" t="s">
        <v>3601</v>
      </c>
    </row>
    <row r="466" spans="6:6" x14ac:dyDescent="0.25">
      <c r="F466" s="49" t="s">
        <v>3605</v>
      </c>
    </row>
    <row r="467" spans="6:6" x14ac:dyDescent="0.25">
      <c r="F467" s="49" t="s">
        <v>3607</v>
      </c>
    </row>
    <row r="468" spans="6:6" x14ac:dyDescent="0.25">
      <c r="F468" s="49" t="s">
        <v>3609</v>
      </c>
    </row>
    <row r="469" spans="6:6" x14ac:dyDescent="0.25">
      <c r="F469" s="49" t="s">
        <v>3611</v>
      </c>
    </row>
    <row r="470" spans="6:6" x14ac:dyDescent="0.25">
      <c r="F470" s="49" t="s">
        <v>3612</v>
      </c>
    </row>
    <row r="471" spans="6:6" x14ac:dyDescent="0.25">
      <c r="F471" s="49" t="s">
        <v>3616</v>
      </c>
    </row>
    <row r="472" spans="6:6" x14ac:dyDescent="0.25">
      <c r="F472" s="49" t="s">
        <v>3617</v>
      </c>
    </row>
    <row r="473" spans="6:6" x14ac:dyDescent="0.25">
      <c r="F473" s="49" t="s">
        <v>3619</v>
      </c>
    </row>
    <row r="474" spans="6:6" x14ac:dyDescent="0.25">
      <c r="F474" s="49" t="s">
        <v>3622</v>
      </c>
    </row>
    <row r="475" spans="6:6" x14ac:dyDescent="0.25">
      <c r="F475" s="49" t="s">
        <v>3624</v>
      </c>
    </row>
    <row r="476" spans="6:6" x14ac:dyDescent="0.25">
      <c r="F476" s="49" t="s">
        <v>3627</v>
      </c>
    </row>
    <row r="477" spans="6:6" x14ac:dyDescent="0.25">
      <c r="F477" s="49" t="s">
        <v>3629</v>
      </c>
    </row>
    <row r="478" spans="6:6" x14ac:dyDescent="0.25">
      <c r="F478" s="49" t="s">
        <v>3630</v>
      </c>
    </row>
    <row r="479" spans="6:6" x14ac:dyDescent="0.25">
      <c r="F479" s="49" t="s">
        <v>3632</v>
      </c>
    </row>
    <row r="480" spans="6:6" x14ac:dyDescent="0.25">
      <c r="F480" s="49" t="s">
        <v>3634</v>
      </c>
    </row>
    <row r="481" spans="6:6" x14ac:dyDescent="0.25">
      <c r="F481" s="49" t="s">
        <v>3636</v>
      </c>
    </row>
    <row r="482" spans="6:6" x14ac:dyDescent="0.25">
      <c r="F482" s="49" t="s">
        <v>3639</v>
      </c>
    </row>
    <row r="483" spans="6:6" x14ac:dyDescent="0.25">
      <c r="F483" s="49" t="s">
        <v>3641</v>
      </c>
    </row>
    <row r="484" spans="6:6" x14ac:dyDescent="0.25">
      <c r="F484" s="49" t="s">
        <v>3643</v>
      </c>
    </row>
    <row r="485" spans="6:6" x14ac:dyDescent="0.25">
      <c r="F485" s="49" t="s">
        <v>3644</v>
      </c>
    </row>
    <row r="486" spans="6:6" x14ac:dyDescent="0.25">
      <c r="F486" s="49" t="s">
        <v>3648</v>
      </c>
    </row>
    <row r="487" spans="6:6" x14ac:dyDescent="0.25">
      <c r="F487" s="49" t="s">
        <v>3650</v>
      </c>
    </row>
    <row r="488" spans="6:6" x14ac:dyDescent="0.25">
      <c r="F488" s="49" t="s">
        <v>3653</v>
      </c>
    </row>
    <row r="489" spans="6:6" x14ac:dyDescent="0.25">
      <c r="F489" s="49" t="s">
        <v>3654</v>
      </c>
    </row>
    <row r="490" spans="6:6" x14ac:dyDescent="0.25">
      <c r="F490" s="49" t="s">
        <v>3656</v>
      </c>
    </row>
    <row r="491" spans="6:6" x14ac:dyDescent="0.25">
      <c r="F491" s="49" t="s">
        <v>3658</v>
      </c>
    </row>
    <row r="492" spans="6:6" x14ac:dyDescent="0.25">
      <c r="F492" s="49" t="s">
        <v>3661</v>
      </c>
    </row>
    <row r="493" spans="6:6" x14ac:dyDescent="0.25">
      <c r="F493" s="49" t="s">
        <v>3664</v>
      </c>
    </row>
    <row r="494" spans="6:6" x14ac:dyDescent="0.25">
      <c r="F494" s="49" t="s">
        <v>3667</v>
      </c>
    </row>
    <row r="495" spans="6:6" x14ac:dyDescent="0.25">
      <c r="F495" s="49" t="s">
        <v>3670</v>
      </c>
    </row>
    <row r="496" spans="6:6" x14ac:dyDescent="0.25">
      <c r="F496" s="49" t="s">
        <v>3674</v>
      </c>
    </row>
    <row r="497" spans="6:6" x14ac:dyDescent="0.25">
      <c r="F497" s="49" t="s">
        <v>3676</v>
      </c>
    </row>
    <row r="498" spans="6:6" x14ac:dyDescent="0.25">
      <c r="F498" s="49" t="s">
        <v>3678</v>
      </c>
    </row>
    <row r="499" spans="6:6" x14ac:dyDescent="0.25">
      <c r="F499" s="49" t="s">
        <v>3680</v>
      </c>
    </row>
    <row r="500" spans="6:6" x14ac:dyDescent="0.25">
      <c r="F500" s="49" t="s">
        <v>3684</v>
      </c>
    </row>
    <row r="501" spans="6:6" x14ac:dyDescent="0.25">
      <c r="F501" s="49" t="s">
        <v>3687</v>
      </c>
    </row>
    <row r="502" spans="6:6" x14ac:dyDescent="0.25">
      <c r="F502" s="49" t="s">
        <v>3688</v>
      </c>
    </row>
    <row r="503" spans="6:6" x14ac:dyDescent="0.25">
      <c r="F503" s="49" t="s">
        <v>3690</v>
      </c>
    </row>
    <row r="504" spans="6:6" x14ac:dyDescent="0.25">
      <c r="F504" s="49" t="s">
        <v>3692</v>
      </c>
    </row>
    <row r="505" spans="6:6" x14ac:dyDescent="0.25">
      <c r="F505" s="49" t="s">
        <v>3694</v>
      </c>
    </row>
    <row r="506" spans="6:6" x14ac:dyDescent="0.25">
      <c r="F506" s="49" t="s">
        <v>3699</v>
      </c>
    </row>
    <row r="507" spans="6:6" x14ac:dyDescent="0.25">
      <c r="F507" s="49" t="s">
        <v>3703</v>
      </c>
    </row>
    <row r="508" spans="6:6" x14ac:dyDescent="0.25">
      <c r="F508" s="49" t="s">
        <v>3705</v>
      </c>
    </row>
    <row r="509" spans="6:6" x14ac:dyDescent="0.25">
      <c r="F509" s="49" t="s">
        <v>3709</v>
      </c>
    </row>
    <row r="510" spans="6:6" x14ac:dyDescent="0.25">
      <c r="F510" s="49" t="s">
        <v>3712</v>
      </c>
    </row>
    <row r="511" spans="6:6" x14ac:dyDescent="0.25">
      <c r="F511" s="49" t="s">
        <v>3717</v>
      </c>
    </row>
    <row r="512" spans="6:6" x14ac:dyDescent="0.25">
      <c r="F512" s="49" t="s">
        <v>3721</v>
      </c>
    </row>
    <row r="513" spans="6:6" x14ac:dyDescent="0.25">
      <c r="F513" s="49" t="s">
        <v>3727</v>
      </c>
    </row>
    <row r="514" spans="6:6" x14ac:dyDescent="0.25">
      <c r="F514" s="49" t="s">
        <v>3731</v>
      </c>
    </row>
    <row r="515" spans="6:6" x14ac:dyDescent="0.25">
      <c r="F515" s="49" t="s">
        <v>3734</v>
      </c>
    </row>
    <row r="516" spans="6:6" x14ac:dyDescent="0.25">
      <c r="F516" s="49" t="s">
        <v>3736</v>
      </c>
    </row>
    <row r="517" spans="6:6" x14ac:dyDescent="0.25">
      <c r="F517" s="49" t="s">
        <v>3738</v>
      </c>
    </row>
    <row r="518" spans="6:6" x14ac:dyDescent="0.25">
      <c r="F518" s="49" t="s">
        <v>3740</v>
      </c>
    </row>
    <row r="519" spans="6:6" x14ac:dyDescent="0.25">
      <c r="F519" s="49" t="s">
        <v>3746</v>
      </c>
    </row>
    <row r="520" spans="6:6" x14ac:dyDescent="0.25">
      <c r="F520" s="49" t="s">
        <v>3752</v>
      </c>
    </row>
    <row r="521" spans="6:6" x14ac:dyDescent="0.25">
      <c r="F521" s="49" t="s">
        <v>3757</v>
      </c>
    </row>
    <row r="522" spans="6:6" x14ac:dyDescent="0.25">
      <c r="F522" s="49" t="s">
        <v>3763</v>
      </c>
    </row>
    <row r="523" spans="6:6" x14ac:dyDescent="0.25">
      <c r="F523" s="49" t="s">
        <v>3767</v>
      </c>
    </row>
    <row r="524" spans="6:6" x14ac:dyDescent="0.25">
      <c r="F524" s="49" t="s">
        <v>3770</v>
      </c>
    </row>
    <row r="525" spans="6:6" x14ac:dyDescent="0.25">
      <c r="F525" s="49" t="s">
        <v>3773</v>
      </c>
    </row>
    <row r="526" spans="6:6" x14ac:dyDescent="0.25">
      <c r="F526" s="49" t="s">
        <v>3776</v>
      </c>
    </row>
    <row r="527" spans="6:6" x14ac:dyDescent="0.25">
      <c r="F527" s="49" t="s">
        <v>3781</v>
      </c>
    </row>
    <row r="528" spans="6:6" x14ac:dyDescent="0.25">
      <c r="F528" s="49" t="s">
        <v>3785</v>
      </c>
    </row>
    <row r="529" spans="6:6" x14ac:dyDescent="0.25">
      <c r="F529" s="49" t="s">
        <v>3788</v>
      </c>
    </row>
    <row r="530" spans="6:6" x14ac:dyDescent="0.25">
      <c r="F530" s="49" t="s">
        <v>3793</v>
      </c>
    </row>
    <row r="531" spans="6:6" x14ac:dyDescent="0.25">
      <c r="F531" s="49" t="s">
        <v>3798</v>
      </c>
    </row>
    <row r="532" spans="6:6" x14ac:dyDescent="0.25">
      <c r="F532" s="49" t="s">
        <v>3802</v>
      </c>
    </row>
    <row r="533" spans="6:6" x14ac:dyDescent="0.25">
      <c r="F533" s="49" t="s">
        <v>3806</v>
      </c>
    </row>
    <row r="534" spans="6:6" x14ac:dyDescent="0.25">
      <c r="F534" s="49" t="s">
        <v>3809</v>
      </c>
    </row>
    <row r="535" spans="6:6" x14ac:dyDescent="0.25">
      <c r="F535" s="49" t="s">
        <v>3813</v>
      </c>
    </row>
    <row r="536" spans="6:6" x14ac:dyDescent="0.25">
      <c r="F536" s="49" t="s">
        <v>3816</v>
      </c>
    </row>
    <row r="537" spans="6:6" x14ac:dyDescent="0.25">
      <c r="F537" s="49" t="s">
        <v>3821</v>
      </c>
    </row>
    <row r="538" spans="6:6" x14ac:dyDescent="0.25">
      <c r="F538" s="49" t="s">
        <v>3825</v>
      </c>
    </row>
    <row r="539" spans="6:6" x14ac:dyDescent="0.25">
      <c r="F539" s="49" t="s">
        <v>3829</v>
      </c>
    </row>
    <row r="540" spans="6:6" x14ac:dyDescent="0.25">
      <c r="F540" s="49" t="s">
        <v>3832</v>
      </c>
    </row>
    <row r="541" spans="6:6" x14ac:dyDescent="0.25">
      <c r="F541" s="49" t="s">
        <v>3834</v>
      </c>
    </row>
    <row r="542" spans="6:6" x14ac:dyDescent="0.25">
      <c r="F542" s="49" t="s">
        <v>3836</v>
      </c>
    </row>
    <row r="543" spans="6:6" x14ac:dyDescent="0.25">
      <c r="F543" s="49" t="s">
        <v>3840</v>
      </c>
    </row>
    <row r="544" spans="6:6" x14ac:dyDescent="0.25">
      <c r="F544" s="49" t="s">
        <v>3846</v>
      </c>
    </row>
    <row r="545" spans="6:6" x14ac:dyDescent="0.25">
      <c r="F545" s="49" t="s">
        <v>3851</v>
      </c>
    </row>
    <row r="546" spans="6:6" x14ac:dyDescent="0.25">
      <c r="F546" s="49" t="s">
        <v>3856</v>
      </c>
    </row>
    <row r="547" spans="6:6" x14ac:dyDescent="0.25">
      <c r="F547" s="49" t="s">
        <v>3859</v>
      </c>
    </row>
    <row r="548" spans="6:6" x14ac:dyDescent="0.25">
      <c r="F548" s="49" t="s">
        <v>3860</v>
      </c>
    </row>
    <row r="549" spans="6:6" x14ac:dyDescent="0.25">
      <c r="F549" s="49" t="s">
        <v>3863</v>
      </c>
    </row>
    <row r="550" spans="6:6" x14ac:dyDescent="0.25">
      <c r="F550" s="49" t="s">
        <v>3866</v>
      </c>
    </row>
    <row r="551" spans="6:6" x14ac:dyDescent="0.25">
      <c r="F551" s="49" t="s">
        <v>3871</v>
      </c>
    </row>
    <row r="552" spans="6:6" x14ac:dyDescent="0.25">
      <c r="F552" s="49" t="s">
        <v>3874</v>
      </c>
    </row>
    <row r="553" spans="6:6" x14ac:dyDescent="0.25">
      <c r="F553" s="49" t="s">
        <v>3877</v>
      </c>
    </row>
    <row r="554" spans="6:6" x14ac:dyDescent="0.25">
      <c r="F554" s="49" t="s">
        <v>3881</v>
      </c>
    </row>
    <row r="555" spans="6:6" x14ac:dyDescent="0.25">
      <c r="F555" s="49" t="s">
        <v>3885</v>
      </c>
    </row>
    <row r="556" spans="6:6" x14ac:dyDescent="0.25">
      <c r="F556" s="49" t="s">
        <v>3888</v>
      </c>
    </row>
    <row r="557" spans="6:6" x14ac:dyDescent="0.25">
      <c r="F557" s="49" t="s">
        <v>3893</v>
      </c>
    </row>
    <row r="558" spans="6:6" x14ac:dyDescent="0.25">
      <c r="F558" s="49" t="s">
        <v>3896</v>
      </c>
    </row>
    <row r="559" spans="6:6" x14ac:dyDescent="0.25">
      <c r="F559" s="49" t="s">
        <v>3899</v>
      </c>
    </row>
    <row r="560" spans="6:6" x14ac:dyDescent="0.25">
      <c r="F560" s="49" t="s">
        <v>3902</v>
      </c>
    </row>
    <row r="561" spans="6:6" x14ac:dyDescent="0.25">
      <c r="F561" s="49" t="s">
        <v>3905</v>
      </c>
    </row>
    <row r="562" spans="6:6" x14ac:dyDescent="0.25">
      <c r="F562" s="49" t="s">
        <v>3910</v>
      </c>
    </row>
    <row r="563" spans="6:6" x14ac:dyDescent="0.25">
      <c r="F563" s="49" t="s">
        <v>3913</v>
      </c>
    </row>
    <row r="564" spans="6:6" x14ac:dyDescent="0.25">
      <c r="F564" s="49" t="s">
        <v>3920</v>
      </c>
    </row>
    <row r="565" spans="6:6" x14ac:dyDescent="0.25">
      <c r="F565" s="49" t="s">
        <v>3926</v>
      </c>
    </row>
    <row r="566" spans="6:6" x14ac:dyDescent="0.25">
      <c r="F566" s="49" t="s">
        <v>3932</v>
      </c>
    </row>
    <row r="567" spans="6:6" x14ac:dyDescent="0.25">
      <c r="F567" s="49" t="s">
        <v>3936</v>
      </c>
    </row>
    <row r="568" spans="6:6" x14ac:dyDescent="0.25">
      <c r="F568" s="49" t="s">
        <v>3938</v>
      </c>
    </row>
    <row r="569" spans="6:6" x14ac:dyDescent="0.25">
      <c r="F569" s="49" t="s">
        <v>3943</v>
      </c>
    </row>
    <row r="570" spans="6:6" x14ac:dyDescent="0.25">
      <c r="F570" s="49" t="s">
        <v>3949</v>
      </c>
    </row>
    <row r="571" spans="6:6" x14ac:dyDescent="0.25">
      <c r="F571" s="49" t="s">
        <v>3950</v>
      </c>
    </row>
    <row r="572" spans="6:6" x14ac:dyDescent="0.25">
      <c r="F572" s="49" t="s">
        <v>3954</v>
      </c>
    </row>
    <row r="573" spans="6:6" x14ac:dyDescent="0.25">
      <c r="F573" s="49" t="s">
        <v>3955</v>
      </c>
    </row>
    <row r="574" spans="6:6" x14ac:dyDescent="0.25">
      <c r="F574" s="49" t="s">
        <v>3962</v>
      </c>
    </row>
    <row r="575" spans="6:6" x14ac:dyDescent="0.25">
      <c r="F575" s="49" t="s">
        <v>3967</v>
      </c>
    </row>
    <row r="576" spans="6:6" x14ac:dyDescent="0.25">
      <c r="F576" s="49" t="s">
        <v>3969</v>
      </c>
    </row>
    <row r="577" spans="6:6" x14ac:dyDescent="0.25">
      <c r="F577" s="49" t="s">
        <v>3972</v>
      </c>
    </row>
    <row r="578" spans="6:6" x14ac:dyDescent="0.25">
      <c r="F578" s="49" t="s">
        <v>3974</v>
      </c>
    </row>
    <row r="579" spans="6:6" x14ac:dyDescent="0.25">
      <c r="F579" s="49" t="s">
        <v>3976</v>
      </c>
    </row>
    <row r="580" spans="6:6" x14ac:dyDescent="0.25">
      <c r="F580" s="49" t="s">
        <v>3981</v>
      </c>
    </row>
    <row r="581" spans="6:6" x14ac:dyDescent="0.25">
      <c r="F581" s="49" t="s">
        <v>3986</v>
      </c>
    </row>
    <row r="582" spans="6:6" x14ac:dyDescent="0.25">
      <c r="F582" s="49" t="s">
        <v>3991</v>
      </c>
    </row>
    <row r="583" spans="6:6" x14ac:dyDescent="0.25">
      <c r="F583" s="49" t="s">
        <v>3995</v>
      </c>
    </row>
    <row r="584" spans="6:6" x14ac:dyDescent="0.25">
      <c r="F584" s="49" t="s">
        <v>4001</v>
      </c>
    </row>
    <row r="585" spans="6:6" x14ac:dyDescent="0.25">
      <c r="F585" s="49" t="s">
        <v>4006</v>
      </c>
    </row>
    <row r="586" spans="6:6" x14ac:dyDescent="0.25">
      <c r="F586" s="49" t="s">
        <v>4010</v>
      </c>
    </row>
    <row r="587" spans="6:6" x14ac:dyDescent="0.25">
      <c r="F587" s="49" t="s">
        <v>4012</v>
      </c>
    </row>
    <row r="588" spans="6:6" x14ac:dyDescent="0.25">
      <c r="F588" s="49" t="s">
        <v>4016</v>
      </c>
    </row>
    <row r="589" spans="6:6" x14ac:dyDescent="0.25">
      <c r="F589" s="49" t="s">
        <v>4020</v>
      </c>
    </row>
    <row r="590" spans="6:6" x14ac:dyDescent="0.25">
      <c r="F590" s="49" t="s">
        <v>4026</v>
      </c>
    </row>
    <row r="591" spans="6:6" x14ac:dyDescent="0.25">
      <c r="F591" s="49" t="s">
        <v>4030</v>
      </c>
    </row>
    <row r="592" spans="6:6" x14ac:dyDescent="0.25">
      <c r="F592" s="49" t="s">
        <v>4033</v>
      </c>
    </row>
    <row r="593" spans="6:6" x14ac:dyDescent="0.25">
      <c r="F593" s="49" t="s">
        <v>4036</v>
      </c>
    </row>
    <row r="594" spans="6:6" x14ac:dyDescent="0.25">
      <c r="F594" s="49" t="s">
        <v>4039</v>
      </c>
    </row>
    <row r="595" spans="6:6" x14ac:dyDescent="0.25">
      <c r="F595" s="49" t="s">
        <v>4046</v>
      </c>
    </row>
    <row r="596" spans="6:6" x14ac:dyDescent="0.25">
      <c r="F596" s="49" t="s">
        <v>4052</v>
      </c>
    </row>
    <row r="597" spans="6:6" x14ac:dyDescent="0.25">
      <c r="F597" s="49" t="s">
        <v>4057</v>
      </c>
    </row>
    <row r="598" spans="6:6" x14ac:dyDescent="0.25">
      <c r="F598" s="49" t="s">
        <v>4062</v>
      </c>
    </row>
    <row r="599" spans="6:6" x14ac:dyDescent="0.25">
      <c r="F599" s="49" t="s">
        <v>4065</v>
      </c>
    </row>
    <row r="600" spans="6:6" x14ac:dyDescent="0.25">
      <c r="F600" s="49" t="s">
        <v>4072</v>
      </c>
    </row>
    <row r="601" spans="6:6" x14ac:dyDescent="0.25">
      <c r="F601" s="49" t="s">
        <v>4075</v>
      </c>
    </row>
    <row r="602" spans="6:6" x14ac:dyDescent="0.25">
      <c r="F602" s="49" t="s">
        <v>4080</v>
      </c>
    </row>
    <row r="603" spans="6:6" x14ac:dyDescent="0.25">
      <c r="F603" s="49" t="s">
        <v>4082</v>
      </c>
    </row>
    <row r="604" spans="6:6" x14ac:dyDescent="0.25">
      <c r="F604" s="49" t="s">
        <v>4086</v>
      </c>
    </row>
    <row r="605" spans="6:6" x14ac:dyDescent="0.25">
      <c r="F605" s="49" t="s">
        <v>4091</v>
      </c>
    </row>
    <row r="606" spans="6:6" x14ac:dyDescent="0.25">
      <c r="F606" s="49" t="s">
        <v>4095</v>
      </c>
    </row>
    <row r="607" spans="6:6" x14ac:dyDescent="0.25">
      <c r="F607" s="49" t="s">
        <v>4097</v>
      </c>
    </row>
    <row r="608" spans="6:6" x14ac:dyDescent="0.25">
      <c r="F608" s="49" t="s">
        <v>4101</v>
      </c>
    </row>
    <row r="609" spans="6:6" x14ac:dyDescent="0.25">
      <c r="F609" s="49" t="s">
        <v>4106</v>
      </c>
    </row>
    <row r="610" spans="6:6" x14ac:dyDescent="0.25">
      <c r="F610" s="49" t="s">
        <v>4110</v>
      </c>
    </row>
    <row r="611" spans="6:6" x14ac:dyDescent="0.25">
      <c r="F611" s="49" t="s">
        <v>4115</v>
      </c>
    </row>
    <row r="612" spans="6:6" x14ac:dyDescent="0.25">
      <c r="F612" s="49" t="s">
        <v>4118</v>
      </c>
    </row>
    <row r="613" spans="6:6" x14ac:dyDescent="0.25">
      <c r="F613" s="49" t="s">
        <v>4120</v>
      </c>
    </row>
    <row r="614" spans="6:6" x14ac:dyDescent="0.25">
      <c r="F614" s="49" t="s">
        <v>4126</v>
      </c>
    </row>
    <row r="615" spans="6:6" x14ac:dyDescent="0.25">
      <c r="F615" s="49" t="s">
        <v>4128</v>
      </c>
    </row>
    <row r="616" spans="6:6" x14ac:dyDescent="0.25">
      <c r="F616" s="49" t="s">
        <v>4132</v>
      </c>
    </row>
    <row r="617" spans="6:6" x14ac:dyDescent="0.25">
      <c r="F617" s="49" t="s">
        <v>4134</v>
      </c>
    </row>
    <row r="618" spans="6:6" x14ac:dyDescent="0.25">
      <c r="F618" s="49" t="s">
        <v>4140</v>
      </c>
    </row>
    <row r="619" spans="6:6" x14ac:dyDescent="0.25">
      <c r="F619" s="49" t="s">
        <v>4144</v>
      </c>
    </row>
    <row r="620" spans="6:6" x14ac:dyDescent="0.25">
      <c r="F620" s="49" t="s">
        <v>4149</v>
      </c>
    </row>
    <row r="621" spans="6:6" x14ac:dyDescent="0.25">
      <c r="F621" s="49" t="s">
        <v>4154</v>
      </c>
    </row>
    <row r="622" spans="6:6" x14ac:dyDescent="0.25">
      <c r="F622" s="49" t="s">
        <v>4157</v>
      </c>
    </row>
    <row r="623" spans="6:6" x14ac:dyDescent="0.25">
      <c r="F623" s="49" t="s">
        <v>4162</v>
      </c>
    </row>
    <row r="624" spans="6:6" x14ac:dyDescent="0.25">
      <c r="F624" s="49" t="s">
        <v>4164</v>
      </c>
    </row>
    <row r="625" spans="6:6" x14ac:dyDescent="0.25">
      <c r="F625" s="49" t="s">
        <v>4168</v>
      </c>
    </row>
    <row r="626" spans="6:6" x14ac:dyDescent="0.25">
      <c r="F626" s="49" t="s">
        <v>4172</v>
      </c>
    </row>
    <row r="627" spans="6:6" x14ac:dyDescent="0.25">
      <c r="F627" s="49" t="s">
        <v>4177</v>
      </c>
    </row>
    <row r="628" spans="6:6" x14ac:dyDescent="0.25">
      <c r="F628" s="49" t="s">
        <v>4183</v>
      </c>
    </row>
    <row r="629" spans="6:6" x14ac:dyDescent="0.25">
      <c r="F629" s="49" t="s">
        <v>4190</v>
      </c>
    </row>
    <row r="630" spans="6:6" x14ac:dyDescent="0.25">
      <c r="F630" s="49" t="s">
        <v>4192</v>
      </c>
    </row>
    <row r="631" spans="6:6" x14ac:dyDescent="0.25">
      <c r="F631" s="49" t="s">
        <v>4195</v>
      </c>
    </row>
    <row r="632" spans="6:6" x14ac:dyDescent="0.25">
      <c r="F632" s="49" t="s">
        <v>4198</v>
      </c>
    </row>
    <row r="633" spans="6:6" x14ac:dyDescent="0.25">
      <c r="F633" s="49" t="s">
        <v>4201</v>
      </c>
    </row>
    <row r="634" spans="6:6" x14ac:dyDescent="0.25">
      <c r="F634" s="49" t="s">
        <v>4206</v>
      </c>
    </row>
    <row r="635" spans="6:6" x14ac:dyDescent="0.25">
      <c r="F635" s="49" t="s">
        <v>4208</v>
      </c>
    </row>
    <row r="636" spans="6:6" x14ac:dyDescent="0.25">
      <c r="F636" s="49" t="s">
        <v>4210</v>
      </c>
    </row>
    <row r="637" spans="6:6" x14ac:dyDescent="0.25">
      <c r="F637" s="49" t="s">
        <v>4216</v>
      </c>
    </row>
    <row r="638" spans="6:6" x14ac:dyDescent="0.25">
      <c r="F638" s="49" t="s">
        <v>4222</v>
      </c>
    </row>
    <row r="639" spans="6:6" x14ac:dyDescent="0.25">
      <c r="F639" s="49" t="s">
        <v>4224</v>
      </c>
    </row>
    <row r="640" spans="6:6" x14ac:dyDescent="0.25">
      <c r="F640" s="49" t="s">
        <v>4226</v>
      </c>
    </row>
    <row r="641" spans="6:6" x14ac:dyDescent="0.25">
      <c r="F641" s="49" t="s">
        <v>4230</v>
      </c>
    </row>
    <row r="642" spans="6:6" x14ac:dyDescent="0.25">
      <c r="F642" s="49" t="s">
        <v>4234</v>
      </c>
    </row>
    <row r="643" spans="6:6" x14ac:dyDescent="0.25">
      <c r="F643" s="49" t="s">
        <v>4239</v>
      </c>
    </row>
    <row r="644" spans="6:6" x14ac:dyDescent="0.25">
      <c r="F644" s="49" t="s">
        <v>4244</v>
      </c>
    </row>
    <row r="645" spans="6:6" x14ac:dyDescent="0.25">
      <c r="F645" s="49" t="s">
        <v>4247</v>
      </c>
    </row>
    <row r="646" spans="6:6" x14ac:dyDescent="0.25">
      <c r="F646" s="49" t="s">
        <v>4251</v>
      </c>
    </row>
    <row r="647" spans="6:6" x14ac:dyDescent="0.25">
      <c r="F647" s="49" t="s">
        <v>4254</v>
      </c>
    </row>
    <row r="648" spans="6:6" x14ac:dyDescent="0.25">
      <c r="F648" s="49" t="s">
        <v>4260</v>
      </c>
    </row>
    <row r="649" spans="6:6" x14ac:dyDescent="0.25">
      <c r="F649" s="49" t="s">
        <v>4263</v>
      </c>
    </row>
    <row r="650" spans="6:6" x14ac:dyDescent="0.25">
      <c r="F650" s="49" t="s">
        <v>4267</v>
      </c>
    </row>
    <row r="651" spans="6:6" x14ac:dyDescent="0.25">
      <c r="F651" s="49" t="s">
        <v>4271</v>
      </c>
    </row>
    <row r="652" spans="6:6" x14ac:dyDescent="0.25">
      <c r="F652" s="49" t="s">
        <v>4273</v>
      </c>
    </row>
    <row r="653" spans="6:6" x14ac:dyDescent="0.25">
      <c r="F653" s="49" t="s">
        <v>4278</v>
      </c>
    </row>
    <row r="654" spans="6:6" x14ac:dyDescent="0.25">
      <c r="F654" s="49" t="s">
        <v>4280</v>
      </c>
    </row>
    <row r="655" spans="6:6" x14ac:dyDescent="0.25">
      <c r="F655" s="49" t="s">
        <v>4282</v>
      </c>
    </row>
    <row r="656" spans="6:6" x14ac:dyDescent="0.25">
      <c r="F656" s="49" t="s">
        <v>4283</v>
      </c>
    </row>
    <row r="657" spans="6:6" x14ac:dyDescent="0.25">
      <c r="F657" s="49" t="s">
        <v>4284</v>
      </c>
    </row>
    <row r="658" spans="6:6" x14ac:dyDescent="0.25">
      <c r="F658" s="49" t="s">
        <v>4285</v>
      </c>
    </row>
    <row r="659" spans="6:6" x14ac:dyDescent="0.25">
      <c r="F659" s="49" t="s">
        <v>4286</v>
      </c>
    </row>
    <row r="660" spans="6:6" x14ac:dyDescent="0.25">
      <c r="F660" s="49" t="s">
        <v>4287</v>
      </c>
    </row>
    <row r="661" spans="6:6" x14ac:dyDescent="0.25">
      <c r="F661" s="49" t="s">
        <v>4288</v>
      </c>
    </row>
    <row r="662" spans="6:6" x14ac:dyDescent="0.25">
      <c r="F662" s="49" t="s">
        <v>4289</v>
      </c>
    </row>
    <row r="663" spans="6:6" x14ac:dyDescent="0.25">
      <c r="F663" s="49" t="s">
        <v>4290</v>
      </c>
    </row>
    <row r="664" spans="6:6" x14ac:dyDescent="0.25">
      <c r="F664" s="49" t="s">
        <v>4291</v>
      </c>
    </row>
    <row r="665" spans="6:6" x14ac:dyDescent="0.25">
      <c r="F665" s="49" t="s">
        <v>4292</v>
      </c>
    </row>
    <row r="666" spans="6:6" x14ac:dyDescent="0.25">
      <c r="F666" s="49" t="s">
        <v>4293</v>
      </c>
    </row>
    <row r="667" spans="6:6" x14ac:dyDescent="0.25">
      <c r="F667" s="49" t="s">
        <v>4294</v>
      </c>
    </row>
    <row r="668" spans="6:6" x14ac:dyDescent="0.25">
      <c r="F668" s="49" t="s">
        <v>4295</v>
      </c>
    </row>
    <row r="669" spans="6:6" x14ac:dyDescent="0.25">
      <c r="F669" s="49" t="s">
        <v>4296</v>
      </c>
    </row>
    <row r="670" spans="6:6" x14ac:dyDescent="0.25">
      <c r="F670" s="49" t="s">
        <v>4298</v>
      </c>
    </row>
    <row r="671" spans="6:6" x14ac:dyDescent="0.25">
      <c r="F671" s="49" t="s">
        <v>4299</v>
      </c>
    </row>
    <row r="672" spans="6:6" x14ac:dyDescent="0.25">
      <c r="F672" s="49" t="s">
        <v>4301</v>
      </c>
    </row>
    <row r="673" spans="6:6" x14ac:dyDescent="0.25">
      <c r="F673" s="49" t="s">
        <v>4303</v>
      </c>
    </row>
    <row r="674" spans="6:6" x14ac:dyDescent="0.25">
      <c r="F674" s="49" t="s">
        <v>4306</v>
      </c>
    </row>
    <row r="675" spans="6:6" x14ac:dyDescent="0.25">
      <c r="F675" s="49" t="s">
        <v>4307</v>
      </c>
    </row>
    <row r="676" spans="6:6" x14ac:dyDescent="0.25">
      <c r="F676" s="49" t="s">
        <v>4311</v>
      </c>
    </row>
    <row r="677" spans="6:6" x14ac:dyDescent="0.25">
      <c r="F677" s="49" t="s">
        <v>4313</v>
      </c>
    </row>
    <row r="678" spans="6:6" x14ac:dyDescent="0.25">
      <c r="F678" s="49" t="s">
        <v>4315</v>
      </c>
    </row>
    <row r="679" spans="6:6" x14ac:dyDescent="0.25">
      <c r="F679" s="49" t="s">
        <v>4316</v>
      </c>
    </row>
    <row r="680" spans="6:6" x14ac:dyDescent="0.25">
      <c r="F680" s="49" t="s">
        <v>4318</v>
      </c>
    </row>
    <row r="681" spans="6:6" x14ac:dyDescent="0.25">
      <c r="F681" s="49" t="s">
        <v>4319</v>
      </c>
    </row>
    <row r="682" spans="6:6" x14ac:dyDescent="0.25">
      <c r="F682" s="49" t="s">
        <v>4321</v>
      </c>
    </row>
    <row r="683" spans="6:6" x14ac:dyDescent="0.25">
      <c r="F683" s="49" t="s">
        <v>4323</v>
      </c>
    </row>
    <row r="684" spans="6:6" x14ac:dyDescent="0.25">
      <c r="F684" s="49" t="s">
        <v>4325</v>
      </c>
    </row>
    <row r="685" spans="6:6" x14ac:dyDescent="0.25">
      <c r="F685" s="49" t="s">
        <v>4327</v>
      </c>
    </row>
    <row r="686" spans="6:6" x14ac:dyDescent="0.25">
      <c r="F686" s="49" t="s">
        <v>4328</v>
      </c>
    </row>
    <row r="687" spans="6:6" x14ac:dyDescent="0.25">
      <c r="F687" s="49" t="s">
        <v>4329</v>
      </c>
    </row>
    <row r="688" spans="6:6" x14ac:dyDescent="0.25">
      <c r="F688" s="49" t="s">
        <v>4330</v>
      </c>
    </row>
    <row r="689" spans="6:6" x14ac:dyDescent="0.25">
      <c r="F689" s="49" t="s">
        <v>4331</v>
      </c>
    </row>
    <row r="690" spans="6:6" x14ac:dyDescent="0.25">
      <c r="F690" s="49" t="s">
        <v>4332</v>
      </c>
    </row>
    <row r="691" spans="6:6" x14ac:dyDescent="0.25">
      <c r="F691" s="49" t="s">
        <v>4333</v>
      </c>
    </row>
    <row r="692" spans="6:6" x14ac:dyDescent="0.25">
      <c r="F692" s="49" t="s">
        <v>4334</v>
      </c>
    </row>
    <row r="693" spans="6:6" x14ac:dyDescent="0.25">
      <c r="F693" s="49" t="s">
        <v>4335</v>
      </c>
    </row>
    <row r="694" spans="6:6" x14ac:dyDescent="0.25">
      <c r="F694" s="49" t="s">
        <v>4336</v>
      </c>
    </row>
    <row r="695" spans="6:6" x14ac:dyDescent="0.25">
      <c r="F695" s="49" t="s">
        <v>4337</v>
      </c>
    </row>
    <row r="696" spans="6:6" x14ac:dyDescent="0.25">
      <c r="F696" s="49" t="s">
        <v>4338</v>
      </c>
    </row>
    <row r="697" spans="6:6" x14ac:dyDescent="0.25">
      <c r="F697" s="49" t="s">
        <v>4339</v>
      </c>
    </row>
    <row r="698" spans="6:6" x14ac:dyDescent="0.25">
      <c r="F698" s="49" t="s">
        <v>4340</v>
      </c>
    </row>
    <row r="699" spans="6:6" x14ac:dyDescent="0.25">
      <c r="F699" s="49" t="s">
        <v>4341</v>
      </c>
    </row>
    <row r="700" spans="6:6" x14ac:dyDescent="0.25">
      <c r="F700" s="49" t="s">
        <v>4342</v>
      </c>
    </row>
    <row r="701" spans="6:6" x14ac:dyDescent="0.25">
      <c r="F701" s="49" t="s">
        <v>4343</v>
      </c>
    </row>
    <row r="702" spans="6:6" x14ac:dyDescent="0.25">
      <c r="F702" s="49" t="s">
        <v>4344</v>
      </c>
    </row>
    <row r="703" spans="6:6" x14ac:dyDescent="0.25">
      <c r="F703" s="49" t="s">
        <v>4345</v>
      </c>
    </row>
    <row r="704" spans="6:6" x14ac:dyDescent="0.25">
      <c r="F704" s="49" t="s">
        <v>4346</v>
      </c>
    </row>
    <row r="705" spans="6:6" x14ac:dyDescent="0.25">
      <c r="F705" s="49" t="s">
        <v>4347</v>
      </c>
    </row>
    <row r="706" spans="6:6" x14ac:dyDescent="0.25">
      <c r="F706" s="49" t="s">
        <v>4348</v>
      </c>
    </row>
    <row r="707" spans="6:6" x14ac:dyDescent="0.25">
      <c r="F707" s="49" t="s">
        <v>4349</v>
      </c>
    </row>
    <row r="708" spans="6:6" x14ac:dyDescent="0.25">
      <c r="F708" s="49" t="s">
        <v>4350</v>
      </c>
    </row>
    <row r="709" spans="6:6" x14ac:dyDescent="0.25">
      <c r="F709" s="49" t="s">
        <v>4351</v>
      </c>
    </row>
    <row r="710" spans="6:6" x14ac:dyDescent="0.25">
      <c r="F710" s="410" t="s">
        <v>4352</v>
      </c>
    </row>
    <row r="711" spans="6:6" x14ac:dyDescent="0.25">
      <c r="F711" s="410" t="s">
        <v>4353</v>
      </c>
    </row>
    <row r="712" spans="6:6" x14ac:dyDescent="0.25">
      <c r="F712" s="410" t="s">
        <v>4354</v>
      </c>
    </row>
    <row r="713" spans="6:6" x14ac:dyDescent="0.25">
      <c r="F713" s="410" t="s">
        <v>4355</v>
      </c>
    </row>
    <row r="714" spans="6:6" x14ac:dyDescent="0.25">
      <c r="F714" s="410" t="s">
        <v>4356</v>
      </c>
    </row>
    <row r="715" spans="6:6" x14ac:dyDescent="0.25">
      <c r="F715" s="411" t="s">
        <v>4357</v>
      </c>
    </row>
    <row r="716" spans="6:6" x14ac:dyDescent="0.25">
      <c r="F716" s="411" t="s">
        <v>4358</v>
      </c>
    </row>
    <row r="717" spans="6:6" x14ac:dyDescent="0.25">
      <c r="F717" s="411" t="s">
        <v>4359</v>
      </c>
    </row>
    <row r="718" spans="6:6" x14ac:dyDescent="0.25">
      <c r="F718" s="410" t="s">
        <v>4360</v>
      </c>
    </row>
    <row r="719" spans="6:6" x14ac:dyDescent="0.25">
      <c r="F719" s="410" t="s">
        <v>4361</v>
      </c>
    </row>
    <row r="720" spans="6:6" x14ac:dyDescent="0.25">
      <c r="F720" s="410" t="s">
        <v>4362</v>
      </c>
    </row>
    <row r="721" spans="6:6" x14ac:dyDescent="0.25">
      <c r="F721" s="410" t="s">
        <v>4363</v>
      </c>
    </row>
    <row r="722" spans="6:6" x14ac:dyDescent="0.25">
      <c r="F722" s="410" t="s">
        <v>4364</v>
      </c>
    </row>
    <row r="723" spans="6:6" x14ac:dyDescent="0.25">
      <c r="F723" s="410" t="s">
        <v>4365</v>
      </c>
    </row>
    <row r="724" spans="6:6" x14ac:dyDescent="0.25">
      <c r="F724" s="411" t="s">
        <v>4366</v>
      </c>
    </row>
    <row r="725" spans="6:6" x14ac:dyDescent="0.25">
      <c r="F725" s="410" t="s">
        <v>4367</v>
      </c>
    </row>
    <row r="726" spans="6:6" x14ac:dyDescent="0.25">
      <c r="F726" s="410" t="s">
        <v>4368</v>
      </c>
    </row>
    <row r="727" spans="6:6" x14ac:dyDescent="0.25">
      <c r="F727" s="410" t="s">
        <v>4369</v>
      </c>
    </row>
    <row r="728" spans="6:6" x14ac:dyDescent="0.25">
      <c r="F728" s="410" t="s">
        <v>4370</v>
      </c>
    </row>
    <row r="729" spans="6:6" x14ac:dyDescent="0.25">
      <c r="F729" s="410" t="s">
        <v>4371</v>
      </c>
    </row>
    <row r="730" spans="6:6" x14ac:dyDescent="0.25">
      <c r="F730" s="410" t="s">
        <v>4372</v>
      </c>
    </row>
    <row r="731" spans="6:6" x14ac:dyDescent="0.25">
      <c r="F731" s="410" t="s">
        <v>4373</v>
      </c>
    </row>
    <row r="732" spans="6:6" x14ac:dyDescent="0.25">
      <c r="F732" s="410" t="s">
        <v>4374</v>
      </c>
    </row>
    <row r="733" spans="6:6" x14ac:dyDescent="0.25">
      <c r="F733" s="410" t="s">
        <v>4375</v>
      </c>
    </row>
    <row r="734" spans="6:6" x14ac:dyDescent="0.25">
      <c r="F734" s="410" t="s">
        <v>4376</v>
      </c>
    </row>
    <row r="735" spans="6:6" x14ac:dyDescent="0.25">
      <c r="F735" s="410" t="s">
        <v>4377</v>
      </c>
    </row>
    <row r="736" spans="6:6" x14ac:dyDescent="0.25">
      <c r="F736" s="410" t="s">
        <v>4378</v>
      </c>
    </row>
    <row r="737" spans="6:6" x14ac:dyDescent="0.25">
      <c r="F737" s="410" t="s">
        <v>4379</v>
      </c>
    </row>
    <row r="738" spans="6:6" x14ac:dyDescent="0.25">
      <c r="F738" s="411" t="s">
        <v>4380</v>
      </c>
    </row>
    <row r="739" spans="6:6" x14ac:dyDescent="0.25">
      <c r="F739" s="410" t="s">
        <v>4381</v>
      </c>
    </row>
    <row r="740" spans="6:6" x14ac:dyDescent="0.25">
      <c r="F740" s="410" t="s">
        <v>4382</v>
      </c>
    </row>
    <row r="741" spans="6:6" x14ac:dyDescent="0.25">
      <c r="F741" s="410" t="s">
        <v>4383</v>
      </c>
    </row>
    <row r="742" spans="6:6" x14ac:dyDescent="0.25">
      <c r="F742" s="410" t="s">
        <v>4384</v>
      </c>
    </row>
    <row r="743" spans="6:6" x14ac:dyDescent="0.25">
      <c r="F743" s="410" t="s">
        <v>4385</v>
      </c>
    </row>
    <row r="744" spans="6:6" x14ac:dyDescent="0.25">
      <c r="F744" s="410" t="s">
        <v>4386</v>
      </c>
    </row>
    <row r="745" spans="6:6" x14ac:dyDescent="0.25">
      <c r="F745" s="410" t="s">
        <v>4387</v>
      </c>
    </row>
    <row r="746" spans="6:6" x14ac:dyDescent="0.25">
      <c r="F746" s="410" t="s">
        <v>4388</v>
      </c>
    </row>
    <row r="747" spans="6:6" x14ac:dyDescent="0.25">
      <c r="F747" s="410" t="s">
        <v>4389</v>
      </c>
    </row>
    <row r="748" spans="6:6" x14ac:dyDescent="0.25">
      <c r="F748" s="410" t="s">
        <v>4390</v>
      </c>
    </row>
    <row r="749" spans="6:6" x14ac:dyDescent="0.25">
      <c r="F749" s="412" t="s">
        <v>4391</v>
      </c>
    </row>
    <row r="750" spans="6:6" x14ac:dyDescent="0.25">
      <c r="F750" s="410" t="s">
        <v>4392</v>
      </c>
    </row>
    <row r="751" spans="6:6" x14ac:dyDescent="0.25">
      <c r="F751" s="413" t="s">
        <v>4393</v>
      </c>
    </row>
    <row r="752" spans="6:6" x14ac:dyDescent="0.25">
      <c r="F752" s="410" t="s">
        <v>4394</v>
      </c>
    </row>
    <row r="753" spans="6:6" x14ac:dyDescent="0.25">
      <c r="F753" s="410" t="s">
        <v>4395</v>
      </c>
    </row>
    <row r="754" spans="6:6" x14ac:dyDescent="0.25">
      <c r="F754" s="410" t="s">
        <v>4396</v>
      </c>
    </row>
    <row r="755" spans="6:6" x14ac:dyDescent="0.25">
      <c r="F755" s="410" t="s">
        <v>4397</v>
      </c>
    </row>
    <row r="756" spans="6:6" x14ac:dyDescent="0.25">
      <c r="F756" s="410" t="s">
        <v>4398</v>
      </c>
    </row>
    <row r="757" spans="6:6" x14ac:dyDescent="0.25">
      <c r="F757" s="410" t="s">
        <v>4399</v>
      </c>
    </row>
    <row r="758" spans="6:6" x14ac:dyDescent="0.25">
      <c r="F758" s="410" t="s">
        <v>4400</v>
      </c>
    </row>
    <row r="759" spans="6:6" x14ac:dyDescent="0.25">
      <c r="F759" s="410" t="s">
        <v>4401</v>
      </c>
    </row>
    <row r="760" spans="6:6" x14ac:dyDescent="0.25">
      <c r="F760" s="413" t="s">
        <v>4402</v>
      </c>
    </row>
    <row r="761" spans="6:6" x14ac:dyDescent="0.25">
      <c r="F761" s="410" t="s">
        <v>4403</v>
      </c>
    </row>
    <row r="762" spans="6:6" x14ac:dyDescent="0.25">
      <c r="F762" s="410" t="s">
        <v>4404</v>
      </c>
    </row>
    <row r="763" spans="6:6" x14ac:dyDescent="0.25">
      <c r="F763" s="410" t="s">
        <v>4405</v>
      </c>
    </row>
    <row r="764" spans="6:6" x14ac:dyDescent="0.25">
      <c r="F764" s="410" t="s">
        <v>4406</v>
      </c>
    </row>
    <row r="765" spans="6:6" x14ac:dyDescent="0.25">
      <c r="F765" s="410" t="s">
        <v>4407</v>
      </c>
    </row>
    <row r="766" spans="6:6" x14ac:dyDescent="0.25">
      <c r="F766" s="411" t="s">
        <v>4408</v>
      </c>
    </row>
    <row r="767" spans="6:6" x14ac:dyDescent="0.25">
      <c r="F767" s="411" t="s">
        <v>4409</v>
      </c>
    </row>
    <row r="768" spans="6:6" x14ac:dyDescent="0.25">
      <c r="F768" s="411" t="s">
        <v>4410</v>
      </c>
    </row>
    <row r="769" spans="6:6" x14ac:dyDescent="0.25">
      <c r="F769" s="411" t="s">
        <v>4411</v>
      </c>
    </row>
    <row r="770" spans="6:6" x14ac:dyDescent="0.25">
      <c r="F770" s="411" t="s">
        <v>4412</v>
      </c>
    </row>
    <row r="771" spans="6:6" x14ac:dyDescent="0.25">
      <c r="F771" s="411" t="s">
        <v>4413</v>
      </c>
    </row>
    <row r="772" spans="6:6" x14ac:dyDescent="0.25">
      <c r="F772" s="411" t="s">
        <v>4414</v>
      </c>
    </row>
    <row r="773" spans="6:6" x14ac:dyDescent="0.25">
      <c r="F773" s="411" t="s">
        <v>4415</v>
      </c>
    </row>
    <row r="774" spans="6:6" x14ac:dyDescent="0.25">
      <c r="F774" s="411" t="s">
        <v>4416</v>
      </c>
    </row>
    <row r="775" spans="6:6" x14ac:dyDescent="0.25">
      <c r="F775" s="411" t="s">
        <v>4417</v>
      </c>
    </row>
    <row r="776" spans="6:6" x14ac:dyDescent="0.25">
      <c r="F776" s="411" t="s">
        <v>4418</v>
      </c>
    </row>
    <row r="777" spans="6:6" x14ac:dyDescent="0.25">
      <c r="F777" s="411" t="s">
        <v>4419</v>
      </c>
    </row>
    <row r="778" spans="6:6" x14ac:dyDescent="0.25">
      <c r="F778" s="410" t="s">
        <v>4420</v>
      </c>
    </row>
    <row r="779" spans="6:6" x14ac:dyDescent="0.25">
      <c r="F779" s="410" t="s">
        <v>4421</v>
      </c>
    </row>
    <row r="780" spans="6:6" x14ac:dyDescent="0.25">
      <c r="F780" s="410" t="s">
        <v>4422</v>
      </c>
    </row>
    <row r="781" spans="6:6" x14ac:dyDescent="0.25">
      <c r="F781" s="410" t="s">
        <v>4423</v>
      </c>
    </row>
    <row r="782" spans="6:6" x14ac:dyDescent="0.25">
      <c r="F782" s="410" t="s">
        <v>4424</v>
      </c>
    </row>
    <row r="783" spans="6:6" x14ac:dyDescent="0.25">
      <c r="F783" s="410" t="s">
        <v>4425</v>
      </c>
    </row>
    <row r="784" spans="6:6" x14ac:dyDescent="0.25">
      <c r="F784" s="410" t="s">
        <v>4426</v>
      </c>
    </row>
    <row r="785" spans="6:6" x14ac:dyDescent="0.25">
      <c r="F785" s="410" t="s">
        <v>4427</v>
      </c>
    </row>
    <row r="786" spans="6:6" x14ac:dyDescent="0.25">
      <c r="F786" s="410" t="s">
        <v>4428</v>
      </c>
    </row>
    <row r="787" spans="6:6" x14ac:dyDescent="0.25">
      <c r="F787" s="410"/>
    </row>
    <row r="788" spans="6:6" x14ac:dyDescent="0.25">
      <c r="F788" s="410" t="s">
        <v>4429</v>
      </c>
    </row>
    <row r="789" spans="6:6" x14ac:dyDescent="0.25">
      <c r="F789" s="410" t="s">
        <v>4430</v>
      </c>
    </row>
    <row r="790" spans="6:6" x14ac:dyDescent="0.25">
      <c r="F790" s="411" t="s">
        <v>4431</v>
      </c>
    </row>
    <row r="791" spans="6:6" x14ac:dyDescent="0.25">
      <c r="F791" s="410" t="s">
        <v>4432</v>
      </c>
    </row>
    <row r="792" spans="6:6" x14ac:dyDescent="0.25">
      <c r="F792" s="410" t="s">
        <v>4433</v>
      </c>
    </row>
    <row r="793" spans="6:6" x14ac:dyDescent="0.25">
      <c r="F793" s="414" t="s">
        <v>4434</v>
      </c>
    </row>
    <row r="794" spans="6:6" x14ac:dyDescent="0.25">
      <c r="F794" s="415" t="s">
        <v>4435</v>
      </c>
    </row>
    <row r="795" spans="6:6" x14ac:dyDescent="0.25">
      <c r="F795" s="416" t="s">
        <v>4436</v>
      </c>
    </row>
    <row r="796" spans="6:6" x14ac:dyDescent="0.25">
      <c r="F796" s="416" t="s">
        <v>4437</v>
      </c>
    </row>
    <row r="797" spans="6:6" x14ac:dyDescent="0.25">
      <c r="F797" s="417" t="s">
        <v>4438</v>
      </c>
    </row>
    <row r="798" spans="6:6" x14ac:dyDescent="0.25">
      <c r="F798" s="417" t="s">
        <v>4439</v>
      </c>
    </row>
    <row r="799" spans="6:6" x14ac:dyDescent="0.25">
      <c r="F799" s="417" t="s">
        <v>4440</v>
      </c>
    </row>
    <row r="800" spans="6:6" x14ac:dyDescent="0.25">
      <c r="F800" s="417" t="s">
        <v>4441</v>
      </c>
    </row>
    <row r="801" spans="6:6" x14ac:dyDescent="0.25">
      <c r="F801" s="417" t="s">
        <v>4442</v>
      </c>
    </row>
    <row r="802" spans="6:6" x14ac:dyDescent="0.25">
      <c r="F802" s="417" t="s">
        <v>4443</v>
      </c>
    </row>
    <row r="803" spans="6:6" x14ac:dyDescent="0.25">
      <c r="F803" s="417" t="s">
        <v>4444</v>
      </c>
    </row>
    <row r="804" spans="6:6" x14ac:dyDescent="0.25">
      <c r="F804" s="417" t="s">
        <v>4445</v>
      </c>
    </row>
    <row r="805" spans="6:6" x14ac:dyDescent="0.25">
      <c r="F805" s="417" t="s">
        <v>4446</v>
      </c>
    </row>
    <row r="806" spans="6:6" x14ac:dyDescent="0.25">
      <c r="F806" s="417" t="s">
        <v>4447</v>
      </c>
    </row>
    <row r="807" spans="6:6" x14ac:dyDescent="0.25">
      <c r="F807" s="417" t="s">
        <v>4448</v>
      </c>
    </row>
    <row r="808" spans="6:6" x14ac:dyDescent="0.25">
      <c r="F808" s="417" t="s">
        <v>4449</v>
      </c>
    </row>
    <row r="809" spans="6:6" x14ac:dyDescent="0.25">
      <c r="F809" s="417" t="s">
        <v>4450</v>
      </c>
    </row>
    <row r="810" spans="6:6" x14ac:dyDescent="0.25">
      <c r="F810" s="417" t="s">
        <v>4451</v>
      </c>
    </row>
    <row r="811" spans="6:6" x14ac:dyDescent="0.25">
      <c r="F811" s="417" t="s">
        <v>4452</v>
      </c>
    </row>
    <row r="812" spans="6:6" x14ac:dyDescent="0.25">
      <c r="F812" s="417" t="s">
        <v>4453</v>
      </c>
    </row>
    <row r="813" spans="6:6" x14ac:dyDescent="0.25">
      <c r="F813" s="417" t="s">
        <v>4454</v>
      </c>
    </row>
    <row r="814" spans="6:6" x14ac:dyDescent="0.25">
      <c r="F814" s="417" t="s">
        <v>4455</v>
      </c>
    </row>
    <row r="815" spans="6:6" x14ac:dyDescent="0.25">
      <c r="F815" s="417" t="s">
        <v>4456</v>
      </c>
    </row>
    <row r="816" spans="6:6" x14ac:dyDescent="0.25">
      <c r="F816" s="417" t="s">
        <v>4457</v>
      </c>
    </row>
    <row r="817" spans="6:6" x14ac:dyDescent="0.25">
      <c r="F817" s="417" t="s">
        <v>4458</v>
      </c>
    </row>
    <row r="818" spans="6:6" x14ac:dyDescent="0.25">
      <c r="F818" s="417" t="s">
        <v>4459</v>
      </c>
    </row>
    <row r="819" spans="6:6" x14ac:dyDescent="0.25">
      <c r="F819" s="417" t="s">
        <v>4460</v>
      </c>
    </row>
    <row r="820" spans="6:6" x14ac:dyDescent="0.25">
      <c r="F820" s="417" t="s">
        <v>4461</v>
      </c>
    </row>
    <row r="821" spans="6:6" x14ac:dyDescent="0.25">
      <c r="F821" s="417" t="s">
        <v>4462</v>
      </c>
    </row>
    <row r="822" spans="6:6" x14ac:dyDescent="0.25">
      <c r="F822" s="417" t="s">
        <v>4463</v>
      </c>
    </row>
    <row r="823" spans="6:6" x14ac:dyDescent="0.25">
      <c r="F823" s="417" t="s">
        <v>4464</v>
      </c>
    </row>
    <row r="824" spans="6:6" x14ac:dyDescent="0.25">
      <c r="F824" s="417" t="s">
        <v>4465</v>
      </c>
    </row>
    <row r="825" spans="6:6" x14ac:dyDescent="0.25">
      <c r="F825" s="417" t="s">
        <v>4466</v>
      </c>
    </row>
    <row r="826" spans="6:6" x14ac:dyDescent="0.25">
      <c r="F826" s="417" t="s">
        <v>4467</v>
      </c>
    </row>
    <row r="827" spans="6:6" x14ac:dyDescent="0.25">
      <c r="F827" s="417" t="s">
        <v>4468</v>
      </c>
    </row>
    <row r="828" spans="6:6" x14ac:dyDescent="0.25">
      <c r="F828" s="417" t="s">
        <v>4469</v>
      </c>
    </row>
    <row r="829" spans="6:6" x14ac:dyDescent="0.25">
      <c r="F829" s="417" t="s">
        <v>4470</v>
      </c>
    </row>
    <row r="830" spans="6:6" x14ac:dyDescent="0.25">
      <c r="F830" s="417" t="s">
        <v>4471</v>
      </c>
    </row>
    <row r="831" spans="6:6" x14ac:dyDescent="0.25">
      <c r="F831" s="417" t="s">
        <v>4472</v>
      </c>
    </row>
    <row r="832" spans="6:6" x14ac:dyDescent="0.25">
      <c r="F832" s="417" t="s">
        <v>4473</v>
      </c>
    </row>
    <row r="833" spans="6:6" x14ac:dyDescent="0.25">
      <c r="F833" s="417" t="s">
        <v>4474</v>
      </c>
    </row>
    <row r="834" spans="6:6" x14ac:dyDescent="0.25">
      <c r="F834" s="417" t="s">
        <v>4475</v>
      </c>
    </row>
    <row r="835" spans="6:6" x14ac:dyDescent="0.25">
      <c r="F835" s="417" t="s">
        <v>4476</v>
      </c>
    </row>
    <row r="836" spans="6:6" x14ac:dyDescent="0.25">
      <c r="F836" s="417" t="s">
        <v>4477</v>
      </c>
    </row>
    <row r="837" spans="6:6" x14ac:dyDescent="0.25">
      <c r="F837" s="417" t="s">
        <v>4478</v>
      </c>
    </row>
    <row r="838" spans="6:6" x14ac:dyDescent="0.25">
      <c r="F838" s="417" t="s">
        <v>4479</v>
      </c>
    </row>
    <row r="839" spans="6:6" x14ac:dyDescent="0.25">
      <c r="F839" s="417" t="s">
        <v>4480</v>
      </c>
    </row>
    <row r="840" spans="6:6" x14ac:dyDescent="0.25">
      <c r="F840" s="417" t="s">
        <v>4481</v>
      </c>
    </row>
    <row r="841" spans="6:6" x14ac:dyDescent="0.25">
      <c r="F841" s="417" t="s">
        <v>4482</v>
      </c>
    </row>
    <row r="842" spans="6:6" x14ac:dyDescent="0.25">
      <c r="F842" s="417" t="s">
        <v>4483</v>
      </c>
    </row>
    <row r="843" spans="6:6" x14ac:dyDescent="0.25">
      <c r="F843" s="417" t="s">
        <v>4484</v>
      </c>
    </row>
    <row r="844" spans="6:6" x14ac:dyDescent="0.25">
      <c r="F844" s="417" t="s">
        <v>4485</v>
      </c>
    </row>
    <row r="845" spans="6:6" x14ac:dyDescent="0.25">
      <c r="F845" s="417" t="s">
        <v>4486</v>
      </c>
    </row>
    <row r="846" spans="6:6" x14ac:dyDescent="0.25">
      <c r="F846" s="417" t="s">
        <v>4487</v>
      </c>
    </row>
    <row r="847" spans="6:6" x14ac:dyDescent="0.25">
      <c r="F847" s="417" t="s">
        <v>4488</v>
      </c>
    </row>
    <row r="848" spans="6:6" x14ac:dyDescent="0.25">
      <c r="F848" s="417" t="s">
        <v>4489</v>
      </c>
    </row>
    <row r="849" spans="6:6" x14ac:dyDescent="0.25">
      <c r="F849" s="417" t="s">
        <v>4490</v>
      </c>
    </row>
    <row r="850" spans="6:6" x14ac:dyDescent="0.25">
      <c r="F850" s="417" t="s">
        <v>4491</v>
      </c>
    </row>
    <row r="851" spans="6:6" x14ac:dyDescent="0.25">
      <c r="F851" s="417" t="s">
        <v>4492</v>
      </c>
    </row>
    <row r="852" spans="6:6" x14ac:dyDescent="0.25">
      <c r="F852" s="417" t="s">
        <v>4493</v>
      </c>
    </row>
    <row r="853" spans="6:6" x14ac:dyDescent="0.25">
      <c r="F853" s="417" t="s">
        <v>4494</v>
      </c>
    </row>
    <row r="854" spans="6:6" x14ac:dyDescent="0.25">
      <c r="F854" s="417" t="s">
        <v>4495</v>
      </c>
    </row>
    <row r="855" spans="6:6" x14ac:dyDescent="0.25">
      <c r="F855" s="417" t="s">
        <v>4496</v>
      </c>
    </row>
    <row r="856" spans="6:6" x14ac:dyDescent="0.25">
      <c r="F856" s="417" t="s">
        <v>4497</v>
      </c>
    </row>
    <row r="857" spans="6:6" x14ac:dyDescent="0.25">
      <c r="F857" s="417" t="s">
        <v>4498</v>
      </c>
    </row>
    <row r="858" spans="6:6" x14ac:dyDescent="0.25">
      <c r="F858" s="418" t="s">
        <v>4499</v>
      </c>
    </row>
    <row r="859" spans="6:6" x14ac:dyDescent="0.25">
      <c r="F859" s="418" t="s">
        <v>4500</v>
      </c>
    </row>
    <row r="860" spans="6:6" x14ac:dyDescent="0.25">
      <c r="F860" s="418" t="s">
        <v>4501</v>
      </c>
    </row>
    <row r="861" spans="6:6" x14ac:dyDescent="0.25">
      <c r="F861" s="418" t="s">
        <v>4502</v>
      </c>
    </row>
    <row r="862" spans="6:6" x14ac:dyDescent="0.25">
      <c r="F862" s="418" t="s">
        <v>4503</v>
      </c>
    </row>
    <row r="863" spans="6:6" x14ac:dyDescent="0.25">
      <c r="F863" s="418" t="s">
        <v>4504</v>
      </c>
    </row>
    <row r="864" spans="6:6" x14ac:dyDescent="0.25">
      <c r="F864" s="418" t="s">
        <v>4505</v>
      </c>
    </row>
    <row r="865" spans="6:6" x14ac:dyDescent="0.25">
      <c r="F865" s="418" t="s">
        <v>4506</v>
      </c>
    </row>
    <row r="866" spans="6:6" x14ac:dyDescent="0.25">
      <c r="F866" s="417" t="s">
        <v>4507</v>
      </c>
    </row>
    <row r="867" spans="6:6" x14ac:dyDescent="0.25">
      <c r="F867" s="417" t="s">
        <v>4508</v>
      </c>
    </row>
    <row r="868" spans="6:6" x14ac:dyDescent="0.25">
      <c r="F868" s="417" t="s">
        <v>4509</v>
      </c>
    </row>
    <row r="869" spans="6:6" x14ac:dyDescent="0.25">
      <c r="F869" s="417" t="s">
        <v>4510</v>
      </c>
    </row>
    <row r="870" spans="6:6" x14ac:dyDescent="0.25">
      <c r="F870" s="417" t="s">
        <v>4511</v>
      </c>
    </row>
    <row r="871" spans="6:6" x14ac:dyDescent="0.25">
      <c r="F871" s="417" t="s">
        <v>4512</v>
      </c>
    </row>
    <row r="872" spans="6:6" x14ac:dyDescent="0.25">
      <c r="F872" s="417" t="s">
        <v>4513</v>
      </c>
    </row>
    <row r="873" spans="6:6" x14ac:dyDescent="0.25">
      <c r="F873" s="417" t="s">
        <v>4514</v>
      </c>
    </row>
    <row r="874" spans="6:6" x14ac:dyDescent="0.25">
      <c r="F874" s="417" t="s">
        <v>4515</v>
      </c>
    </row>
    <row r="875" spans="6:6" x14ac:dyDescent="0.25">
      <c r="F875" s="417" t="s">
        <v>4516</v>
      </c>
    </row>
    <row r="876" spans="6:6" x14ac:dyDescent="0.25">
      <c r="F876" s="417" t="s">
        <v>4517</v>
      </c>
    </row>
    <row r="877" spans="6:6" x14ac:dyDescent="0.25">
      <c r="F877" s="417" t="s">
        <v>4518</v>
      </c>
    </row>
    <row r="878" spans="6:6" x14ac:dyDescent="0.25">
      <c r="F878" s="417" t="s">
        <v>4519</v>
      </c>
    </row>
    <row r="879" spans="6:6" x14ac:dyDescent="0.25">
      <c r="F879" s="419" t="s">
        <v>4520</v>
      </c>
    </row>
    <row r="880" spans="6:6" x14ac:dyDescent="0.25">
      <c r="F880" s="417" t="s">
        <v>4521</v>
      </c>
    </row>
    <row r="881" spans="6:6" x14ac:dyDescent="0.25">
      <c r="F881" s="417" t="s">
        <v>4522</v>
      </c>
    </row>
    <row r="882" spans="6:6" x14ac:dyDescent="0.25">
      <c r="F882" s="417" t="s">
        <v>4523</v>
      </c>
    </row>
    <row r="883" spans="6:6" x14ac:dyDescent="0.25">
      <c r="F883" s="417" t="s">
        <v>4524</v>
      </c>
    </row>
    <row r="884" spans="6:6" x14ac:dyDescent="0.25">
      <c r="F884" s="417" t="s">
        <v>4525</v>
      </c>
    </row>
    <row r="885" spans="6:6" x14ac:dyDescent="0.25">
      <c r="F885" s="417" t="s">
        <v>4526</v>
      </c>
    </row>
    <row r="886" spans="6:6" x14ac:dyDescent="0.25">
      <c r="F886" s="417" t="s">
        <v>4527</v>
      </c>
    </row>
    <row r="887" spans="6:6" x14ac:dyDescent="0.25">
      <c r="F887" s="418" t="s">
        <v>4528</v>
      </c>
    </row>
    <row r="888" spans="6:6" x14ac:dyDescent="0.25">
      <c r="F888" s="418" t="s">
        <v>4529</v>
      </c>
    </row>
    <row r="889" spans="6:6" x14ac:dyDescent="0.25">
      <c r="F889" s="418" t="s">
        <v>4530</v>
      </c>
    </row>
    <row r="890" spans="6:6" x14ac:dyDescent="0.25">
      <c r="F890" s="418" t="s">
        <v>4531</v>
      </c>
    </row>
    <row r="891" spans="6:6" x14ac:dyDescent="0.25">
      <c r="F891" s="418" t="s">
        <v>4532</v>
      </c>
    </row>
    <row r="892" spans="6:6" x14ac:dyDescent="0.25">
      <c r="F892" s="418" t="s">
        <v>4533</v>
      </c>
    </row>
    <row r="893" spans="6:6" x14ac:dyDescent="0.25">
      <c r="F893" s="418" t="s">
        <v>4534</v>
      </c>
    </row>
    <row r="894" spans="6:6" x14ac:dyDescent="0.25">
      <c r="F894" s="418" t="s">
        <v>4535</v>
      </c>
    </row>
    <row r="895" spans="6:6" x14ac:dyDescent="0.25">
      <c r="F895" s="418" t="s">
        <v>4536</v>
      </c>
    </row>
    <row r="896" spans="6:6" x14ac:dyDescent="0.25">
      <c r="F896" s="418" t="s">
        <v>4537</v>
      </c>
    </row>
    <row r="897" spans="6:6" x14ac:dyDescent="0.25">
      <c r="F897" s="418" t="s">
        <v>4538</v>
      </c>
    </row>
    <row r="898" spans="6:6" x14ac:dyDescent="0.25">
      <c r="F898" s="418" t="s">
        <v>4539</v>
      </c>
    </row>
    <row r="899" spans="6:6" x14ac:dyDescent="0.25">
      <c r="F899" s="418" t="s">
        <v>4540</v>
      </c>
    </row>
    <row r="900" spans="6:6" x14ac:dyDescent="0.25">
      <c r="F900" s="418" t="s">
        <v>4541</v>
      </c>
    </row>
    <row r="901" spans="6:6" x14ac:dyDescent="0.25">
      <c r="F901" s="418" t="s">
        <v>4542</v>
      </c>
    </row>
    <row r="902" spans="6:6" x14ac:dyDescent="0.25">
      <c r="F902" s="418" t="s">
        <v>4543</v>
      </c>
    </row>
    <row r="903" spans="6:6" x14ac:dyDescent="0.25">
      <c r="F903" s="418" t="s">
        <v>4544</v>
      </c>
    </row>
    <row r="904" spans="6:6" x14ac:dyDescent="0.25">
      <c r="F904" s="418" t="s">
        <v>4545</v>
      </c>
    </row>
    <row r="905" spans="6:6" x14ac:dyDescent="0.25">
      <c r="F905" s="417" t="s">
        <v>4546</v>
      </c>
    </row>
    <row r="906" spans="6:6" x14ac:dyDescent="0.25">
      <c r="F906" s="417" t="s">
        <v>4547</v>
      </c>
    </row>
    <row r="907" spans="6:6" x14ac:dyDescent="0.25">
      <c r="F907" s="417" t="s">
        <v>4548</v>
      </c>
    </row>
    <row r="908" spans="6:6" x14ac:dyDescent="0.25">
      <c r="F908" s="417" t="s">
        <v>4549</v>
      </c>
    </row>
    <row r="909" spans="6:6" x14ac:dyDescent="0.25">
      <c r="F909" s="417" t="s">
        <v>4550</v>
      </c>
    </row>
    <row r="910" spans="6:6" x14ac:dyDescent="0.25">
      <c r="F910" s="417" t="s">
        <v>4551</v>
      </c>
    </row>
    <row r="911" spans="6:6" x14ac:dyDescent="0.25">
      <c r="F911" s="417" t="s">
        <v>4552</v>
      </c>
    </row>
    <row r="912" spans="6:6" x14ac:dyDescent="0.25">
      <c r="F912" s="417" t="s">
        <v>4553</v>
      </c>
    </row>
    <row r="913" spans="6:6" x14ac:dyDescent="0.25">
      <c r="F913" s="417" t="s">
        <v>4554</v>
      </c>
    </row>
    <row r="914" spans="6:6" x14ac:dyDescent="0.25">
      <c r="F914" s="417" t="s">
        <v>4555</v>
      </c>
    </row>
    <row r="915" spans="6:6" x14ac:dyDescent="0.25">
      <c r="F915" s="417" t="s">
        <v>4556</v>
      </c>
    </row>
    <row r="916" spans="6:6" x14ac:dyDescent="0.25">
      <c r="F916" s="417" t="s">
        <v>4557</v>
      </c>
    </row>
    <row r="917" spans="6:6" x14ac:dyDescent="0.25">
      <c r="F917" s="417" t="s">
        <v>4558</v>
      </c>
    </row>
    <row r="918" spans="6:6" x14ac:dyDescent="0.25">
      <c r="F918" s="417" t="s">
        <v>4559</v>
      </c>
    </row>
    <row r="919" spans="6:6" x14ac:dyDescent="0.25">
      <c r="F919" s="417" t="s">
        <v>4560</v>
      </c>
    </row>
    <row r="920" spans="6:6" x14ac:dyDescent="0.25">
      <c r="F920" s="417" t="s">
        <v>4561</v>
      </c>
    </row>
    <row r="921" spans="6:6" x14ac:dyDescent="0.25">
      <c r="F921" s="417" t="s">
        <v>4562</v>
      </c>
    </row>
    <row r="922" spans="6:6" x14ac:dyDescent="0.25">
      <c r="F922" s="417" t="s">
        <v>4563</v>
      </c>
    </row>
    <row r="923" spans="6:6" x14ac:dyDescent="0.25">
      <c r="F923" s="417" t="s">
        <v>4564</v>
      </c>
    </row>
    <row r="924" spans="6:6" x14ac:dyDescent="0.25">
      <c r="F924" s="417" t="s">
        <v>4565</v>
      </c>
    </row>
    <row r="925" spans="6:6" x14ac:dyDescent="0.25">
      <c r="F925" s="417" t="s">
        <v>4566</v>
      </c>
    </row>
    <row r="926" spans="6:6" x14ac:dyDescent="0.25">
      <c r="F926" s="417" t="s">
        <v>4567</v>
      </c>
    </row>
    <row r="927" spans="6:6" x14ac:dyDescent="0.25">
      <c r="F927" s="417" t="s">
        <v>4568</v>
      </c>
    </row>
    <row r="928" spans="6:6" x14ac:dyDescent="0.25">
      <c r="F928" s="417" t="s">
        <v>4569</v>
      </c>
    </row>
    <row r="929" spans="6:6" x14ac:dyDescent="0.25">
      <c r="F929" s="417" t="s">
        <v>4570</v>
      </c>
    </row>
    <row r="930" spans="6:6" x14ac:dyDescent="0.25">
      <c r="F930" s="417" t="s">
        <v>4571</v>
      </c>
    </row>
    <row r="931" spans="6:6" x14ac:dyDescent="0.25">
      <c r="F931" s="417" t="s">
        <v>4572</v>
      </c>
    </row>
    <row r="932" spans="6:6" x14ac:dyDescent="0.25">
      <c r="F932" s="417" t="s">
        <v>4573</v>
      </c>
    </row>
    <row r="933" spans="6:6" x14ac:dyDescent="0.25">
      <c r="F933" s="417" t="s">
        <v>4574</v>
      </c>
    </row>
    <row r="934" spans="6:6" x14ac:dyDescent="0.25">
      <c r="F934" s="417" t="s">
        <v>4575</v>
      </c>
    </row>
    <row r="935" spans="6:6" x14ac:dyDescent="0.25">
      <c r="F935" s="417" t="s">
        <v>4576</v>
      </c>
    </row>
    <row r="936" spans="6:6" x14ac:dyDescent="0.25">
      <c r="F936" s="417" t="s">
        <v>4577</v>
      </c>
    </row>
    <row r="937" spans="6:6" x14ac:dyDescent="0.25">
      <c r="F937" s="417" t="s">
        <v>4578</v>
      </c>
    </row>
    <row r="938" spans="6:6" x14ac:dyDescent="0.25">
      <c r="F938" s="417" t="s">
        <v>4579</v>
      </c>
    </row>
    <row r="939" spans="6:6" x14ac:dyDescent="0.25">
      <c r="F939" s="417" t="s">
        <v>4580</v>
      </c>
    </row>
    <row r="940" spans="6:6" x14ac:dyDescent="0.25">
      <c r="F940" s="417" t="s">
        <v>4581</v>
      </c>
    </row>
    <row r="941" spans="6:6" x14ac:dyDescent="0.25">
      <c r="F941" s="417" t="s">
        <v>4582</v>
      </c>
    </row>
    <row r="942" spans="6:6" x14ac:dyDescent="0.25">
      <c r="F942" s="417" t="s">
        <v>4583</v>
      </c>
    </row>
    <row r="943" spans="6:6" x14ac:dyDescent="0.25">
      <c r="F943" s="417" t="s">
        <v>4584</v>
      </c>
    </row>
    <row r="944" spans="6:6" x14ac:dyDescent="0.25">
      <c r="F944" s="417" t="s">
        <v>4585</v>
      </c>
    </row>
    <row r="945" spans="6:6" x14ac:dyDescent="0.25">
      <c r="F945" s="417" t="s">
        <v>4586</v>
      </c>
    </row>
    <row r="946" spans="6:6" x14ac:dyDescent="0.25">
      <c r="F946" s="417" t="s">
        <v>4587</v>
      </c>
    </row>
    <row r="947" spans="6:6" x14ac:dyDescent="0.25">
      <c r="F947" s="417" t="s">
        <v>4588</v>
      </c>
    </row>
    <row r="948" spans="6:6" x14ac:dyDescent="0.25">
      <c r="F948" s="417" t="s">
        <v>4589</v>
      </c>
    </row>
    <row r="949" spans="6:6" x14ac:dyDescent="0.25">
      <c r="F949" s="417" t="s">
        <v>4590</v>
      </c>
    </row>
    <row r="950" spans="6:6" x14ac:dyDescent="0.25">
      <c r="F950" s="417" t="s">
        <v>4591</v>
      </c>
    </row>
    <row r="951" spans="6:6" x14ac:dyDescent="0.25">
      <c r="F951" s="417" t="s">
        <v>4592</v>
      </c>
    </row>
    <row r="952" spans="6:6" x14ac:dyDescent="0.25">
      <c r="F952" s="417" t="s">
        <v>4593</v>
      </c>
    </row>
    <row r="953" spans="6:6" x14ac:dyDescent="0.25">
      <c r="F953" s="417" t="s">
        <v>4594</v>
      </c>
    </row>
    <row r="954" spans="6:6" x14ac:dyDescent="0.25">
      <c r="F954" s="417" t="s">
        <v>4595</v>
      </c>
    </row>
    <row r="955" spans="6:6" x14ac:dyDescent="0.25">
      <c r="F955" s="417" t="s">
        <v>4596</v>
      </c>
    </row>
    <row r="956" spans="6:6" x14ac:dyDescent="0.25">
      <c r="F956" s="417" t="s">
        <v>4597</v>
      </c>
    </row>
    <row r="957" spans="6:6" x14ac:dyDescent="0.25">
      <c r="F957" s="417" t="s">
        <v>4598</v>
      </c>
    </row>
    <row r="958" spans="6:6" x14ac:dyDescent="0.25">
      <c r="F958" s="417" t="s">
        <v>4599</v>
      </c>
    </row>
    <row r="959" spans="6:6" x14ac:dyDescent="0.25">
      <c r="F959" s="417" t="s">
        <v>4600</v>
      </c>
    </row>
    <row r="960" spans="6:6" x14ac:dyDescent="0.25">
      <c r="F960" s="417" t="s">
        <v>4601</v>
      </c>
    </row>
    <row r="961" spans="6:6" x14ac:dyDescent="0.25">
      <c r="F961" s="417" t="s">
        <v>4602</v>
      </c>
    </row>
    <row r="962" spans="6:6" x14ac:dyDescent="0.25">
      <c r="F962" s="417" t="s">
        <v>4603</v>
      </c>
    </row>
    <row r="963" spans="6:6" x14ac:dyDescent="0.25">
      <c r="F963" s="417" t="s">
        <v>4604</v>
      </c>
    </row>
    <row r="964" spans="6:6" x14ac:dyDescent="0.25">
      <c r="F964" s="417" t="s">
        <v>4605</v>
      </c>
    </row>
    <row r="965" spans="6:6" x14ac:dyDescent="0.25">
      <c r="F965" s="417" t="s">
        <v>4606</v>
      </c>
    </row>
    <row r="966" spans="6:6" x14ac:dyDescent="0.25">
      <c r="F966" s="417" t="s">
        <v>4607</v>
      </c>
    </row>
    <row r="967" spans="6:6" x14ac:dyDescent="0.25">
      <c r="F967" s="420" t="s">
        <v>4608</v>
      </c>
    </row>
    <row r="968" spans="6:6" x14ac:dyDescent="0.25">
      <c r="F968" s="420" t="s">
        <v>4609</v>
      </c>
    </row>
    <row r="969" spans="6:6" x14ac:dyDescent="0.25">
      <c r="F969" s="417" t="s">
        <v>4610</v>
      </c>
    </row>
    <row r="970" spans="6:6" x14ac:dyDescent="0.25">
      <c r="F970" s="417" t="s">
        <v>4611</v>
      </c>
    </row>
    <row r="971" spans="6:6" x14ac:dyDescent="0.25">
      <c r="F971" s="417" t="s">
        <v>4612</v>
      </c>
    </row>
    <row r="972" spans="6:6" x14ac:dyDescent="0.25">
      <c r="F972" s="417" t="s">
        <v>4613</v>
      </c>
    </row>
    <row r="973" spans="6:6" x14ac:dyDescent="0.25">
      <c r="F973" s="417" t="s">
        <v>4614</v>
      </c>
    </row>
    <row r="974" spans="6:6" x14ac:dyDescent="0.25">
      <c r="F974" s="417" t="s">
        <v>4615</v>
      </c>
    </row>
    <row r="975" spans="6:6" x14ac:dyDescent="0.25">
      <c r="F975" s="417" t="s">
        <v>4616</v>
      </c>
    </row>
    <row r="976" spans="6:6" x14ac:dyDescent="0.25">
      <c r="F976" s="417" t="s">
        <v>4617</v>
      </c>
    </row>
    <row r="977" spans="6:6" x14ac:dyDescent="0.25">
      <c r="F977" s="417" t="s">
        <v>4618</v>
      </c>
    </row>
    <row r="978" spans="6:6" x14ac:dyDescent="0.25">
      <c r="F978" s="417" t="s">
        <v>4619</v>
      </c>
    </row>
    <row r="979" spans="6:6" x14ac:dyDescent="0.25">
      <c r="F979" s="417" t="s">
        <v>4620</v>
      </c>
    </row>
    <row r="980" spans="6:6" x14ac:dyDescent="0.25">
      <c r="F980" s="417" t="s">
        <v>4621</v>
      </c>
    </row>
    <row r="981" spans="6:6" x14ac:dyDescent="0.25">
      <c r="F981" s="417" t="s">
        <v>4622</v>
      </c>
    </row>
    <row r="982" spans="6:6" x14ac:dyDescent="0.25">
      <c r="F982" s="417" t="s">
        <v>4623</v>
      </c>
    </row>
    <row r="983" spans="6:6" x14ac:dyDescent="0.25">
      <c r="F983" s="417" t="s">
        <v>4624</v>
      </c>
    </row>
    <row r="984" spans="6:6" x14ac:dyDescent="0.25">
      <c r="F984" s="417" t="s">
        <v>4625</v>
      </c>
    </row>
    <row r="985" spans="6:6" x14ac:dyDescent="0.25">
      <c r="F985" s="417" t="s">
        <v>4626</v>
      </c>
    </row>
    <row r="986" spans="6:6" x14ac:dyDescent="0.25">
      <c r="F986" s="417" t="s">
        <v>4627</v>
      </c>
    </row>
    <row r="987" spans="6:6" x14ac:dyDescent="0.25">
      <c r="F987" s="417" t="s">
        <v>4628</v>
      </c>
    </row>
    <row r="988" spans="6:6" x14ac:dyDescent="0.25">
      <c r="F988" s="417" t="s">
        <v>4629</v>
      </c>
    </row>
    <row r="989" spans="6:6" x14ac:dyDescent="0.25">
      <c r="F989" s="417" t="s">
        <v>4630</v>
      </c>
    </row>
    <row r="990" spans="6:6" x14ac:dyDescent="0.25">
      <c r="F990" s="417" t="s">
        <v>4631</v>
      </c>
    </row>
    <row r="991" spans="6:6" x14ac:dyDescent="0.25">
      <c r="F991" s="417" t="s">
        <v>4632</v>
      </c>
    </row>
    <row r="992" spans="6:6" x14ac:dyDescent="0.25">
      <c r="F992" s="417" t="s">
        <v>4633</v>
      </c>
    </row>
    <row r="993" spans="6:6" x14ac:dyDescent="0.25">
      <c r="F993" s="417" t="s">
        <v>4634</v>
      </c>
    </row>
    <row r="994" spans="6:6" x14ac:dyDescent="0.25">
      <c r="F994" s="417" t="s">
        <v>4635</v>
      </c>
    </row>
    <row r="995" spans="6:6" x14ac:dyDescent="0.25">
      <c r="F995" s="417" t="s">
        <v>4636</v>
      </c>
    </row>
    <row r="996" spans="6:6" x14ac:dyDescent="0.25">
      <c r="F996" s="417" t="s">
        <v>4637</v>
      </c>
    </row>
    <row r="997" spans="6:6" x14ac:dyDescent="0.25">
      <c r="F997" s="417" t="s">
        <v>4638</v>
      </c>
    </row>
    <row r="998" spans="6:6" x14ac:dyDescent="0.25">
      <c r="F998" s="417" t="s">
        <v>4639</v>
      </c>
    </row>
    <row r="999" spans="6:6" x14ac:dyDescent="0.25">
      <c r="F999" s="417" t="s">
        <v>4640</v>
      </c>
    </row>
    <row r="1000" spans="6:6" x14ac:dyDescent="0.25">
      <c r="F1000" s="417" t="s">
        <v>4641</v>
      </c>
    </row>
    <row r="1001" spans="6:6" x14ac:dyDescent="0.25">
      <c r="F1001" s="417" t="s">
        <v>4642</v>
      </c>
    </row>
    <row r="1002" spans="6:6" x14ac:dyDescent="0.25">
      <c r="F1002" s="417" t="s">
        <v>4643</v>
      </c>
    </row>
    <row r="1003" spans="6:6" x14ac:dyDescent="0.25">
      <c r="F1003" s="421" t="s">
        <v>4644</v>
      </c>
    </row>
    <row r="1004" spans="6:6" x14ac:dyDescent="0.25">
      <c r="F1004" s="421" t="s">
        <v>4645</v>
      </c>
    </row>
    <row r="1005" spans="6:6" x14ac:dyDescent="0.25">
      <c r="F1005" s="421" t="s">
        <v>4646</v>
      </c>
    </row>
    <row r="1006" spans="6:6" x14ac:dyDescent="0.25">
      <c r="F1006" s="421" t="s">
        <v>4647</v>
      </c>
    </row>
    <row r="1007" spans="6:6" x14ac:dyDescent="0.25">
      <c r="F1007" s="421" t="s">
        <v>4648</v>
      </c>
    </row>
    <row r="1008" spans="6:6" x14ac:dyDescent="0.25">
      <c r="F1008" s="417" t="s">
        <v>4649</v>
      </c>
    </row>
    <row r="1009" spans="6:6" x14ac:dyDescent="0.25">
      <c r="F1009" s="417" t="s">
        <v>4650</v>
      </c>
    </row>
    <row r="1010" spans="6:6" x14ac:dyDescent="0.25">
      <c r="F1010" s="417" t="s">
        <v>4651</v>
      </c>
    </row>
    <row r="1011" spans="6:6" x14ac:dyDescent="0.25">
      <c r="F1011" s="417" t="s">
        <v>4652</v>
      </c>
    </row>
    <row r="1012" spans="6:6" x14ac:dyDescent="0.25">
      <c r="F1012" s="417" t="s">
        <v>4653</v>
      </c>
    </row>
    <row r="1013" spans="6:6" x14ac:dyDescent="0.25">
      <c r="F1013" s="417" t="s">
        <v>4654</v>
      </c>
    </row>
    <row r="1014" spans="6:6" x14ac:dyDescent="0.25">
      <c r="F1014" s="417" t="s">
        <v>4655</v>
      </c>
    </row>
    <row r="1015" spans="6:6" x14ac:dyDescent="0.25">
      <c r="F1015" s="417" t="s">
        <v>4656</v>
      </c>
    </row>
    <row r="1016" spans="6:6" x14ac:dyDescent="0.25">
      <c r="F1016" s="417" t="s">
        <v>4657</v>
      </c>
    </row>
    <row r="1017" spans="6:6" x14ac:dyDescent="0.25">
      <c r="F1017" s="417" t="s">
        <v>4658</v>
      </c>
    </row>
    <row r="1018" spans="6:6" x14ac:dyDescent="0.25">
      <c r="F1018" s="417" t="s">
        <v>4659</v>
      </c>
    </row>
    <row r="1019" spans="6:6" x14ac:dyDescent="0.25">
      <c r="F1019" s="417" t="s">
        <v>4660</v>
      </c>
    </row>
    <row r="1020" spans="6:6" x14ac:dyDescent="0.25">
      <c r="F1020" s="417" t="s">
        <v>4661</v>
      </c>
    </row>
    <row r="1021" spans="6:6" x14ac:dyDescent="0.25">
      <c r="F1021" s="417" t="s">
        <v>4662</v>
      </c>
    </row>
    <row r="1022" spans="6:6" x14ac:dyDescent="0.25">
      <c r="F1022" s="417" t="s">
        <v>4663</v>
      </c>
    </row>
    <row r="1023" spans="6:6" x14ac:dyDescent="0.25">
      <c r="F1023" s="417" t="s">
        <v>4664</v>
      </c>
    </row>
    <row r="1024" spans="6:6" x14ac:dyDescent="0.25">
      <c r="F1024" s="417" t="s">
        <v>4665</v>
      </c>
    </row>
    <row r="1025" spans="6:6" x14ac:dyDescent="0.25">
      <c r="F1025" s="417" t="s">
        <v>4666</v>
      </c>
    </row>
    <row r="1026" spans="6:6" x14ac:dyDescent="0.25">
      <c r="F1026" s="417" t="s">
        <v>4667</v>
      </c>
    </row>
    <row r="1027" spans="6:6" x14ac:dyDescent="0.25">
      <c r="F1027" s="417" t="s">
        <v>4668</v>
      </c>
    </row>
    <row r="1028" spans="6:6" x14ac:dyDescent="0.25">
      <c r="F1028" s="417" t="s">
        <v>4669</v>
      </c>
    </row>
    <row r="1029" spans="6:6" x14ac:dyDescent="0.25">
      <c r="F1029" s="417" t="s">
        <v>4670</v>
      </c>
    </row>
    <row r="1030" spans="6:6" x14ac:dyDescent="0.25">
      <c r="F1030" s="417" t="s">
        <v>4671</v>
      </c>
    </row>
    <row r="1031" spans="6:6" x14ac:dyDescent="0.25">
      <c r="F1031" s="417" t="s">
        <v>4672</v>
      </c>
    </row>
    <row r="1032" spans="6:6" x14ac:dyDescent="0.25">
      <c r="F1032" s="417" t="s">
        <v>4673</v>
      </c>
    </row>
    <row r="1033" spans="6:6" x14ac:dyDescent="0.25">
      <c r="F1033" s="417" t="s">
        <v>4674</v>
      </c>
    </row>
    <row r="1034" spans="6:6" x14ac:dyDescent="0.25">
      <c r="F1034" s="418" t="s">
        <v>4675</v>
      </c>
    </row>
    <row r="1035" spans="6:6" x14ac:dyDescent="0.25">
      <c r="F1035" s="417" t="s">
        <v>4676</v>
      </c>
    </row>
    <row r="1036" spans="6:6" x14ac:dyDescent="0.25">
      <c r="F1036" s="417" t="s">
        <v>4677</v>
      </c>
    </row>
    <row r="1037" spans="6:6" x14ac:dyDescent="0.25">
      <c r="F1037" s="417" t="s">
        <v>4678</v>
      </c>
    </row>
    <row r="1038" spans="6:6" x14ac:dyDescent="0.25">
      <c r="F1038" s="348" t="s">
        <v>4679</v>
      </c>
    </row>
    <row r="1039" spans="6:6" x14ac:dyDescent="0.25">
      <c r="F1039" s="417" t="s">
        <v>4680</v>
      </c>
    </row>
    <row r="1040" spans="6:6" x14ac:dyDescent="0.25">
      <c r="F1040" s="417" t="s">
        <v>4681</v>
      </c>
    </row>
    <row r="1041" spans="6:6" x14ac:dyDescent="0.25">
      <c r="F1041" s="417" t="s">
        <v>4682</v>
      </c>
    </row>
    <row r="1042" spans="6:6" x14ac:dyDescent="0.25">
      <c r="F1042" s="417" t="s">
        <v>4683</v>
      </c>
    </row>
    <row r="1043" spans="6:6" x14ac:dyDescent="0.25">
      <c r="F1043" s="417" t="s">
        <v>4684</v>
      </c>
    </row>
    <row r="1044" spans="6:6" x14ac:dyDescent="0.25">
      <c r="F1044" s="417" t="s">
        <v>4685</v>
      </c>
    </row>
    <row r="1045" spans="6:6" x14ac:dyDescent="0.25">
      <c r="F1045" s="417" t="s">
        <v>4686</v>
      </c>
    </row>
    <row r="1046" spans="6:6" x14ac:dyDescent="0.25">
      <c r="F1046" s="417" t="s">
        <v>4687</v>
      </c>
    </row>
    <row r="1047" spans="6:6" x14ac:dyDescent="0.25">
      <c r="F1047" s="417" t="s">
        <v>4688</v>
      </c>
    </row>
    <row r="1048" spans="6:6" x14ac:dyDescent="0.25">
      <c r="F1048" s="417" t="s">
        <v>4689</v>
      </c>
    </row>
    <row r="1049" spans="6:6" x14ac:dyDescent="0.25">
      <c r="F1049" s="417" t="s">
        <v>4690</v>
      </c>
    </row>
    <row r="1050" spans="6:6" x14ac:dyDescent="0.25">
      <c r="F1050" s="417" t="s">
        <v>4691</v>
      </c>
    </row>
    <row r="1051" spans="6:6" x14ac:dyDescent="0.25">
      <c r="F1051" s="417" t="s">
        <v>4692</v>
      </c>
    </row>
    <row r="1052" spans="6:6" x14ac:dyDescent="0.25">
      <c r="F1052" s="417" t="s">
        <v>4693</v>
      </c>
    </row>
    <row r="1053" spans="6:6" x14ac:dyDescent="0.25">
      <c r="F1053" s="417" t="s">
        <v>4694</v>
      </c>
    </row>
    <row r="1054" spans="6:6" x14ac:dyDescent="0.25">
      <c r="F1054" s="417" t="s">
        <v>4695</v>
      </c>
    </row>
    <row r="1055" spans="6:6" x14ac:dyDescent="0.25">
      <c r="F1055" s="417" t="s">
        <v>4696</v>
      </c>
    </row>
    <row r="1056" spans="6:6" x14ac:dyDescent="0.25">
      <c r="F1056" s="417" t="s">
        <v>4697</v>
      </c>
    </row>
    <row r="1057" spans="6:6" x14ac:dyDescent="0.25">
      <c r="F1057" s="417" t="s">
        <v>4698</v>
      </c>
    </row>
    <row r="1058" spans="6:6" x14ac:dyDescent="0.25">
      <c r="F1058" s="417" t="s">
        <v>4699</v>
      </c>
    </row>
    <row r="1059" spans="6:6" x14ac:dyDescent="0.25">
      <c r="F1059" s="417" t="s">
        <v>4700</v>
      </c>
    </row>
    <row r="1060" spans="6:6" x14ac:dyDescent="0.25">
      <c r="F1060" s="417" t="s">
        <v>4701</v>
      </c>
    </row>
    <row r="1061" spans="6:6" x14ac:dyDescent="0.25">
      <c r="F1061" s="417" t="s">
        <v>4702</v>
      </c>
    </row>
    <row r="1062" spans="6:6" x14ac:dyDescent="0.25">
      <c r="F1062" s="417" t="s">
        <v>4703</v>
      </c>
    </row>
    <row r="1063" spans="6:6" x14ac:dyDescent="0.25">
      <c r="F1063" s="416" t="s">
        <v>4704</v>
      </c>
    </row>
    <row r="1064" spans="6:6" x14ac:dyDescent="0.25">
      <c r="F1064" s="417" t="s">
        <v>4705</v>
      </c>
    </row>
    <row r="1065" spans="6:6" x14ac:dyDescent="0.25">
      <c r="F1065" s="417" t="s">
        <v>4706</v>
      </c>
    </row>
    <row r="1066" spans="6:6" x14ac:dyDescent="0.25">
      <c r="F1066" s="417" t="s">
        <v>4707</v>
      </c>
    </row>
    <row r="1067" spans="6:6" x14ac:dyDescent="0.25">
      <c r="F1067" s="417" t="s">
        <v>4708</v>
      </c>
    </row>
    <row r="1068" spans="6:6" x14ac:dyDescent="0.25">
      <c r="F1068" s="417" t="s">
        <v>4709</v>
      </c>
    </row>
    <row r="1069" spans="6:6" x14ac:dyDescent="0.25">
      <c r="F1069" s="417" t="s">
        <v>4710</v>
      </c>
    </row>
    <row r="1070" spans="6:6" x14ac:dyDescent="0.25">
      <c r="F1070" s="417" t="s">
        <v>4711</v>
      </c>
    </row>
    <row r="1071" spans="6:6" x14ac:dyDescent="0.25">
      <c r="F1071" s="417" t="s">
        <v>4712</v>
      </c>
    </row>
    <row r="1072" spans="6:6" x14ac:dyDescent="0.25">
      <c r="F1072" s="417" t="s">
        <v>4713</v>
      </c>
    </row>
    <row r="1073" spans="6:6" x14ac:dyDescent="0.25">
      <c r="F1073" s="417" t="s">
        <v>4714</v>
      </c>
    </row>
    <row r="1074" spans="6:6" x14ac:dyDescent="0.25">
      <c r="F1074" s="417" t="s">
        <v>4715</v>
      </c>
    </row>
    <row r="1075" spans="6:6" x14ac:dyDescent="0.25">
      <c r="F1075" s="417" t="s">
        <v>4716</v>
      </c>
    </row>
    <row r="1076" spans="6:6" x14ac:dyDescent="0.25">
      <c r="F1076" s="417" t="s">
        <v>4717</v>
      </c>
    </row>
    <row r="1077" spans="6:6" x14ac:dyDescent="0.25">
      <c r="F1077" s="417" t="s">
        <v>4718</v>
      </c>
    </row>
    <row r="1078" spans="6:6" x14ac:dyDescent="0.25">
      <c r="F1078" s="417" t="s">
        <v>4719</v>
      </c>
    </row>
    <row r="1079" spans="6:6" x14ac:dyDescent="0.25">
      <c r="F1079" s="417" t="s">
        <v>4720</v>
      </c>
    </row>
    <row r="1080" spans="6:6" x14ac:dyDescent="0.25">
      <c r="F1080" s="417" t="s">
        <v>4721</v>
      </c>
    </row>
    <row r="1081" spans="6:6" x14ac:dyDescent="0.25">
      <c r="F1081" s="417" t="s">
        <v>4722</v>
      </c>
    </row>
    <row r="1082" spans="6:6" x14ac:dyDescent="0.25">
      <c r="F1082" s="417" t="s">
        <v>4723</v>
      </c>
    </row>
    <row r="1083" spans="6:6" x14ac:dyDescent="0.25">
      <c r="F1083" s="417" t="s">
        <v>4724</v>
      </c>
    </row>
    <row r="1084" spans="6:6" x14ac:dyDescent="0.25">
      <c r="F1084" s="417" t="s">
        <v>4725</v>
      </c>
    </row>
    <row r="1085" spans="6:6" x14ac:dyDescent="0.25">
      <c r="F1085" s="417" t="s">
        <v>4726</v>
      </c>
    </row>
    <row r="1086" spans="6:6" x14ac:dyDescent="0.25">
      <c r="F1086" s="417" t="s">
        <v>4727</v>
      </c>
    </row>
    <row r="1087" spans="6:6" x14ac:dyDescent="0.25">
      <c r="F1087" s="417" t="s">
        <v>4728</v>
      </c>
    </row>
    <row r="1088" spans="6:6" x14ac:dyDescent="0.25">
      <c r="F1088" s="417" t="s">
        <v>4729</v>
      </c>
    </row>
    <row r="1089" spans="6:6" x14ac:dyDescent="0.25">
      <c r="F1089" s="417" t="s">
        <v>4730</v>
      </c>
    </row>
    <row r="1090" spans="6:6" x14ac:dyDescent="0.25">
      <c r="F1090" s="417" t="s">
        <v>4731</v>
      </c>
    </row>
    <row r="1091" spans="6:6" x14ac:dyDescent="0.25">
      <c r="F1091" s="417" t="s">
        <v>4732</v>
      </c>
    </row>
    <row r="1092" spans="6:6" x14ac:dyDescent="0.25">
      <c r="F1092" s="417" t="s">
        <v>4733</v>
      </c>
    </row>
    <row r="1093" spans="6:6" x14ac:dyDescent="0.25">
      <c r="F1093" s="417" t="s">
        <v>4734</v>
      </c>
    </row>
    <row r="1094" spans="6:6" x14ac:dyDescent="0.25">
      <c r="F1094" s="417" t="s">
        <v>4735</v>
      </c>
    </row>
    <row r="1095" spans="6:6" x14ac:dyDescent="0.25">
      <c r="F1095" s="417" t="s">
        <v>4736</v>
      </c>
    </row>
    <row r="1096" spans="6:6" x14ac:dyDescent="0.25">
      <c r="F1096" s="417" t="s">
        <v>4737</v>
      </c>
    </row>
    <row r="1097" spans="6:6" x14ac:dyDescent="0.25">
      <c r="F1097" s="417" t="s">
        <v>4738</v>
      </c>
    </row>
    <row r="1098" spans="6:6" x14ac:dyDescent="0.25">
      <c r="F1098" s="417" t="s">
        <v>4739</v>
      </c>
    </row>
    <row r="1099" spans="6:6" x14ac:dyDescent="0.25">
      <c r="F1099" s="417" t="s">
        <v>4740</v>
      </c>
    </row>
    <row r="1100" spans="6:6" x14ac:dyDescent="0.25">
      <c r="F1100" s="417" t="s">
        <v>4741</v>
      </c>
    </row>
    <row r="1101" spans="6:6" x14ac:dyDescent="0.25">
      <c r="F1101" s="417" t="s">
        <v>4742</v>
      </c>
    </row>
    <row r="1102" spans="6:6" x14ac:dyDescent="0.25">
      <c r="F1102" s="417" t="s">
        <v>4743</v>
      </c>
    </row>
    <row r="1103" spans="6:6" x14ac:dyDescent="0.25">
      <c r="F1103" s="417" t="s">
        <v>4744</v>
      </c>
    </row>
    <row r="1104" spans="6:6" x14ac:dyDescent="0.25">
      <c r="F1104" s="417" t="s">
        <v>4745</v>
      </c>
    </row>
    <row r="1105" spans="6:6" x14ac:dyDescent="0.25">
      <c r="F1105" s="418" t="s">
        <v>4746</v>
      </c>
    </row>
    <row r="1106" spans="6:6" x14ac:dyDescent="0.25">
      <c r="F1106" s="418" t="s">
        <v>4747</v>
      </c>
    </row>
    <row r="1107" spans="6:6" x14ac:dyDescent="0.25">
      <c r="F1107" s="418" t="s">
        <v>4748</v>
      </c>
    </row>
    <row r="1108" spans="6:6" x14ac:dyDescent="0.25">
      <c r="F1108" s="418" t="s">
        <v>4749</v>
      </c>
    </row>
    <row r="1109" spans="6:6" x14ac:dyDescent="0.25">
      <c r="F1109" s="418" t="s">
        <v>4750</v>
      </c>
    </row>
    <row r="1110" spans="6:6" x14ac:dyDescent="0.25">
      <c r="F1110" s="418" t="s">
        <v>4751</v>
      </c>
    </row>
    <row r="1111" spans="6:6" x14ac:dyDescent="0.25">
      <c r="F1111" s="418" t="s">
        <v>4752</v>
      </c>
    </row>
    <row r="1112" spans="6:6" x14ac:dyDescent="0.25">
      <c r="F1112" s="417" t="s">
        <v>4753</v>
      </c>
    </row>
    <row r="1113" spans="6:6" x14ac:dyDescent="0.25">
      <c r="F1113" s="417" t="s">
        <v>4754</v>
      </c>
    </row>
    <row r="1114" spans="6:6" x14ac:dyDescent="0.25">
      <c r="F1114" s="417" t="s">
        <v>4755</v>
      </c>
    </row>
    <row r="1115" spans="6:6" x14ac:dyDescent="0.25">
      <c r="F1115" s="417" t="s">
        <v>4756</v>
      </c>
    </row>
    <row r="1116" spans="6:6" x14ac:dyDescent="0.25">
      <c r="F1116" s="417" t="s">
        <v>4757</v>
      </c>
    </row>
    <row r="1117" spans="6:6" x14ac:dyDescent="0.25">
      <c r="F1117" s="417" t="s">
        <v>4758</v>
      </c>
    </row>
    <row r="1118" spans="6:6" x14ac:dyDescent="0.25">
      <c r="F1118" s="417" t="s">
        <v>4759</v>
      </c>
    </row>
    <row r="1119" spans="6:6" x14ac:dyDescent="0.25">
      <c r="F1119" s="417" t="s">
        <v>4760</v>
      </c>
    </row>
    <row r="1120" spans="6:6" x14ac:dyDescent="0.25">
      <c r="F1120" s="417" t="s">
        <v>4761</v>
      </c>
    </row>
    <row r="1121" spans="6:6" x14ac:dyDescent="0.25">
      <c r="F1121" s="417" t="s">
        <v>4762</v>
      </c>
    </row>
    <row r="1122" spans="6:6" x14ac:dyDescent="0.25">
      <c r="F1122" s="417" t="s">
        <v>4763</v>
      </c>
    </row>
    <row r="1123" spans="6:6" x14ac:dyDescent="0.25">
      <c r="F1123" s="417" t="s">
        <v>4764</v>
      </c>
    </row>
    <row r="1124" spans="6:6" x14ac:dyDescent="0.25">
      <c r="F1124" s="417" t="s">
        <v>4765</v>
      </c>
    </row>
    <row r="1125" spans="6:6" x14ac:dyDescent="0.25">
      <c r="F1125" s="417" t="s">
        <v>4766</v>
      </c>
    </row>
    <row r="1126" spans="6:6" x14ac:dyDescent="0.25">
      <c r="F1126" s="417" t="s">
        <v>4767</v>
      </c>
    </row>
    <row r="1127" spans="6:6" x14ac:dyDescent="0.25">
      <c r="F1127" s="417" t="s">
        <v>4768</v>
      </c>
    </row>
    <row r="1128" spans="6:6" x14ac:dyDescent="0.25">
      <c r="F1128" s="417" t="s">
        <v>4769</v>
      </c>
    </row>
    <row r="1129" spans="6:6" x14ac:dyDescent="0.25">
      <c r="F1129" s="417" t="s">
        <v>4770</v>
      </c>
    </row>
    <row r="1130" spans="6:6" x14ac:dyDescent="0.25">
      <c r="F1130" s="417" t="s">
        <v>4771</v>
      </c>
    </row>
    <row r="1131" spans="6:6" x14ac:dyDescent="0.25">
      <c r="F1131" s="417" t="s">
        <v>4772</v>
      </c>
    </row>
    <row r="1132" spans="6:6" x14ac:dyDescent="0.25">
      <c r="F1132" s="417" t="s">
        <v>4773</v>
      </c>
    </row>
    <row r="1133" spans="6:6" x14ac:dyDescent="0.25">
      <c r="F1133" s="417" t="s">
        <v>4774</v>
      </c>
    </row>
    <row r="1134" spans="6:6" x14ac:dyDescent="0.25">
      <c r="F1134" s="417" t="s">
        <v>4775</v>
      </c>
    </row>
    <row r="1135" spans="6:6" x14ac:dyDescent="0.25">
      <c r="F1135" s="417" t="s">
        <v>4776</v>
      </c>
    </row>
    <row r="1136" spans="6:6" x14ac:dyDescent="0.25">
      <c r="F1136" s="417" t="s">
        <v>4777</v>
      </c>
    </row>
    <row r="1137" spans="6:6" x14ac:dyDescent="0.25">
      <c r="F1137" s="417" t="s">
        <v>4778</v>
      </c>
    </row>
    <row r="1138" spans="6:6" x14ac:dyDescent="0.25">
      <c r="F1138" s="417" t="s">
        <v>4779</v>
      </c>
    </row>
    <row r="1139" spans="6:6" x14ac:dyDescent="0.25">
      <c r="F1139" s="417" t="s">
        <v>4780</v>
      </c>
    </row>
    <row r="1140" spans="6:6" x14ac:dyDescent="0.25">
      <c r="F1140" s="417" t="s">
        <v>4781</v>
      </c>
    </row>
    <row r="1141" spans="6:6" x14ac:dyDescent="0.25">
      <c r="F1141" s="417" t="s">
        <v>4782</v>
      </c>
    </row>
    <row r="1142" spans="6:6" x14ac:dyDescent="0.25">
      <c r="F1142" s="417" t="s">
        <v>4783</v>
      </c>
    </row>
    <row r="1143" spans="6:6" x14ac:dyDescent="0.25">
      <c r="F1143" s="417" t="s">
        <v>4784</v>
      </c>
    </row>
    <row r="1144" spans="6:6" x14ac:dyDescent="0.25">
      <c r="F1144" s="417" t="s">
        <v>4785</v>
      </c>
    </row>
    <row r="1145" spans="6:6" x14ac:dyDescent="0.25">
      <c r="F1145" s="417" t="s">
        <v>4786</v>
      </c>
    </row>
    <row r="1146" spans="6:6" x14ac:dyDescent="0.25">
      <c r="F1146" s="417" t="s">
        <v>4787</v>
      </c>
    </row>
    <row r="1147" spans="6:6" x14ac:dyDescent="0.25">
      <c r="F1147" s="417" t="s">
        <v>4788</v>
      </c>
    </row>
    <row r="1148" spans="6:6" x14ac:dyDescent="0.25">
      <c r="F1148" s="417" t="s">
        <v>4789</v>
      </c>
    </row>
    <row r="1149" spans="6:6" x14ac:dyDescent="0.25">
      <c r="F1149" s="417" t="s">
        <v>4790</v>
      </c>
    </row>
    <row r="1150" spans="6:6" x14ac:dyDescent="0.25">
      <c r="F1150" s="417" t="s">
        <v>4791</v>
      </c>
    </row>
    <row r="1151" spans="6:6" x14ac:dyDescent="0.25">
      <c r="F1151" s="417" t="s">
        <v>4792</v>
      </c>
    </row>
    <row r="1152" spans="6:6" x14ac:dyDescent="0.25">
      <c r="F1152" s="417" t="s">
        <v>4793</v>
      </c>
    </row>
    <row r="1153" spans="6:6" x14ac:dyDescent="0.25">
      <c r="F1153" s="417" t="s">
        <v>4794</v>
      </c>
    </row>
    <row r="1154" spans="6:6" x14ac:dyDescent="0.25">
      <c r="F1154" s="417" t="s">
        <v>4795</v>
      </c>
    </row>
    <row r="1155" spans="6:6" x14ac:dyDescent="0.25">
      <c r="F1155" s="417" t="s">
        <v>4796</v>
      </c>
    </row>
    <row r="1156" spans="6:6" x14ac:dyDescent="0.25">
      <c r="F1156" s="417" t="s">
        <v>4797</v>
      </c>
    </row>
    <row r="1157" spans="6:6" x14ac:dyDescent="0.25">
      <c r="F1157" s="417" t="s">
        <v>4798</v>
      </c>
    </row>
    <row r="1158" spans="6:6" x14ac:dyDescent="0.25">
      <c r="F1158" s="417" t="s">
        <v>4799</v>
      </c>
    </row>
    <row r="1159" spans="6:6" x14ac:dyDescent="0.25">
      <c r="F1159" s="417" t="s">
        <v>4800</v>
      </c>
    </row>
    <row r="1160" spans="6:6" x14ac:dyDescent="0.25">
      <c r="F1160" s="417" t="s">
        <v>4801</v>
      </c>
    </row>
    <row r="1161" spans="6:6" x14ac:dyDescent="0.25">
      <c r="F1161" s="417" t="s">
        <v>4802</v>
      </c>
    </row>
    <row r="1162" spans="6:6" x14ac:dyDescent="0.25">
      <c r="F1162" s="417" t="s">
        <v>4803</v>
      </c>
    </row>
    <row r="1163" spans="6:6" x14ac:dyDescent="0.25">
      <c r="F1163" s="417" t="s">
        <v>4804</v>
      </c>
    </row>
    <row r="1164" spans="6:6" x14ac:dyDescent="0.25">
      <c r="F1164" s="417" t="s">
        <v>4805</v>
      </c>
    </row>
    <row r="1165" spans="6:6" x14ac:dyDescent="0.25">
      <c r="F1165" s="417" t="s">
        <v>4806</v>
      </c>
    </row>
    <row r="1166" spans="6:6" x14ac:dyDescent="0.25">
      <c r="F1166" s="417" t="s">
        <v>4807</v>
      </c>
    </row>
    <row r="1167" spans="6:6" x14ac:dyDescent="0.25">
      <c r="F1167" s="417" t="s">
        <v>4808</v>
      </c>
    </row>
    <row r="1168" spans="6:6" x14ac:dyDescent="0.25">
      <c r="F1168" s="417" t="s">
        <v>4809</v>
      </c>
    </row>
    <row r="1169" spans="6:6" x14ac:dyDescent="0.25">
      <c r="F1169" s="420" t="s">
        <v>4810</v>
      </c>
    </row>
    <row r="1170" spans="6:6" x14ac:dyDescent="0.25">
      <c r="F1170" s="417" t="s">
        <v>4811</v>
      </c>
    </row>
    <row r="1171" spans="6:6" x14ac:dyDescent="0.25">
      <c r="F1171" s="417" t="s">
        <v>4812</v>
      </c>
    </row>
    <row r="1172" spans="6:6" x14ac:dyDescent="0.25">
      <c r="F1172" s="417" t="s">
        <v>4813</v>
      </c>
    </row>
    <row r="1173" spans="6:6" x14ac:dyDescent="0.25">
      <c r="F1173" s="417" t="s">
        <v>4814</v>
      </c>
    </row>
    <row r="1174" spans="6:6" x14ac:dyDescent="0.25">
      <c r="F1174" s="417" t="s">
        <v>4815</v>
      </c>
    </row>
    <row r="1175" spans="6:6" x14ac:dyDescent="0.25">
      <c r="F1175" s="417" t="s">
        <v>4816</v>
      </c>
    </row>
    <row r="1176" spans="6:6" x14ac:dyDescent="0.25">
      <c r="F1176" s="417" t="s">
        <v>4817</v>
      </c>
    </row>
    <row r="1177" spans="6:6" x14ac:dyDescent="0.25">
      <c r="F1177" s="417" t="s">
        <v>4818</v>
      </c>
    </row>
    <row r="1178" spans="6:6" x14ac:dyDescent="0.25">
      <c r="F1178" s="417" t="s">
        <v>4819</v>
      </c>
    </row>
    <row r="1179" spans="6:6" x14ac:dyDescent="0.25">
      <c r="F1179" s="417" t="s">
        <v>4820</v>
      </c>
    </row>
    <row r="1180" spans="6:6" x14ac:dyDescent="0.25">
      <c r="F1180" s="417" t="s">
        <v>4821</v>
      </c>
    </row>
    <row r="1181" spans="6:6" x14ac:dyDescent="0.25">
      <c r="F1181" s="417" t="s">
        <v>4822</v>
      </c>
    </row>
    <row r="1182" spans="6:6" x14ac:dyDescent="0.25">
      <c r="F1182" s="417" t="s">
        <v>4823</v>
      </c>
    </row>
    <row r="1183" spans="6:6" x14ac:dyDescent="0.25">
      <c r="F1183" s="417" t="s">
        <v>4824</v>
      </c>
    </row>
    <row r="1184" spans="6:6" x14ac:dyDescent="0.25">
      <c r="F1184" s="417" t="s">
        <v>4825</v>
      </c>
    </row>
    <row r="1185" spans="6:6" x14ac:dyDescent="0.25">
      <c r="F1185" s="418" t="s">
        <v>4826</v>
      </c>
    </row>
    <row r="1186" spans="6:6" x14ac:dyDescent="0.25">
      <c r="F1186" s="417" t="s">
        <v>4827</v>
      </c>
    </row>
    <row r="1187" spans="6:6" x14ac:dyDescent="0.25">
      <c r="F1187" s="417" t="s">
        <v>4828</v>
      </c>
    </row>
    <row r="1188" spans="6:6" x14ac:dyDescent="0.25">
      <c r="F1188" s="417" t="s">
        <v>4829</v>
      </c>
    </row>
    <row r="1189" spans="6:6" x14ac:dyDescent="0.25">
      <c r="F1189" s="417" t="s">
        <v>4830</v>
      </c>
    </row>
    <row r="1190" spans="6:6" x14ac:dyDescent="0.25">
      <c r="F1190" s="417" t="s">
        <v>4831</v>
      </c>
    </row>
    <row r="1191" spans="6:6" x14ac:dyDescent="0.25">
      <c r="F1191" s="417" t="s">
        <v>4832</v>
      </c>
    </row>
    <row r="1192" spans="6:6" x14ac:dyDescent="0.25">
      <c r="F1192" s="420" t="s">
        <v>4833</v>
      </c>
    </row>
    <row r="1193" spans="6:6" x14ac:dyDescent="0.25">
      <c r="F1193" s="420" t="s">
        <v>4834</v>
      </c>
    </row>
    <row r="1194" spans="6:6" x14ac:dyDescent="0.25">
      <c r="F1194" s="420" t="s">
        <v>4835</v>
      </c>
    </row>
    <row r="1195" spans="6:6" x14ac:dyDescent="0.25">
      <c r="F1195" s="420" t="s">
        <v>4836</v>
      </c>
    </row>
    <row r="1196" spans="6:6" x14ac:dyDescent="0.25">
      <c r="F1196" s="420" t="s">
        <v>4837</v>
      </c>
    </row>
    <row r="1197" spans="6:6" x14ac:dyDescent="0.25">
      <c r="F1197" s="420" t="s">
        <v>4838</v>
      </c>
    </row>
    <row r="1198" spans="6:6" x14ac:dyDescent="0.25">
      <c r="F1198" s="417" t="s">
        <v>4839</v>
      </c>
    </row>
    <row r="1199" spans="6:6" x14ac:dyDescent="0.25">
      <c r="F1199" s="417" t="s">
        <v>4840</v>
      </c>
    </row>
    <row r="1200" spans="6:6" x14ac:dyDescent="0.25">
      <c r="F1200" s="417" t="s">
        <v>4841</v>
      </c>
    </row>
    <row r="1201" spans="6:6" x14ac:dyDescent="0.25">
      <c r="F1201" s="417" t="s">
        <v>4842</v>
      </c>
    </row>
    <row r="1202" spans="6:6" x14ac:dyDescent="0.25">
      <c r="F1202" s="417" t="s">
        <v>4843</v>
      </c>
    </row>
    <row r="1203" spans="6:6" x14ac:dyDescent="0.25">
      <c r="F1203" s="417" t="s">
        <v>4844</v>
      </c>
    </row>
    <row r="1204" spans="6:6" x14ac:dyDescent="0.25">
      <c r="F1204" s="417" t="s">
        <v>4845</v>
      </c>
    </row>
    <row r="1205" spans="6:6" x14ac:dyDescent="0.25">
      <c r="F1205" s="417" t="s">
        <v>4846</v>
      </c>
    </row>
    <row r="1206" spans="6:6" x14ac:dyDescent="0.25">
      <c r="F1206" s="417" t="s">
        <v>4847</v>
      </c>
    </row>
    <row r="1207" spans="6:6" x14ac:dyDescent="0.25">
      <c r="F1207" s="416" t="s">
        <v>4848</v>
      </c>
    </row>
    <row r="1208" spans="6:6" x14ac:dyDescent="0.25">
      <c r="F1208" s="416" t="s">
        <v>4849</v>
      </c>
    </row>
    <row r="1209" spans="6:6" x14ac:dyDescent="0.25">
      <c r="F1209" s="416" t="s">
        <v>4850</v>
      </c>
    </row>
    <row r="1210" spans="6:6" x14ac:dyDescent="0.25">
      <c r="F1210" s="417" t="s">
        <v>4851</v>
      </c>
    </row>
    <row r="1211" spans="6:6" x14ac:dyDescent="0.25">
      <c r="F1211" s="418" t="s">
        <v>4852</v>
      </c>
    </row>
    <row r="1212" spans="6:6" x14ac:dyDescent="0.25">
      <c r="F1212" s="418" t="s">
        <v>4853</v>
      </c>
    </row>
    <row r="1213" spans="6:6" x14ac:dyDescent="0.25">
      <c r="F1213" s="418" t="s">
        <v>4854</v>
      </c>
    </row>
    <row r="1214" spans="6:6" x14ac:dyDescent="0.25">
      <c r="F1214" s="418" t="s">
        <v>4855</v>
      </c>
    </row>
    <row r="1215" spans="6:6" x14ac:dyDescent="0.25">
      <c r="F1215" s="418" t="s">
        <v>4856</v>
      </c>
    </row>
    <row r="1216" spans="6:6" x14ac:dyDescent="0.25">
      <c r="F1216" s="418" t="s">
        <v>4857</v>
      </c>
    </row>
    <row r="1217" spans="6:6" x14ac:dyDescent="0.25">
      <c r="F1217" s="418" t="s">
        <v>4858</v>
      </c>
    </row>
    <row r="1218" spans="6:6" x14ac:dyDescent="0.25">
      <c r="F1218" s="418" t="s">
        <v>4859</v>
      </c>
    </row>
    <row r="1219" spans="6:6" x14ac:dyDescent="0.25">
      <c r="F1219" s="418" t="s">
        <v>4860</v>
      </c>
    </row>
    <row r="1220" spans="6:6" x14ac:dyDescent="0.25">
      <c r="F1220" s="418" t="s">
        <v>4861</v>
      </c>
    </row>
    <row r="1221" spans="6:6" x14ac:dyDescent="0.25">
      <c r="F1221" s="418" t="s">
        <v>4862</v>
      </c>
    </row>
    <row r="1222" spans="6:6" x14ac:dyDescent="0.25">
      <c r="F1222" s="418" t="s">
        <v>4863</v>
      </c>
    </row>
    <row r="1223" spans="6:6" x14ac:dyDescent="0.25">
      <c r="F1223" s="418" t="s">
        <v>4864</v>
      </c>
    </row>
    <row r="1224" spans="6:6" x14ac:dyDescent="0.25">
      <c r="F1224" s="418" t="s">
        <v>4865</v>
      </c>
    </row>
    <row r="1225" spans="6:6" x14ac:dyDescent="0.25">
      <c r="F1225" s="418" t="s">
        <v>4866</v>
      </c>
    </row>
    <row r="1226" spans="6:6" x14ac:dyDescent="0.25">
      <c r="F1226" s="418" t="s">
        <v>4867</v>
      </c>
    </row>
    <row r="1227" spans="6:6" x14ac:dyDescent="0.25">
      <c r="F1227" s="418" t="s">
        <v>4868</v>
      </c>
    </row>
    <row r="1228" spans="6:6" x14ac:dyDescent="0.25">
      <c r="F1228" s="418" t="s">
        <v>4869</v>
      </c>
    </row>
    <row r="1229" spans="6:6" x14ac:dyDescent="0.25">
      <c r="F1229" s="418" t="s">
        <v>4870</v>
      </c>
    </row>
    <row r="1230" spans="6:6" x14ac:dyDescent="0.25">
      <c r="F1230" s="418" t="s">
        <v>4871</v>
      </c>
    </row>
    <row r="1231" spans="6:6" x14ac:dyDescent="0.25">
      <c r="F1231" s="418" t="s">
        <v>4872</v>
      </c>
    </row>
    <row r="1232" spans="6:6" x14ac:dyDescent="0.25">
      <c r="F1232" s="417" t="s">
        <v>4873</v>
      </c>
    </row>
    <row r="1233" spans="6:6" x14ac:dyDescent="0.25">
      <c r="F1233" s="417" t="s">
        <v>4874</v>
      </c>
    </row>
    <row r="1234" spans="6:6" x14ac:dyDescent="0.25">
      <c r="F1234" s="417" t="s">
        <v>4875</v>
      </c>
    </row>
    <row r="1235" spans="6:6" x14ac:dyDescent="0.25">
      <c r="F1235" s="417" t="s">
        <v>4876</v>
      </c>
    </row>
    <row r="1236" spans="6:6" x14ac:dyDescent="0.25">
      <c r="F1236" s="417" t="s">
        <v>4877</v>
      </c>
    </row>
    <row r="1237" spans="6:6" x14ac:dyDescent="0.25">
      <c r="F1237" s="417" t="s">
        <v>4878</v>
      </c>
    </row>
    <row r="1238" spans="6:6" x14ac:dyDescent="0.25">
      <c r="F1238" s="417" t="s">
        <v>4879</v>
      </c>
    </row>
    <row r="1239" spans="6:6" x14ac:dyDescent="0.25">
      <c r="F1239" s="417" t="s">
        <v>4880</v>
      </c>
    </row>
    <row r="1240" spans="6:6" x14ac:dyDescent="0.25">
      <c r="F1240" s="417" t="s">
        <v>4881</v>
      </c>
    </row>
    <row r="1241" spans="6:6" x14ac:dyDescent="0.25">
      <c r="F1241" s="417" t="s">
        <v>4882</v>
      </c>
    </row>
    <row r="1242" spans="6:6" x14ac:dyDescent="0.25">
      <c r="F1242" s="417" t="s">
        <v>4883</v>
      </c>
    </row>
    <row r="1243" spans="6:6" x14ac:dyDescent="0.25">
      <c r="F1243" s="417" t="s">
        <v>4884</v>
      </c>
    </row>
    <row r="1244" spans="6:6" x14ac:dyDescent="0.25">
      <c r="F1244" s="417" t="s">
        <v>4885</v>
      </c>
    </row>
    <row r="1245" spans="6:6" x14ac:dyDescent="0.25">
      <c r="F1245" s="417" t="s">
        <v>4886</v>
      </c>
    </row>
    <row r="1246" spans="6:6" x14ac:dyDescent="0.25">
      <c r="F1246" s="417" t="s">
        <v>4887</v>
      </c>
    </row>
    <row r="1247" spans="6:6" x14ac:dyDescent="0.25">
      <c r="F1247" s="417" t="s">
        <v>4888</v>
      </c>
    </row>
    <row r="1248" spans="6:6" x14ac:dyDescent="0.25">
      <c r="F1248" s="417" t="s">
        <v>4889</v>
      </c>
    </row>
    <row r="1249" spans="6:6" x14ac:dyDescent="0.25">
      <c r="F1249" s="417" t="s">
        <v>4890</v>
      </c>
    </row>
    <row r="1250" spans="6:6" x14ac:dyDescent="0.25">
      <c r="F1250" s="417" t="s">
        <v>4891</v>
      </c>
    </row>
    <row r="1251" spans="6:6" x14ac:dyDescent="0.25">
      <c r="F1251" s="417" t="s">
        <v>4892</v>
      </c>
    </row>
    <row r="1252" spans="6:6" x14ac:dyDescent="0.25">
      <c r="F1252" s="417" t="s">
        <v>4893</v>
      </c>
    </row>
    <row r="1253" spans="6:6" x14ac:dyDescent="0.25">
      <c r="F1253" s="417" t="s">
        <v>4894</v>
      </c>
    </row>
    <row r="1254" spans="6:6" x14ac:dyDescent="0.25">
      <c r="F1254" s="417" t="s">
        <v>4895</v>
      </c>
    </row>
    <row r="1255" spans="6:6" x14ac:dyDescent="0.25">
      <c r="F1255" s="417" t="s">
        <v>4896</v>
      </c>
    </row>
    <row r="1256" spans="6:6" x14ac:dyDescent="0.25">
      <c r="F1256" s="417" t="s">
        <v>4897</v>
      </c>
    </row>
    <row r="1257" spans="6:6" x14ac:dyDescent="0.25">
      <c r="F1257" s="417" t="s">
        <v>4898</v>
      </c>
    </row>
    <row r="1258" spans="6:6" x14ac:dyDescent="0.25">
      <c r="F1258" s="417" t="s">
        <v>4899</v>
      </c>
    </row>
    <row r="1259" spans="6:6" x14ac:dyDescent="0.25">
      <c r="F1259" s="417" t="s">
        <v>4900</v>
      </c>
    </row>
    <row r="1260" spans="6:6" x14ac:dyDescent="0.25">
      <c r="F1260" s="417" t="s">
        <v>4901</v>
      </c>
    </row>
    <row r="1261" spans="6:6" x14ac:dyDescent="0.25">
      <c r="F1261" s="417" t="s">
        <v>4902</v>
      </c>
    </row>
    <row r="1262" spans="6:6" x14ac:dyDescent="0.25">
      <c r="F1262" s="417" t="s">
        <v>4903</v>
      </c>
    </row>
    <row r="1263" spans="6:6" x14ac:dyDescent="0.25">
      <c r="F1263" s="416" t="s">
        <v>4904</v>
      </c>
    </row>
    <row r="1264" spans="6:6" x14ac:dyDescent="0.25">
      <c r="F1264" s="416" t="s">
        <v>4905</v>
      </c>
    </row>
    <row r="1265" spans="6:6" x14ac:dyDescent="0.25">
      <c r="F1265" s="416" t="s">
        <v>4906</v>
      </c>
    </row>
    <row r="1266" spans="6:6" x14ac:dyDescent="0.25">
      <c r="F1266" s="417" t="s">
        <v>4907</v>
      </c>
    </row>
    <row r="1267" spans="6:6" x14ac:dyDescent="0.25">
      <c r="F1267" s="416" t="s">
        <v>4908</v>
      </c>
    </row>
    <row r="1268" spans="6:6" x14ac:dyDescent="0.25">
      <c r="F1268" s="416" t="s">
        <v>4909</v>
      </c>
    </row>
    <row r="1269" spans="6:6" x14ac:dyDescent="0.25">
      <c r="F1269" s="416" t="s">
        <v>4910</v>
      </c>
    </row>
    <row r="1270" spans="6:6" x14ac:dyDescent="0.25">
      <c r="F1270" s="416" t="s">
        <v>4911</v>
      </c>
    </row>
    <row r="1271" spans="6:6" x14ac:dyDescent="0.25">
      <c r="F1271" s="416" t="s">
        <v>4912</v>
      </c>
    </row>
    <row r="1272" spans="6:6" x14ac:dyDescent="0.25">
      <c r="F1272" s="416" t="s">
        <v>4913</v>
      </c>
    </row>
    <row r="1273" spans="6:6" x14ac:dyDescent="0.25">
      <c r="F1273" s="416" t="s">
        <v>4914</v>
      </c>
    </row>
    <row r="1274" spans="6:6" x14ac:dyDescent="0.25">
      <c r="F1274" s="416" t="s">
        <v>4915</v>
      </c>
    </row>
    <row r="1275" spans="6:6" x14ac:dyDescent="0.25">
      <c r="F1275" s="417" t="s">
        <v>4916</v>
      </c>
    </row>
    <row r="1276" spans="6:6" x14ac:dyDescent="0.25">
      <c r="F1276" s="416" t="s">
        <v>4917</v>
      </c>
    </row>
    <row r="1277" spans="6:6" x14ac:dyDescent="0.25">
      <c r="F1277" s="416" t="s">
        <v>4918</v>
      </c>
    </row>
    <row r="1278" spans="6:6" x14ac:dyDescent="0.25">
      <c r="F1278" s="416" t="s">
        <v>4919</v>
      </c>
    </row>
    <row r="1279" spans="6:6" x14ac:dyDescent="0.25">
      <c r="F1279" s="416" t="s">
        <v>4920</v>
      </c>
    </row>
    <row r="1280" spans="6:6" x14ac:dyDescent="0.25">
      <c r="F1280" s="417" t="s">
        <v>4921</v>
      </c>
    </row>
    <row r="1281" spans="6:6" x14ac:dyDescent="0.25">
      <c r="F1281" s="416" t="s">
        <v>4922</v>
      </c>
    </row>
    <row r="1282" spans="6:6" x14ac:dyDescent="0.25">
      <c r="F1282" s="416" t="s">
        <v>4923</v>
      </c>
    </row>
    <row r="1283" spans="6:6" x14ac:dyDescent="0.25">
      <c r="F1283" s="416" t="s">
        <v>4924</v>
      </c>
    </row>
    <row r="1284" spans="6:6" x14ac:dyDescent="0.25">
      <c r="F1284" s="421" t="s">
        <v>4925</v>
      </c>
    </row>
    <row r="1285" spans="6:6" x14ac:dyDescent="0.25">
      <c r="F1285" s="421" t="s">
        <v>4926</v>
      </c>
    </row>
    <row r="1286" spans="6:6" x14ac:dyDescent="0.25">
      <c r="F1286" s="421" t="s">
        <v>4927</v>
      </c>
    </row>
    <row r="1287" spans="6:6" x14ac:dyDescent="0.25">
      <c r="F1287" s="421" t="s">
        <v>4928</v>
      </c>
    </row>
    <row r="1288" spans="6:6" x14ac:dyDescent="0.25">
      <c r="F1288" s="421" t="s">
        <v>4929</v>
      </c>
    </row>
    <row r="1289" spans="6:6" x14ac:dyDescent="0.25">
      <c r="F1289" s="421" t="s">
        <v>4930</v>
      </c>
    </row>
    <row r="1290" spans="6:6" x14ac:dyDescent="0.25">
      <c r="F1290" s="421" t="s">
        <v>4931</v>
      </c>
    </row>
    <row r="1291" spans="6:6" x14ac:dyDescent="0.25">
      <c r="F1291" s="421" t="s">
        <v>4932</v>
      </c>
    </row>
    <row r="1292" spans="6:6" x14ac:dyDescent="0.25">
      <c r="F1292" s="421" t="s">
        <v>4933</v>
      </c>
    </row>
    <row r="1293" spans="6:6" x14ac:dyDescent="0.25">
      <c r="F1293" s="421" t="s">
        <v>4934</v>
      </c>
    </row>
    <row r="1294" spans="6:6" x14ac:dyDescent="0.25">
      <c r="F1294" s="421" t="s">
        <v>4935</v>
      </c>
    </row>
    <row r="1295" spans="6:6" x14ac:dyDescent="0.25">
      <c r="F1295" s="421" t="s">
        <v>4936</v>
      </c>
    </row>
    <row r="1296" spans="6:6" x14ac:dyDescent="0.25">
      <c r="F1296" s="421" t="s">
        <v>4937</v>
      </c>
    </row>
    <row r="1297" spans="6:6" x14ac:dyDescent="0.25">
      <c r="F1297" s="421" t="s">
        <v>4938</v>
      </c>
    </row>
    <row r="1298" spans="6:6" x14ac:dyDescent="0.25">
      <c r="F1298" s="416" t="s">
        <v>4939</v>
      </c>
    </row>
    <row r="1299" spans="6:6" x14ac:dyDescent="0.25">
      <c r="F1299" s="416" t="s">
        <v>4940</v>
      </c>
    </row>
    <row r="1300" spans="6:6" x14ac:dyDescent="0.25">
      <c r="F1300" s="416" t="s">
        <v>4941</v>
      </c>
    </row>
    <row r="1301" spans="6:6" x14ac:dyDescent="0.25">
      <c r="F1301" s="417" t="s">
        <v>4942</v>
      </c>
    </row>
    <row r="1302" spans="6:6" x14ac:dyDescent="0.25">
      <c r="F1302" s="416" t="s">
        <v>4943</v>
      </c>
    </row>
    <row r="1303" spans="6:6" x14ac:dyDescent="0.25">
      <c r="F1303" s="416" t="s">
        <v>4944</v>
      </c>
    </row>
    <row r="1304" spans="6:6" x14ac:dyDescent="0.25">
      <c r="F1304" s="348" t="s">
        <v>4945</v>
      </c>
    </row>
    <row r="1305" spans="6:6" x14ac:dyDescent="0.25">
      <c r="F1305" s="417" t="s">
        <v>4946</v>
      </c>
    </row>
    <row r="1306" spans="6:6" x14ac:dyDescent="0.25">
      <c r="F1306" s="416" t="s">
        <v>4947</v>
      </c>
    </row>
    <row r="1307" spans="6:6" x14ac:dyDescent="0.25">
      <c r="F1307" s="416" t="s">
        <v>4948</v>
      </c>
    </row>
    <row r="1308" spans="6:6" x14ac:dyDescent="0.25">
      <c r="F1308" s="416" t="s">
        <v>4949</v>
      </c>
    </row>
    <row r="1309" spans="6:6" x14ac:dyDescent="0.25">
      <c r="F1309" s="416" t="s">
        <v>4950</v>
      </c>
    </row>
    <row r="1310" spans="6:6" x14ac:dyDescent="0.25">
      <c r="F1310" s="416" t="s">
        <v>4951</v>
      </c>
    </row>
    <row r="1311" spans="6:6" x14ac:dyDescent="0.25">
      <c r="F1311" s="416" t="s">
        <v>4952</v>
      </c>
    </row>
    <row r="1312" spans="6:6" x14ac:dyDescent="0.25">
      <c r="F1312" s="416" t="s">
        <v>4953</v>
      </c>
    </row>
    <row r="1313" spans="6:6" x14ac:dyDescent="0.25">
      <c r="F1313" s="416" t="s">
        <v>4954</v>
      </c>
    </row>
    <row r="1314" spans="6:6" x14ac:dyDescent="0.25">
      <c r="F1314" s="416" t="s">
        <v>4955</v>
      </c>
    </row>
    <row r="1315" spans="6:6" x14ac:dyDescent="0.25">
      <c r="F1315" s="416" t="s">
        <v>4956</v>
      </c>
    </row>
    <row r="1316" spans="6:6" x14ac:dyDescent="0.25">
      <c r="F1316" s="416" t="s">
        <v>4957</v>
      </c>
    </row>
    <row r="1317" spans="6:6" x14ac:dyDescent="0.25">
      <c r="F1317" s="416" t="s">
        <v>4958</v>
      </c>
    </row>
    <row r="1318" spans="6:6" x14ac:dyDescent="0.25">
      <c r="F1318" s="416" t="s">
        <v>4959</v>
      </c>
    </row>
    <row r="1319" spans="6:6" x14ac:dyDescent="0.25">
      <c r="F1319" s="416" t="s">
        <v>4960</v>
      </c>
    </row>
    <row r="1320" spans="6:6" x14ac:dyDescent="0.25">
      <c r="F1320" s="416" t="s">
        <v>4961</v>
      </c>
    </row>
    <row r="1321" spans="6:6" x14ac:dyDescent="0.25">
      <c r="F1321" s="416" t="s">
        <v>4962</v>
      </c>
    </row>
    <row r="1322" spans="6:6" x14ac:dyDescent="0.25">
      <c r="F1322" s="416" t="s">
        <v>4963</v>
      </c>
    </row>
    <row r="1323" spans="6:6" x14ac:dyDescent="0.25">
      <c r="F1323" s="416" t="s">
        <v>4964</v>
      </c>
    </row>
    <row r="1324" spans="6:6" x14ac:dyDescent="0.25">
      <c r="F1324" s="416" t="s">
        <v>4965</v>
      </c>
    </row>
    <row r="1325" spans="6:6" x14ac:dyDescent="0.25">
      <c r="F1325" s="416" t="s">
        <v>4966</v>
      </c>
    </row>
    <row r="1326" spans="6:6" x14ac:dyDescent="0.25">
      <c r="F1326" s="416" t="s">
        <v>4967</v>
      </c>
    </row>
    <row r="1327" spans="6:6" x14ac:dyDescent="0.25">
      <c r="F1327" s="416" t="s">
        <v>4968</v>
      </c>
    </row>
    <row r="1328" spans="6:6" x14ac:dyDescent="0.25">
      <c r="F1328" s="416" t="s">
        <v>4969</v>
      </c>
    </row>
    <row r="1329" spans="6:6" x14ac:dyDescent="0.25">
      <c r="F1329" s="416" t="s">
        <v>4970</v>
      </c>
    </row>
    <row r="1330" spans="6:6" x14ac:dyDescent="0.25">
      <c r="F1330" s="416" t="s">
        <v>4971</v>
      </c>
    </row>
    <row r="1331" spans="6:6" x14ac:dyDescent="0.25">
      <c r="F1331" s="416" t="s">
        <v>4972</v>
      </c>
    </row>
    <row r="1332" spans="6:6" x14ac:dyDescent="0.25">
      <c r="F1332" s="416" t="s">
        <v>4973</v>
      </c>
    </row>
    <row r="1333" spans="6:6" x14ac:dyDescent="0.25">
      <c r="F1333" s="416" t="s">
        <v>4974</v>
      </c>
    </row>
    <row r="1334" spans="6:6" x14ac:dyDescent="0.25">
      <c r="F1334" s="416" t="s">
        <v>4975</v>
      </c>
    </row>
    <row r="1335" spans="6:6" x14ac:dyDescent="0.25">
      <c r="F1335" s="416" t="s">
        <v>4976</v>
      </c>
    </row>
    <row r="1336" spans="6:6" x14ac:dyDescent="0.25">
      <c r="F1336" s="416" t="s">
        <v>4977</v>
      </c>
    </row>
    <row r="1337" spans="6:6" x14ac:dyDescent="0.25">
      <c r="F1337" s="416" t="s">
        <v>4978</v>
      </c>
    </row>
    <row r="1338" spans="6:6" x14ac:dyDescent="0.25">
      <c r="F1338" s="416" t="s">
        <v>4979</v>
      </c>
    </row>
    <row r="1339" spans="6:6" x14ac:dyDescent="0.25">
      <c r="F1339" s="416" t="s">
        <v>4980</v>
      </c>
    </row>
    <row r="1340" spans="6:6" x14ac:dyDescent="0.25">
      <c r="F1340" s="416" t="s">
        <v>4981</v>
      </c>
    </row>
    <row r="1341" spans="6:6" x14ac:dyDescent="0.25">
      <c r="F1341" s="416" t="s">
        <v>4982</v>
      </c>
    </row>
    <row r="1342" spans="6:6" x14ac:dyDescent="0.25">
      <c r="F1342" s="416" t="s">
        <v>4983</v>
      </c>
    </row>
    <row r="1343" spans="6:6" x14ac:dyDescent="0.25">
      <c r="F1343" s="416" t="s">
        <v>4984</v>
      </c>
    </row>
    <row r="1344" spans="6:6" x14ac:dyDescent="0.25">
      <c r="F1344" s="348" t="s">
        <v>4985</v>
      </c>
    </row>
    <row r="1345" spans="6:6" x14ac:dyDescent="0.25">
      <c r="F1345" s="422" t="s">
        <v>4986</v>
      </c>
    </row>
    <row r="1346" spans="6:6" x14ac:dyDescent="0.25">
      <c r="F1346" s="422" t="s">
        <v>4987</v>
      </c>
    </row>
    <row r="1347" spans="6:6" x14ac:dyDescent="0.25">
      <c r="F1347" s="422" t="s">
        <v>4988</v>
      </c>
    </row>
    <row r="1348" spans="6:6" x14ac:dyDescent="0.25">
      <c r="F1348" s="422" t="s">
        <v>4989</v>
      </c>
    </row>
    <row r="1349" spans="6:6" x14ac:dyDescent="0.25">
      <c r="F1349" s="422" t="s">
        <v>4990</v>
      </c>
    </row>
    <row r="1350" spans="6:6" x14ac:dyDescent="0.25">
      <c r="F1350" s="422" t="s">
        <v>4991</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32F47-4A95-4C5B-A0A9-28FE91796821}">
  <sheetPr>
    <pageSetUpPr fitToPage="1"/>
  </sheetPr>
  <dimension ref="A1:V531"/>
  <sheetViews>
    <sheetView showGridLines="0" zoomScale="80" zoomScaleNormal="80" workbookViewId="0">
      <pane ySplit="5" topLeftCell="A224" activePane="bottomLeft" state="frozen"/>
      <selection pane="bottomLeft" activeCell="G94" sqref="G94"/>
    </sheetView>
  </sheetViews>
  <sheetFormatPr defaultColWidth="10.5703125" defaultRowHeight="15" x14ac:dyDescent="0.25"/>
  <cols>
    <col min="1" max="1" width="7.42578125" style="315" customWidth="1"/>
    <col min="2" max="2" width="16.42578125" style="315" customWidth="1"/>
    <col min="3" max="3" width="26.42578125" style="315" customWidth="1"/>
    <col min="4" max="5" width="15" style="315" customWidth="1"/>
    <col min="6" max="6" width="12.42578125" style="315" customWidth="1"/>
    <col min="7" max="7" width="24.5703125" style="315" customWidth="1"/>
    <col min="8" max="8" width="27.5703125" style="315" customWidth="1"/>
    <col min="9" max="9" width="26.5703125" style="315" customWidth="1"/>
    <col min="10" max="11" width="12.5703125" style="315" customWidth="1"/>
    <col min="12" max="13" width="13.5703125" style="315" customWidth="1"/>
    <col min="14" max="14" width="12.5703125" style="315" customWidth="1"/>
    <col min="15" max="15" width="22.5703125" style="315" customWidth="1"/>
    <col min="16" max="16" width="7.42578125" style="315" customWidth="1"/>
    <col min="17" max="17" width="12.5703125" style="315" customWidth="1"/>
    <col min="18" max="18" width="13.5703125" style="315" customWidth="1"/>
    <col min="19" max="20" width="12.5703125" style="315" customWidth="1"/>
    <col min="21" max="21" width="8" style="351" customWidth="1"/>
    <col min="22" max="22" width="41.5703125" style="351" customWidth="1"/>
    <col min="23" max="16384" width="10.5703125" style="351"/>
  </cols>
  <sheetData>
    <row r="1" spans="1:21" ht="14.25" x14ac:dyDescent="0.25">
      <c r="A1" s="392"/>
      <c r="B1" s="392"/>
      <c r="C1" s="392"/>
      <c r="D1" s="392"/>
      <c r="E1" s="392"/>
      <c r="F1" s="392"/>
      <c r="G1" s="392"/>
      <c r="H1" s="392"/>
      <c r="I1" s="392"/>
      <c r="J1" s="392"/>
      <c r="K1" s="392"/>
      <c r="L1" s="392"/>
      <c r="M1" s="392"/>
      <c r="N1" s="392"/>
      <c r="O1" s="392"/>
      <c r="P1" s="392"/>
      <c r="Q1" s="392"/>
      <c r="R1" s="392"/>
      <c r="S1" s="392"/>
      <c r="T1" s="392"/>
      <c r="U1" s="393"/>
    </row>
    <row r="2" spans="1:21" ht="14.25" x14ac:dyDescent="0.25">
      <c r="A2" s="394"/>
      <c r="B2" s="394"/>
      <c r="C2" s="394"/>
      <c r="D2" s="394"/>
      <c r="E2" s="394"/>
      <c r="F2" s="394"/>
      <c r="G2" s="394"/>
      <c r="H2" s="394"/>
      <c r="I2" s="394"/>
      <c r="J2" s="394"/>
      <c r="K2" s="394"/>
      <c r="L2" s="394"/>
      <c r="M2" s="394"/>
      <c r="N2" s="394"/>
      <c r="O2" s="394"/>
      <c r="P2" s="394"/>
      <c r="Q2" s="394"/>
      <c r="R2" s="394"/>
      <c r="S2" s="394"/>
      <c r="T2" s="394"/>
      <c r="U2" s="395"/>
    </row>
    <row r="3" spans="1:21" ht="35.25" customHeight="1" x14ac:dyDescent="0.25">
      <c r="A3" s="396"/>
      <c r="B3" s="396"/>
      <c r="C3" s="396"/>
      <c r="D3" s="396"/>
      <c r="E3" s="396"/>
      <c r="F3" s="396"/>
      <c r="G3" s="396"/>
      <c r="H3" s="396"/>
      <c r="I3" s="396"/>
      <c r="J3" s="396"/>
      <c r="K3" s="396"/>
      <c r="L3" s="396">
        <f>SUBTOTAL(3,L6:L1022)</f>
        <v>466</v>
      </c>
      <c r="M3" s="396"/>
      <c r="N3" s="396"/>
      <c r="O3" s="396"/>
      <c r="P3" s="396"/>
      <c r="Q3" s="396"/>
      <c r="R3" s="396"/>
      <c r="S3" s="396"/>
      <c r="T3" s="396"/>
      <c r="U3" s="397">
        <f>SUBTOTAL(3,U6:U1022)</f>
        <v>439</v>
      </c>
    </row>
    <row r="4" spans="1:21" ht="14.25" x14ac:dyDescent="0.25">
      <c r="A4" s="433" t="s">
        <v>0</v>
      </c>
      <c r="B4" s="434"/>
      <c r="C4" s="434"/>
      <c r="D4" s="434"/>
      <c r="E4" s="434"/>
      <c r="F4" s="434"/>
      <c r="G4" s="434"/>
      <c r="H4" s="434"/>
      <c r="I4" s="434"/>
      <c r="J4" s="434"/>
      <c r="K4" s="435"/>
      <c r="L4" s="436" t="s">
        <v>1</v>
      </c>
      <c r="M4" s="437"/>
      <c r="N4" s="437"/>
      <c r="O4" s="437"/>
      <c r="P4" s="437"/>
      <c r="Q4" s="438"/>
      <c r="R4" s="439" t="s">
        <v>2</v>
      </c>
      <c r="S4" s="440"/>
      <c r="T4" s="440"/>
      <c r="U4" s="385"/>
    </row>
    <row r="5" spans="1:21" ht="37.5" customHeight="1" x14ac:dyDescent="0.25">
      <c r="A5" s="297" t="s">
        <v>3</v>
      </c>
      <c r="B5" s="297" t="s">
        <v>4</v>
      </c>
      <c r="C5" s="297" t="s">
        <v>5</v>
      </c>
      <c r="D5" s="297" t="s">
        <v>7</v>
      </c>
      <c r="E5" s="297" t="s">
        <v>8</v>
      </c>
      <c r="F5" s="297" t="s">
        <v>4992</v>
      </c>
      <c r="G5" s="297" t="s">
        <v>9</v>
      </c>
      <c r="H5" s="297" t="s">
        <v>4993</v>
      </c>
      <c r="I5" s="297" t="s">
        <v>11</v>
      </c>
      <c r="J5" s="300" t="s">
        <v>12</v>
      </c>
      <c r="K5" s="300" t="s">
        <v>13</v>
      </c>
      <c r="L5" s="301" t="s">
        <v>14</v>
      </c>
      <c r="M5" s="301" t="s">
        <v>4994</v>
      </c>
      <c r="N5" s="302" t="s">
        <v>4995</v>
      </c>
      <c r="O5" s="301" t="s">
        <v>15</v>
      </c>
      <c r="P5" s="301" t="s">
        <v>16</v>
      </c>
      <c r="Q5" s="302" t="s">
        <v>17</v>
      </c>
      <c r="R5" s="303" t="s">
        <v>18</v>
      </c>
      <c r="S5" s="299" t="s">
        <v>19</v>
      </c>
      <c r="T5" s="299" t="s">
        <v>20</v>
      </c>
      <c r="U5" s="305" t="s">
        <v>21</v>
      </c>
    </row>
    <row r="6" spans="1:21" ht="25.5" x14ac:dyDescent="0.25">
      <c r="A6" s="359">
        <v>0</v>
      </c>
      <c r="B6" s="49" t="s">
        <v>4996</v>
      </c>
      <c r="C6" s="49" t="s">
        <v>1345</v>
      </c>
      <c r="D6" s="49">
        <v>181825</v>
      </c>
      <c r="E6" s="49" t="s">
        <v>4997</v>
      </c>
      <c r="F6" s="49" t="s">
        <v>4998</v>
      </c>
      <c r="G6" s="49" t="s">
        <v>1406</v>
      </c>
      <c r="H6" s="49" t="s">
        <v>2314</v>
      </c>
      <c r="I6" s="49" t="s">
        <v>2419</v>
      </c>
      <c r="J6" s="316">
        <v>44930</v>
      </c>
      <c r="K6" s="360">
        <v>44930</v>
      </c>
      <c r="L6" s="363" t="s">
        <v>28</v>
      </c>
      <c r="M6" s="317" t="s">
        <v>28</v>
      </c>
      <c r="N6" s="322">
        <v>44930</v>
      </c>
      <c r="O6" s="317" t="s">
        <v>2315</v>
      </c>
      <c r="P6" s="317">
        <v>8</v>
      </c>
      <c r="Q6" s="366">
        <v>44931</v>
      </c>
      <c r="R6" s="365" t="s">
        <v>264</v>
      </c>
      <c r="S6" s="364">
        <v>44931</v>
      </c>
      <c r="T6" s="364">
        <v>44931</v>
      </c>
      <c r="U6" s="348" t="s">
        <v>4999</v>
      </c>
    </row>
    <row r="7" spans="1:21" ht="25.5" x14ac:dyDescent="0.25">
      <c r="A7" s="359">
        <v>0</v>
      </c>
      <c r="B7" s="49" t="s">
        <v>5000</v>
      </c>
      <c r="C7" s="49" t="s">
        <v>5001</v>
      </c>
      <c r="D7" s="49">
        <v>182453</v>
      </c>
      <c r="E7" s="49" t="s">
        <v>5002</v>
      </c>
      <c r="F7" s="49" t="s">
        <v>4998</v>
      </c>
      <c r="G7" s="49" t="s">
        <v>5003</v>
      </c>
      <c r="H7" s="49" t="s">
        <v>5004</v>
      </c>
      <c r="I7" s="49" t="s">
        <v>2647</v>
      </c>
      <c r="J7" s="316">
        <v>44918</v>
      </c>
      <c r="K7" s="360">
        <v>44928</v>
      </c>
      <c r="L7" s="363" t="s">
        <v>28</v>
      </c>
      <c r="M7" s="317" t="s">
        <v>28</v>
      </c>
      <c r="N7" s="322">
        <v>44956</v>
      </c>
      <c r="O7" s="317" t="s">
        <v>5005</v>
      </c>
      <c r="P7" s="317">
        <v>1</v>
      </c>
      <c r="Q7" s="366">
        <v>44986</v>
      </c>
      <c r="R7" s="365" t="s">
        <v>264</v>
      </c>
      <c r="S7" s="364">
        <v>44987</v>
      </c>
      <c r="T7" s="364">
        <v>44987</v>
      </c>
      <c r="U7" s="348" t="s">
        <v>4999</v>
      </c>
    </row>
    <row r="8" spans="1:21" ht="25.7" x14ac:dyDescent="0.25">
      <c r="A8" s="359">
        <v>0</v>
      </c>
      <c r="B8" s="49" t="s">
        <v>5006</v>
      </c>
      <c r="C8" s="49" t="s">
        <v>69</v>
      </c>
      <c r="D8" s="49">
        <v>182060</v>
      </c>
      <c r="E8" s="49" t="s">
        <v>5007</v>
      </c>
      <c r="F8" s="49" t="s">
        <v>4998</v>
      </c>
      <c r="G8" s="49" t="s">
        <v>291</v>
      </c>
      <c r="H8" s="49" t="s">
        <v>2671</v>
      </c>
      <c r="I8" s="49" t="s">
        <v>2689</v>
      </c>
      <c r="J8" s="316">
        <v>44949</v>
      </c>
      <c r="K8" s="316">
        <v>44956</v>
      </c>
      <c r="L8" s="363" t="s">
        <v>28</v>
      </c>
      <c r="M8" s="317" t="s">
        <v>28</v>
      </c>
      <c r="N8" s="322">
        <v>44971</v>
      </c>
      <c r="O8" s="317" t="s">
        <v>5008</v>
      </c>
      <c r="P8" s="317">
        <v>1</v>
      </c>
      <c r="Q8" s="366">
        <v>44971</v>
      </c>
      <c r="R8" s="365" t="s">
        <v>264</v>
      </c>
      <c r="S8" s="364">
        <v>44971</v>
      </c>
      <c r="T8" s="364">
        <v>44971</v>
      </c>
      <c r="U8" s="348" t="s">
        <v>4999</v>
      </c>
    </row>
    <row r="9" spans="1:21" ht="14.25" x14ac:dyDescent="0.25">
      <c r="A9" s="359">
        <v>0</v>
      </c>
      <c r="B9" s="49" t="s">
        <v>5009</v>
      </c>
      <c r="C9" s="49" t="s">
        <v>69</v>
      </c>
      <c r="D9" s="49">
        <v>181825</v>
      </c>
      <c r="E9" s="49"/>
      <c r="F9" s="49" t="s">
        <v>4998</v>
      </c>
      <c r="G9" s="49"/>
      <c r="H9" s="49"/>
      <c r="I9" s="49"/>
      <c r="J9" s="49"/>
      <c r="K9" s="316"/>
      <c r="L9" s="317"/>
      <c r="M9" s="317"/>
      <c r="N9" s="317"/>
      <c r="O9" s="317"/>
      <c r="P9" s="317"/>
      <c r="Q9" s="317"/>
      <c r="R9" s="365"/>
      <c r="S9" s="365"/>
      <c r="T9" s="365"/>
      <c r="U9" s="348"/>
    </row>
    <row r="10" spans="1:21" x14ac:dyDescent="0.25">
      <c r="A10" s="359">
        <v>0</v>
      </c>
      <c r="B10" s="49" t="s">
        <v>5010</v>
      </c>
      <c r="C10" s="49" t="s">
        <v>69</v>
      </c>
      <c r="D10" s="49">
        <v>182060</v>
      </c>
      <c r="E10" s="49" t="s">
        <v>5011</v>
      </c>
      <c r="F10" s="49" t="s">
        <v>4998</v>
      </c>
      <c r="G10" s="49" t="s">
        <v>71</v>
      </c>
      <c r="H10" s="49" t="s">
        <v>1762</v>
      </c>
      <c r="I10" s="49" t="s">
        <v>5012</v>
      </c>
      <c r="J10" s="316">
        <v>44956</v>
      </c>
      <c r="K10" s="316">
        <v>44956</v>
      </c>
      <c r="L10" s="363" t="s">
        <v>28</v>
      </c>
      <c r="M10" s="317" t="s">
        <v>28</v>
      </c>
      <c r="N10" s="322">
        <v>44971</v>
      </c>
      <c r="O10" s="317" t="s">
        <v>74</v>
      </c>
      <c r="P10" s="317">
        <v>1</v>
      </c>
      <c r="Q10" s="366">
        <v>44971</v>
      </c>
      <c r="R10" s="365" t="s">
        <v>264</v>
      </c>
      <c r="S10" s="364">
        <v>44972</v>
      </c>
      <c r="T10" s="364">
        <v>44972</v>
      </c>
      <c r="U10" s="348" t="s">
        <v>4999</v>
      </c>
    </row>
    <row r="11" spans="1:21" x14ac:dyDescent="0.25">
      <c r="A11" s="359">
        <v>0</v>
      </c>
      <c r="B11" s="49" t="s">
        <v>5013</v>
      </c>
      <c r="C11" s="49" t="s">
        <v>69</v>
      </c>
      <c r="D11" s="49">
        <v>182060</v>
      </c>
      <c r="E11" s="49" t="s">
        <v>5014</v>
      </c>
      <c r="F11" s="49" t="s">
        <v>4998</v>
      </c>
      <c r="G11" s="49" t="s">
        <v>5015</v>
      </c>
      <c r="H11" s="49" t="s">
        <v>5016</v>
      </c>
      <c r="I11" s="49" t="s">
        <v>5017</v>
      </c>
      <c r="J11" s="316">
        <v>44951</v>
      </c>
      <c r="K11" s="316">
        <v>44951</v>
      </c>
      <c r="L11" s="363" t="s">
        <v>28</v>
      </c>
      <c r="M11" s="317" t="s">
        <v>28</v>
      </c>
      <c r="N11" s="322">
        <v>44951</v>
      </c>
      <c r="O11" s="317" t="s">
        <v>5008</v>
      </c>
      <c r="P11" s="317">
        <v>3</v>
      </c>
      <c r="Q11" s="366">
        <v>44971</v>
      </c>
      <c r="R11" s="365" t="s">
        <v>264</v>
      </c>
      <c r="S11" s="364">
        <v>44971</v>
      </c>
      <c r="T11" s="364">
        <v>44971</v>
      </c>
      <c r="U11" s="348" t="s">
        <v>4999</v>
      </c>
    </row>
    <row r="12" spans="1:21" ht="25.5" x14ac:dyDescent="0.25">
      <c r="A12" s="359">
        <v>0</v>
      </c>
      <c r="B12" s="49" t="s">
        <v>5018</v>
      </c>
      <c r="C12" s="49" t="s">
        <v>69</v>
      </c>
      <c r="D12" s="49">
        <v>182060</v>
      </c>
      <c r="E12" s="49" t="s">
        <v>5019</v>
      </c>
      <c r="F12" s="49" t="s">
        <v>4998</v>
      </c>
      <c r="G12" s="49" t="s">
        <v>5020</v>
      </c>
      <c r="H12" s="49" t="s">
        <v>5021</v>
      </c>
      <c r="I12" s="49" t="s">
        <v>2689</v>
      </c>
      <c r="J12" s="316">
        <v>44951</v>
      </c>
      <c r="K12" s="316">
        <v>44956</v>
      </c>
      <c r="L12" s="363" t="s">
        <v>28</v>
      </c>
      <c r="M12" s="317" t="s">
        <v>28</v>
      </c>
      <c r="N12" s="322">
        <v>44971</v>
      </c>
      <c r="O12" s="317" t="s">
        <v>5022</v>
      </c>
      <c r="P12" s="317">
        <v>1</v>
      </c>
      <c r="Q12" s="366">
        <v>44973</v>
      </c>
      <c r="R12" s="365" t="s">
        <v>264</v>
      </c>
      <c r="S12" s="364">
        <v>44973</v>
      </c>
      <c r="T12" s="364">
        <v>44973</v>
      </c>
      <c r="U12" s="348" t="s">
        <v>4999</v>
      </c>
    </row>
    <row r="13" spans="1:21" ht="25.5" x14ac:dyDescent="0.25">
      <c r="A13" s="359">
        <v>0</v>
      </c>
      <c r="B13" s="49" t="s">
        <v>5023</v>
      </c>
      <c r="C13" s="49" t="s">
        <v>69</v>
      </c>
      <c r="D13" s="49">
        <v>182060</v>
      </c>
      <c r="E13" s="49" t="s">
        <v>5024</v>
      </c>
      <c r="F13" s="49" t="s">
        <v>4998</v>
      </c>
      <c r="G13" s="49" t="s">
        <v>5025</v>
      </c>
      <c r="H13" s="49" t="s">
        <v>5026</v>
      </c>
      <c r="I13" s="49" t="s">
        <v>73</v>
      </c>
      <c r="J13" s="316">
        <v>44951</v>
      </c>
      <c r="K13" s="316">
        <v>44956</v>
      </c>
      <c r="L13" s="363" t="s">
        <v>28</v>
      </c>
      <c r="M13" s="317" t="s">
        <v>28</v>
      </c>
      <c r="N13" s="322">
        <v>44971</v>
      </c>
      <c r="O13" s="317" t="s">
        <v>5027</v>
      </c>
      <c r="P13" s="317">
        <v>2</v>
      </c>
      <c r="Q13" s="366">
        <v>44971</v>
      </c>
      <c r="R13" s="365" t="s">
        <v>264</v>
      </c>
      <c r="S13" s="364">
        <v>44972</v>
      </c>
      <c r="T13" s="364">
        <v>44972</v>
      </c>
      <c r="U13" s="348" t="s">
        <v>4999</v>
      </c>
    </row>
    <row r="14" spans="1:21" ht="25.5" x14ac:dyDescent="0.25">
      <c r="A14" s="359">
        <v>0</v>
      </c>
      <c r="B14" s="49" t="s">
        <v>5028</v>
      </c>
      <c r="C14" s="49" t="s">
        <v>69</v>
      </c>
      <c r="D14" s="49">
        <v>182060</v>
      </c>
      <c r="E14" s="49" t="s">
        <v>5029</v>
      </c>
      <c r="F14" s="49" t="s">
        <v>4998</v>
      </c>
      <c r="G14" s="49" t="s">
        <v>5030</v>
      </c>
      <c r="H14" s="49" t="s">
        <v>5031</v>
      </c>
      <c r="I14" s="49" t="s">
        <v>73</v>
      </c>
      <c r="J14" s="316">
        <v>45002</v>
      </c>
      <c r="K14" s="316">
        <v>45002</v>
      </c>
      <c r="L14" s="363" t="s">
        <v>28</v>
      </c>
      <c r="M14" s="317" t="s">
        <v>28</v>
      </c>
      <c r="N14" s="322">
        <v>45005</v>
      </c>
      <c r="O14" s="317" t="s">
        <v>2708</v>
      </c>
      <c r="P14" s="317">
        <v>1</v>
      </c>
      <c r="Q14" s="366">
        <v>45005</v>
      </c>
      <c r="R14" s="365" t="s">
        <v>264</v>
      </c>
      <c r="S14" s="364">
        <v>45008</v>
      </c>
      <c r="T14" s="364">
        <v>45008</v>
      </c>
      <c r="U14" s="348" t="s">
        <v>4999</v>
      </c>
    </row>
    <row r="15" spans="1:21" ht="25.7" x14ac:dyDescent="0.25">
      <c r="A15" s="359">
        <v>0</v>
      </c>
      <c r="B15" s="49" t="s">
        <v>5032</v>
      </c>
      <c r="C15" s="49" t="s">
        <v>69</v>
      </c>
      <c r="D15" s="49">
        <v>182060</v>
      </c>
      <c r="E15" s="49" t="s">
        <v>5033</v>
      </c>
      <c r="F15" s="49" t="s">
        <v>4998</v>
      </c>
      <c r="G15" s="49" t="s">
        <v>5034</v>
      </c>
      <c r="H15" s="49" t="s">
        <v>5035</v>
      </c>
      <c r="I15" s="49" t="s">
        <v>1730</v>
      </c>
      <c r="J15" s="316">
        <v>45002</v>
      </c>
      <c r="K15" s="316">
        <v>45002</v>
      </c>
      <c r="L15" s="363" t="s">
        <v>28</v>
      </c>
      <c r="M15" s="317" t="s">
        <v>28</v>
      </c>
      <c r="N15" s="322">
        <v>45005</v>
      </c>
      <c r="O15" s="317" t="s">
        <v>5036</v>
      </c>
      <c r="P15" s="317">
        <v>20</v>
      </c>
      <c r="Q15" s="366">
        <v>45015</v>
      </c>
      <c r="R15" s="365" t="s">
        <v>264</v>
      </c>
      <c r="S15" s="364">
        <v>45015</v>
      </c>
      <c r="T15" s="364">
        <v>45015</v>
      </c>
      <c r="U15" s="348" t="s">
        <v>4999</v>
      </c>
    </row>
    <row r="16" spans="1:21" x14ac:dyDescent="0.25">
      <c r="A16" s="359">
        <v>0</v>
      </c>
      <c r="B16" s="49" t="s">
        <v>5037</v>
      </c>
      <c r="C16" s="49" t="s">
        <v>69</v>
      </c>
      <c r="D16" s="49">
        <v>182060</v>
      </c>
      <c r="E16" s="49" t="s">
        <v>5038</v>
      </c>
      <c r="F16" s="49" t="s">
        <v>4998</v>
      </c>
      <c r="G16" s="49" t="s">
        <v>1724</v>
      </c>
      <c r="H16" s="49" t="s">
        <v>1725</v>
      </c>
      <c r="I16" s="49" t="s">
        <v>73</v>
      </c>
      <c r="J16" s="316">
        <v>45002</v>
      </c>
      <c r="K16" s="316">
        <v>45002</v>
      </c>
      <c r="L16" s="363" t="s">
        <v>28</v>
      </c>
      <c r="M16" s="317" t="s">
        <v>28</v>
      </c>
      <c r="N16" s="322">
        <v>45005</v>
      </c>
      <c r="O16" s="317" t="s">
        <v>84</v>
      </c>
      <c r="P16" s="317">
        <v>1</v>
      </c>
      <c r="Q16" s="366">
        <v>45015</v>
      </c>
      <c r="R16" s="365" t="s">
        <v>264</v>
      </c>
      <c r="S16" s="364">
        <v>45015</v>
      </c>
      <c r="T16" s="364">
        <v>45015</v>
      </c>
      <c r="U16" s="348" t="s">
        <v>4999</v>
      </c>
    </row>
    <row r="17" spans="1:21" ht="25.5" x14ac:dyDescent="0.25">
      <c r="A17" s="359">
        <v>0</v>
      </c>
      <c r="B17" s="49" t="s">
        <v>5039</v>
      </c>
      <c r="C17" s="49" t="s">
        <v>69</v>
      </c>
      <c r="D17" s="49">
        <v>182060</v>
      </c>
      <c r="E17" s="49" t="s">
        <v>5040</v>
      </c>
      <c r="F17" s="49" t="s">
        <v>4998</v>
      </c>
      <c r="G17" s="49" t="s">
        <v>5041</v>
      </c>
      <c r="H17" s="49" t="s">
        <v>5042</v>
      </c>
      <c r="I17" s="49" t="s">
        <v>5043</v>
      </c>
      <c r="J17" s="316">
        <v>45028</v>
      </c>
      <c r="K17" s="316">
        <v>45028</v>
      </c>
      <c r="L17" s="363" t="s">
        <v>28</v>
      </c>
      <c r="M17" s="317" t="s">
        <v>28</v>
      </c>
      <c r="N17" s="322">
        <v>45040</v>
      </c>
      <c r="O17" s="317" t="s">
        <v>5044</v>
      </c>
      <c r="P17" s="317">
        <v>5</v>
      </c>
      <c r="Q17" s="366">
        <v>45051</v>
      </c>
      <c r="R17" s="365" t="s">
        <v>264</v>
      </c>
      <c r="S17" s="364">
        <v>45054</v>
      </c>
      <c r="T17" s="364">
        <v>45054</v>
      </c>
      <c r="U17" s="348" t="s">
        <v>4999</v>
      </c>
    </row>
    <row r="18" spans="1:21" ht="25.7" x14ac:dyDescent="0.25">
      <c r="A18" s="359">
        <v>0</v>
      </c>
      <c r="B18" s="49" t="s">
        <v>5045</v>
      </c>
      <c r="C18" s="49" t="s">
        <v>69</v>
      </c>
      <c r="D18" s="49">
        <v>182060</v>
      </c>
      <c r="E18" s="49" t="s">
        <v>5046</v>
      </c>
      <c r="F18" s="49" t="s">
        <v>4998</v>
      </c>
      <c r="G18" s="49" t="s">
        <v>5047</v>
      </c>
      <c r="H18" s="49" t="s">
        <v>5048</v>
      </c>
      <c r="I18" s="49" t="s">
        <v>1730</v>
      </c>
      <c r="J18" s="316">
        <v>45028</v>
      </c>
      <c r="K18" s="316">
        <v>45028</v>
      </c>
      <c r="L18" s="363" t="s">
        <v>28</v>
      </c>
      <c r="M18" s="317" t="s">
        <v>28</v>
      </c>
      <c r="N18" s="322">
        <v>45061</v>
      </c>
      <c r="O18" s="317" t="s">
        <v>5049</v>
      </c>
      <c r="P18" s="317">
        <v>12</v>
      </c>
      <c r="Q18" s="366">
        <v>45061</v>
      </c>
      <c r="R18" s="365" t="s">
        <v>264</v>
      </c>
      <c r="S18" s="364">
        <v>45063</v>
      </c>
      <c r="T18" s="364">
        <v>45063</v>
      </c>
      <c r="U18" s="348" t="s">
        <v>4999</v>
      </c>
    </row>
    <row r="19" spans="1:21" x14ac:dyDescent="0.25">
      <c r="A19" s="359">
        <v>0</v>
      </c>
      <c r="B19" s="49" t="s">
        <v>5050</v>
      </c>
      <c r="C19" s="49" t="s">
        <v>69</v>
      </c>
      <c r="D19" s="49">
        <v>182060</v>
      </c>
      <c r="E19" s="49" t="s">
        <v>5051</v>
      </c>
      <c r="F19" s="49" t="s">
        <v>4998</v>
      </c>
      <c r="G19" s="49" t="s">
        <v>71</v>
      </c>
      <c r="H19" s="49" t="s">
        <v>1762</v>
      </c>
      <c r="I19" s="49" t="s">
        <v>73</v>
      </c>
      <c r="J19" s="316">
        <v>45028</v>
      </c>
      <c r="K19" s="316">
        <v>45028</v>
      </c>
      <c r="L19" s="363" t="s">
        <v>28</v>
      </c>
      <c r="M19" s="317" t="s">
        <v>28</v>
      </c>
      <c r="N19" s="322">
        <v>45040</v>
      </c>
      <c r="O19" s="317" t="s">
        <v>74</v>
      </c>
      <c r="P19" s="317">
        <v>7</v>
      </c>
      <c r="Q19" s="366">
        <v>45051</v>
      </c>
      <c r="R19" s="365" t="s">
        <v>264</v>
      </c>
      <c r="S19" s="364">
        <v>45054</v>
      </c>
      <c r="T19" s="364">
        <v>45054</v>
      </c>
      <c r="U19" s="348" t="s">
        <v>4999</v>
      </c>
    </row>
    <row r="20" spans="1:21" ht="14.25" x14ac:dyDescent="0.25">
      <c r="A20" s="359">
        <v>0</v>
      </c>
      <c r="B20" s="49" t="s">
        <v>5052</v>
      </c>
      <c r="C20" s="49" t="s">
        <v>69</v>
      </c>
      <c r="D20" s="49">
        <v>181825</v>
      </c>
      <c r="E20" s="49"/>
      <c r="F20" s="49" t="s">
        <v>4998</v>
      </c>
      <c r="G20" s="316"/>
      <c r="H20" s="316"/>
      <c r="I20" s="49"/>
      <c r="J20" s="316"/>
      <c r="K20" s="316"/>
      <c r="L20" s="366"/>
      <c r="M20" s="366"/>
      <c r="N20" s="366"/>
      <c r="O20" s="366"/>
      <c r="P20" s="366"/>
      <c r="Q20" s="366"/>
      <c r="R20" s="364"/>
      <c r="S20" s="364"/>
      <c r="T20" s="364"/>
      <c r="U20" s="348"/>
    </row>
    <row r="21" spans="1:21" ht="14.25" x14ac:dyDescent="0.25">
      <c r="A21" s="359">
        <v>0</v>
      </c>
      <c r="B21" s="49" t="s">
        <v>5053</v>
      </c>
      <c r="C21" s="49" t="s">
        <v>5001</v>
      </c>
      <c r="D21" s="49">
        <v>182468</v>
      </c>
      <c r="E21" s="49" t="s">
        <v>5054</v>
      </c>
      <c r="F21" s="49" t="s">
        <v>4998</v>
      </c>
      <c r="G21" s="49" t="s">
        <v>5055</v>
      </c>
      <c r="H21" s="49" t="s">
        <v>5056</v>
      </c>
      <c r="I21" s="49" t="s">
        <v>5057</v>
      </c>
      <c r="J21" s="316">
        <v>44936</v>
      </c>
      <c r="K21" s="360">
        <v>44937</v>
      </c>
      <c r="L21" s="363" t="s">
        <v>28</v>
      </c>
      <c r="M21" s="317" t="s">
        <v>28</v>
      </c>
      <c r="N21" s="322">
        <v>44956</v>
      </c>
      <c r="O21" s="317" t="s">
        <v>5058</v>
      </c>
      <c r="P21" s="317">
        <v>2</v>
      </c>
      <c r="Q21" s="366">
        <v>45033</v>
      </c>
      <c r="R21" s="365" t="s">
        <v>264</v>
      </c>
      <c r="S21" s="364">
        <v>45035</v>
      </c>
      <c r="T21" s="364">
        <v>45035</v>
      </c>
      <c r="U21" s="348" t="s">
        <v>4999</v>
      </c>
    </row>
    <row r="22" spans="1:21" ht="25.5" x14ac:dyDescent="0.25">
      <c r="A22" s="359">
        <v>0</v>
      </c>
      <c r="B22" s="49" t="s">
        <v>5059</v>
      </c>
      <c r="C22" s="49" t="s">
        <v>1345</v>
      </c>
      <c r="D22" s="49">
        <v>181825</v>
      </c>
      <c r="E22" s="362" t="s">
        <v>5060</v>
      </c>
      <c r="F22" s="49" t="s">
        <v>4998</v>
      </c>
      <c r="G22" s="49" t="s">
        <v>1406</v>
      </c>
      <c r="H22" s="49" t="s">
        <v>5061</v>
      </c>
      <c r="I22" s="49" t="s">
        <v>5062</v>
      </c>
      <c r="J22" s="316">
        <v>44938</v>
      </c>
      <c r="K22" s="360">
        <v>44938</v>
      </c>
      <c r="L22" s="363" t="s">
        <v>28</v>
      </c>
      <c r="M22" s="317" t="s">
        <v>28</v>
      </c>
      <c r="N22" s="322">
        <v>44938</v>
      </c>
      <c r="O22" s="317" t="s">
        <v>2198</v>
      </c>
      <c r="P22" s="317">
        <v>4</v>
      </c>
      <c r="Q22" s="366">
        <v>44939</v>
      </c>
      <c r="R22" s="365" t="s">
        <v>264</v>
      </c>
      <c r="S22" s="364">
        <v>44939</v>
      </c>
      <c r="T22" s="364">
        <v>44939</v>
      </c>
      <c r="U22" s="348" t="s">
        <v>4999</v>
      </c>
    </row>
    <row r="23" spans="1:21" ht="25.5" x14ac:dyDescent="0.25">
      <c r="A23" s="359">
        <v>0</v>
      </c>
      <c r="B23" s="49" t="s">
        <v>5063</v>
      </c>
      <c r="C23" s="49" t="s">
        <v>1345</v>
      </c>
      <c r="D23" s="49">
        <v>181825</v>
      </c>
      <c r="E23" s="362" t="s">
        <v>5064</v>
      </c>
      <c r="F23" s="49" t="s">
        <v>4998</v>
      </c>
      <c r="G23" s="49" t="s">
        <v>1406</v>
      </c>
      <c r="H23" s="49" t="s">
        <v>5065</v>
      </c>
      <c r="I23" s="49" t="s">
        <v>5062</v>
      </c>
      <c r="J23" s="316">
        <v>44938</v>
      </c>
      <c r="K23" s="360">
        <v>44938</v>
      </c>
      <c r="L23" s="363" t="s">
        <v>28</v>
      </c>
      <c r="M23" s="317" t="s">
        <v>28</v>
      </c>
      <c r="N23" s="322">
        <v>44938</v>
      </c>
      <c r="O23" s="317" t="s">
        <v>2198</v>
      </c>
      <c r="P23" s="317">
        <v>1</v>
      </c>
      <c r="Q23" s="366">
        <v>44939</v>
      </c>
      <c r="R23" s="365" t="s">
        <v>264</v>
      </c>
      <c r="S23" s="364">
        <v>44939</v>
      </c>
      <c r="T23" s="364">
        <v>44939</v>
      </c>
      <c r="U23" s="348" t="s">
        <v>4999</v>
      </c>
    </row>
    <row r="24" spans="1:21" ht="38.25" x14ac:dyDescent="0.25">
      <c r="A24" s="359">
        <v>0</v>
      </c>
      <c r="B24" s="49" t="s">
        <v>5066</v>
      </c>
      <c r="C24" s="49" t="s">
        <v>5067</v>
      </c>
      <c r="D24" s="49">
        <v>182435</v>
      </c>
      <c r="E24" s="49" t="s">
        <v>5068</v>
      </c>
      <c r="F24" s="49" t="s">
        <v>4998</v>
      </c>
      <c r="G24" s="49" t="s">
        <v>3701</v>
      </c>
      <c r="H24" s="49" t="s">
        <v>5069</v>
      </c>
      <c r="I24" s="49" t="s">
        <v>3129</v>
      </c>
      <c r="J24" s="316">
        <v>44908</v>
      </c>
      <c r="K24" s="360">
        <v>44935</v>
      </c>
      <c r="L24" s="363" t="s">
        <v>28</v>
      </c>
      <c r="M24" s="317" t="s">
        <v>28</v>
      </c>
      <c r="N24" s="322">
        <v>44939</v>
      </c>
      <c r="O24" s="317" t="s">
        <v>5070</v>
      </c>
      <c r="P24" s="317">
        <v>4</v>
      </c>
      <c r="Q24" s="366">
        <v>44944</v>
      </c>
      <c r="R24" s="365" t="s">
        <v>264</v>
      </c>
      <c r="S24" s="364">
        <v>44946</v>
      </c>
      <c r="T24" s="364">
        <v>44946</v>
      </c>
      <c r="U24" s="348" t="s">
        <v>4999</v>
      </c>
    </row>
    <row r="25" spans="1:21" ht="38.25" x14ac:dyDescent="0.25">
      <c r="A25" s="359">
        <v>0</v>
      </c>
      <c r="B25" s="49" t="s">
        <v>5071</v>
      </c>
      <c r="C25" s="49" t="s">
        <v>5067</v>
      </c>
      <c r="D25" s="49">
        <v>182021</v>
      </c>
      <c r="E25" s="49" t="s">
        <v>5072</v>
      </c>
      <c r="F25" s="49" t="s">
        <v>4998</v>
      </c>
      <c r="G25" s="49" t="s">
        <v>5073</v>
      </c>
      <c r="H25" s="49" t="s">
        <v>5074</v>
      </c>
      <c r="I25" s="49" t="s">
        <v>1715</v>
      </c>
      <c r="J25" s="316">
        <v>44810</v>
      </c>
      <c r="K25" s="360">
        <v>44935</v>
      </c>
      <c r="L25" s="363" t="s">
        <v>28</v>
      </c>
      <c r="M25" s="317" t="s">
        <v>28</v>
      </c>
      <c r="N25" s="322">
        <v>44939</v>
      </c>
      <c r="O25" s="317" t="s">
        <v>4029</v>
      </c>
      <c r="P25" s="317">
        <v>10</v>
      </c>
      <c r="Q25" s="366">
        <v>44944</v>
      </c>
      <c r="R25" s="365" t="s">
        <v>264</v>
      </c>
      <c r="S25" s="364">
        <v>44946</v>
      </c>
      <c r="T25" s="364">
        <v>44946</v>
      </c>
      <c r="U25" s="348" t="s">
        <v>4999</v>
      </c>
    </row>
    <row r="26" spans="1:21" ht="25.5" x14ac:dyDescent="0.25">
      <c r="A26" s="359">
        <v>0</v>
      </c>
      <c r="B26" s="49" t="s">
        <v>5075</v>
      </c>
      <c r="C26" s="49" t="s">
        <v>1680</v>
      </c>
      <c r="D26" s="49">
        <v>181202</v>
      </c>
      <c r="E26" s="49" t="s">
        <v>5076</v>
      </c>
      <c r="F26" s="49" t="s">
        <v>4998</v>
      </c>
      <c r="G26" s="49" t="s">
        <v>5077</v>
      </c>
      <c r="H26" s="49" t="s">
        <v>5078</v>
      </c>
      <c r="I26" s="49" t="s">
        <v>5079</v>
      </c>
      <c r="J26" s="316">
        <v>44942</v>
      </c>
      <c r="K26" s="316">
        <v>44942</v>
      </c>
      <c r="L26" s="363" t="s">
        <v>28</v>
      </c>
      <c r="M26" s="317" t="s">
        <v>28</v>
      </c>
      <c r="N26" s="322">
        <v>44957</v>
      </c>
      <c r="O26" s="317" t="s">
        <v>3191</v>
      </c>
      <c r="P26" s="317">
        <v>3</v>
      </c>
      <c r="Q26" s="366">
        <v>44957</v>
      </c>
      <c r="R26" s="365" t="s">
        <v>264</v>
      </c>
      <c r="S26" s="364">
        <v>44958</v>
      </c>
      <c r="T26" s="364">
        <v>44958</v>
      </c>
      <c r="U26" s="348" t="s">
        <v>4999</v>
      </c>
    </row>
    <row r="27" spans="1:21" ht="25.5" x14ac:dyDescent="0.25">
      <c r="A27" s="359">
        <v>0</v>
      </c>
      <c r="B27" s="49" t="s">
        <v>5080</v>
      </c>
      <c r="C27" s="49" t="s">
        <v>1345</v>
      </c>
      <c r="D27" s="49">
        <v>181825</v>
      </c>
      <c r="E27" s="362" t="s">
        <v>5081</v>
      </c>
      <c r="F27" s="49" t="s">
        <v>4998</v>
      </c>
      <c r="G27" s="49" t="s">
        <v>1406</v>
      </c>
      <c r="H27" s="49" t="s">
        <v>5082</v>
      </c>
      <c r="I27" s="49" t="s">
        <v>5083</v>
      </c>
      <c r="J27" s="316">
        <v>44939</v>
      </c>
      <c r="K27" s="316">
        <v>44939</v>
      </c>
      <c r="L27" s="363" t="s">
        <v>28</v>
      </c>
      <c r="M27" s="317" t="s">
        <v>28</v>
      </c>
      <c r="N27" s="322">
        <v>44942</v>
      </c>
      <c r="O27" s="317" t="s">
        <v>5084</v>
      </c>
      <c r="P27" s="317">
        <v>1</v>
      </c>
      <c r="Q27" s="366">
        <v>44943</v>
      </c>
      <c r="R27" s="365" t="s">
        <v>264</v>
      </c>
      <c r="S27" s="364">
        <v>44943</v>
      </c>
      <c r="T27" s="364">
        <v>44943</v>
      </c>
      <c r="U27" s="348" t="s">
        <v>4999</v>
      </c>
    </row>
    <row r="28" spans="1:21" ht="25.5" x14ac:dyDescent="0.25">
      <c r="A28" s="359">
        <v>0</v>
      </c>
      <c r="B28" s="49" t="s">
        <v>5085</v>
      </c>
      <c r="C28" s="49" t="s">
        <v>1345</v>
      </c>
      <c r="D28" s="49">
        <v>181825</v>
      </c>
      <c r="E28" s="362" t="s">
        <v>5086</v>
      </c>
      <c r="F28" s="49" t="s">
        <v>4998</v>
      </c>
      <c r="G28" s="49" t="s">
        <v>1406</v>
      </c>
      <c r="H28" s="49" t="s">
        <v>5087</v>
      </c>
      <c r="I28" s="49" t="s">
        <v>5062</v>
      </c>
      <c r="J28" s="316">
        <v>44939</v>
      </c>
      <c r="K28" s="316">
        <v>44939</v>
      </c>
      <c r="L28" s="363" t="s">
        <v>28</v>
      </c>
      <c r="M28" s="317" t="s">
        <v>28</v>
      </c>
      <c r="N28" s="322">
        <v>44942</v>
      </c>
      <c r="O28" s="317" t="s">
        <v>5088</v>
      </c>
      <c r="P28" s="317">
        <v>2</v>
      </c>
      <c r="Q28" s="366">
        <v>44943</v>
      </c>
      <c r="R28" s="365" t="s">
        <v>264</v>
      </c>
      <c r="S28" s="364">
        <v>44943</v>
      </c>
      <c r="T28" s="364">
        <v>44943</v>
      </c>
      <c r="U28" s="348" t="s">
        <v>4999</v>
      </c>
    </row>
    <row r="29" spans="1:21" ht="25.5" x14ac:dyDescent="0.25">
      <c r="A29" s="359">
        <v>0</v>
      </c>
      <c r="B29" s="49" t="s">
        <v>5089</v>
      </c>
      <c r="C29" s="49" t="s">
        <v>1345</v>
      </c>
      <c r="D29" s="49">
        <v>181825</v>
      </c>
      <c r="E29" s="362" t="s">
        <v>5090</v>
      </c>
      <c r="F29" s="49" t="s">
        <v>4998</v>
      </c>
      <c r="G29" s="49" t="s">
        <v>1406</v>
      </c>
      <c r="H29" s="49" t="s">
        <v>5091</v>
      </c>
      <c r="I29" s="49" t="s">
        <v>5062</v>
      </c>
      <c r="J29" s="316">
        <v>44942</v>
      </c>
      <c r="K29" s="316">
        <v>44942</v>
      </c>
      <c r="L29" s="363" t="s">
        <v>28</v>
      </c>
      <c r="M29" s="317" t="s">
        <v>28</v>
      </c>
      <c r="N29" s="322">
        <v>44943</v>
      </c>
      <c r="O29" s="317" t="s">
        <v>2198</v>
      </c>
      <c r="P29" s="317">
        <v>2</v>
      </c>
      <c r="Q29" s="366">
        <v>44943</v>
      </c>
      <c r="R29" s="365" t="s">
        <v>264</v>
      </c>
      <c r="S29" s="364">
        <v>44944</v>
      </c>
      <c r="T29" s="364">
        <v>44944</v>
      </c>
      <c r="U29" s="348" t="s">
        <v>4999</v>
      </c>
    </row>
    <row r="30" spans="1:21" ht="25.5" x14ac:dyDescent="0.25">
      <c r="A30" s="359">
        <v>0</v>
      </c>
      <c r="B30" s="49" t="s">
        <v>5092</v>
      </c>
      <c r="C30" s="49" t="s">
        <v>1345</v>
      </c>
      <c r="D30" s="49">
        <v>181825</v>
      </c>
      <c r="E30" s="362" t="s">
        <v>5093</v>
      </c>
      <c r="F30" s="49" t="s">
        <v>4998</v>
      </c>
      <c r="G30" s="49" t="s">
        <v>1406</v>
      </c>
      <c r="H30" s="49" t="s">
        <v>5094</v>
      </c>
      <c r="I30" s="49" t="s">
        <v>5062</v>
      </c>
      <c r="J30" s="316">
        <v>44943</v>
      </c>
      <c r="K30" s="316">
        <v>44943</v>
      </c>
      <c r="L30" s="363" t="s">
        <v>28</v>
      </c>
      <c r="M30" s="317" t="s">
        <v>28</v>
      </c>
      <c r="N30" s="322">
        <v>44943</v>
      </c>
      <c r="O30" s="317" t="s">
        <v>5088</v>
      </c>
      <c r="P30" s="317">
        <v>1</v>
      </c>
      <c r="Q30" s="366">
        <v>44944</v>
      </c>
      <c r="R30" s="365" t="s">
        <v>264</v>
      </c>
      <c r="S30" s="364">
        <v>44944</v>
      </c>
      <c r="T30" s="364">
        <v>44944</v>
      </c>
      <c r="U30" s="348" t="s">
        <v>4999</v>
      </c>
    </row>
    <row r="31" spans="1:21" ht="25.5" x14ac:dyDescent="0.25">
      <c r="A31" s="359">
        <v>0</v>
      </c>
      <c r="B31" s="49" t="s">
        <v>5095</v>
      </c>
      <c r="C31" s="49" t="s">
        <v>1345</v>
      </c>
      <c r="D31" s="49">
        <v>181825</v>
      </c>
      <c r="E31" s="362" t="s">
        <v>5096</v>
      </c>
      <c r="F31" s="49" t="s">
        <v>4998</v>
      </c>
      <c r="G31" s="49" t="s">
        <v>1406</v>
      </c>
      <c r="H31" s="49" t="s">
        <v>5097</v>
      </c>
      <c r="I31" s="49" t="s">
        <v>5062</v>
      </c>
      <c r="J31" s="316">
        <v>44944</v>
      </c>
      <c r="K31" s="316">
        <v>44944</v>
      </c>
      <c r="L31" s="363" t="s">
        <v>28</v>
      </c>
      <c r="M31" s="317" t="s">
        <v>28</v>
      </c>
      <c r="N31" s="322">
        <v>44944</v>
      </c>
      <c r="O31" s="317" t="s">
        <v>5098</v>
      </c>
      <c r="P31" s="317">
        <v>2</v>
      </c>
      <c r="Q31" s="366">
        <v>44944</v>
      </c>
      <c r="R31" s="365" t="s">
        <v>264</v>
      </c>
      <c r="S31" s="364">
        <v>44945</v>
      </c>
      <c r="T31" s="364">
        <v>44945</v>
      </c>
      <c r="U31" s="348" t="s">
        <v>4999</v>
      </c>
    </row>
    <row r="32" spans="1:21" ht="25.5" x14ac:dyDescent="0.25">
      <c r="A32" s="359">
        <v>0</v>
      </c>
      <c r="B32" s="49" t="s">
        <v>5099</v>
      </c>
      <c r="C32" s="49" t="s">
        <v>1345</v>
      </c>
      <c r="D32" s="49">
        <v>181825</v>
      </c>
      <c r="E32" s="362" t="s">
        <v>5100</v>
      </c>
      <c r="F32" s="49" t="s">
        <v>4998</v>
      </c>
      <c r="G32" s="49" t="s">
        <v>547</v>
      </c>
      <c r="H32" s="49" t="s">
        <v>5101</v>
      </c>
      <c r="I32" s="49" t="s">
        <v>5102</v>
      </c>
      <c r="J32" s="316">
        <v>44945</v>
      </c>
      <c r="K32" s="316">
        <v>44945</v>
      </c>
      <c r="L32" s="363" t="s">
        <v>28</v>
      </c>
      <c r="M32" s="317" t="s">
        <v>28</v>
      </c>
      <c r="N32" s="322">
        <v>44945</v>
      </c>
      <c r="O32" s="317" t="s">
        <v>5103</v>
      </c>
      <c r="P32" s="317">
        <v>3</v>
      </c>
      <c r="Q32" s="366">
        <v>44945</v>
      </c>
      <c r="R32" s="365" t="s">
        <v>264</v>
      </c>
      <c r="S32" s="364">
        <v>44946</v>
      </c>
      <c r="T32" s="364">
        <v>44946</v>
      </c>
      <c r="U32" s="348" t="s">
        <v>4999</v>
      </c>
    </row>
    <row r="33" spans="1:21" ht="25.7" x14ac:dyDescent="0.25">
      <c r="A33" s="387">
        <v>0</v>
      </c>
      <c r="B33" s="287" t="s">
        <v>5104</v>
      </c>
      <c r="C33" s="287" t="s">
        <v>1345</v>
      </c>
      <c r="D33" s="287">
        <v>181825</v>
      </c>
      <c r="E33" s="388" t="s">
        <v>5105</v>
      </c>
      <c r="F33" s="287" t="s">
        <v>4998</v>
      </c>
      <c r="G33" s="49"/>
      <c r="H33" s="49"/>
      <c r="I33" s="49"/>
      <c r="J33" s="49"/>
      <c r="K33" s="49"/>
      <c r="L33" s="322"/>
      <c r="M33" s="322"/>
      <c r="N33" s="322"/>
      <c r="O33" s="322"/>
      <c r="P33" s="322"/>
      <c r="Q33" s="322"/>
      <c r="R33" s="365"/>
      <c r="S33" s="365"/>
      <c r="T33" s="365"/>
      <c r="U33" s="348"/>
    </row>
    <row r="34" spans="1:21" ht="25.5" x14ac:dyDescent="0.25">
      <c r="A34" s="359">
        <v>0</v>
      </c>
      <c r="B34" s="49" t="s">
        <v>5106</v>
      </c>
      <c r="C34" s="49" t="s">
        <v>1345</v>
      </c>
      <c r="D34" s="49">
        <v>181825</v>
      </c>
      <c r="E34" s="362" t="s">
        <v>5107</v>
      </c>
      <c r="F34" s="49" t="s">
        <v>4998</v>
      </c>
      <c r="G34" s="49" t="s">
        <v>1406</v>
      </c>
      <c r="H34" s="49" t="s">
        <v>5108</v>
      </c>
      <c r="I34" s="49" t="s">
        <v>5062</v>
      </c>
      <c r="J34" s="316">
        <v>44959</v>
      </c>
      <c r="K34" s="316">
        <v>44959</v>
      </c>
      <c r="L34" s="363" t="s">
        <v>28</v>
      </c>
      <c r="M34" s="317" t="s">
        <v>28</v>
      </c>
      <c r="N34" s="322">
        <v>44959</v>
      </c>
      <c r="O34" s="317" t="s">
        <v>5098</v>
      </c>
      <c r="P34" s="317">
        <v>4</v>
      </c>
      <c r="Q34" s="366">
        <v>44959</v>
      </c>
      <c r="R34" s="365" t="s">
        <v>264</v>
      </c>
      <c r="S34" s="364">
        <v>44960</v>
      </c>
      <c r="T34" s="364">
        <v>44960</v>
      </c>
      <c r="U34" s="348" t="s">
        <v>4999</v>
      </c>
    </row>
    <row r="35" spans="1:21" ht="25.7" x14ac:dyDescent="0.25">
      <c r="A35" s="359">
        <v>0</v>
      </c>
      <c r="B35" s="49" t="s">
        <v>5109</v>
      </c>
      <c r="C35" s="49" t="s">
        <v>1345</v>
      </c>
      <c r="D35" s="49">
        <v>181825</v>
      </c>
      <c r="E35" s="362" t="s">
        <v>5110</v>
      </c>
      <c r="F35" s="49" t="s">
        <v>4998</v>
      </c>
      <c r="G35" s="49" t="s">
        <v>1477</v>
      </c>
      <c r="H35" s="49" t="s">
        <v>1409</v>
      </c>
      <c r="I35" s="49" t="s">
        <v>1379</v>
      </c>
      <c r="J35" s="316">
        <v>44960</v>
      </c>
      <c r="K35" s="316">
        <v>44960</v>
      </c>
      <c r="L35" s="363" t="s">
        <v>28</v>
      </c>
      <c r="M35" s="317" t="s">
        <v>28</v>
      </c>
      <c r="N35" s="322">
        <v>44960</v>
      </c>
      <c r="O35" s="317" t="s">
        <v>5111</v>
      </c>
      <c r="P35" s="317">
        <v>2</v>
      </c>
      <c r="Q35" s="366">
        <v>44960</v>
      </c>
      <c r="R35" s="365" t="s">
        <v>264</v>
      </c>
      <c r="S35" s="364">
        <v>44963</v>
      </c>
      <c r="T35" s="364">
        <v>44963</v>
      </c>
      <c r="U35" s="348" t="s">
        <v>4999</v>
      </c>
    </row>
    <row r="36" spans="1:21" ht="25.5" x14ac:dyDescent="0.25">
      <c r="A36" s="359">
        <v>0</v>
      </c>
      <c r="B36" s="49" t="s">
        <v>5112</v>
      </c>
      <c r="C36" s="49" t="s">
        <v>1345</v>
      </c>
      <c r="D36" s="49">
        <v>181825</v>
      </c>
      <c r="E36" s="362" t="s">
        <v>5113</v>
      </c>
      <c r="F36" s="49" t="s">
        <v>4998</v>
      </c>
      <c r="G36" s="49" t="s">
        <v>44</v>
      </c>
      <c r="H36" s="49" t="s">
        <v>5114</v>
      </c>
      <c r="I36" s="49" t="s">
        <v>5115</v>
      </c>
      <c r="J36" s="316">
        <v>45091</v>
      </c>
      <c r="K36" s="316">
        <v>45091</v>
      </c>
      <c r="L36" s="322" t="s">
        <v>5116</v>
      </c>
      <c r="M36" s="322" t="s">
        <v>5116</v>
      </c>
      <c r="N36" s="322">
        <v>45092</v>
      </c>
      <c r="O36" s="322" t="s">
        <v>2198</v>
      </c>
      <c r="P36" s="322">
        <v>1</v>
      </c>
      <c r="Q36" s="322">
        <v>45092</v>
      </c>
      <c r="R36" s="365" t="s">
        <v>264</v>
      </c>
      <c r="S36" s="364">
        <v>45092</v>
      </c>
      <c r="T36" s="364">
        <v>45092</v>
      </c>
      <c r="U36" s="348" t="s">
        <v>4999</v>
      </c>
    </row>
    <row r="37" spans="1:21" ht="25.5" x14ac:dyDescent="0.25">
      <c r="A37" s="359">
        <v>0</v>
      </c>
      <c r="B37" s="49" t="s">
        <v>5117</v>
      </c>
      <c r="C37" s="49" t="s">
        <v>1345</v>
      </c>
      <c r="D37" s="49">
        <v>181825</v>
      </c>
      <c r="E37" s="362" t="s">
        <v>5118</v>
      </c>
      <c r="F37" s="49" t="s">
        <v>4998</v>
      </c>
      <c r="G37" s="49" t="s">
        <v>1406</v>
      </c>
      <c r="H37" s="49" t="s">
        <v>5119</v>
      </c>
      <c r="I37" s="49" t="s">
        <v>5062</v>
      </c>
      <c r="J37" s="316">
        <v>44960</v>
      </c>
      <c r="K37" s="316">
        <v>44960</v>
      </c>
      <c r="L37" s="363" t="s">
        <v>28</v>
      </c>
      <c r="M37" s="317" t="s">
        <v>28</v>
      </c>
      <c r="N37" s="322">
        <v>44960</v>
      </c>
      <c r="O37" s="317" t="s">
        <v>2209</v>
      </c>
      <c r="P37" s="317">
        <v>2</v>
      </c>
      <c r="Q37" s="366">
        <v>44960</v>
      </c>
      <c r="R37" s="365" t="s">
        <v>264</v>
      </c>
      <c r="S37" s="364">
        <v>44963</v>
      </c>
      <c r="T37" s="364">
        <v>44963</v>
      </c>
      <c r="U37" s="348" t="s">
        <v>4999</v>
      </c>
    </row>
    <row r="38" spans="1:21" ht="38.25" x14ac:dyDescent="0.25">
      <c r="A38" s="359">
        <v>0</v>
      </c>
      <c r="B38" s="49" t="s">
        <v>5120</v>
      </c>
      <c r="C38" s="49" t="s">
        <v>5121</v>
      </c>
      <c r="D38" s="49">
        <v>181825</v>
      </c>
      <c r="E38" s="362" t="s">
        <v>5122</v>
      </c>
      <c r="F38" s="49" t="s">
        <v>4998</v>
      </c>
      <c r="G38" s="49" t="s">
        <v>5123</v>
      </c>
      <c r="H38" s="49" t="s">
        <v>5124</v>
      </c>
      <c r="I38" s="49" t="s">
        <v>5062</v>
      </c>
      <c r="J38" s="316">
        <v>44960</v>
      </c>
      <c r="K38" s="316">
        <v>44960</v>
      </c>
      <c r="L38" s="363" t="s">
        <v>28</v>
      </c>
      <c r="M38" s="317" t="s">
        <v>28</v>
      </c>
      <c r="N38" s="322">
        <v>44960</v>
      </c>
      <c r="O38" s="317" t="s">
        <v>2198</v>
      </c>
      <c r="P38" s="317">
        <v>3</v>
      </c>
      <c r="Q38" s="366">
        <v>44963</v>
      </c>
      <c r="R38" s="365" t="s">
        <v>264</v>
      </c>
      <c r="S38" s="364">
        <v>44963</v>
      </c>
      <c r="T38" s="364">
        <v>44963</v>
      </c>
      <c r="U38" s="348" t="s">
        <v>4999</v>
      </c>
    </row>
    <row r="39" spans="1:21" ht="25.5" x14ac:dyDescent="0.25">
      <c r="A39" s="359">
        <v>0</v>
      </c>
      <c r="B39" s="49" t="s">
        <v>5125</v>
      </c>
      <c r="C39" s="49" t="s">
        <v>1345</v>
      </c>
      <c r="D39" s="49">
        <v>181825</v>
      </c>
      <c r="E39" s="362" t="s">
        <v>5126</v>
      </c>
      <c r="F39" s="49" t="s">
        <v>4998</v>
      </c>
      <c r="G39" s="49" t="s">
        <v>1406</v>
      </c>
      <c r="H39" s="49" t="s">
        <v>2250</v>
      </c>
      <c r="I39" s="49" t="s">
        <v>1379</v>
      </c>
      <c r="J39" s="316">
        <v>44959</v>
      </c>
      <c r="K39" s="316">
        <v>44959</v>
      </c>
      <c r="L39" s="363" t="s">
        <v>28</v>
      </c>
      <c r="M39" s="317" t="s">
        <v>28</v>
      </c>
      <c r="N39" s="322">
        <v>44959</v>
      </c>
      <c r="O39" s="317" t="s">
        <v>1536</v>
      </c>
      <c r="P39" s="317">
        <v>4</v>
      </c>
      <c r="Q39" s="366">
        <v>44959</v>
      </c>
      <c r="R39" s="365" t="s">
        <v>264</v>
      </c>
      <c r="S39" s="364">
        <v>44960</v>
      </c>
      <c r="T39" s="364">
        <v>44960</v>
      </c>
      <c r="U39" s="348" t="s">
        <v>4999</v>
      </c>
    </row>
    <row r="40" spans="1:21" ht="25.5" x14ac:dyDescent="0.25">
      <c r="A40" s="359">
        <v>0</v>
      </c>
      <c r="B40" s="49" t="s">
        <v>5127</v>
      </c>
      <c r="C40" s="49" t="s">
        <v>1345</v>
      </c>
      <c r="D40" s="49">
        <v>181825</v>
      </c>
      <c r="E40" s="362" t="s">
        <v>5128</v>
      </c>
      <c r="F40" s="49" t="s">
        <v>4998</v>
      </c>
      <c r="G40" s="49" t="s">
        <v>1406</v>
      </c>
      <c r="H40" s="49" t="s">
        <v>1378</v>
      </c>
      <c r="I40" s="49" t="s">
        <v>1379</v>
      </c>
      <c r="J40" s="316">
        <v>44952</v>
      </c>
      <c r="K40" s="316">
        <v>44952</v>
      </c>
      <c r="L40" s="363" t="s">
        <v>28</v>
      </c>
      <c r="M40" s="317" t="s">
        <v>28</v>
      </c>
      <c r="N40" s="322">
        <v>44952</v>
      </c>
      <c r="O40" s="317" t="s">
        <v>1380</v>
      </c>
      <c r="P40" s="317">
        <v>1</v>
      </c>
      <c r="Q40" s="366">
        <v>44953</v>
      </c>
      <c r="R40" s="365" t="s">
        <v>264</v>
      </c>
      <c r="S40" s="364">
        <v>44953</v>
      </c>
      <c r="T40" s="364">
        <v>44953</v>
      </c>
      <c r="U40" s="348" t="s">
        <v>4999</v>
      </c>
    </row>
    <row r="41" spans="1:21" ht="25.5" x14ac:dyDescent="0.25">
      <c r="A41" s="359">
        <v>0</v>
      </c>
      <c r="B41" s="49" t="s">
        <v>5129</v>
      </c>
      <c r="C41" s="49" t="s">
        <v>1345</v>
      </c>
      <c r="D41" s="49">
        <v>181825</v>
      </c>
      <c r="E41" s="362" t="s">
        <v>5130</v>
      </c>
      <c r="F41" s="49" t="s">
        <v>4998</v>
      </c>
      <c r="G41" s="49" t="s">
        <v>1406</v>
      </c>
      <c r="H41" s="49" t="s">
        <v>5131</v>
      </c>
      <c r="I41" s="49" t="s">
        <v>2419</v>
      </c>
      <c r="J41" s="316">
        <v>44953</v>
      </c>
      <c r="K41" s="316">
        <v>44953</v>
      </c>
      <c r="L41" s="363" t="s">
        <v>28</v>
      </c>
      <c r="M41" s="317" t="s">
        <v>28</v>
      </c>
      <c r="N41" s="322">
        <v>44956</v>
      </c>
      <c r="O41" s="317" t="s">
        <v>5132</v>
      </c>
      <c r="P41" s="317">
        <v>1</v>
      </c>
      <c r="Q41" s="366">
        <v>44956</v>
      </c>
      <c r="R41" s="365" t="s">
        <v>264</v>
      </c>
      <c r="S41" s="364">
        <v>44956</v>
      </c>
      <c r="T41" s="364">
        <v>44956</v>
      </c>
      <c r="U41" s="348" t="s">
        <v>4999</v>
      </c>
    </row>
    <row r="42" spans="1:21" ht="25.5" x14ac:dyDescent="0.25">
      <c r="A42" s="359">
        <v>0</v>
      </c>
      <c r="B42" s="49" t="s">
        <v>5133</v>
      </c>
      <c r="C42" s="49" t="s">
        <v>1345</v>
      </c>
      <c r="D42" s="49">
        <v>181825</v>
      </c>
      <c r="E42" s="362" t="s">
        <v>5134</v>
      </c>
      <c r="F42" s="49" t="s">
        <v>4998</v>
      </c>
      <c r="G42" s="49" t="s">
        <v>1406</v>
      </c>
      <c r="H42" s="49" t="s">
        <v>1378</v>
      </c>
      <c r="I42" s="49" t="s">
        <v>2419</v>
      </c>
      <c r="J42" s="316">
        <v>44964</v>
      </c>
      <c r="K42" s="316">
        <v>44964</v>
      </c>
      <c r="L42" s="363" t="s">
        <v>28</v>
      </c>
      <c r="M42" s="317" t="s">
        <v>28</v>
      </c>
      <c r="N42" s="322">
        <v>44964</v>
      </c>
      <c r="O42" s="317" t="s">
        <v>1380</v>
      </c>
      <c r="P42" s="317">
        <v>1</v>
      </c>
      <c r="Q42" s="366">
        <v>44965</v>
      </c>
      <c r="R42" s="365" t="s">
        <v>264</v>
      </c>
      <c r="S42" s="364">
        <v>44966</v>
      </c>
      <c r="T42" s="364">
        <v>44966</v>
      </c>
      <c r="U42" s="348" t="s">
        <v>4999</v>
      </c>
    </row>
    <row r="43" spans="1:21" ht="25.5" x14ac:dyDescent="0.25">
      <c r="A43" s="359">
        <v>0</v>
      </c>
      <c r="B43" s="49" t="s">
        <v>5135</v>
      </c>
      <c r="C43" s="49" t="s">
        <v>1345</v>
      </c>
      <c r="D43" s="49">
        <v>181825</v>
      </c>
      <c r="E43" s="362" t="s">
        <v>5136</v>
      </c>
      <c r="F43" s="49" t="s">
        <v>4998</v>
      </c>
      <c r="G43" s="49" t="s">
        <v>1406</v>
      </c>
      <c r="H43" s="49" t="s">
        <v>5137</v>
      </c>
      <c r="I43" s="49" t="s">
        <v>1379</v>
      </c>
      <c r="J43" s="316">
        <v>44967</v>
      </c>
      <c r="K43" s="316">
        <v>44967</v>
      </c>
      <c r="L43" s="363" t="s">
        <v>28</v>
      </c>
      <c r="M43" s="317" t="s">
        <v>28</v>
      </c>
      <c r="N43" s="322">
        <v>44970</v>
      </c>
      <c r="O43" s="317" t="s">
        <v>1380</v>
      </c>
      <c r="P43" s="317">
        <v>2</v>
      </c>
      <c r="Q43" s="366">
        <v>44970</v>
      </c>
      <c r="R43" s="365" t="s">
        <v>264</v>
      </c>
      <c r="S43" s="364">
        <v>44970</v>
      </c>
      <c r="T43" s="364">
        <v>44970</v>
      </c>
      <c r="U43" s="348" t="s">
        <v>4999</v>
      </c>
    </row>
    <row r="44" spans="1:21" ht="38.25" x14ac:dyDescent="0.25">
      <c r="A44" s="359">
        <v>0</v>
      </c>
      <c r="B44" s="49" t="s">
        <v>5138</v>
      </c>
      <c r="C44" s="49" t="s">
        <v>5121</v>
      </c>
      <c r="D44" s="49">
        <v>181825</v>
      </c>
      <c r="E44" s="362" t="s">
        <v>5139</v>
      </c>
      <c r="F44" s="49" t="s">
        <v>4998</v>
      </c>
      <c r="G44" s="49" t="s">
        <v>1406</v>
      </c>
      <c r="H44" s="49" t="s">
        <v>5140</v>
      </c>
      <c r="I44" s="49" t="s">
        <v>346</v>
      </c>
      <c r="J44" s="316">
        <v>44973</v>
      </c>
      <c r="K44" s="316">
        <v>44973</v>
      </c>
      <c r="L44" s="363" t="s">
        <v>28</v>
      </c>
      <c r="M44" s="317" t="s">
        <v>28</v>
      </c>
      <c r="N44" s="322">
        <v>44973</v>
      </c>
      <c r="O44" s="317" t="s">
        <v>2198</v>
      </c>
      <c r="P44" s="317">
        <v>1</v>
      </c>
      <c r="Q44" s="366">
        <v>44973</v>
      </c>
      <c r="R44" s="365" t="s">
        <v>264</v>
      </c>
      <c r="S44" s="364">
        <v>44979</v>
      </c>
      <c r="T44" s="364">
        <v>44979</v>
      </c>
      <c r="U44" s="348" t="s">
        <v>4999</v>
      </c>
    </row>
    <row r="45" spans="1:21" ht="25.5" x14ac:dyDescent="0.25">
      <c r="A45" s="359">
        <v>0</v>
      </c>
      <c r="B45" s="49" t="s">
        <v>5141</v>
      </c>
      <c r="C45" s="49" t="s">
        <v>1345</v>
      </c>
      <c r="D45" s="49">
        <v>181825</v>
      </c>
      <c r="E45" s="362" t="s">
        <v>5142</v>
      </c>
      <c r="F45" s="49" t="s">
        <v>4998</v>
      </c>
      <c r="G45" s="49" t="s">
        <v>5143</v>
      </c>
      <c r="H45" s="49" t="s">
        <v>5144</v>
      </c>
      <c r="I45" s="49" t="s">
        <v>346</v>
      </c>
      <c r="J45" s="316">
        <v>44974</v>
      </c>
      <c r="K45" s="316">
        <v>44974</v>
      </c>
      <c r="L45" s="363" t="s">
        <v>28</v>
      </c>
      <c r="M45" s="317" t="s">
        <v>28</v>
      </c>
      <c r="N45" s="322">
        <v>44974</v>
      </c>
      <c r="O45" s="317" t="s">
        <v>5145</v>
      </c>
      <c r="P45" s="317">
        <v>2</v>
      </c>
      <c r="Q45" s="366">
        <v>44974</v>
      </c>
      <c r="R45" s="365" t="s">
        <v>264</v>
      </c>
      <c r="S45" s="364">
        <v>44979</v>
      </c>
      <c r="T45" s="364">
        <v>44979</v>
      </c>
      <c r="U45" s="348" t="s">
        <v>4999</v>
      </c>
    </row>
    <row r="46" spans="1:21" ht="25.5" x14ac:dyDescent="0.25">
      <c r="A46" s="359">
        <v>0</v>
      </c>
      <c r="B46" s="49" t="s">
        <v>5146</v>
      </c>
      <c r="C46" s="49" t="s">
        <v>1345</v>
      </c>
      <c r="D46" s="49">
        <v>181825</v>
      </c>
      <c r="E46" s="362" t="s">
        <v>5147</v>
      </c>
      <c r="F46" s="49" t="s">
        <v>4998</v>
      </c>
      <c r="G46" s="49" t="s">
        <v>1406</v>
      </c>
      <c r="H46" s="49" t="s">
        <v>5148</v>
      </c>
      <c r="I46" s="49" t="s">
        <v>346</v>
      </c>
      <c r="J46" s="316">
        <v>44977</v>
      </c>
      <c r="K46" s="316">
        <v>44977</v>
      </c>
      <c r="L46" s="363" t="s">
        <v>28</v>
      </c>
      <c r="M46" s="317" t="s">
        <v>28</v>
      </c>
      <c r="N46" s="322">
        <v>44979</v>
      </c>
      <c r="O46" s="317" t="s">
        <v>5149</v>
      </c>
      <c r="P46" s="317">
        <v>1</v>
      </c>
      <c r="Q46" s="366">
        <v>44979</v>
      </c>
      <c r="R46" s="365" t="s">
        <v>264</v>
      </c>
      <c r="S46" s="364">
        <v>44979</v>
      </c>
      <c r="T46" s="364">
        <v>44979</v>
      </c>
      <c r="U46" s="348" t="s">
        <v>4999</v>
      </c>
    </row>
    <row r="47" spans="1:21" ht="25.5" x14ac:dyDescent="0.25">
      <c r="A47" s="359">
        <v>0</v>
      </c>
      <c r="B47" s="49" t="s">
        <v>5150</v>
      </c>
      <c r="C47" s="49" t="s">
        <v>1345</v>
      </c>
      <c r="D47" s="49">
        <v>181825</v>
      </c>
      <c r="E47" s="362" t="s">
        <v>5151</v>
      </c>
      <c r="F47" s="49" t="s">
        <v>4998</v>
      </c>
      <c r="G47" s="49" t="s">
        <v>1406</v>
      </c>
      <c r="H47" s="49" t="s">
        <v>5152</v>
      </c>
      <c r="I47" s="49" t="s">
        <v>346</v>
      </c>
      <c r="J47" s="316">
        <v>44977</v>
      </c>
      <c r="K47" s="316">
        <v>44977</v>
      </c>
      <c r="L47" s="363" t="s">
        <v>28</v>
      </c>
      <c r="M47" s="317" t="s">
        <v>28</v>
      </c>
      <c r="N47" s="322">
        <v>44979</v>
      </c>
      <c r="O47" s="317" t="s">
        <v>5153</v>
      </c>
      <c r="P47" s="317">
        <v>1</v>
      </c>
      <c r="Q47" s="366">
        <v>44979</v>
      </c>
      <c r="R47" s="365" t="s">
        <v>264</v>
      </c>
      <c r="S47" s="364">
        <v>44979</v>
      </c>
      <c r="T47" s="364">
        <v>44979</v>
      </c>
      <c r="U47" s="348" t="s">
        <v>4999</v>
      </c>
    </row>
    <row r="48" spans="1:21" ht="25.5" x14ac:dyDescent="0.25">
      <c r="A48" s="359">
        <v>0</v>
      </c>
      <c r="B48" s="49" t="s">
        <v>5154</v>
      </c>
      <c r="C48" s="49" t="s">
        <v>1345</v>
      </c>
      <c r="D48" s="49">
        <v>181825</v>
      </c>
      <c r="E48" s="362" t="s">
        <v>5155</v>
      </c>
      <c r="F48" s="49" t="s">
        <v>4998</v>
      </c>
      <c r="G48" s="49" t="s">
        <v>5143</v>
      </c>
      <c r="H48" s="49" t="s">
        <v>5156</v>
      </c>
      <c r="I48" s="49" t="s">
        <v>346</v>
      </c>
      <c r="J48" s="316">
        <v>44978</v>
      </c>
      <c r="K48" s="316">
        <v>44978</v>
      </c>
      <c r="L48" s="363" t="s">
        <v>28</v>
      </c>
      <c r="M48" s="317" t="s">
        <v>28</v>
      </c>
      <c r="N48" s="322">
        <v>44979</v>
      </c>
      <c r="O48" s="317" t="s">
        <v>5145</v>
      </c>
      <c r="P48" s="317">
        <v>2</v>
      </c>
      <c r="Q48" s="366">
        <v>44980</v>
      </c>
      <c r="R48" s="365" t="s">
        <v>264</v>
      </c>
      <c r="S48" s="364">
        <v>44980</v>
      </c>
      <c r="T48" s="364">
        <v>44980</v>
      </c>
      <c r="U48" s="348" t="s">
        <v>4999</v>
      </c>
    </row>
    <row r="49" spans="1:21" ht="38.25" x14ac:dyDescent="0.25">
      <c r="A49" s="359">
        <v>0</v>
      </c>
      <c r="B49" s="49" t="s">
        <v>5157</v>
      </c>
      <c r="C49" s="49" t="s">
        <v>5121</v>
      </c>
      <c r="D49" s="49">
        <v>181825</v>
      </c>
      <c r="E49" s="362" t="s">
        <v>5158</v>
      </c>
      <c r="F49" s="49" t="s">
        <v>4998</v>
      </c>
      <c r="G49" s="49" t="s">
        <v>1406</v>
      </c>
      <c r="H49" s="49" t="s">
        <v>5159</v>
      </c>
      <c r="I49" s="49" t="s">
        <v>346</v>
      </c>
      <c r="J49" s="316">
        <v>44985</v>
      </c>
      <c r="K49" s="316">
        <v>44985</v>
      </c>
      <c r="L49" s="363" t="s">
        <v>28</v>
      </c>
      <c r="M49" s="317" t="s">
        <v>28</v>
      </c>
      <c r="N49" s="322">
        <v>44987</v>
      </c>
      <c r="O49" s="317" t="s">
        <v>2198</v>
      </c>
      <c r="P49" s="317">
        <v>5</v>
      </c>
      <c r="Q49" s="366">
        <v>44987</v>
      </c>
      <c r="R49" s="365" t="s">
        <v>264</v>
      </c>
      <c r="S49" s="364">
        <v>44988</v>
      </c>
      <c r="T49" s="364">
        <v>44988</v>
      </c>
      <c r="U49" s="348" t="s">
        <v>4999</v>
      </c>
    </row>
    <row r="50" spans="1:21" ht="25.7" x14ac:dyDescent="0.25">
      <c r="A50" s="359">
        <v>0</v>
      </c>
      <c r="B50" s="49" t="s">
        <v>5160</v>
      </c>
      <c r="C50" s="49" t="s">
        <v>1345</v>
      </c>
      <c r="D50" s="49">
        <v>181825</v>
      </c>
      <c r="E50" s="362" t="s">
        <v>5161</v>
      </c>
      <c r="F50" s="49" t="s">
        <v>4998</v>
      </c>
      <c r="G50" s="49" t="s">
        <v>1477</v>
      </c>
      <c r="H50" s="49" t="s">
        <v>2318</v>
      </c>
      <c r="I50" s="49" t="s">
        <v>1379</v>
      </c>
      <c r="J50" s="316">
        <v>44985</v>
      </c>
      <c r="K50" s="316">
        <v>44985</v>
      </c>
      <c r="L50" s="363" t="s">
        <v>28</v>
      </c>
      <c r="M50" s="317" t="s">
        <v>28</v>
      </c>
      <c r="N50" s="322">
        <v>44987</v>
      </c>
      <c r="O50" s="317" t="s">
        <v>5111</v>
      </c>
      <c r="P50" s="317">
        <v>1</v>
      </c>
      <c r="Q50" s="366">
        <v>44987</v>
      </c>
      <c r="R50" s="365" t="s">
        <v>264</v>
      </c>
      <c r="S50" s="364">
        <v>44988</v>
      </c>
      <c r="T50" s="364">
        <v>44988</v>
      </c>
      <c r="U50" s="348" t="s">
        <v>4999</v>
      </c>
    </row>
    <row r="51" spans="1:21" ht="25.5" x14ac:dyDescent="0.25">
      <c r="A51" s="359">
        <v>0</v>
      </c>
      <c r="B51" s="49" t="s">
        <v>5162</v>
      </c>
      <c r="C51" s="49" t="s">
        <v>1345</v>
      </c>
      <c r="D51" s="49">
        <v>181825</v>
      </c>
      <c r="E51" s="362" t="s">
        <v>5163</v>
      </c>
      <c r="F51" s="49" t="s">
        <v>4998</v>
      </c>
      <c r="G51" s="49" t="s">
        <v>1406</v>
      </c>
      <c r="H51" s="49" t="s">
        <v>1378</v>
      </c>
      <c r="I51" s="49" t="s">
        <v>2379</v>
      </c>
      <c r="J51" s="316">
        <v>44988</v>
      </c>
      <c r="K51" s="316">
        <v>44988</v>
      </c>
      <c r="L51" s="363" t="s">
        <v>28</v>
      </c>
      <c r="M51" s="317" t="s">
        <v>28</v>
      </c>
      <c r="N51" s="322">
        <v>44991</v>
      </c>
      <c r="O51" s="317" t="s">
        <v>1380</v>
      </c>
      <c r="P51" s="317">
        <v>1</v>
      </c>
      <c r="Q51" s="366">
        <v>44995</v>
      </c>
      <c r="R51" s="365" t="s">
        <v>264</v>
      </c>
      <c r="S51" s="364">
        <v>45001</v>
      </c>
      <c r="T51" s="364">
        <v>45001</v>
      </c>
      <c r="U51" s="348" t="s">
        <v>4999</v>
      </c>
    </row>
    <row r="52" spans="1:21" ht="76.5" x14ac:dyDescent="0.25">
      <c r="A52" s="359">
        <v>1</v>
      </c>
      <c r="B52" s="49" t="s">
        <v>5164</v>
      </c>
      <c r="C52" s="49" t="s">
        <v>1345</v>
      </c>
      <c r="D52" s="49">
        <v>181825</v>
      </c>
      <c r="E52" s="362" t="s">
        <v>5165</v>
      </c>
      <c r="F52" s="49" t="s">
        <v>4998</v>
      </c>
      <c r="G52" s="49" t="s">
        <v>5166</v>
      </c>
      <c r="H52" s="49" t="s">
        <v>5167</v>
      </c>
      <c r="I52" s="49" t="s">
        <v>346</v>
      </c>
      <c r="J52" s="316">
        <v>44987</v>
      </c>
      <c r="K52" s="316">
        <v>44987</v>
      </c>
      <c r="L52" s="363" t="s">
        <v>28</v>
      </c>
      <c r="M52" s="317" t="s">
        <v>28</v>
      </c>
      <c r="N52" s="322">
        <v>44987</v>
      </c>
      <c r="O52" s="317" t="s">
        <v>1363</v>
      </c>
      <c r="P52" s="317">
        <v>10</v>
      </c>
      <c r="Q52" s="366">
        <v>44988</v>
      </c>
      <c r="R52" s="365" t="s">
        <v>264</v>
      </c>
      <c r="S52" s="364">
        <v>44993</v>
      </c>
      <c r="T52" s="364">
        <v>44993</v>
      </c>
      <c r="U52" s="348" t="s">
        <v>4999</v>
      </c>
    </row>
    <row r="53" spans="1:21" ht="25.5" x14ac:dyDescent="0.25">
      <c r="A53" s="359">
        <v>0</v>
      </c>
      <c r="B53" s="49" t="s">
        <v>5168</v>
      </c>
      <c r="C53" s="49" t="s">
        <v>1345</v>
      </c>
      <c r="D53" s="49">
        <v>181825</v>
      </c>
      <c r="E53" s="362" t="s">
        <v>5169</v>
      </c>
      <c r="F53" s="49" t="s">
        <v>4998</v>
      </c>
      <c r="G53" s="49" t="s">
        <v>1406</v>
      </c>
      <c r="H53" s="49" t="s">
        <v>5170</v>
      </c>
      <c r="I53" s="49" t="s">
        <v>5171</v>
      </c>
      <c r="J53" s="316">
        <v>44988</v>
      </c>
      <c r="K53" s="316">
        <v>44988</v>
      </c>
      <c r="L53" s="363" t="s">
        <v>28</v>
      </c>
      <c r="M53" s="317" t="s">
        <v>28</v>
      </c>
      <c r="N53" s="322">
        <v>44991</v>
      </c>
      <c r="O53" s="317" t="s">
        <v>5153</v>
      </c>
      <c r="P53" s="317">
        <v>2</v>
      </c>
      <c r="Q53" s="366">
        <v>44991</v>
      </c>
      <c r="R53" s="365" t="s">
        <v>264</v>
      </c>
      <c r="S53" s="364">
        <v>44992</v>
      </c>
      <c r="T53" s="364">
        <v>44992</v>
      </c>
      <c r="U53" s="348" t="s">
        <v>4999</v>
      </c>
    </row>
    <row r="54" spans="1:21" ht="25.5" x14ac:dyDescent="0.25">
      <c r="A54" s="359">
        <v>0</v>
      </c>
      <c r="B54" s="49" t="s">
        <v>5172</v>
      </c>
      <c r="C54" s="49" t="s">
        <v>1345</v>
      </c>
      <c r="D54" s="49">
        <v>181825</v>
      </c>
      <c r="E54" s="362" t="s">
        <v>5173</v>
      </c>
      <c r="F54" s="49" t="s">
        <v>4998</v>
      </c>
      <c r="G54" s="49" t="s">
        <v>1406</v>
      </c>
      <c r="H54" s="49" t="s">
        <v>5174</v>
      </c>
      <c r="I54" s="49" t="s">
        <v>2419</v>
      </c>
      <c r="J54" s="316">
        <v>44993</v>
      </c>
      <c r="K54" s="316">
        <v>44993</v>
      </c>
      <c r="L54" s="363" t="s">
        <v>28</v>
      </c>
      <c r="M54" s="317" t="s">
        <v>28</v>
      </c>
      <c r="N54" s="322">
        <v>44995</v>
      </c>
      <c r="O54" s="317" t="s">
        <v>5132</v>
      </c>
      <c r="P54" s="317">
        <v>1</v>
      </c>
      <c r="Q54" s="366">
        <v>44995</v>
      </c>
      <c r="R54" s="365" t="s">
        <v>264</v>
      </c>
      <c r="S54" s="364">
        <v>45005</v>
      </c>
      <c r="T54" s="364">
        <v>45005</v>
      </c>
      <c r="U54" s="348" t="s">
        <v>4999</v>
      </c>
    </row>
    <row r="55" spans="1:21" ht="38.25" x14ac:dyDescent="0.25">
      <c r="A55" s="359">
        <v>0</v>
      </c>
      <c r="B55" s="49" t="s">
        <v>5175</v>
      </c>
      <c r="C55" s="49" t="s">
        <v>5121</v>
      </c>
      <c r="D55" s="49">
        <v>181825</v>
      </c>
      <c r="E55" s="362" t="s">
        <v>5176</v>
      </c>
      <c r="F55" s="49" t="s">
        <v>4998</v>
      </c>
      <c r="G55" s="49" t="s">
        <v>1406</v>
      </c>
      <c r="H55" s="49" t="s">
        <v>5177</v>
      </c>
      <c r="I55" s="49" t="s">
        <v>346</v>
      </c>
      <c r="J55" s="316">
        <v>44993</v>
      </c>
      <c r="K55" s="316">
        <v>44993</v>
      </c>
      <c r="L55" s="363" t="s">
        <v>28</v>
      </c>
      <c r="M55" s="317" t="s">
        <v>28</v>
      </c>
      <c r="N55" s="322">
        <v>44993</v>
      </c>
      <c r="O55" s="317" t="s">
        <v>2198</v>
      </c>
      <c r="P55" s="317">
        <v>4</v>
      </c>
      <c r="Q55" s="366">
        <v>44995</v>
      </c>
      <c r="R55" s="365" t="s">
        <v>264</v>
      </c>
      <c r="S55" s="364">
        <v>44998</v>
      </c>
      <c r="T55" s="364">
        <v>44998</v>
      </c>
      <c r="U55" s="348" t="s">
        <v>4999</v>
      </c>
    </row>
    <row r="56" spans="1:21" ht="38.25" x14ac:dyDescent="0.25">
      <c r="A56" s="359">
        <v>0</v>
      </c>
      <c r="B56" s="49" t="s">
        <v>5178</v>
      </c>
      <c r="C56" s="49" t="s">
        <v>5121</v>
      </c>
      <c r="D56" s="49">
        <v>181825</v>
      </c>
      <c r="E56" s="362" t="s">
        <v>5179</v>
      </c>
      <c r="F56" s="49" t="s">
        <v>4998</v>
      </c>
      <c r="G56" s="49" t="s">
        <v>1406</v>
      </c>
      <c r="H56" s="49" t="s">
        <v>5180</v>
      </c>
      <c r="I56" s="49" t="s">
        <v>2440</v>
      </c>
      <c r="J56" s="316">
        <v>44993</v>
      </c>
      <c r="K56" s="316">
        <v>44993</v>
      </c>
      <c r="L56" s="363" t="s">
        <v>28</v>
      </c>
      <c r="M56" s="317" t="s">
        <v>28</v>
      </c>
      <c r="N56" s="322">
        <v>44993</v>
      </c>
      <c r="O56" s="317" t="s">
        <v>2198</v>
      </c>
      <c r="P56" s="317">
        <v>2</v>
      </c>
      <c r="Q56" s="366">
        <v>44995</v>
      </c>
      <c r="R56" s="365" t="s">
        <v>264</v>
      </c>
      <c r="S56" s="364">
        <v>44998</v>
      </c>
      <c r="T56" s="364">
        <v>44998</v>
      </c>
      <c r="U56" s="348" t="s">
        <v>4999</v>
      </c>
    </row>
    <row r="57" spans="1:21" ht="38.25" x14ac:dyDescent="0.25">
      <c r="A57" s="359">
        <v>0</v>
      </c>
      <c r="B57" s="49" t="s">
        <v>5181</v>
      </c>
      <c r="C57" s="49" t="s">
        <v>5121</v>
      </c>
      <c r="D57" s="49">
        <v>181825</v>
      </c>
      <c r="E57" s="362" t="s">
        <v>5182</v>
      </c>
      <c r="F57" s="49" t="s">
        <v>4998</v>
      </c>
      <c r="G57" s="49" t="s">
        <v>1406</v>
      </c>
      <c r="H57" s="49" t="s">
        <v>5159</v>
      </c>
      <c r="I57" s="49" t="s">
        <v>346</v>
      </c>
      <c r="J57" s="316">
        <v>44994</v>
      </c>
      <c r="K57" s="316">
        <v>44994</v>
      </c>
      <c r="L57" s="363" t="s">
        <v>28</v>
      </c>
      <c r="M57" s="317" t="s">
        <v>28</v>
      </c>
      <c r="N57" s="322">
        <v>44994</v>
      </c>
      <c r="O57" s="317" t="s">
        <v>2198</v>
      </c>
      <c r="P57" s="317">
        <v>4</v>
      </c>
      <c r="Q57" s="366">
        <v>44995</v>
      </c>
      <c r="R57" s="365" t="s">
        <v>264</v>
      </c>
      <c r="S57" s="364">
        <v>44998</v>
      </c>
      <c r="T57" s="364">
        <v>44998</v>
      </c>
      <c r="U57" s="348" t="s">
        <v>4999</v>
      </c>
    </row>
    <row r="58" spans="1:21" ht="25.5" x14ac:dyDescent="0.25">
      <c r="A58" s="359">
        <v>0</v>
      </c>
      <c r="B58" s="49" t="s">
        <v>5183</v>
      </c>
      <c r="C58" s="49" t="s">
        <v>1345</v>
      </c>
      <c r="D58" s="49">
        <v>181825</v>
      </c>
      <c r="E58" s="362" t="s">
        <v>5184</v>
      </c>
      <c r="F58" s="49" t="s">
        <v>4998</v>
      </c>
      <c r="G58" s="49" t="s">
        <v>1406</v>
      </c>
      <c r="H58" s="49" t="s">
        <v>5185</v>
      </c>
      <c r="I58" s="49" t="s">
        <v>5186</v>
      </c>
      <c r="J58" s="316">
        <v>44999</v>
      </c>
      <c r="K58" s="316">
        <v>44999</v>
      </c>
      <c r="L58" s="363" t="s">
        <v>28</v>
      </c>
      <c r="M58" s="317" t="s">
        <v>28</v>
      </c>
      <c r="N58" s="322">
        <v>44999</v>
      </c>
      <c r="O58" s="317" t="s">
        <v>5153</v>
      </c>
      <c r="P58" s="317">
        <v>2</v>
      </c>
      <c r="Q58" s="366">
        <v>44999</v>
      </c>
      <c r="R58" s="365" t="s">
        <v>264</v>
      </c>
      <c r="S58" s="364">
        <v>44999</v>
      </c>
      <c r="T58" s="364">
        <v>44999</v>
      </c>
      <c r="U58" s="348" t="s">
        <v>4999</v>
      </c>
    </row>
    <row r="59" spans="1:21" ht="25.5" x14ac:dyDescent="0.25">
      <c r="A59" s="359">
        <v>0</v>
      </c>
      <c r="B59" s="49" t="s">
        <v>5187</v>
      </c>
      <c r="C59" s="49" t="s">
        <v>1345</v>
      </c>
      <c r="D59" s="49">
        <v>181825</v>
      </c>
      <c r="E59" s="362" t="s">
        <v>5188</v>
      </c>
      <c r="F59" s="49" t="s">
        <v>4998</v>
      </c>
      <c r="G59" s="49" t="s">
        <v>547</v>
      </c>
      <c r="H59" s="49" t="s">
        <v>5189</v>
      </c>
      <c r="I59" s="49" t="s">
        <v>1379</v>
      </c>
      <c r="J59" s="316">
        <v>45000</v>
      </c>
      <c r="K59" s="316">
        <v>45000</v>
      </c>
      <c r="L59" s="363" t="s">
        <v>28</v>
      </c>
      <c r="M59" s="317" t="s">
        <v>28</v>
      </c>
      <c r="N59" s="322">
        <v>45000</v>
      </c>
      <c r="O59" s="317" t="s">
        <v>5111</v>
      </c>
      <c r="P59" s="317">
        <v>6</v>
      </c>
      <c r="Q59" s="366">
        <v>45000</v>
      </c>
      <c r="R59" s="365" t="s">
        <v>264</v>
      </c>
      <c r="S59" s="364">
        <v>45001</v>
      </c>
      <c r="T59" s="364">
        <v>45001</v>
      </c>
      <c r="U59" s="348" t="s">
        <v>4999</v>
      </c>
    </row>
    <row r="60" spans="1:21" ht="25.5" x14ac:dyDescent="0.25">
      <c r="A60" s="359">
        <v>0</v>
      </c>
      <c r="B60" s="49" t="s">
        <v>5190</v>
      </c>
      <c r="C60" s="49" t="s">
        <v>5191</v>
      </c>
      <c r="D60" s="49">
        <v>181825</v>
      </c>
      <c r="E60" s="362" t="s">
        <v>5192</v>
      </c>
      <c r="F60" s="49" t="s">
        <v>4998</v>
      </c>
      <c r="G60" s="49" t="s">
        <v>1406</v>
      </c>
      <c r="H60" s="49" t="s">
        <v>5193</v>
      </c>
      <c r="I60" s="49" t="s">
        <v>346</v>
      </c>
      <c r="J60" s="316">
        <v>45000</v>
      </c>
      <c r="K60" s="316">
        <v>45000</v>
      </c>
      <c r="L60" s="363" t="s">
        <v>28</v>
      </c>
      <c r="M60" s="317" t="s">
        <v>28</v>
      </c>
      <c r="N60" s="322">
        <v>45000</v>
      </c>
      <c r="O60" s="317" t="s">
        <v>2198</v>
      </c>
      <c r="P60" s="317">
        <v>12</v>
      </c>
      <c r="Q60" s="366">
        <v>45001</v>
      </c>
      <c r="R60" s="365" t="s">
        <v>264</v>
      </c>
      <c r="S60" s="364">
        <v>45005</v>
      </c>
      <c r="T60" s="364">
        <v>45005</v>
      </c>
      <c r="U60" s="348" t="s">
        <v>4999</v>
      </c>
    </row>
    <row r="61" spans="1:21" ht="25.5" x14ac:dyDescent="0.25">
      <c r="A61" s="359">
        <v>0</v>
      </c>
      <c r="B61" s="49" t="s">
        <v>5194</v>
      </c>
      <c r="C61" s="49" t="s">
        <v>1345</v>
      </c>
      <c r="D61" s="49">
        <v>181825</v>
      </c>
      <c r="E61" s="362" t="s">
        <v>5195</v>
      </c>
      <c r="F61" s="49" t="s">
        <v>4998</v>
      </c>
      <c r="G61" s="49" t="s">
        <v>1406</v>
      </c>
      <c r="H61" s="49" t="s">
        <v>5196</v>
      </c>
      <c r="I61" s="49" t="s">
        <v>346</v>
      </c>
      <c r="J61" s="316">
        <v>45001</v>
      </c>
      <c r="K61" s="316">
        <v>45001</v>
      </c>
      <c r="L61" s="363" t="s">
        <v>28</v>
      </c>
      <c r="M61" s="317" t="s">
        <v>28</v>
      </c>
      <c r="N61" s="322">
        <v>45001</v>
      </c>
      <c r="O61" s="317" t="s">
        <v>5197</v>
      </c>
      <c r="P61" s="317">
        <v>1</v>
      </c>
      <c r="Q61" s="366">
        <v>45002</v>
      </c>
      <c r="R61" s="365" t="s">
        <v>264</v>
      </c>
      <c r="S61" s="364">
        <v>45005</v>
      </c>
      <c r="T61" s="364">
        <v>45005</v>
      </c>
      <c r="U61" s="348" t="s">
        <v>4999</v>
      </c>
    </row>
    <row r="62" spans="1:21" ht="25.5" x14ac:dyDescent="0.25">
      <c r="A62" s="359">
        <v>0</v>
      </c>
      <c r="B62" s="49" t="s">
        <v>5198</v>
      </c>
      <c r="C62" s="49" t="s">
        <v>1345</v>
      </c>
      <c r="D62" s="49">
        <v>181825</v>
      </c>
      <c r="E62" s="362" t="s">
        <v>5199</v>
      </c>
      <c r="F62" s="49" t="s">
        <v>4998</v>
      </c>
      <c r="G62" s="49" t="s">
        <v>1406</v>
      </c>
      <c r="H62" s="49" t="s">
        <v>5200</v>
      </c>
      <c r="I62" s="49" t="s">
        <v>346</v>
      </c>
      <c r="J62" s="316">
        <v>45002</v>
      </c>
      <c r="K62" s="316">
        <v>45002</v>
      </c>
      <c r="L62" s="363" t="s">
        <v>28</v>
      </c>
      <c r="M62" s="317" t="s">
        <v>28</v>
      </c>
      <c r="N62" s="322">
        <v>45002</v>
      </c>
      <c r="O62" s="317" t="s">
        <v>2315</v>
      </c>
      <c r="P62" s="317">
        <v>1</v>
      </c>
      <c r="Q62" s="366">
        <v>45002</v>
      </c>
      <c r="R62" s="365" t="s">
        <v>264</v>
      </c>
      <c r="S62" s="364">
        <v>45005</v>
      </c>
      <c r="T62" s="364">
        <v>45005</v>
      </c>
      <c r="U62" s="348" t="s">
        <v>4999</v>
      </c>
    </row>
    <row r="63" spans="1:21" ht="25.5" x14ac:dyDescent="0.25">
      <c r="A63" s="359">
        <v>0</v>
      </c>
      <c r="B63" s="49" t="s">
        <v>5201</v>
      </c>
      <c r="C63" s="49" t="s">
        <v>1345</v>
      </c>
      <c r="D63" s="49">
        <v>181825</v>
      </c>
      <c r="E63" s="362" t="s">
        <v>5202</v>
      </c>
      <c r="F63" s="49" t="s">
        <v>4998</v>
      </c>
      <c r="G63" s="49" t="s">
        <v>1406</v>
      </c>
      <c r="H63" s="49" t="s">
        <v>5203</v>
      </c>
      <c r="I63" s="49" t="s">
        <v>346</v>
      </c>
      <c r="J63" s="316">
        <v>45005</v>
      </c>
      <c r="K63" s="316">
        <v>45005</v>
      </c>
      <c r="L63" s="363" t="s">
        <v>28</v>
      </c>
      <c r="M63" s="317" t="s">
        <v>28</v>
      </c>
      <c r="N63" s="322">
        <v>45005</v>
      </c>
      <c r="O63" s="317" t="s">
        <v>2216</v>
      </c>
      <c r="P63" s="317">
        <v>12</v>
      </c>
      <c r="Q63" s="366">
        <v>45005</v>
      </c>
      <c r="R63" s="365" t="s">
        <v>264</v>
      </c>
      <c r="S63" s="364">
        <v>45008</v>
      </c>
      <c r="T63" s="364">
        <v>45008</v>
      </c>
      <c r="U63" s="348" t="s">
        <v>4999</v>
      </c>
    </row>
    <row r="64" spans="1:21" ht="25.5" x14ac:dyDescent="0.25">
      <c r="A64" s="359">
        <v>0</v>
      </c>
      <c r="B64" s="49" t="s">
        <v>5204</v>
      </c>
      <c r="C64" s="49" t="s">
        <v>5205</v>
      </c>
      <c r="D64" s="49">
        <v>181825</v>
      </c>
      <c r="E64" s="362" t="s">
        <v>5206</v>
      </c>
      <c r="F64" s="49" t="s">
        <v>4998</v>
      </c>
      <c r="G64" s="49" t="s">
        <v>1406</v>
      </c>
      <c r="H64" s="49" t="s">
        <v>5207</v>
      </c>
      <c r="I64" s="49" t="s">
        <v>346</v>
      </c>
      <c r="J64" s="316">
        <v>45005</v>
      </c>
      <c r="K64" s="316">
        <v>45005</v>
      </c>
      <c r="L64" s="363" t="s">
        <v>28</v>
      </c>
      <c r="M64" s="317" t="s">
        <v>28</v>
      </c>
      <c r="N64" s="322">
        <v>45005</v>
      </c>
      <c r="O64" s="317" t="s">
        <v>2198</v>
      </c>
      <c r="P64" s="317">
        <v>3</v>
      </c>
      <c r="Q64" s="366">
        <v>45005</v>
      </c>
      <c r="R64" s="365" t="s">
        <v>264</v>
      </c>
      <c r="S64" s="364">
        <v>45008</v>
      </c>
      <c r="T64" s="364">
        <v>45008</v>
      </c>
      <c r="U64" s="348" t="s">
        <v>4999</v>
      </c>
    </row>
    <row r="65" spans="1:21" ht="25.5" x14ac:dyDescent="0.25">
      <c r="A65" s="359">
        <v>0</v>
      </c>
      <c r="B65" s="49" t="s">
        <v>5208</v>
      </c>
      <c r="C65" s="49" t="s">
        <v>5205</v>
      </c>
      <c r="D65" s="49">
        <v>181825</v>
      </c>
      <c r="E65" s="362" t="s">
        <v>5209</v>
      </c>
      <c r="F65" s="49" t="s">
        <v>4998</v>
      </c>
      <c r="G65" s="49" t="s">
        <v>1406</v>
      </c>
      <c r="H65" s="49" t="s">
        <v>5210</v>
      </c>
      <c r="I65" s="49" t="s">
        <v>346</v>
      </c>
      <c r="J65" s="316">
        <v>45007</v>
      </c>
      <c r="K65" s="316">
        <v>45007</v>
      </c>
      <c r="L65" s="363" t="s">
        <v>28</v>
      </c>
      <c r="M65" s="317" t="s">
        <v>28</v>
      </c>
      <c r="N65" s="322">
        <v>45007</v>
      </c>
      <c r="O65" s="317" t="s">
        <v>2198</v>
      </c>
      <c r="P65" s="317">
        <v>2</v>
      </c>
      <c r="Q65" s="366">
        <v>45008</v>
      </c>
      <c r="R65" s="365" t="s">
        <v>264</v>
      </c>
      <c r="S65" s="364">
        <v>45008</v>
      </c>
      <c r="T65" s="364">
        <v>45008</v>
      </c>
      <c r="U65" s="348" t="s">
        <v>4999</v>
      </c>
    </row>
    <row r="66" spans="1:21" ht="25.5" x14ac:dyDescent="0.25">
      <c r="A66" s="359">
        <v>0</v>
      </c>
      <c r="B66" s="49" t="s">
        <v>5211</v>
      </c>
      <c r="C66" s="49" t="s">
        <v>1345</v>
      </c>
      <c r="D66" s="49">
        <v>181825</v>
      </c>
      <c r="E66" s="362" t="s">
        <v>5212</v>
      </c>
      <c r="F66" s="49" t="s">
        <v>4998</v>
      </c>
      <c r="G66" s="49" t="s">
        <v>547</v>
      </c>
      <c r="H66" s="49" t="s">
        <v>5213</v>
      </c>
      <c r="I66" s="49" t="s">
        <v>346</v>
      </c>
      <c r="J66" s="316">
        <v>45007</v>
      </c>
      <c r="K66" s="316">
        <v>45007</v>
      </c>
      <c r="L66" s="363" t="s">
        <v>28</v>
      </c>
      <c r="M66" s="317" t="s">
        <v>28</v>
      </c>
      <c r="N66" s="322">
        <v>45007</v>
      </c>
      <c r="O66" s="317" t="s">
        <v>5214</v>
      </c>
      <c r="P66" s="317">
        <v>2</v>
      </c>
      <c r="Q66" s="366">
        <v>45008</v>
      </c>
      <c r="R66" s="365" t="s">
        <v>264</v>
      </c>
      <c r="S66" s="364">
        <v>45008</v>
      </c>
      <c r="T66" s="364">
        <v>45008</v>
      </c>
      <c r="U66" s="348" t="s">
        <v>4999</v>
      </c>
    </row>
    <row r="67" spans="1:21" ht="25.5" x14ac:dyDescent="0.25">
      <c r="A67" s="359">
        <v>1</v>
      </c>
      <c r="B67" s="49" t="s">
        <v>5215</v>
      </c>
      <c r="C67" s="49" t="s">
        <v>1345</v>
      </c>
      <c r="D67" s="49">
        <v>181825</v>
      </c>
      <c r="E67" s="362" t="s">
        <v>5216</v>
      </c>
      <c r="F67" s="49" t="s">
        <v>4998</v>
      </c>
      <c r="G67" s="49" t="s">
        <v>547</v>
      </c>
      <c r="H67" s="49" t="s">
        <v>5217</v>
      </c>
      <c r="I67" s="49" t="s">
        <v>346</v>
      </c>
      <c r="J67" s="316">
        <v>45008</v>
      </c>
      <c r="K67" s="316">
        <v>45008</v>
      </c>
      <c r="L67" s="363" t="s">
        <v>28</v>
      </c>
      <c r="M67" s="317" t="s">
        <v>28</v>
      </c>
      <c r="N67" s="317" t="s">
        <v>5218</v>
      </c>
      <c r="O67" s="317" t="s">
        <v>5219</v>
      </c>
      <c r="P67" s="317">
        <v>4</v>
      </c>
      <c r="Q67" s="366">
        <v>45013</v>
      </c>
      <c r="R67" s="365" t="s">
        <v>264</v>
      </c>
      <c r="S67" s="364">
        <v>45008</v>
      </c>
      <c r="T67" s="364">
        <v>45008</v>
      </c>
      <c r="U67" s="348" t="s">
        <v>4999</v>
      </c>
    </row>
    <row r="68" spans="1:21" ht="25.5" x14ac:dyDescent="0.25">
      <c r="A68" s="359">
        <v>0</v>
      </c>
      <c r="B68" s="49" t="s">
        <v>5220</v>
      </c>
      <c r="C68" s="49" t="s">
        <v>1345</v>
      </c>
      <c r="D68" s="49">
        <v>181825</v>
      </c>
      <c r="E68" s="362" t="s">
        <v>5221</v>
      </c>
      <c r="F68" s="49" t="s">
        <v>4998</v>
      </c>
      <c r="G68" s="49" t="s">
        <v>547</v>
      </c>
      <c r="H68" s="49" t="s">
        <v>5222</v>
      </c>
      <c r="I68" s="49" t="s">
        <v>1379</v>
      </c>
      <c r="J68" s="316">
        <v>45009</v>
      </c>
      <c r="K68" s="316">
        <v>45009</v>
      </c>
      <c r="L68" s="363" t="s">
        <v>28</v>
      </c>
      <c r="M68" s="317" t="s">
        <v>28</v>
      </c>
      <c r="N68" s="322">
        <v>45008</v>
      </c>
      <c r="O68" s="317" t="s">
        <v>5111</v>
      </c>
      <c r="P68" s="317">
        <v>1</v>
      </c>
      <c r="Q68" s="366">
        <v>45012</v>
      </c>
      <c r="R68" s="365" t="s">
        <v>264</v>
      </c>
      <c r="S68" s="364">
        <v>45012</v>
      </c>
      <c r="T68" s="364">
        <v>45012</v>
      </c>
      <c r="U68" s="348" t="s">
        <v>4999</v>
      </c>
    </row>
    <row r="69" spans="1:21" ht="25.5" x14ac:dyDescent="0.25">
      <c r="A69" s="359">
        <v>0</v>
      </c>
      <c r="B69" s="49" t="s">
        <v>5223</v>
      </c>
      <c r="C69" s="49" t="s">
        <v>5224</v>
      </c>
      <c r="D69" s="49">
        <v>181825</v>
      </c>
      <c r="E69" s="362" t="s">
        <v>5225</v>
      </c>
      <c r="F69" s="49" t="s">
        <v>4998</v>
      </c>
      <c r="G69" s="49" t="s">
        <v>1406</v>
      </c>
      <c r="H69" s="49" t="s">
        <v>5226</v>
      </c>
      <c r="I69" s="49" t="s">
        <v>2440</v>
      </c>
      <c r="J69" s="316">
        <v>45013</v>
      </c>
      <c r="K69" s="316">
        <v>45013</v>
      </c>
      <c r="L69" s="363" t="s">
        <v>28</v>
      </c>
      <c r="M69" s="317" t="s">
        <v>28</v>
      </c>
      <c r="N69" s="322">
        <v>45013</v>
      </c>
      <c r="O69" s="317" t="s">
        <v>2198</v>
      </c>
      <c r="P69" s="317">
        <v>2</v>
      </c>
      <c r="Q69" s="366">
        <v>45013</v>
      </c>
      <c r="R69" s="365" t="s">
        <v>264</v>
      </c>
      <c r="S69" s="364">
        <v>45014</v>
      </c>
      <c r="T69" s="364">
        <v>45014</v>
      </c>
      <c r="U69" s="348" t="s">
        <v>4999</v>
      </c>
    </row>
    <row r="70" spans="1:21" ht="25.7" x14ac:dyDescent="0.25">
      <c r="A70" s="359">
        <v>0</v>
      </c>
      <c r="B70" s="49" t="s">
        <v>5227</v>
      </c>
      <c r="C70" s="49" t="s">
        <v>1345</v>
      </c>
      <c r="D70" s="49">
        <v>181825</v>
      </c>
      <c r="E70" s="362" t="s">
        <v>5228</v>
      </c>
      <c r="F70" s="49" t="s">
        <v>4998</v>
      </c>
      <c r="G70" s="316"/>
      <c r="H70" s="316"/>
      <c r="I70" s="316"/>
      <c r="J70" s="316"/>
      <c r="K70" s="316"/>
      <c r="L70" s="317"/>
      <c r="M70" s="317"/>
      <c r="N70" s="317"/>
      <c r="O70" s="317"/>
      <c r="P70" s="317"/>
      <c r="Q70" s="317"/>
      <c r="R70" s="365"/>
      <c r="S70" s="365"/>
      <c r="T70" s="365"/>
      <c r="U70" s="348"/>
    </row>
    <row r="71" spans="1:21" ht="25.5" x14ac:dyDescent="0.25">
      <c r="A71" s="359">
        <v>0</v>
      </c>
      <c r="B71" s="49" t="s">
        <v>5229</v>
      </c>
      <c r="C71" s="49" t="s">
        <v>1345</v>
      </c>
      <c r="D71" s="49">
        <v>181825</v>
      </c>
      <c r="E71" s="362" t="s">
        <v>5230</v>
      </c>
      <c r="F71" s="49" t="s">
        <v>4998</v>
      </c>
      <c r="G71" s="49" t="s">
        <v>547</v>
      </c>
      <c r="H71" s="49" t="s">
        <v>5231</v>
      </c>
      <c r="I71" s="49" t="s">
        <v>346</v>
      </c>
      <c r="J71" s="316">
        <v>45014</v>
      </c>
      <c r="K71" s="316">
        <v>45014</v>
      </c>
      <c r="L71" s="363" t="s">
        <v>28</v>
      </c>
      <c r="M71" s="317" t="s">
        <v>28</v>
      </c>
      <c r="N71" s="322">
        <v>45014</v>
      </c>
      <c r="O71" s="317">
        <v>2357666</v>
      </c>
      <c r="P71" s="317">
        <v>10</v>
      </c>
      <c r="Q71" s="366">
        <v>45015</v>
      </c>
      <c r="R71" s="365" t="s">
        <v>264</v>
      </c>
      <c r="S71" s="364">
        <v>45015</v>
      </c>
      <c r="T71" s="364">
        <v>45015</v>
      </c>
      <c r="U71" s="348" t="s">
        <v>4999</v>
      </c>
    </row>
    <row r="72" spans="1:21" ht="25.5" x14ac:dyDescent="0.25">
      <c r="A72" s="359">
        <v>0</v>
      </c>
      <c r="B72" s="49" t="s">
        <v>5232</v>
      </c>
      <c r="C72" s="49" t="s">
        <v>1345</v>
      </c>
      <c r="D72" s="49">
        <v>181825</v>
      </c>
      <c r="E72" s="362" t="s">
        <v>5233</v>
      </c>
      <c r="F72" s="49" t="s">
        <v>4998</v>
      </c>
      <c r="G72" s="49" t="s">
        <v>1406</v>
      </c>
      <c r="H72" s="49" t="s">
        <v>5234</v>
      </c>
      <c r="I72" s="49" t="s">
        <v>346</v>
      </c>
      <c r="J72" s="316">
        <v>45027</v>
      </c>
      <c r="K72" s="316">
        <v>45027</v>
      </c>
      <c r="L72" s="363" t="s">
        <v>28</v>
      </c>
      <c r="M72" s="317" t="s">
        <v>28</v>
      </c>
      <c r="N72" s="322">
        <v>45027</v>
      </c>
      <c r="O72" s="317" t="s">
        <v>2209</v>
      </c>
      <c r="P72" s="317">
        <v>6</v>
      </c>
      <c r="Q72" s="366">
        <v>45027</v>
      </c>
      <c r="R72" s="365" t="s">
        <v>264</v>
      </c>
      <c r="S72" s="364">
        <v>45028</v>
      </c>
      <c r="T72" s="364">
        <v>45028</v>
      </c>
      <c r="U72" s="348" t="s">
        <v>4999</v>
      </c>
    </row>
    <row r="73" spans="1:21" ht="25.5" x14ac:dyDescent="0.25">
      <c r="A73" s="359">
        <v>0</v>
      </c>
      <c r="B73" s="49" t="s">
        <v>5235</v>
      </c>
      <c r="C73" s="49" t="s">
        <v>1345</v>
      </c>
      <c r="D73" s="49">
        <v>181825</v>
      </c>
      <c r="E73" s="362" t="s">
        <v>5236</v>
      </c>
      <c r="F73" s="49" t="s">
        <v>4998</v>
      </c>
      <c r="G73" s="49" t="s">
        <v>5237</v>
      </c>
      <c r="H73" s="49" t="s">
        <v>5238</v>
      </c>
      <c r="I73" s="49" t="s">
        <v>5062</v>
      </c>
      <c r="J73" s="316">
        <v>45033</v>
      </c>
      <c r="K73" s="316">
        <v>45033</v>
      </c>
      <c r="L73" s="363" t="s">
        <v>264</v>
      </c>
      <c r="M73" s="373" t="s">
        <v>264</v>
      </c>
      <c r="N73" s="322">
        <v>45034</v>
      </c>
      <c r="O73" s="317" t="s">
        <v>5239</v>
      </c>
      <c r="P73" s="317">
        <v>1</v>
      </c>
      <c r="Q73" s="366">
        <v>45035</v>
      </c>
      <c r="R73" s="365" t="s">
        <v>264</v>
      </c>
      <c r="S73" s="364">
        <v>45035</v>
      </c>
      <c r="T73" s="364">
        <v>45035</v>
      </c>
      <c r="U73" s="348" t="s">
        <v>4999</v>
      </c>
    </row>
    <row r="74" spans="1:21" ht="25.5" x14ac:dyDescent="0.25">
      <c r="A74" s="359">
        <v>0</v>
      </c>
      <c r="B74" s="49" t="s">
        <v>5240</v>
      </c>
      <c r="C74" s="49" t="s">
        <v>1345</v>
      </c>
      <c r="D74" s="49">
        <v>181825</v>
      </c>
      <c r="E74" s="362" t="s">
        <v>5241</v>
      </c>
      <c r="F74" s="49" t="s">
        <v>4998</v>
      </c>
      <c r="G74" s="49" t="s">
        <v>5242</v>
      </c>
      <c r="H74" s="49" t="s">
        <v>5243</v>
      </c>
      <c r="I74" s="49" t="s">
        <v>5062</v>
      </c>
      <c r="J74" s="316">
        <v>45033</v>
      </c>
      <c r="K74" s="316">
        <v>45033</v>
      </c>
      <c r="L74" s="363" t="s">
        <v>464</v>
      </c>
      <c r="M74" s="373" t="s">
        <v>464</v>
      </c>
      <c r="N74" s="322">
        <v>45035</v>
      </c>
      <c r="O74" s="317" t="s">
        <v>5239</v>
      </c>
      <c r="P74" s="317">
        <v>1</v>
      </c>
      <c r="Q74" s="366">
        <v>45035</v>
      </c>
      <c r="R74" s="365" t="s">
        <v>264</v>
      </c>
      <c r="S74" s="364">
        <v>45036</v>
      </c>
      <c r="T74" s="364">
        <v>45036</v>
      </c>
      <c r="U74" s="348" t="s">
        <v>4999</v>
      </c>
    </row>
    <row r="75" spans="1:21" ht="25.5" x14ac:dyDescent="0.25">
      <c r="A75" s="359">
        <v>0</v>
      </c>
      <c r="B75" s="49" t="s">
        <v>5244</v>
      </c>
      <c r="C75" s="49" t="s">
        <v>1345</v>
      </c>
      <c r="D75" s="49">
        <v>181825</v>
      </c>
      <c r="E75" s="362" t="s">
        <v>5245</v>
      </c>
      <c r="F75" s="49" t="s">
        <v>4998</v>
      </c>
      <c r="G75" s="49" t="s">
        <v>1406</v>
      </c>
      <c r="H75" s="49" t="s">
        <v>5246</v>
      </c>
      <c r="I75" s="49" t="s">
        <v>346</v>
      </c>
      <c r="J75" s="316">
        <v>45041</v>
      </c>
      <c r="K75" s="316">
        <v>45041</v>
      </c>
      <c r="L75" s="363" t="s">
        <v>28</v>
      </c>
      <c r="M75" s="317" t="s">
        <v>28</v>
      </c>
      <c r="N75" s="322">
        <v>45041</v>
      </c>
      <c r="O75" s="317" t="s">
        <v>2315</v>
      </c>
      <c r="P75" s="317">
        <v>1</v>
      </c>
      <c r="Q75" s="366">
        <v>45044</v>
      </c>
      <c r="R75" s="365" t="s">
        <v>264</v>
      </c>
      <c r="S75" s="364">
        <v>45044</v>
      </c>
      <c r="T75" s="364">
        <v>45044</v>
      </c>
      <c r="U75" s="348" t="s">
        <v>4999</v>
      </c>
    </row>
    <row r="76" spans="1:21" ht="25.5" x14ac:dyDescent="0.25">
      <c r="A76" s="359">
        <v>0</v>
      </c>
      <c r="B76" s="49" t="s">
        <v>5247</v>
      </c>
      <c r="C76" s="49" t="s">
        <v>1345</v>
      </c>
      <c r="D76" s="49">
        <v>181825</v>
      </c>
      <c r="E76" s="362" t="s">
        <v>5248</v>
      </c>
      <c r="F76" s="49" t="s">
        <v>4998</v>
      </c>
      <c r="G76" s="49" t="s">
        <v>1406</v>
      </c>
      <c r="H76" s="49" t="s">
        <v>5203</v>
      </c>
      <c r="I76" s="49" t="s">
        <v>346</v>
      </c>
      <c r="J76" s="316">
        <v>45044</v>
      </c>
      <c r="K76" s="316">
        <v>45044</v>
      </c>
      <c r="L76" s="363" t="s">
        <v>28</v>
      </c>
      <c r="M76" s="317" t="s">
        <v>28</v>
      </c>
      <c r="N76" s="322">
        <v>45044</v>
      </c>
      <c r="O76" s="317" t="s">
        <v>2216</v>
      </c>
      <c r="P76" s="317">
        <v>5</v>
      </c>
      <c r="Q76" s="366">
        <v>45048</v>
      </c>
      <c r="R76" s="365" t="s">
        <v>264</v>
      </c>
      <c r="S76" s="364">
        <v>45051</v>
      </c>
      <c r="T76" s="364">
        <v>45051</v>
      </c>
      <c r="U76" s="348" t="s">
        <v>4999</v>
      </c>
    </row>
    <row r="77" spans="1:21" ht="25.5" x14ac:dyDescent="0.25">
      <c r="A77" s="359">
        <v>0</v>
      </c>
      <c r="B77" s="49" t="s">
        <v>5249</v>
      </c>
      <c r="C77" s="49" t="s">
        <v>1345</v>
      </c>
      <c r="D77" s="49">
        <v>181825</v>
      </c>
      <c r="E77" s="362" t="s">
        <v>5250</v>
      </c>
      <c r="F77" s="49" t="s">
        <v>4998</v>
      </c>
      <c r="G77" s="49" t="s">
        <v>1406</v>
      </c>
      <c r="H77" s="49" t="s">
        <v>5251</v>
      </c>
      <c r="I77" s="49" t="s">
        <v>346</v>
      </c>
      <c r="J77" s="316">
        <v>45043</v>
      </c>
      <c r="K77" s="316">
        <v>45043</v>
      </c>
      <c r="L77" s="363" t="s">
        <v>28</v>
      </c>
      <c r="M77" s="317" t="s">
        <v>28</v>
      </c>
      <c r="N77" s="322">
        <v>45043</v>
      </c>
      <c r="O77" s="317" t="s">
        <v>2198</v>
      </c>
      <c r="P77" s="317">
        <v>1</v>
      </c>
      <c r="Q77" s="366">
        <v>45044</v>
      </c>
      <c r="R77" s="365" t="s">
        <v>264</v>
      </c>
      <c r="S77" s="364">
        <v>45044</v>
      </c>
      <c r="T77" s="364">
        <v>45044</v>
      </c>
      <c r="U77" s="348" t="s">
        <v>4999</v>
      </c>
    </row>
    <row r="78" spans="1:21" ht="25.5" x14ac:dyDescent="0.25">
      <c r="A78" s="359">
        <v>0</v>
      </c>
      <c r="B78" s="49" t="s">
        <v>5252</v>
      </c>
      <c r="C78" s="49" t="s">
        <v>1345</v>
      </c>
      <c r="D78" s="49">
        <v>181825</v>
      </c>
      <c r="E78" s="362" t="s">
        <v>5253</v>
      </c>
      <c r="F78" s="49" t="s">
        <v>4998</v>
      </c>
      <c r="G78" s="49" t="s">
        <v>1406</v>
      </c>
      <c r="H78" s="49" t="s">
        <v>5137</v>
      </c>
      <c r="I78" s="49" t="s">
        <v>1379</v>
      </c>
      <c r="J78" s="316">
        <v>45044</v>
      </c>
      <c r="K78" s="316">
        <v>45044</v>
      </c>
      <c r="L78" s="363" t="s">
        <v>28</v>
      </c>
      <c r="M78" s="317" t="s">
        <v>28</v>
      </c>
      <c r="N78" s="322">
        <v>45044</v>
      </c>
      <c r="O78" s="317" t="s">
        <v>1380</v>
      </c>
      <c r="P78" s="317">
        <v>3</v>
      </c>
      <c r="Q78" s="366">
        <v>45048</v>
      </c>
      <c r="R78" s="365" t="s">
        <v>264</v>
      </c>
      <c r="S78" s="364">
        <v>45051</v>
      </c>
      <c r="T78" s="364">
        <v>45051</v>
      </c>
      <c r="U78" s="348" t="s">
        <v>4999</v>
      </c>
    </row>
    <row r="79" spans="1:21" ht="25.5" x14ac:dyDescent="0.25">
      <c r="A79" s="359">
        <v>0</v>
      </c>
      <c r="B79" s="49" t="s">
        <v>5254</v>
      </c>
      <c r="C79" s="49" t="s">
        <v>1345</v>
      </c>
      <c r="D79" s="49">
        <v>181825</v>
      </c>
      <c r="E79" s="362" t="s">
        <v>5255</v>
      </c>
      <c r="F79" s="49" t="s">
        <v>4998</v>
      </c>
      <c r="G79" s="49" t="s">
        <v>1406</v>
      </c>
      <c r="H79" s="49" t="s">
        <v>5256</v>
      </c>
      <c r="I79" s="49" t="s">
        <v>346</v>
      </c>
      <c r="J79" s="316">
        <v>45048</v>
      </c>
      <c r="K79" s="316">
        <v>45048</v>
      </c>
      <c r="L79" s="363" t="s">
        <v>28</v>
      </c>
      <c r="M79" s="317" t="s">
        <v>28</v>
      </c>
      <c r="N79" s="322">
        <v>45048</v>
      </c>
      <c r="O79" s="317" t="s">
        <v>2209</v>
      </c>
      <c r="P79" s="317">
        <v>2</v>
      </c>
      <c r="Q79" s="366">
        <v>45048</v>
      </c>
      <c r="R79" s="365" t="s">
        <v>264</v>
      </c>
      <c r="S79" s="364">
        <v>45054</v>
      </c>
      <c r="T79" s="364">
        <v>45054</v>
      </c>
      <c r="U79" s="348" t="s">
        <v>4999</v>
      </c>
    </row>
    <row r="80" spans="1:21" ht="25.5" x14ac:dyDescent="0.25">
      <c r="A80" s="359">
        <v>0</v>
      </c>
      <c r="B80" s="49" t="s">
        <v>5257</v>
      </c>
      <c r="C80" s="49" t="s">
        <v>5258</v>
      </c>
      <c r="D80" s="49">
        <v>181825</v>
      </c>
      <c r="E80" s="362" t="s">
        <v>5259</v>
      </c>
      <c r="F80" s="49" t="s">
        <v>4998</v>
      </c>
      <c r="G80" s="49" t="s">
        <v>1406</v>
      </c>
      <c r="H80" s="49" t="s">
        <v>5260</v>
      </c>
      <c r="I80" s="49" t="s">
        <v>346</v>
      </c>
      <c r="J80" s="316">
        <v>45044</v>
      </c>
      <c r="K80" s="360">
        <v>45044</v>
      </c>
      <c r="L80" s="363" t="s">
        <v>28</v>
      </c>
      <c r="M80" s="317" t="s">
        <v>28</v>
      </c>
      <c r="N80" s="322">
        <v>45044</v>
      </c>
      <c r="O80" s="317" t="s">
        <v>2198</v>
      </c>
      <c r="P80" s="317">
        <v>1</v>
      </c>
      <c r="Q80" s="366">
        <v>45048</v>
      </c>
      <c r="R80" s="365" t="s">
        <v>264</v>
      </c>
      <c r="S80" s="364">
        <v>45058</v>
      </c>
      <c r="T80" s="364">
        <v>45058</v>
      </c>
      <c r="U80" s="348" t="s">
        <v>4999</v>
      </c>
    </row>
    <row r="81" spans="1:21" ht="25.5" x14ac:dyDescent="0.25">
      <c r="A81" s="359">
        <v>0</v>
      </c>
      <c r="B81" s="49" t="s">
        <v>5261</v>
      </c>
      <c r="C81" s="49" t="s">
        <v>1345</v>
      </c>
      <c r="D81" s="49">
        <v>181825</v>
      </c>
      <c r="E81" s="362" t="s">
        <v>5262</v>
      </c>
      <c r="F81" s="49" t="s">
        <v>4998</v>
      </c>
      <c r="G81" s="49" t="s">
        <v>1406</v>
      </c>
      <c r="H81" s="49" t="s">
        <v>5137</v>
      </c>
      <c r="I81" s="49" t="s">
        <v>1379</v>
      </c>
      <c r="J81" s="316">
        <v>45051</v>
      </c>
      <c r="K81" s="316">
        <v>45051</v>
      </c>
      <c r="L81" s="363" t="s">
        <v>28</v>
      </c>
      <c r="M81" s="317" t="s">
        <v>28</v>
      </c>
      <c r="N81" s="322">
        <v>45051</v>
      </c>
      <c r="O81" s="317" t="s">
        <v>1380</v>
      </c>
      <c r="P81" s="317">
        <v>2</v>
      </c>
      <c r="Q81" s="366">
        <v>45051</v>
      </c>
      <c r="R81" s="365" t="s">
        <v>264</v>
      </c>
      <c r="S81" s="364">
        <v>45054</v>
      </c>
      <c r="T81" s="364">
        <v>45054</v>
      </c>
      <c r="U81" s="348" t="s">
        <v>4999</v>
      </c>
    </row>
    <row r="82" spans="1:21" ht="25.5" x14ac:dyDescent="0.25">
      <c r="A82" s="359">
        <v>0</v>
      </c>
      <c r="B82" s="49" t="s">
        <v>5263</v>
      </c>
      <c r="C82" s="49" t="s">
        <v>1345</v>
      </c>
      <c r="D82" s="49">
        <v>181825</v>
      </c>
      <c r="E82" s="362" t="s">
        <v>5264</v>
      </c>
      <c r="F82" s="49" t="s">
        <v>4998</v>
      </c>
      <c r="G82" s="49" t="s">
        <v>547</v>
      </c>
      <c r="H82" s="49" t="s">
        <v>5265</v>
      </c>
      <c r="I82" s="49" t="s">
        <v>1379</v>
      </c>
      <c r="J82" s="316">
        <v>45051</v>
      </c>
      <c r="K82" s="316">
        <v>45051</v>
      </c>
      <c r="L82" s="363" t="s">
        <v>28</v>
      </c>
      <c r="M82" s="317" t="s">
        <v>28</v>
      </c>
      <c r="N82" s="322">
        <v>45051</v>
      </c>
      <c r="O82" s="317" t="s">
        <v>5111</v>
      </c>
      <c r="P82" s="317">
        <v>1</v>
      </c>
      <c r="Q82" s="366">
        <v>45054</v>
      </c>
      <c r="R82" s="365" t="s">
        <v>264</v>
      </c>
      <c r="S82" s="364">
        <v>45054</v>
      </c>
      <c r="T82" s="364">
        <v>45054</v>
      </c>
      <c r="U82" s="348" t="s">
        <v>4999</v>
      </c>
    </row>
    <row r="83" spans="1:21" ht="25.5" x14ac:dyDescent="0.25">
      <c r="A83" s="359">
        <v>0</v>
      </c>
      <c r="B83" s="49" t="s">
        <v>5266</v>
      </c>
      <c r="C83" s="49" t="s">
        <v>1345</v>
      </c>
      <c r="D83" s="49">
        <v>181825</v>
      </c>
      <c r="E83" s="378">
        <v>181825158</v>
      </c>
      <c r="F83" s="49" t="s">
        <v>4998</v>
      </c>
      <c r="G83" s="49" t="s">
        <v>5267</v>
      </c>
      <c r="H83" s="49" t="s">
        <v>5268</v>
      </c>
      <c r="I83" s="49" t="s">
        <v>346</v>
      </c>
      <c r="J83" s="316">
        <v>45055</v>
      </c>
      <c r="K83" s="360">
        <v>45055</v>
      </c>
      <c r="L83" s="363" t="s">
        <v>28</v>
      </c>
      <c r="M83" s="317" t="s">
        <v>28</v>
      </c>
      <c r="N83" s="322">
        <v>45055</v>
      </c>
      <c r="O83" s="317" t="s">
        <v>1387</v>
      </c>
      <c r="P83" s="317">
        <v>1</v>
      </c>
      <c r="Q83" s="366">
        <v>45056</v>
      </c>
      <c r="R83" s="365" t="s">
        <v>264</v>
      </c>
      <c r="S83" s="364">
        <v>45058</v>
      </c>
      <c r="T83" s="364">
        <v>45058</v>
      </c>
      <c r="U83" s="348" t="s">
        <v>4999</v>
      </c>
    </row>
    <row r="84" spans="1:21" ht="25.5" x14ac:dyDescent="0.25">
      <c r="A84" s="359">
        <v>0</v>
      </c>
      <c r="B84" s="49" t="s">
        <v>5269</v>
      </c>
      <c r="C84" s="49" t="s">
        <v>5258</v>
      </c>
      <c r="D84" s="49">
        <v>181825</v>
      </c>
      <c r="E84" s="378">
        <v>181825159</v>
      </c>
      <c r="F84" s="49" t="s">
        <v>4998</v>
      </c>
      <c r="G84" s="49" t="s">
        <v>1406</v>
      </c>
      <c r="H84" s="49" t="s">
        <v>5270</v>
      </c>
      <c r="I84" s="49" t="s">
        <v>346</v>
      </c>
      <c r="J84" s="316">
        <v>45056</v>
      </c>
      <c r="K84" s="316">
        <v>45056</v>
      </c>
      <c r="L84" s="363" t="s">
        <v>28</v>
      </c>
      <c r="M84" s="317" t="s">
        <v>28</v>
      </c>
      <c r="N84" s="322">
        <v>45055</v>
      </c>
      <c r="O84" s="317" t="s">
        <v>2198</v>
      </c>
      <c r="P84" s="317">
        <v>1</v>
      </c>
      <c r="Q84" s="366">
        <v>45056</v>
      </c>
      <c r="R84" s="365" t="s">
        <v>264</v>
      </c>
      <c r="S84" s="364">
        <v>45058</v>
      </c>
      <c r="T84" s="364">
        <v>45058</v>
      </c>
      <c r="U84" s="348" t="s">
        <v>4999</v>
      </c>
    </row>
    <row r="85" spans="1:21" ht="25.5" x14ac:dyDescent="0.25">
      <c r="A85" s="359">
        <v>0</v>
      </c>
      <c r="B85" s="49" t="s">
        <v>5271</v>
      </c>
      <c r="C85" s="49" t="s">
        <v>1345</v>
      </c>
      <c r="D85" s="49">
        <v>181825</v>
      </c>
      <c r="E85" s="362" t="s">
        <v>5272</v>
      </c>
      <c r="F85" s="49" t="s">
        <v>4998</v>
      </c>
      <c r="G85" s="49" t="s">
        <v>1406</v>
      </c>
      <c r="H85" s="49" t="s">
        <v>5174</v>
      </c>
      <c r="I85" s="49" t="s">
        <v>1379</v>
      </c>
      <c r="J85" s="316">
        <v>45056</v>
      </c>
      <c r="K85" s="316">
        <v>45056</v>
      </c>
      <c r="L85" s="363" t="s">
        <v>28</v>
      </c>
      <c r="M85" s="317" t="s">
        <v>28</v>
      </c>
      <c r="N85" s="322">
        <v>45056</v>
      </c>
      <c r="O85" s="317" t="s">
        <v>5132</v>
      </c>
      <c r="P85" s="317">
        <v>1</v>
      </c>
      <c r="Q85" s="366">
        <v>45056</v>
      </c>
      <c r="R85" s="365" t="s">
        <v>264</v>
      </c>
      <c r="S85" s="364">
        <v>45058</v>
      </c>
      <c r="T85" s="364">
        <v>45058</v>
      </c>
      <c r="U85" s="348" t="s">
        <v>4999</v>
      </c>
    </row>
    <row r="86" spans="1:21" ht="25.5" x14ac:dyDescent="0.25">
      <c r="A86" s="359">
        <v>0</v>
      </c>
      <c r="B86" s="49" t="s">
        <v>5273</v>
      </c>
      <c r="C86" s="49" t="s">
        <v>1345</v>
      </c>
      <c r="D86" s="379">
        <v>181825</v>
      </c>
      <c r="E86" s="362" t="s">
        <v>5274</v>
      </c>
      <c r="F86" s="49" t="s">
        <v>4998</v>
      </c>
      <c r="G86" s="49" t="s">
        <v>547</v>
      </c>
      <c r="H86" s="49" t="s">
        <v>5275</v>
      </c>
      <c r="I86" s="49" t="s">
        <v>1379</v>
      </c>
      <c r="J86" s="316">
        <v>45057</v>
      </c>
      <c r="K86" s="316">
        <v>45057</v>
      </c>
      <c r="L86" s="363" t="s">
        <v>28</v>
      </c>
      <c r="M86" s="317" t="s">
        <v>28</v>
      </c>
      <c r="N86" s="322">
        <v>45056</v>
      </c>
      <c r="O86" s="317" t="s">
        <v>5111</v>
      </c>
      <c r="P86" s="317">
        <v>2</v>
      </c>
      <c r="Q86" s="366">
        <v>45057</v>
      </c>
      <c r="R86" s="365" t="s">
        <v>264</v>
      </c>
      <c r="S86" s="364">
        <v>45058</v>
      </c>
      <c r="T86" s="364">
        <v>45058</v>
      </c>
      <c r="U86" s="348" t="s">
        <v>4999</v>
      </c>
    </row>
    <row r="87" spans="1:21" ht="25.5" x14ac:dyDescent="0.25">
      <c r="A87" s="359">
        <v>0</v>
      </c>
      <c r="B87" s="49" t="s">
        <v>5276</v>
      </c>
      <c r="C87" s="49" t="s">
        <v>1345</v>
      </c>
      <c r="D87" s="379">
        <v>181825</v>
      </c>
      <c r="E87" s="362" t="s">
        <v>5277</v>
      </c>
      <c r="F87" s="49" t="s">
        <v>4998</v>
      </c>
      <c r="G87" s="49" t="s">
        <v>547</v>
      </c>
      <c r="H87" s="49" t="s">
        <v>5278</v>
      </c>
      <c r="I87" s="49" t="s">
        <v>346</v>
      </c>
      <c r="J87" s="316">
        <v>45061</v>
      </c>
      <c r="K87" s="316">
        <v>45061</v>
      </c>
      <c r="L87" s="363" t="s">
        <v>28</v>
      </c>
      <c r="M87" s="317" t="s">
        <v>28</v>
      </c>
      <c r="N87" s="322">
        <v>45061</v>
      </c>
      <c r="O87" s="317" t="s">
        <v>5279</v>
      </c>
      <c r="P87" s="317">
        <v>12</v>
      </c>
      <c r="Q87" s="366">
        <v>45061</v>
      </c>
      <c r="R87" s="365" t="s">
        <v>264</v>
      </c>
      <c r="S87" s="364">
        <v>45063</v>
      </c>
      <c r="T87" s="364">
        <v>45063</v>
      </c>
      <c r="U87" s="348" t="s">
        <v>4999</v>
      </c>
    </row>
    <row r="88" spans="1:21" ht="25.5" x14ac:dyDescent="0.25">
      <c r="A88" s="359">
        <v>0</v>
      </c>
      <c r="B88" s="49" t="s">
        <v>5280</v>
      </c>
      <c r="C88" s="49" t="s">
        <v>1345</v>
      </c>
      <c r="D88" s="379">
        <v>181825</v>
      </c>
      <c r="E88" s="362" t="s">
        <v>5281</v>
      </c>
      <c r="F88" s="49" t="s">
        <v>4998</v>
      </c>
      <c r="G88" s="49" t="s">
        <v>147</v>
      </c>
      <c r="H88" s="49" t="s">
        <v>2314</v>
      </c>
      <c r="I88" s="49" t="s">
        <v>346</v>
      </c>
      <c r="J88" s="316">
        <v>45061</v>
      </c>
      <c r="K88" s="316">
        <v>45061</v>
      </c>
      <c r="L88" s="363" t="s">
        <v>28</v>
      </c>
      <c r="M88" s="317" t="s">
        <v>5282</v>
      </c>
      <c r="N88" s="322">
        <v>45061</v>
      </c>
      <c r="O88" s="317" t="s">
        <v>5283</v>
      </c>
      <c r="P88" s="317">
        <v>1</v>
      </c>
      <c r="Q88" s="366">
        <v>45062</v>
      </c>
      <c r="R88" s="365" t="s">
        <v>264</v>
      </c>
      <c r="S88" s="364">
        <v>45063</v>
      </c>
      <c r="T88" s="364">
        <v>45063</v>
      </c>
      <c r="U88" s="348" t="s">
        <v>4999</v>
      </c>
    </row>
    <row r="89" spans="1:21" ht="25.5" x14ac:dyDescent="0.25">
      <c r="A89" s="359">
        <v>0</v>
      </c>
      <c r="B89" s="49" t="s">
        <v>5284</v>
      </c>
      <c r="C89" s="49" t="s">
        <v>1345</v>
      </c>
      <c r="D89" s="362" t="s">
        <v>5285</v>
      </c>
      <c r="E89" s="362" t="s">
        <v>5286</v>
      </c>
      <c r="F89" s="49" t="s">
        <v>4998</v>
      </c>
      <c r="G89" s="49" t="s">
        <v>547</v>
      </c>
      <c r="H89" s="49" t="s">
        <v>5287</v>
      </c>
      <c r="I89" s="49" t="s">
        <v>5288</v>
      </c>
      <c r="J89" s="316">
        <v>45063</v>
      </c>
      <c r="K89" s="316">
        <v>45063</v>
      </c>
      <c r="L89" s="363" t="s">
        <v>28</v>
      </c>
      <c r="M89" s="317" t="s">
        <v>5282</v>
      </c>
      <c r="N89" s="322">
        <v>45063</v>
      </c>
      <c r="O89" s="317">
        <v>3009422</v>
      </c>
      <c r="P89" s="317">
        <v>2</v>
      </c>
      <c r="Q89" s="366">
        <v>45063</v>
      </c>
      <c r="R89" s="365" t="s">
        <v>264</v>
      </c>
      <c r="S89" s="364">
        <v>45063</v>
      </c>
      <c r="T89" s="364">
        <v>45063</v>
      </c>
      <c r="U89" s="348" t="s">
        <v>4999</v>
      </c>
    </row>
    <row r="90" spans="1:21" ht="25.5" x14ac:dyDescent="0.25">
      <c r="A90" s="359">
        <v>0</v>
      </c>
      <c r="B90" s="49" t="s">
        <v>5289</v>
      </c>
      <c r="C90" s="49" t="s">
        <v>1345</v>
      </c>
      <c r="D90" s="362" t="s">
        <v>5285</v>
      </c>
      <c r="E90" s="362" t="s">
        <v>5290</v>
      </c>
      <c r="F90" s="49" t="s">
        <v>4998</v>
      </c>
      <c r="G90" s="49" t="s">
        <v>5291</v>
      </c>
      <c r="H90" s="49" t="s">
        <v>5292</v>
      </c>
      <c r="I90" s="49" t="s">
        <v>1426</v>
      </c>
      <c r="J90" s="316">
        <v>45063</v>
      </c>
      <c r="K90" s="316">
        <v>45063</v>
      </c>
      <c r="L90" s="363" t="s">
        <v>28</v>
      </c>
      <c r="M90" s="317" t="s">
        <v>28</v>
      </c>
      <c r="N90" s="322">
        <v>45063</v>
      </c>
      <c r="O90" s="317">
        <v>1336247</v>
      </c>
      <c r="P90" s="317">
        <v>9</v>
      </c>
      <c r="Q90" s="366">
        <v>45063</v>
      </c>
      <c r="R90" s="365" t="s">
        <v>264</v>
      </c>
      <c r="S90" s="364">
        <v>45063</v>
      </c>
      <c r="T90" s="364">
        <v>45063</v>
      </c>
      <c r="U90" s="348" t="s">
        <v>4999</v>
      </c>
    </row>
    <row r="91" spans="1:21" ht="25.5" x14ac:dyDescent="0.25">
      <c r="A91" s="359">
        <v>0</v>
      </c>
      <c r="B91" s="49" t="s">
        <v>5293</v>
      </c>
      <c r="C91" s="49" t="s">
        <v>1345</v>
      </c>
      <c r="D91" s="362" t="s">
        <v>5285</v>
      </c>
      <c r="E91" s="362" t="s">
        <v>5294</v>
      </c>
      <c r="F91" s="49" t="s">
        <v>5295</v>
      </c>
      <c r="G91" s="49" t="s">
        <v>147</v>
      </c>
      <c r="H91" s="49" t="s">
        <v>5296</v>
      </c>
      <c r="I91" s="49" t="s">
        <v>346</v>
      </c>
      <c r="J91" s="316">
        <v>45075</v>
      </c>
      <c r="K91" s="316">
        <v>45075</v>
      </c>
      <c r="L91" s="363" t="s">
        <v>28</v>
      </c>
      <c r="M91" s="317" t="s">
        <v>28</v>
      </c>
      <c r="N91" s="322">
        <v>45075</v>
      </c>
      <c r="O91" s="317" t="s">
        <v>2216</v>
      </c>
      <c r="P91" s="317">
        <v>3</v>
      </c>
      <c r="Q91" s="366">
        <v>45076</v>
      </c>
      <c r="R91" s="365" t="s">
        <v>264</v>
      </c>
      <c r="S91" s="364">
        <v>45083</v>
      </c>
      <c r="T91" s="364">
        <v>45083</v>
      </c>
      <c r="U91" s="348" t="s">
        <v>4999</v>
      </c>
    </row>
    <row r="92" spans="1:21" ht="25.5" x14ac:dyDescent="0.25">
      <c r="A92" s="359">
        <v>0</v>
      </c>
      <c r="B92" s="49" t="s">
        <v>5297</v>
      </c>
      <c r="C92" s="49" t="s">
        <v>5258</v>
      </c>
      <c r="D92" s="49">
        <v>181825</v>
      </c>
      <c r="E92" s="362" t="s">
        <v>5298</v>
      </c>
      <c r="F92" s="49" t="s">
        <v>4998</v>
      </c>
      <c r="G92" s="49" t="s">
        <v>147</v>
      </c>
      <c r="H92" s="49" t="s">
        <v>5299</v>
      </c>
      <c r="I92" s="49" t="s">
        <v>346</v>
      </c>
      <c r="J92" s="316">
        <v>45075</v>
      </c>
      <c r="K92" s="316">
        <v>45075</v>
      </c>
      <c r="L92" s="363" t="s">
        <v>28</v>
      </c>
      <c r="M92" s="317" t="s">
        <v>28</v>
      </c>
      <c r="N92" s="322">
        <v>45076</v>
      </c>
      <c r="O92" s="317" t="s">
        <v>2198</v>
      </c>
      <c r="P92" s="317">
        <v>1</v>
      </c>
      <c r="Q92" s="366">
        <v>45083</v>
      </c>
      <c r="R92" s="365" t="s">
        <v>264</v>
      </c>
      <c r="S92" s="364">
        <v>45083</v>
      </c>
      <c r="T92" s="364">
        <v>45083</v>
      </c>
      <c r="U92" s="348" t="s">
        <v>4999</v>
      </c>
    </row>
    <row r="93" spans="1:21" ht="25.5" x14ac:dyDescent="0.25">
      <c r="A93" s="359">
        <v>0</v>
      </c>
      <c r="B93" s="49" t="s">
        <v>5300</v>
      </c>
      <c r="C93" s="49" t="s">
        <v>1345</v>
      </c>
      <c r="D93" s="362" t="s">
        <v>5285</v>
      </c>
      <c r="E93" s="362" t="s">
        <v>5301</v>
      </c>
      <c r="F93" s="49" t="s">
        <v>4998</v>
      </c>
      <c r="G93" s="49" t="s">
        <v>1540</v>
      </c>
      <c r="H93" s="49" t="s">
        <v>5302</v>
      </c>
      <c r="I93" s="49" t="s">
        <v>5303</v>
      </c>
      <c r="J93" s="316">
        <v>45077</v>
      </c>
      <c r="K93" s="360">
        <v>45079</v>
      </c>
      <c r="L93" s="363" t="s">
        <v>28</v>
      </c>
      <c r="M93" s="317" t="s">
        <v>28</v>
      </c>
      <c r="N93" s="322">
        <v>45078</v>
      </c>
      <c r="O93" s="317" t="s">
        <v>1366</v>
      </c>
      <c r="P93" s="317">
        <v>4</v>
      </c>
      <c r="Q93" s="366">
        <v>45078</v>
      </c>
      <c r="R93" s="365" t="s">
        <v>264</v>
      </c>
      <c r="S93" s="364">
        <v>45078</v>
      </c>
      <c r="T93" s="364">
        <v>45078</v>
      </c>
      <c r="U93" s="348" t="s">
        <v>4999</v>
      </c>
    </row>
    <row r="94" spans="1:21" ht="25.5" x14ac:dyDescent="0.25">
      <c r="A94" s="359">
        <v>0</v>
      </c>
      <c r="B94" s="49" t="s">
        <v>5304</v>
      </c>
      <c r="C94" s="49" t="s">
        <v>1345</v>
      </c>
      <c r="D94" s="362" t="s">
        <v>5285</v>
      </c>
      <c r="E94" s="362" t="s">
        <v>5305</v>
      </c>
      <c r="F94" s="49" t="s">
        <v>4998</v>
      </c>
      <c r="G94" s="49" t="s">
        <v>1406</v>
      </c>
      <c r="H94" s="49" t="s">
        <v>5306</v>
      </c>
      <c r="I94" s="49" t="s">
        <v>1379</v>
      </c>
      <c r="J94" s="316">
        <v>45079</v>
      </c>
      <c r="K94" s="316">
        <v>45079</v>
      </c>
      <c r="L94" s="363" t="s">
        <v>28</v>
      </c>
      <c r="M94" s="317" t="s">
        <v>28</v>
      </c>
      <c r="N94" s="322">
        <v>45079</v>
      </c>
      <c r="O94" s="317" t="s">
        <v>5132</v>
      </c>
      <c r="P94" s="317">
        <v>1</v>
      </c>
      <c r="Q94" s="366">
        <v>45084</v>
      </c>
      <c r="R94" s="365" t="s">
        <v>264</v>
      </c>
      <c r="S94" s="364">
        <v>45089</v>
      </c>
      <c r="T94" s="364">
        <v>45089</v>
      </c>
      <c r="U94" s="348" t="s">
        <v>4999</v>
      </c>
    </row>
    <row r="95" spans="1:21" ht="25.5" x14ac:dyDescent="0.25">
      <c r="A95" s="359">
        <v>0</v>
      </c>
      <c r="B95" s="49" t="s">
        <v>5307</v>
      </c>
      <c r="C95" s="49" t="s">
        <v>5258</v>
      </c>
      <c r="D95" s="362" t="s">
        <v>5285</v>
      </c>
      <c r="E95" s="362" t="s">
        <v>5308</v>
      </c>
      <c r="F95" s="49" t="s">
        <v>4998</v>
      </c>
      <c r="G95" s="49" t="s">
        <v>1406</v>
      </c>
      <c r="H95" s="49" t="s">
        <v>5309</v>
      </c>
      <c r="I95" s="49" t="s">
        <v>346</v>
      </c>
      <c r="J95" s="316">
        <v>45079</v>
      </c>
      <c r="K95" s="316">
        <v>45079</v>
      </c>
      <c r="L95" s="363" t="s">
        <v>28</v>
      </c>
      <c r="M95" s="317" t="s">
        <v>28</v>
      </c>
      <c r="N95" s="322">
        <v>45079</v>
      </c>
      <c r="O95" s="317" t="s">
        <v>2198</v>
      </c>
      <c r="P95" s="317">
        <v>1</v>
      </c>
      <c r="Q95" s="366">
        <v>45084</v>
      </c>
      <c r="R95" s="365" t="s">
        <v>264</v>
      </c>
      <c r="S95" s="364">
        <v>45089</v>
      </c>
      <c r="T95" s="364">
        <v>45089</v>
      </c>
      <c r="U95" s="348" t="s">
        <v>4999</v>
      </c>
    </row>
    <row r="96" spans="1:21" ht="25.5" x14ac:dyDescent="0.25">
      <c r="A96" s="359">
        <v>0</v>
      </c>
      <c r="B96" s="49" t="s">
        <v>5310</v>
      </c>
      <c r="C96" s="49" t="s">
        <v>1345</v>
      </c>
      <c r="D96" s="362" t="s">
        <v>5285</v>
      </c>
      <c r="E96" s="362" t="s">
        <v>5311</v>
      </c>
      <c r="F96" s="49" t="s">
        <v>4998</v>
      </c>
      <c r="G96" s="49" t="s">
        <v>34</v>
      </c>
      <c r="H96" s="49" t="s">
        <v>5312</v>
      </c>
      <c r="I96" s="49" t="s">
        <v>5115</v>
      </c>
      <c r="J96" s="316">
        <v>45082</v>
      </c>
      <c r="K96" s="360">
        <v>45084</v>
      </c>
      <c r="L96" s="322" t="s">
        <v>5116</v>
      </c>
      <c r="M96" s="317" t="s">
        <v>28</v>
      </c>
      <c r="N96" s="322">
        <v>45084</v>
      </c>
      <c r="O96" s="317" t="s">
        <v>5313</v>
      </c>
      <c r="P96" s="317">
        <v>1</v>
      </c>
      <c r="Q96" s="366">
        <v>45090</v>
      </c>
      <c r="R96" s="365" t="s">
        <v>264</v>
      </c>
      <c r="S96" s="364">
        <v>45090</v>
      </c>
      <c r="T96" s="364">
        <v>45090</v>
      </c>
      <c r="U96" s="348" t="s">
        <v>4999</v>
      </c>
    </row>
    <row r="97" spans="1:21" ht="25.5" x14ac:dyDescent="0.25">
      <c r="A97" s="359">
        <v>0</v>
      </c>
      <c r="B97" s="49" t="s">
        <v>5314</v>
      </c>
      <c r="C97" s="49" t="s">
        <v>1345</v>
      </c>
      <c r="D97" s="362" t="s">
        <v>5285</v>
      </c>
      <c r="E97" s="362" t="s">
        <v>5113</v>
      </c>
      <c r="F97" s="49" t="s">
        <v>4998</v>
      </c>
      <c r="G97" s="49" t="s">
        <v>5315</v>
      </c>
      <c r="H97" s="49" t="s">
        <v>5114</v>
      </c>
      <c r="I97" s="49" t="s">
        <v>346</v>
      </c>
      <c r="J97" s="316">
        <v>45091</v>
      </c>
      <c r="K97" s="360">
        <v>45092</v>
      </c>
      <c r="L97" s="322" t="s">
        <v>5116</v>
      </c>
      <c r="M97" s="317" t="s">
        <v>5116</v>
      </c>
      <c r="N97" s="322">
        <v>45092</v>
      </c>
      <c r="O97" s="317" t="s">
        <v>2198</v>
      </c>
      <c r="P97" s="317">
        <v>1</v>
      </c>
      <c r="Q97" s="366">
        <v>45092</v>
      </c>
      <c r="R97" s="365" t="s">
        <v>264</v>
      </c>
      <c r="S97" s="364">
        <v>45092</v>
      </c>
      <c r="T97" s="364">
        <v>45092</v>
      </c>
      <c r="U97" s="348" t="s">
        <v>4999</v>
      </c>
    </row>
    <row r="98" spans="1:21" ht="25.5" x14ac:dyDescent="0.25">
      <c r="A98" s="359">
        <v>0</v>
      </c>
      <c r="B98" s="49" t="s">
        <v>5316</v>
      </c>
      <c r="C98" s="49" t="s">
        <v>1345</v>
      </c>
      <c r="D98" s="389" t="s">
        <v>5285</v>
      </c>
      <c r="E98" s="362" t="s">
        <v>5317</v>
      </c>
      <c r="F98" s="49" t="s">
        <v>4998</v>
      </c>
      <c r="G98" s="49" t="s">
        <v>5318</v>
      </c>
      <c r="H98" s="49" t="s">
        <v>5319</v>
      </c>
      <c r="I98" s="49" t="s">
        <v>5083</v>
      </c>
      <c r="J98" s="316">
        <v>45103</v>
      </c>
      <c r="K98" s="360">
        <v>45104</v>
      </c>
      <c r="L98" s="322" t="s">
        <v>5116</v>
      </c>
      <c r="M98" s="317" t="s">
        <v>5116</v>
      </c>
      <c r="N98" s="322">
        <v>45104</v>
      </c>
      <c r="O98" s="317" t="s">
        <v>5320</v>
      </c>
      <c r="P98" s="317">
        <v>3</v>
      </c>
      <c r="Q98" s="366">
        <v>45104</v>
      </c>
      <c r="R98" s="365"/>
      <c r="S98" s="365"/>
      <c r="T98" s="365"/>
      <c r="U98" s="348"/>
    </row>
    <row r="99" spans="1:21" ht="25.5" x14ac:dyDescent="0.25">
      <c r="A99" s="359">
        <v>0</v>
      </c>
      <c r="B99" s="49" t="s">
        <v>5321</v>
      </c>
      <c r="C99" s="49" t="s">
        <v>1345</v>
      </c>
      <c r="D99" s="362" t="s">
        <v>5285</v>
      </c>
      <c r="E99" s="362" t="s">
        <v>5322</v>
      </c>
      <c r="F99" s="49" t="s">
        <v>4998</v>
      </c>
      <c r="G99" s="49" t="s">
        <v>1406</v>
      </c>
      <c r="H99" s="49" t="s">
        <v>5323</v>
      </c>
      <c r="I99" s="49" t="s">
        <v>346</v>
      </c>
      <c r="J99" s="316">
        <v>45105</v>
      </c>
      <c r="K99" s="360">
        <v>45105</v>
      </c>
      <c r="L99" s="322" t="s">
        <v>5116</v>
      </c>
      <c r="M99" s="317" t="s">
        <v>5116</v>
      </c>
      <c r="N99" s="322">
        <v>45106</v>
      </c>
      <c r="O99" s="317" t="s">
        <v>2198</v>
      </c>
      <c r="P99" s="317">
        <v>1</v>
      </c>
      <c r="Q99" s="367" t="s">
        <v>5324</v>
      </c>
      <c r="R99" s="365" t="s">
        <v>264</v>
      </c>
      <c r="S99" s="364">
        <v>45107</v>
      </c>
      <c r="T99" s="364">
        <v>45107</v>
      </c>
      <c r="U99" s="348" t="s">
        <v>4999</v>
      </c>
    </row>
    <row r="100" spans="1:21" ht="25.5" x14ac:dyDescent="0.25">
      <c r="A100" s="359">
        <v>0</v>
      </c>
      <c r="B100" s="49" t="s">
        <v>5325</v>
      </c>
      <c r="C100" s="49" t="s">
        <v>1345</v>
      </c>
      <c r="D100" s="362" t="s">
        <v>5285</v>
      </c>
      <c r="E100" s="362" t="s">
        <v>5326</v>
      </c>
      <c r="F100" s="49" t="s">
        <v>4998</v>
      </c>
      <c r="G100" s="49" t="s">
        <v>1406</v>
      </c>
      <c r="H100" s="49" t="s">
        <v>5196</v>
      </c>
      <c r="I100" s="49" t="s">
        <v>5083</v>
      </c>
      <c r="J100" s="316">
        <v>45105</v>
      </c>
      <c r="K100" s="360">
        <v>45106</v>
      </c>
      <c r="L100" s="322" t="s">
        <v>5116</v>
      </c>
      <c r="M100" s="317" t="s">
        <v>5116</v>
      </c>
      <c r="N100" s="322">
        <v>45106</v>
      </c>
      <c r="O100" s="317" t="s">
        <v>5197</v>
      </c>
      <c r="P100" s="317">
        <v>1</v>
      </c>
      <c r="Q100" s="366">
        <v>45106</v>
      </c>
      <c r="R100" s="365" t="s">
        <v>264</v>
      </c>
      <c r="S100" s="364">
        <v>45107</v>
      </c>
      <c r="T100" s="364">
        <v>45107</v>
      </c>
      <c r="U100" s="348" t="s">
        <v>4999</v>
      </c>
    </row>
    <row r="101" spans="1:21" ht="25.5" x14ac:dyDescent="0.25">
      <c r="A101" s="359">
        <v>0</v>
      </c>
      <c r="B101" s="49" t="s">
        <v>5327</v>
      </c>
      <c r="C101" s="49" t="s">
        <v>1345</v>
      </c>
      <c r="D101" s="362" t="s">
        <v>5285</v>
      </c>
      <c r="E101" s="362" t="s">
        <v>5328</v>
      </c>
      <c r="F101" s="49" t="s">
        <v>4998</v>
      </c>
      <c r="G101" s="49" t="s">
        <v>1406</v>
      </c>
      <c r="H101" s="49" t="s">
        <v>5329</v>
      </c>
      <c r="I101" s="49" t="s">
        <v>5083</v>
      </c>
      <c r="J101" s="316">
        <v>45105</v>
      </c>
      <c r="K101" s="360">
        <v>45106</v>
      </c>
      <c r="L101" s="322" t="s">
        <v>5116</v>
      </c>
      <c r="M101" s="317" t="s">
        <v>5116</v>
      </c>
      <c r="N101" s="322">
        <v>45106</v>
      </c>
      <c r="O101" s="317" t="s">
        <v>5098</v>
      </c>
      <c r="P101" s="317">
        <v>1</v>
      </c>
      <c r="Q101" s="366">
        <v>45106</v>
      </c>
      <c r="R101" s="365" t="s">
        <v>264</v>
      </c>
      <c r="S101" s="364">
        <v>45106</v>
      </c>
      <c r="T101" s="364">
        <v>45106</v>
      </c>
      <c r="U101" s="348" t="s">
        <v>4999</v>
      </c>
    </row>
    <row r="102" spans="1:21" ht="25.5" x14ac:dyDescent="0.25">
      <c r="A102" s="359">
        <v>0</v>
      </c>
      <c r="B102" s="49" t="s">
        <v>5330</v>
      </c>
      <c r="C102" s="49" t="s">
        <v>1345</v>
      </c>
      <c r="D102" s="362" t="s">
        <v>5285</v>
      </c>
      <c r="E102" s="362" t="s">
        <v>5331</v>
      </c>
      <c r="F102" s="49" t="s">
        <v>4998</v>
      </c>
      <c r="G102" s="49" t="s">
        <v>5267</v>
      </c>
      <c r="H102" s="49" t="s">
        <v>5332</v>
      </c>
      <c r="I102" s="49" t="s">
        <v>346</v>
      </c>
      <c r="J102" s="316">
        <v>45106</v>
      </c>
      <c r="K102" s="360">
        <v>45106</v>
      </c>
      <c r="L102" s="322" t="s">
        <v>5116</v>
      </c>
      <c r="M102" s="317" t="s">
        <v>5116</v>
      </c>
      <c r="N102" s="322">
        <v>45107</v>
      </c>
      <c r="O102" s="317" t="s">
        <v>1387</v>
      </c>
      <c r="P102" s="317">
        <v>2</v>
      </c>
      <c r="Q102" s="366">
        <v>45107</v>
      </c>
      <c r="R102" s="365" t="s">
        <v>264</v>
      </c>
      <c r="S102" s="364">
        <v>45107</v>
      </c>
      <c r="T102" s="364">
        <v>45107</v>
      </c>
      <c r="U102" s="348" t="s">
        <v>4999</v>
      </c>
    </row>
    <row r="103" spans="1:21" ht="25.5" x14ac:dyDescent="0.25">
      <c r="A103" s="359">
        <v>0</v>
      </c>
      <c r="B103" s="49" t="s">
        <v>5333</v>
      </c>
      <c r="C103" s="49" t="s">
        <v>1345</v>
      </c>
      <c r="D103" s="362" t="s">
        <v>5285</v>
      </c>
      <c r="E103" s="362" t="s">
        <v>5334</v>
      </c>
      <c r="F103" s="49" t="s">
        <v>4998</v>
      </c>
      <c r="G103" s="49" t="s">
        <v>5335</v>
      </c>
      <c r="H103" s="49" t="s">
        <v>2318</v>
      </c>
      <c r="I103" s="49" t="s">
        <v>346</v>
      </c>
      <c r="J103" s="316">
        <v>45107</v>
      </c>
      <c r="K103" s="360">
        <v>45110</v>
      </c>
      <c r="L103" s="322" t="s">
        <v>5116</v>
      </c>
      <c r="M103" s="317" t="s">
        <v>5116</v>
      </c>
      <c r="N103" s="322">
        <v>45110</v>
      </c>
      <c r="O103" s="317" t="s">
        <v>5336</v>
      </c>
      <c r="P103" s="317">
        <v>1</v>
      </c>
      <c r="Q103" s="366">
        <v>45110</v>
      </c>
      <c r="R103" s="365" t="s">
        <v>264</v>
      </c>
      <c r="S103" s="364">
        <v>45110</v>
      </c>
      <c r="T103" s="364">
        <v>45110</v>
      </c>
      <c r="U103" s="348" t="s">
        <v>4999</v>
      </c>
    </row>
    <row r="104" spans="1:21" ht="25.5" x14ac:dyDescent="0.25">
      <c r="A104" s="359">
        <v>0</v>
      </c>
      <c r="B104" s="49" t="s">
        <v>5337</v>
      </c>
      <c r="C104" s="49" t="s">
        <v>1345</v>
      </c>
      <c r="D104" s="362" t="s">
        <v>5285</v>
      </c>
      <c r="E104" s="362" t="s">
        <v>5338</v>
      </c>
      <c r="F104" s="49" t="s">
        <v>4998</v>
      </c>
      <c r="G104" s="49" t="s">
        <v>5339</v>
      </c>
      <c r="H104" s="49" t="s">
        <v>5340</v>
      </c>
      <c r="I104" s="49" t="s">
        <v>346</v>
      </c>
      <c r="J104" s="316">
        <v>45110</v>
      </c>
      <c r="K104" s="360">
        <v>45110</v>
      </c>
      <c r="L104" s="322" t="s">
        <v>5116</v>
      </c>
      <c r="M104" s="317" t="s">
        <v>5116</v>
      </c>
      <c r="N104" s="322">
        <v>45110</v>
      </c>
      <c r="O104" s="317" t="s">
        <v>2198</v>
      </c>
      <c r="P104" s="317">
        <v>4</v>
      </c>
      <c r="Q104" s="366">
        <v>45112</v>
      </c>
      <c r="R104" s="365" t="s">
        <v>264</v>
      </c>
      <c r="S104" s="364">
        <v>45112</v>
      </c>
      <c r="T104" s="364">
        <v>45112</v>
      </c>
      <c r="U104" s="348" t="s">
        <v>4999</v>
      </c>
    </row>
    <row r="105" spans="1:21" ht="25.5" x14ac:dyDescent="0.25">
      <c r="A105" s="359">
        <v>0</v>
      </c>
      <c r="B105" s="49" t="s">
        <v>5341</v>
      </c>
      <c r="C105" s="49" t="s">
        <v>1345</v>
      </c>
      <c r="D105" s="362" t="s">
        <v>5285</v>
      </c>
      <c r="E105" s="362" t="s">
        <v>5342</v>
      </c>
      <c r="F105" s="49" t="s">
        <v>4998</v>
      </c>
      <c r="G105" s="49" t="s">
        <v>5143</v>
      </c>
      <c r="H105" s="49" t="s">
        <v>5343</v>
      </c>
      <c r="I105" s="49" t="s">
        <v>346</v>
      </c>
      <c r="J105" s="316">
        <v>45110</v>
      </c>
      <c r="K105" s="360">
        <v>45110</v>
      </c>
      <c r="L105" s="322" t="s">
        <v>5116</v>
      </c>
      <c r="M105" s="317" t="s">
        <v>5116</v>
      </c>
      <c r="N105" s="322">
        <v>45111</v>
      </c>
      <c r="O105" s="317" t="s">
        <v>5145</v>
      </c>
      <c r="P105" s="317">
        <v>1</v>
      </c>
      <c r="Q105" s="366">
        <v>45112</v>
      </c>
      <c r="R105" s="365" t="s">
        <v>264</v>
      </c>
      <c r="S105" s="364">
        <v>45112</v>
      </c>
      <c r="T105" s="364">
        <v>45112</v>
      </c>
      <c r="U105" s="348" t="s">
        <v>4999</v>
      </c>
    </row>
    <row r="106" spans="1:21" ht="25.5" x14ac:dyDescent="0.25">
      <c r="A106" s="359">
        <v>0</v>
      </c>
      <c r="B106" s="49" t="s">
        <v>5344</v>
      </c>
      <c r="C106" s="49" t="s">
        <v>1345</v>
      </c>
      <c r="D106" s="362" t="s">
        <v>5285</v>
      </c>
      <c r="E106" s="362" t="s">
        <v>5345</v>
      </c>
      <c r="F106" s="49" t="s">
        <v>4998</v>
      </c>
      <c r="G106" s="49" t="s">
        <v>1406</v>
      </c>
      <c r="H106" s="49" t="s">
        <v>5346</v>
      </c>
      <c r="I106" s="49" t="s">
        <v>346</v>
      </c>
      <c r="J106" s="316">
        <v>45050</v>
      </c>
      <c r="K106" s="360">
        <v>45050</v>
      </c>
      <c r="L106" s="322" t="s">
        <v>5116</v>
      </c>
      <c r="M106" s="317" t="s">
        <v>5116</v>
      </c>
      <c r="N106" s="322">
        <v>45113</v>
      </c>
      <c r="O106" s="317" t="s">
        <v>2198</v>
      </c>
      <c r="P106" s="317">
        <v>1</v>
      </c>
      <c r="Q106" s="366">
        <v>45113</v>
      </c>
      <c r="R106" s="365" t="s">
        <v>264</v>
      </c>
      <c r="S106" s="364">
        <v>45113</v>
      </c>
      <c r="T106" s="364">
        <v>45113</v>
      </c>
      <c r="U106" s="348" t="s">
        <v>4999</v>
      </c>
    </row>
    <row r="107" spans="1:21" ht="25.5" x14ac:dyDescent="0.25">
      <c r="A107" s="359">
        <v>0</v>
      </c>
      <c r="B107" s="49" t="s">
        <v>5347</v>
      </c>
      <c r="C107" s="49" t="s">
        <v>1345</v>
      </c>
      <c r="D107" s="362" t="s">
        <v>5285</v>
      </c>
      <c r="E107" s="362" t="s">
        <v>5348</v>
      </c>
      <c r="F107" s="49" t="s">
        <v>4998</v>
      </c>
      <c r="G107" s="49" t="s">
        <v>147</v>
      </c>
      <c r="H107" s="49" t="s">
        <v>5226</v>
      </c>
      <c r="I107" s="49" t="s">
        <v>346</v>
      </c>
      <c r="J107" s="316">
        <v>45111</v>
      </c>
      <c r="K107" s="360">
        <v>45111</v>
      </c>
      <c r="L107" s="322" t="s">
        <v>5116</v>
      </c>
      <c r="M107" s="317" t="s">
        <v>5116</v>
      </c>
      <c r="N107" s="322">
        <v>45111</v>
      </c>
      <c r="O107" s="317" t="s">
        <v>2198</v>
      </c>
      <c r="P107" s="317">
        <v>1</v>
      </c>
      <c r="Q107" s="366">
        <v>45112</v>
      </c>
      <c r="R107" s="365" t="s">
        <v>264</v>
      </c>
      <c r="S107" s="364">
        <v>45114</v>
      </c>
      <c r="T107" s="364">
        <v>45114</v>
      </c>
      <c r="U107" s="348" t="s">
        <v>4999</v>
      </c>
    </row>
    <row r="108" spans="1:21" ht="25.5" x14ac:dyDescent="0.25">
      <c r="A108" s="359">
        <v>0</v>
      </c>
      <c r="B108" s="49" t="s">
        <v>5349</v>
      </c>
      <c r="C108" s="49" t="s">
        <v>1345</v>
      </c>
      <c r="D108" s="362" t="s">
        <v>5285</v>
      </c>
      <c r="E108" s="362" t="s">
        <v>5350</v>
      </c>
      <c r="F108" s="49" t="s">
        <v>4998</v>
      </c>
      <c r="G108" s="49" t="s">
        <v>5351</v>
      </c>
      <c r="H108" s="49" t="s">
        <v>5352</v>
      </c>
      <c r="I108" s="49" t="s">
        <v>346</v>
      </c>
      <c r="J108" s="316">
        <v>45111</v>
      </c>
      <c r="K108" s="360">
        <v>45111</v>
      </c>
      <c r="L108" s="322" t="s">
        <v>5116</v>
      </c>
      <c r="M108" s="317" t="s">
        <v>5116</v>
      </c>
      <c r="N108" s="322">
        <v>45112</v>
      </c>
      <c r="O108" s="317" t="s">
        <v>2198</v>
      </c>
      <c r="P108" s="317">
        <v>1</v>
      </c>
      <c r="Q108" s="366">
        <v>45112</v>
      </c>
      <c r="R108" s="365" t="s">
        <v>264</v>
      </c>
      <c r="S108" s="364">
        <v>45112</v>
      </c>
      <c r="T108" s="364">
        <v>45112</v>
      </c>
      <c r="U108" s="348" t="s">
        <v>4999</v>
      </c>
    </row>
    <row r="109" spans="1:21" ht="25.5" x14ac:dyDescent="0.25">
      <c r="A109" s="359">
        <v>0</v>
      </c>
      <c r="B109" s="49" t="s">
        <v>5353</v>
      </c>
      <c r="C109" s="49" t="s">
        <v>1345</v>
      </c>
      <c r="D109" s="49" t="s">
        <v>5285</v>
      </c>
      <c r="E109" s="49" t="s">
        <v>5354</v>
      </c>
      <c r="F109" s="49" t="s">
        <v>4998</v>
      </c>
      <c r="G109" s="49" t="s">
        <v>5355</v>
      </c>
      <c r="H109" s="49" t="s">
        <v>5356</v>
      </c>
      <c r="I109" s="49" t="s">
        <v>346</v>
      </c>
      <c r="J109" s="316">
        <v>45114</v>
      </c>
      <c r="K109" s="360">
        <v>45114</v>
      </c>
      <c r="L109" s="322" t="s">
        <v>5116</v>
      </c>
      <c r="M109" s="317" t="s">
        <v>5116</v>
      </c>
      <c r="N109" s="322">
        <v>45114</v>
      </c>
      <c r="O109" s="317" t="s">
        <v>1412</v>
      </c>
      <c r="P109" s="317">
        <v>1</v>
      </c>
      <c r="Q109" s="366">
        <v>45114</v>
      </c>
      <c r="R109" s="365" t="s">
        <v>264</v>
      </c>
      <c r="S109" s="364">
        <v>45114</v>
      </c>
      <c r="T109" s="364">
        <v>45114</v>
      </c>
      <c r="U109" s="348" t="s">
        <v>4999</v>
      </c>
    </row>
    <row r="110" spans="1:21" ht="25.5" x14ac:dyDescent="0.25">
      <c r="A110" s="359">
        <v>0</v>
      </c>
      <c r="B110" s="49" t="s">
        <v>5357</v>
      </c>
      <c r="C110" s="49" t="s">
        <v>1345</v>
      </c>
      <c r="D110" s="362" t="s">
        <v>5285</v>
      </c>
      <c r="E110" s="49" t="s">
        <v>5358</v>
      </c>
      <c r="F110" s="49" t="s">
        <v>4998</v>
      </c>
      <c r="G110" s="49" t="s">
        <v>5335</v>
      </c>
      <c r="H110" s="49" t="s">
        <v>2318</v>
      </c>
      <c r="I110" s="49" t="s">
        <v>346</v>
      </c>
      <c r="J110" s="316">
        <v>45119</v>
      </c>
      <c r="K110" s="360">
        <v>45119</v>
      </c>
      <c r="L110" s="363" t="s">
        <v>47</v>
      </c>
      <c r="M110" s="317" t="s">
        <v>47</v>
      </c>
      <c r="N110" s="322">
        <v>45119</v>
      </c>
      <c r="O110" s="317" t="s">
        <v>5359</v>
      </c>
      <c r="P110" s="317">
        <v>1</v>
      </c>
      <c r="Q110" s="366">
        <v>45119</v>
      </c>
      <c r="R110" s="365" t="s">
        <v>264</v>
      </c>
      <c r="S110" s="364">
        <v>45120</v>
      </c>
      <c r="T110" s="364">
        <v>45120</v>
      </c>
      <c r="U110" s="348" t="s">
        <v>4999</v>
      </c>
    </row>
    <row r="111" spans="1:21" ht="25.5" x14ac:dyDescent="0.25">
      <c r="A111" s="359">
        <v>0</v>
      </c>
      <c r="B111" s="49" t="s">
        <v>5360</v>
      </c>
      <c r="C111" s="49" t="s">
        <v>1345</v>
      </c>
      <c r="D111" s="362" t="s">
        <v>5285</v>
      </c>
      <c r="E111" s="49" t="s">
        <v>5361</v>
      </c>
      <c r="F111" s="49" t="s">
        <v>4998</v>
      </c>
      <c r="G111" s="49" t="s">
        <v>5143</v>
      </c>
      <c r="H111" s="49" t="s">
        <v>5362</v>
      </c>
      <c r="I111" s="49" t="s">
        <v>346</v>
      </c>
      <c r="J111" s="316">
        <v>45119</v>
      </c>
      <c r="K111" s="316">
        <v>45119</v>
      </c>
      <c r="L111" s="363" t="s">
        <v>47</v>
      </c>
      <c r="M111" s="317" t="s">
        <v>47</v>
      </c>
      <c r="N111" s="322">
        <v>45119</v>
      </c>
      <c r="O111" s="317" t="s">
        <v>5145</v>
      </c>
      <c r="P111" s="317">
        <v>3</v>
      </c>
      <c r="Q111" s="366">
        <v>45119</v>
      </c>
      <c r="R111" s="365" t="s">
        <v>264</v>
      </c>
      <c r="S111" s="364">
        <v>45120</v>
      </c>
      <c r="T111" s="364">
        <v>45120</v>
      </c>
      <c r="U111" s="348" t="s">
        <v>4999</v>
      </c>
    </row>
    <row r="112" spans="1:21" ht="25.5" x14ac:dyDescent="0.25">
      <c r="A112" s="359">
        <v>0</v>
      </c>
      <c r="B112" s="49" t="s">
        <v>5363</v>
      </c>
      <c r="C112" s="49" t="s">
        <v>1345</v>
      </c>
      <c r="D112" s="362" t="s">
        <v>5285</v>
      </c>
      <c r="E112" s="49" t="s">
        <v>5364</v>
      </c>
      <c r="F112" s="49" t="s">
        <v>4998</v>
      </c>
      <c r="G112" s="49" t="s">
        <v>147</v>
      </c>
      <c r="H112" s="49" t="s">
        <v>5365</v>
      </c>
      <c r="I112" s="49" t="s">
        <v>346</v>
      </c>
      <c r="J112" s="316">
        <v>45120</v>
      </c>
      <c r="K112" s="360">
        <v>45120</v>
      </c>
      <c r="L112" s="363" t="s">
        <v>47</v>
      </c>
      <c r="M112" s="317" t="s">
        <v>47</v>
      </c>
      <c r="N112" s="322">
        <v>45120</v>
      </c>
      <c r="O112" s="317" t="s">
        <v>2198</v>
      </c>
      <c r="P112" s="317">
        <v>1</v>
      </c>
      <c r="Q112" s="366">
        <v>45124</v>
      </c>
      <c r="R112" s="365" t="s">
        <v>264</v>
      </c>
      <c r="S112" s="364">
        <v>45124</v>
      </c>
      <c r="T112" s="364">
        <v>45124</v>
      </c>
      <c r="U112" s="348" t="s">
        <v>4999</v>
      </c>
    </row>
    <row r="113" spans="1:21" ht="25.5" x14ac:dyDescent="0.25">
      <c r="A113" s="359">
        <v>0</v>
      </c>
      <c r="B113" s="49" t="s">
        <v>5366</v>
      </c>
      <c r="C113" s="49" t="s">
        <v>1345</v>
      </c>
      <c r="D113" s="362" t="s">
        <v>5285</v>
      </c>
      <c r="E113" s="49" t="s">
        <v>5367</v>
      </c>
      <c r="F113" s="49" t="s">
        <v>4998</v>
      </c>
      <c r="G113" s="49" t="s">
        <v>5267</v>
      </c>
      <c r="H113" s="49" t="s">
        <v>5368</v>
      </c>
      <c r="I113" s="49" t="s">
        <v>346</v>
      </c>
      <c r="J113" s="316">
        <v>45121</v>
      </c>
      <c r="K113" s="360">
        <v>45121</v>
      </c>
      <c r="L113" s="363" t="s">
        <v>47</v>
      </c>
      <c r="M113" s="317" t="s">
        <v>47</v>
      </c>
      <c r="N113" s="322">
        <v>45121</v>
      </c>
      <c r="O113" s="317" t="s">
        <v>1387</v>
      </c>
      <c r="P113" s="317">
        <v>1</v>
      </c>
      <c r="Q113" s="366">
        <v>45124</v>
      </c>
      <c r="R113" s="364" t="s">
        <v>264</v>
      </c>
      <c r="S113" s="364">
        <v>45124</v>
      </c>
      <c r="T113" s="364">
        <v>45124</v>
      </c>
      <c r="U113" s="348" t="s">
        <v>4999</v>
      </c>
    </row>
    <row r="114" spans="1:21" ht="25.5" x14ac:dyDescent="0.25">
      <c r="A114" s="359">
        <v>0</v>
      </c>
      <c r="B114" s="49" t="s">
        <v>5369</v>
      </c>
      <c r="C114" s="49" t="s">
        <v>1345</v>
      </c>
      <c r="D114" s="362" t="s">
        <v>5285</v>
      </c>
      <c r="E114" s="49" t="s">
        <v>5370</v>
      </c>
      <c r="F114" s="49" t="s">
        <v>4998</v>
      </c>
      <c r="G114" s="49" t="s">
        <v>1406</v>
      </c>
      <c r="H114" s="49" t="s">
        <v>2250</v>
      </c>
      <c r="I114" s="49" t="s">
        <v>346</v>
      </c>
      <c r="J114" s="316">
        <v>45121</v>
      </c>
      <c r="K114" s="360">
        <v>45121</v>
      </c>
      <c r="L114" s="363" t="s">
        <v>47</v>
      </c>
      <c r="M114" s="317" t="s">
        <v>47</v>
      </c>
      <c r="N114" s="322">
        <v>45121</v>
      </c>
      <c r="O114" s="317" t="s">
        <v>1536</v>
      </c>
      <c r="P114" s="317">
        <v>3</v>
      </c>
      <c r="Q114" s="366">
        <v>45124</v>
      </c>
      <c r="R114" s="365" t="s">
        <v>264</v>
      </c>
      <c r="S114" s="364">
        <v>45124</v>
      </c>
      <c r="T114" s="364">
        <v>45124</v>
      </c>
      <c r="U114" s="348" t="s">
        <v>4999</v>
      </c>
    </row>
    <row r="115" spans="1:21" ht="14.25" x14ac:dyDescent="0.25">
      <c r="A115" s="359">
        <v>0</v>
      </c>
      <c r="B115" s="49" t="s">
        <v>5371</v>
      </c>
      <c r="C115" s="49" t="s">
        <v>69</v>
      </c>
      <c r="D115" s="362"/>
      <c r="E115" s="362"/>
      <c r="F115" s="49"/>
      <c r="G115" s="49"/>
      <c r="H115" s="49"/>
      <c r="I115" s="49"/>
      <c r="J115" s="49"/>
      <c r="K115" s="361"/>
      <c r="L115" s="363"/>
      <c r="M115" s="317"/>
      <c r="N115" s="317"/>
      <c r="O115" s="317"/>
      <c r="P115" s="317"/>
      <c r="Q115" s="367"/>
      <c r="R115" s="365"/>
      <c r="S115" s="365"/>
      <c r="T115" s="365"/>
      <c r="U115" s="348"/>
    </row>
    <row r="116" spans="1:21" ht="14.25" x14ac:dyDescent="0.25">
      <c r="A116" s="359">
        <v>0</v>
      </c>
      <c r="B116" s="49" t="s">
        <v>5372</v>
      </c>
      <c r="C116" s="49" t="s">
        <v>69</v>
      </c>
      <c r="D116" s="362"/>
      <c r="E116" s="362"/>
      <c r="F116" s="49"/>
      <c r="G116" s="49"/>
      <c r="H116" s="49"/>
      <c r="I116" s="49"/>
      <c r="J116" s="49"/>
      <c r="K116" s="361"/>
      <c r="L116" s="363"/>
      <c r="M116" s="317"/>
      <c r="N116" s="317"/>
      <c r="O116" s="317"/>
      <c r="P116" s="317"/>
      <c r="Q116" s="367"/>
      <c r="R116" s="365"/>
      <c r="S116" s="365"/>
      <c r="T116" s="365"/>
      <c r="U116" s="348"/>
    </row>
    <row r="117" spans="1:21" ht="14.25" x14ac:dyDescent="0.25">
      <c r="A117" s="359">
        <v>0</v>
      </c>
      <c r="B117" s="49" t="s">
        <v>5373</v>
      </c>
      <c r="C117" s="49" t="s">
        <v>69</v>
      </c>
      <c r="D117" s="362"/>
      <c r="E117" s="362"/>
      <c r="F117" s="49"/>
      <c r="G117" s="49"/>
      <c r="H117" s="49"/>
      <c r="I117" s="49"/>
      <c r="J117" s="49"/>
      <c r="K117" s="361"/>
      <c r="L117" s="363"/>
      <c r="M117" s="317"/>
      <c r="N117" s="317"/>
      <c r="O117" s="317"/>
      <c r="P117" s="317"/>
      <c r="Q117" s="367"/>
      <c r="R117" s="365"/>
      <c r="S117" s="365"/>
      <c r="T117" s="365"/>
      <c r="U117" s="348"/>
    </row>
    <row r="118" spans="1:21" ht="14.25" x14ac:dyDescent="0.25">
      <c r="A118" s="359">
        <v>0</v>
      </c>
      <c r="B118" s="49" t="s">
        <v>5374</v>
      </c>
      <c r="C118" s="49" t="s">
        <v>69</v>
      </c>
      <c r="D118" s="362"/>
      <c r="E118" s="362"/>
      <c r="F118" s="49"/>
      <c r="G118" s="49"/>
      <c r="H118" s="49"/>
      <c r="I118" s="49"/>
      <c r="J118" s="49"/>
      <c r="K118" s="361"/>
      <c r="L118" s="363"/>
      <c r="M118" s="317"/>
      <c r="N118" s="317"/>
      <c r="O118" s="317"/>
      <c r="P118" s="317"/>
      <c r="Q118" s="367"/>
      <c r="R118" s="365"/>
      <c r="S118" s="365"/>
      <c r="T118" s="365"/>
      <c r="U118" s="348"/>
    </row>
    <row r="119" spans="1:21" ht="14.25" x14ac:dyDescent="0.25">
      <c r="A119" s="359">
        <v>0</v>
      </c>
      <c r="B119" s="49" t="s">
        <v>5375</v>
      </c>
      <c r="C119" s="49" t="s">
        <v>69</v>
      </c>
      <c r="D119" s="362"/>
      <c r="E119" s="362"/>
      <c r="F119" s="49"/>
      <c r="G119" s="49"/>
      <c r="H119" s="49"/>
      <c r="I119" s="49"/>
      <c r="J119" s="49"/>
      <c r="K119" s="361"/>
      <c r="L119" s="363"/>
      <c r="M119" s="317"/>
      <c r="N119" s="317"/>
      <c r="O119" s="317"/>
      <c r="P119" s="317"/>
      <c r="Q119" s="367"/>
      <c r="R119" s="365"/>
      <c r="S119" s="365"/>
      <c r="T119" s="365"/>
      <c r="U119" s="348"/>
    </row>
    <row r="120" spans="1:21" ht="14.25" x14ac:dyDescent="0.25">
      <c r="A120" s="359">
        <v>0</v>
      </c>
      <c r="B120" s="49" t="s">
        <v>5376</v>
      </c>
      <c r="C120" s="49" t="s">
        <v>69</v>
      </c>
      <c r="D120" s="362"/>
      <c r="E120" s="362"/>
      <c r="F120" s="49"/>
      <c r="G120" s="49"/>
      <c r="H120" s="49"/>
      <c r="I120" s="49"/>
      <c r="J120" s="49"/>
      <c r="K120" s="361"/>
      <c r="L120" s="363"/>
      <c r="M120" s="317"/>
      <c r="N120" s="317"/>
      <c r="O120" s="317"/>
      <c r="P120" s="317"/>
      <c r="Q120" s="367"/>
      <c r="R120" s="365"/>
      <c r="S120" s="365"/>
      <c r="T120" s="365"/>
      <c r="U120" s="348"/>
    </row>
    <row r="121" spans="1:21" ht="14.25" x14ac:dyDescent="0.25">
      <c r="A121" s="359">
        <v>0</v>
      </c>
      <c r="B121" s="49" t="s">
        <v>5377</v>
      </c>
      <c r="C121" s="49" t="s">
        <v>69</v>
      </c>
      <c r="D121" s="362"/>
      <c r="E121" s="362"/>
      <c r="F121" s="49"/>
      <c r="G121" s="49"/>
      <c r="H121" s="49"/>
      <c r="I121" s="49"/>
      <c r="J121" s="49"/>
      <c r="K121" s="361"/>
      <c r="L121" s="363"/>
      <c r="M121" s="317"/>
      <c r="N121" s="317"/>
      <c r="O121" s="317"/>
      <c r="P121" s="317"/>
      <c r="Q121" s="367"/>
      <c r="R121" s="365"/>
      <c r="S121" s="365"/>
      <c r="T121" s="365"/>
      <c r="U121" s="348"/>
    </row>
    <row r="122" spans="1:21" ht="14.25" x14ac:dyDescent="0.25">
      <c r="A122" s="359">
        <v>0</v>
      </c>
      <c r="B122" s="49" t="s">
        <v>5378</v>
      </c>
      <c r="C122" s="49" t="s">
        <v>69</v>
      </c>
      <c r="D122" s="362"/>
      <c r="E122" s="362"/>
      <c r="F122" s="49"/>
      <c r="G122" s="49"/>
      <c r="H122" s="49"/>
      <c r="I122" s="49"/>
      <c r="J122" s="49"/>
      <c r="K122" s="361"/>
      <c r="L122" s="363"/>
      <c r="M122" s="317"/>
      <c r="N122" s="317"/>
      <c r="O122" s="317"/>
      <c r="P122" s="317"/>
      <c r="Q122" s="367"/>
      <c r="R122" s="365"/>
      <c r="S122" s="365"/>
      <c r="T122" s="365"/>
      <c r="U122" s="348"/>
    </row>
    <row r="123" spans="1:21" ht="14.25" x14ac:dyDescent="0.25">
      <c r="A123" s="359">
        <v>0</v>
      </c>
      <c r="B123" s="49" t="s">
        <v>5379</v>
      </c>
      <c r="C123" s="49" t="s">
        <v>69</v>
      </c>
      <c r="D123" s="362"/>
      <c r="E123" s="362"/>
      <c r="F123" s="49"/>
      <c r="G123" s="49"/>
      <c r="H123" s="49"/>
      <c r="I123" s="49"/>
      <c r="J123" s="49"/>
      <c r="K123" s="361"/>
      <c r="L123" s="363"/>
      <c r="M123" s="317"/>
      <c r="N123" s="317"/>
      <c r="O123" s="317"/>
      <c r="P123" s="317"/>
      <c r="Q123" s="367"/>
      <c r="R123" s="365"/>
      <c r="S123" s="365"/>
      <c r="T123" s="365"/>
      <c r="U123" s="348"/>
    </row>
    <row r="124" spans="1:21" ht="14.25" x14ac:dyDescent="0.25">
      <c r="A124" s="359">
        <v>0</v>
      </c>
      <c r="B124" s="49" t="s">
        <v>5380</v>
      </c>
      <c r="C124" s="49" t="s">
        <v>69</v>
      </c>
      <c r="D124" s="362"/>
      <c r="E124" s="362"/>
      <c r="F124" s="49"/>
      <c r="G124" s="49"/>
      <c r="H124" s="49"/>
      <c r="I124" s="49"/>
      <c r="J124" s="49"/>
      <c r="K124" s="361"/>
      <c r="L124" s="363"/>
      <c r="M124" s="317"/>
      <c r="N124" s="317"/>
      <c r="O124" s="317"/>
      <c r="P124" s="317"/>
      <c r="Q124" s="367"/>
      <c r="R124" s="365"/>
      <c r="S124" s="365"/>
      <c r="T124" s="365"/>
      <c r="U124" s="348"/>
    </row>
    <row r="125" spans="1:21" ht="14.25" x14ac:dyDescent="0.25">
      <c r="A125" s="359">
        <v>0</v>
      </c>
      <c r="B125" s="49" t="s">
        <v>5381</v>
      </c>
      <c r="C125" s="49" t="s">
        <v>69</v>
      </c>
      <c r="D125" s="362"/>
      <c r="E125" s="362"/>
      <c r="F125" s="49"/>
      <c r="G125" s="49"/>
      <c r="H125" s="49"/>
      <c r="I125" s="49"/>
      <c r="J125" s="49"/>
      <c r="K125" s="361"/>
      <c r="L125" s="363"/>
      <c r="M125" s="317"/>
      <c r="N125" s="317"/>
      <c r="O125" s="317"/>
      <c r="P125" s="317"/>
      <c r="Q125" s="367"/>
      <c r="R125" s="365"/>
      <c r="S125" s="365"/>
      <c r="T125" s="365"/>
      <c r="U125" s="348"/>
    </row>
    <row r="126" spans="1:21" ht="14.25" x14ac:dyDescent="0.25">
      <c r="A126" s="359">
        <v>0</v>
      </c>
      <c r="B126" s="49" t="s">
        <v>5382</v>
      </c>
      <c r="C126" s="49" t="s">
        <v>69</v>
      </c>
      <c r="D126" s="362"/>
      <c r="E126" s="362"/>
      <c r="F126" s="49"/>
      <c r="G126" s="49"/>
      <c r="H126" s="49"/>
      <c r="I126" s="49"/>
      <c r="J126" s="49"/>
      <c r="K126" s="361"/>
      <c r="L126" s="363"/>
      <c r="M126" s="317"/>
      <c r="N126" s="317"/>
      <c r="O126" s="317"/>
      <c r="P126" s="317"/>
      <c r="Q126" s="367"/>
      <c r="R126" s="365"/>
      <c r="S126" s="365"/>
      <c r="T126" s="365"/>
      <c r="U126" s="348"/>
    </row>
    <row r="127" spans="1:21" ht="14.25" x14ac:dyDescent="0.25">
      <c r="A127" s="359">
        <v>0</v>
      </c>
      <c r="B127" s="49" t="s">
        <v>5383</v>
      </c>
      <c r="C127" s="49" t="s">
        <v>69</v>
      </c>
      <c r="D127" s="362"/>
      <c r="E127" s="362"/>
      <c r="F127" s="49"/>
      <c r="G127" s="49"/>
      <c r="H127" s="49"/>
      <c r="I127" s="49"/>
      <c r="J127" s="49"/>
      <c r="K127" s="361"/>
      <c r="L127" s="363"/>
      <c r="M127" s="317"/>
      <c r="N127" s="317"/>
      <c r="O127" s="317"/>
      <c r="P127" s="317"/>
      <c r="Q127" s="367"/>
      <c r="R127" s="365"/>
      <c r="S127" s="365"/>
      <c r="T127" s="365"/>
      <c r="U127" s="348"/>
    </row>
    <row r="128" spans="1:21" ht="14.25" x14ac:dyDescent="0.25">
      <c r="A128" s="359">
        <v>0</v>
      </c>
      <c r="B128" s="49" t="s">
        <v>5384</v>
      </c>
      <c r="C128" s="49" t="s">
        <v>69</v>
      </c>
      <c r="D128" s="362"/>
      <c r="E128" s="362"/>
      <c r="F128" s="49"/>
      <c r="G128" s="49"/>
      <c r="H128" s="49"/>
      <c r="I128" s="49"/>
      <c r="J128" s="49"/>
      <c r="K128" s="361"/>
      <c r="L128" s="363"/>
      <c r="M128" s="317"/>
      <c r="N128" s="317"/>
      <c r="O128" s="317"/>
      <c r="P128" s="317"/>
      <c r="Q128" s="367"/>
      <c r="R128" s="365"/>
      <c r="S128" s="365"/>
      <c r="T128" s="365"/>
      <c r="U128" s="348"/>
    </row>
    <row r="129" spans="1:21" ht="14.25" x14ac:dyDescent="0.25">
      <c r="A129" s="359">
        <v>0</v>
      </c>
      <c r="B129" s="49" t="s">
        <v>5385</v>
      </c>
      <c r="C129" s="49" t="s">
        <v>69</v>
      </c>
      <c r="D129" s="362"/>
      <c r="E129" s="362"/>
      <c r="F129" s="49"/>
      <c r="G129" s="49"/>
      <c r="H129" s="49"/>
      <c r="I129" s="49"/>
      <c r="J129" s="49"/>
      <c r="K129" s="361"/>
      <c r="L129" s="363"/>
      <c r="M129" s="317"/>
      <c r="N129" s="317"/>
      <c r="O129" s="317"/>
      <c r="P129" s="317"/>
      <c r="Q129" s="367"/>
      <c r="R129" s="365"/>
      <c r="S129" s="365"/>
      <c r="T129" s="365"/>
      <c r="U129" s="348"/>
    </row>
    <row r="130" spans="1:21" ht="14.25" x14ac:dyDescent="0.25">
      <c r="A130" s="359">
        <v>0</v>
      </c>
      <c r="B130" s="49" t="s">
        <v>5386</v>
      </c>
      <c r="C130" s="49" t="s">
        <v>69</v>
      </c>
      <c r="D130" s="362"/>
      <c r="E130" s="362"/>
      <c r="F130" s="49"/>
      <c r="G130" s="49"/>
      <c r="H130" s="49"/>
      <c r="I130" s="49"/>
      <c r="J130" s="49"/>
      <c r="K130" s="361"/>
      <c r="L130" s="363"/>
      <c r="M130" s="317"/>
      <c r="N130" s="317"/>
      <c r="O130" s="317"/>
      <c r="P130" s="317"/>
      <c r="Q130" s="367"/>
      <c r="R130" s="365"/>
      <c r="S130" s="365"/>
      <c r="T130" s="365"/>
      <c r="U130" s="348"/>
    </row>
    <row r="131" spans="1:21" ht="14.25" x14ac:dyDescent="0.25">
      <c r="A131" s="359">
        <v>0</v>
      </c>
      <c r="B131" s="49" t="s">
        <v>5387</v>
      </c>
      <c r="C131" s="49" t="s">
        <v>69</v>
      </c>
      <c r="D131" s="362"/>
      <c r="E131" s="362"/>
      <c r="F131" s="49"/>
      <c r="G131" s="49"/>
      <c r="H131" s="49"/>
      <c r="I131" s="49"/>
      <c r="J131" s="49"/>
      <c r="K131" s="361"/>
      <c r="L131" s="363"/>
      <c r="M131" s="317"/>
      <c r="N131" s="317"/>
      <c r="O131" s="317"/>
      <c r="P131" s="317"/>
      <c r="Q131" s="367"/>
      <c r="R131" s="365"/>
      <c r="S131" s="365"/>
      <c r="T131" s="365"/>
      <c r="U131" s="348"/>
    </row>
    <row r="132" spans="1:21" ht="14.25" x14ac:dyDescent="0.25">
      <c r="A132" s="359">
        <v>0</v>
      </c>
      <c r="B132" s="49" t="s">
        <v>5388</v>
      </c>
      <c r="C132" s="49" t="s">
        <v>69</v>
      </c>
      <c r="D132" s="362"/>
      <c r="E132" s="362"/>
      <c r="F132" s="49"/>
      <c r="G132" s="49"/>
      <c r="H132" s="49"/>
      <c r="I132" s="49"/>
      <c r="J132" s="49"/>
      <c r="K132" s="361"/>
      <c r="L132" s="363"/>
      <c r="M132" s="317"/>
      <c r="N132" s="317"/>
      <c r="O132" s="317"/>
      <c r="P132" s="317"/>
      <c r="Q132" s="367"/>
      <c r="R132" s="365"/>
      <c r="S132" s="365"/>
      <c r="T132" s="365"/>
      <c r="U132" s="348"/>
    </row>
    <row r="133" spans="1:21" ht="14.25" x14ac:dyDescent="0.25">
      <c r="A133" s="359">
        <v>0</v>
      </c>
      <c r="B133" s="49" t="s">
        <v>5389</v>
      </c>
      <c r="C133" s="49" t="s">
        <v>69</v>
      </c>
      <c r="D133" s="362"/>
      <c r="E133" s="362"/>
      <c r="F133" s="49"/>
      <c r="G133" s="49"/>
      <c r="H133" s="49"/>
      <c r="I133" s="49"/>
      <c r="J133" s="49"/>
      <c r="K133" s="361"/>
      <c r="L133" s="363"/>
      <c r="M133" s="317"/>
      <c r="N133" s="317"/>
      <c r="O133" s="317"/>
      <c r="P133" s="317"/>
      <c r="Q133" s="367"/>
      <c r="R133" s="365"/>
      <c r="S133" s="365"/>
      <c r="T133" s="365"/>
      <c r="U133" s="348"/>
    </row>
    <row r="134" spans="1:21" ht="14.25" x14ac:dyDescent="0.25">
      <c r="A134" s="359">
        <v>0</v>
      </c>
      <c r="B134" s="49" t="s">
        <v>5390</v>
      </c>
      <c r="C134" s="49" t="s">
        <v>69</v>
      </c>
      <c r="D134" s="362"/>
      <c r="E134" s="362"/>
      <c r="F134" s="49"/>
      <c r="G134" s="49"/>
      <c r="H134" s="49"/>
      <c r="I134" s="49"/>
      <c r="J134" s="49"/>
      <c r="K134" s="361"/>
      <c r="L134" s="363"/>
      <c r="M134" s="317"/>
      <c r="N134" s="317"/>
      <c r="O134" s="317"/>
      <c r="P134" s="317"/>
      <c r="Q134" s="367"/>
      <c r="R134" s="365"/>
      <c r="S134" s="365"/>
      <c r="T134" s="365"/>
      <c r="U134" s="348"/>
    </row>
    <row r="135" spans="1:21" ht="14.25" x14ac:dyDescent="0.25">
      <c r="A135" s="359">
        <v>0</v>
      </c>
      <c r="B135" s="49" t="s">
        <v>5391</v>
      </c>
      <c r="C135" s="49" t="s">
        <v>69</v>
      </c>
      <c r="D135" s="362"/>
      <c r="E135" s="362"/>
      <c r="F135" s="49"/>
      <c r="G135" s="49"/>
      <c r="H135" s="49"/>
      <c r="I135" s="49"/>
      <c r="J135" s="49"/>
      <c r="K135" s="361"/>
      <c r="L135" s="363"/>
      <c r="M135" s="317"/>
      <c r="N135" s="317"/>
      <c r="O135" s="317"/>
      <c r="P135" s="317"/>
      <c r="Q135" s="367"/>
      <c r="R135" s="365"/>
      <c r="S135" s="365"/>
      <c r="T135" s="365"/>
      <c r="U135" s="348"/>
    </row>
    <row r="136" spans="1:21" ht="14.25" x14ac:dyDescent="0.25">
      <c r="A136" s="359">
        <v>0</v>
      </c>
      <c r="B136" s="49" t="s">
        <v>5392</v>
      </c>
      <c r="C136" s="49" t="s">
        <v>69</v>
      </c>
      <c r="D136" s="362"/>
      <c r="E136" s="362"/>
      <c r="F136" s="49"/>
      <c r="G136" s="49"/>
      <c r="H136" s="49"/>
      <c r="I136" s="49"/>
      <c r="J136" s="49"/>
      <c r="K136" s="361"/>
      <c r="L136" s="363"/>
      <c r="M136" s="317"/>
      <c r="N136" s="317"/>
      <c r="O136" s="317"/>
      <c r="P136" s="317"/>
      <c r="Q136" s="367"/>
      <c r="R136" s="365"/>
      <c r="S136" s="365"/>
      <c r="T136" s="365"/>
      <c r="U136" s="348"/>
    </row>
    <row r="137" spans="1:21" ht="14.25" x14ac:dyDescent="0.25">
      <c r="A137" s="359">
        <v>0</v>
      </c>
      <c r="B137" s="49" t="s">
        <v>5393</v>
      </c>
      <c r="C137" s="49" t="s">
        <v>69</v>
      </c>
      <c r="D137" s="362"/>
      <c r="E137" s="362"/>
      <c r="F137" s="49"/>
      <c r="G137" s="49"/>
      <c r="H137" s="49"/>
      <c r="I137" s="49"/>
      <c r="J137" s="49"/>
      <c r="K137" s="361"/>
      <c r="L137" s="363"/>
      <c r="M137" s="317"/>
      <c r="N137" s="317"/>
      <c r="O137" s="317"/>
      <c r="P137" s="317"/>
      <c r="Q137" s="367"/>
      <c r="R137" s="365"/>
      <c r="S137" s="365"/>
      <c r="T137" s="365"/>
      <c r="U137" s="348"/>
    </row>
    <row r="138" spans="1:21" ht="14.25" x14ac:dyDescent="0.25">
      <c r="A138" s="359">
        <v>0</v>
      </c>
      <c r="B138" s="49" t="s">
        <v>5394</v>
      </c>
      <c r="C138" s="49" t="s">
        <v>69</v>
      </c>
      <c r="D138" s="362"/>
      <c r="E138" s="362"/>
      <c r="F138" s="49"/>
      <c r="G138" s="49"/>
      <c r="H138" s="49"/>
      <c r="I138" s="49"/>
      <c r="J138" s="49"/>
      <c r="K138" s="361"/>
      <c r="L138" s="363"/>
      <c r="M138" s="317"/>
      <c r="N138" s="317"/>
      <c r="O138" s="317"/>
      <c r="P138" s="317"/>
      <c r="Q138" s="367"/>
      <c r="R138" s="365"/>
      <c r="S138" s="365"/>
      <c r="T138" s="365"/>
      <c r="U138" s="348"/>
    </row>
    <row r="139" spans="1:21" ht="14.25" x14ac:dyDescent="0.25">
      <c r="A139" s="359">
        <v>0</v>
      </c>
      <c r="B139" s="49" t="s">
        <v>5395</v>
      </c>
      <c r="C139" s="49" t="s">
        <v>69</v>
      </c>
      <c r="D139" s="362"/>
      <c r="E139" s="362"/>
      <c r="F139" s="49"/>
      <c r="G139" s="49"/>
      <c r="H139" s="49"/>
      <c r="I139" s="49"/>
      <c r="J139" s="49"/>
      <c r="K139" s="361"/>
      <c r="L139" s="363"/>
      <c r="M139" s="317"/>
      <c r="N139" s="317"/>
      <c r="O139" s="317"/>
      <c r="P139" s="317"/>
      <c r="Q139" s="367"/>
      <c r="R139" s="365"/>
      <c r="S139" s="365"/>
      <c r="T139" s="365"/>
      <c r="U139" s="348"/>
    </row>
    <row r="140" spans="1:21" ht="14.25" x14ac:dyDescent="0.25">
      <c r="A140" s="359">
        <v>0</v>
      </c>
      <c r="B140" s="49" t="s">
        <v>5396</v>
      </c>
      <c r="C140" s="49" t="s">
        <v>69</v>
      </c>
      <c r="D140" s="362"/>
      <c r="E140" s="362"/>
      <c r="F140" s="49"/>
      <c r="G140" s="49"/>
      <c r="H140" s="49"/>
      <c r="I140" s="49"/>
      <c r="J140" s="49"/>
      <c r="K140" s="361"/>
      <c r="L140" s="363"/>
      <c r="M140" s="317"/>
      <c r="N140" s="317"/>
      <c r="O140" s="317"/>
      <c r="P140" s="317"/>
      <c r="Q140" s="367"/>
      <c r="R140" s="365"/>
      <c r="S140" s="365"/>
      <c r="T140" s="365"/>
      <c r="U140" s="348"/>
    </row>
    <row r="141" spans="1:21" ht="14.25" x14ac:dyDescent="0.25">
      <c r="A141" s="359">
        <v>0</v>
      </c>
      <c r="B141" s="49" t="s">
        <v>5397</v>
      </c>
      <c r="C141" s="49" t="s">
        <v>69</v>
      </c>
      <c r="D141" s="362"/>
      <c r="E141" s="362"/>
      <c r="F141" s="49"/>
      <c r="G141" s="49"/>
      <c r="H141" s="49"/>
      <c r="I141" s="49"/>
      <c r="J141" s="49"/>
      <c r="K141" s="361"/>
      <c r="L141" s="363"/>
      <c r="M141" s="317"/>
      <c r="N141" s="317"/>
      <c r="O141" s="317"/>
      <c r="P141" s="317"/>
      <c r="Q141" s="367"/>
      <c r="R141" s="365"/>
      <c r="S141" s="365"/>
      <c r="T141" s="365"/>
      <c r="U141" s="348"/>
    </row>
    <row r="142" spans="1:21" ht="14.25" x14ac:dyDescent="0.25">
      <c r="A142" s="359">
        <v>0</v>
      </c>
      <c r="B142" s="49" t="s">
        <v>5398</v>
      </c>
      <c r="C142" s="49" t="s">
        <v>69</v>
      </c>
      <c r="D142" s="362"/>
      <c r="E142" s="362"/>
      <c r="F142" s="49"/>
      <c r="G142" s="49"/>
      <c r="H142" s="49"/>
      <c r="I142" s="49"/>
      <c r="J142" s="49"/>
      <c r="K142" s="361"/>
      <c r="L142" s="363"/>
      <c r="M142" s="317"/>
      <c r="N142" s="317"/>
      <c r="O142" s="317"/>
      <c r="P142" s="317"/>
      <c r="Q142" s="367"/>
      <c r="R142" s="365"/>
      <c r="S142" s="365"/>
      <c r="T142" s="365"/>
      <c r="U142" s="348"/>
    </row>
    <row r="143" spans="1:21" ht="14.25" x14ac:dyDescent="0.25">
      <c r="A143" s="359">
        <v>0</v>
      </c>
      <c r="B143" s="49" t="s">
        <v>5399</v>
      </c>
      <c r="C143" s="49" t="s">
        <v>69</v>
      </c>
      <c r="D143" s="362"/>
      <c r="E143" s="362"/>
      <c r="F143" s="49"/>
      <c r="G143" s="49"/>
      <c r="H143" s="49"/>
      <c r="I143" s="49"/>
      <c r="J143" s="49"/>
      <c r="K143" s="361"/>
      <c r="L143" s="363"/>
      <c r="M143" s="317"/>
      <c r="N143" s="317"/>
      <c r="O143" s="317"/>
      <c r="P143" s="317"/>
      <c r="Q143" s="367"/>
      <c r="R143" s="365"/>
      <c r="S143" s="365"/>
      <c r="T143" s="365"/>
      <c r="U143" s="348"/>
    </row>
    <row r="144" spans="1:21" ht="14.25" x14ac:dyDescent="0.25">
      <c r="A144" s="359">
        <v>0</v>
      </c>
      <c r="B144" s="49" t="s">
        <v>5400</v>
      </c>
      <c r="C144" s="49" t="s">
        <v>69</v>
      </c>
      <c r="D144" s="362"/>
      <c r="E144" s="362"/>
      <c r="F144" s="49"/>
      <c r="G144" s="49"/>
      <c r="H144" s="49"/>
      <c r="I144" s="49"/>
      <c r="J144" s="49"/>
      <c r="K144" s="361"/>
      <c r="L144" s="363"/>
      <c r="M144" s="317"/>
      <c r="N144" s="317"/>
      <c r="O144" s="317"/>
      <c r="P144" s="317"/>
      <c r="Q144" s="367"/>
      <c r="R144" s="365"/>
      <c r="S144" s="365"/>
      <c r="T144" s="365"/>
      <c r="U144" s="348"/>
    </row>
    <row r="145" spans="1:21" ht="25.7" x14ac:dyDescent="0.25">
      <c r="A145" s="359">
        <v>0</v>
      </c>
      <c r="B145" s="49" t="s">
        <v>5401</v>
      </c>
      <c r="C145" s="49" t="s">
        <v>69</v>
      </c>
      <c r="D145" s="362" t="s">
        <v>5402</v>
      </c>
      <c r="E145" s="362" t="s">
        <v>5403</v>
      </c>
      <c r="F145" s="49" t="s">
        <v>4998</v>
      </c>
      <c r="G145" s="49" t="s">
        <v>291</v>
      </c>
      <c r="H145" s="49" t="s">
        <v>2671</v>
      </c>
      <c r="I145" s="49" t="s">
        <v>1730</v>
      </c>
      <c r="J145" s="316">
        <v>45182</v>
      </c>
      <c r="K145" s="360">
        <v>45198</v>
      </c>
      <c r="L145" s="363" t="s">
        <v>28</v>
      </c>
      <c r="M145" s="317" t="s">
        <v>28</v>
      </c>
      <c r="N145" s="322">
        <v>45189</v>
      </c>
      <c r="O145" s="317" t="s">
        <v>5008</v>
      </c>
      <c r="P145" s="317">
        <v>5</v>
      </c>
      <c r="Q145" s="366">
        <v>45204</v>
      </c>
      <c r="R145" s="365" t="s">
        <v>1686</v>
      </c>
      <c r="S145" s="364">
        <v>45205</v>
      </c>
      <c r="T145" s="364">
        <v>45205</v>
      </c>
      <c r="U145" s="348" t="s">
        <v>4999</v>
      </c>
    </row>
    <row r="146" spans="1:21" ht="38.25" x14ac:dyDescent="0.25">
      <c r="A146" s="359">
        <v>0</v>
      </c>
      <c r="B146" s="49" t="s">
        <v>5404</v>
      </c>
      <c r="C146" s="49" t="s">
        <v>69</v>
      </c>
      <c r="D146" s="362" t="s">
        <v>5402</v>
      </c>
      <c r="E146" s="362" t="s">
        <v>5405</v>
      </c>
      <c r="F146" s="49" t="s">
        <v>4998</v>
      </c>
      <c r="G146" s="49" t="s">
        <v>5406</v>
      </c>
      <c r="H146" s="49" t="s">
        <v>5407</v>
      </c>
      <c r="I146" s="49" t="s">
        <v>1730</v>
      </c>
      <c r="J146" s="316">
        <v>45182</v>
      </c>
      <c r="K146" s="360">
        <v>45198</v>
      </c>
      <c r="L146" s="363" t="s">
        <v>28</v>
      </c>
      <c r="M146" s="317" t="s">
        <v>28</v>
      </c>
      <c r="N146" s="322">
        <v>45189</v>
      </c>
      <c r="O146" s="317" t="s">
        <v>5408</v>
      </c>
      <c r="P146" s="317">
        <v>20</v>
      </c>
      <c r="Q146" s="366">
        <v>45189</v>
      </c>
      <c r="R146" s="365" t="s">
        <v>264</v>
      </c>
      <c r="S146" s="364">
        <v>45191</v>
      </c>
      <c r="T146" s="364">
        <v>45191</v>
      </c>
      <c r="U146" s="348" t="s">
        <v>4999</v>
      </c>
    </row>
    <row r="147" spans="1:21" ht="14.25" x14ac:dyDescent="0.25">
      <c r="A147" s="359">
        <v>0</v>
      </c>
      <c r="B147" s="49" t="s">
        <v>5409</v>
      </c>
      <c r="C147" s="49" t="s">
        <v>69</v>
      </c>
      <c r="D147" s="362" t="s">
        <v>5402</v>
      </c>
      <c r="E147" s="362" t="s">
        <v>5410</v>
      </c>
      <c r="F147" s="49" t="s">
        <v>4998</v>
      </c>
      <c r="G147" s="49" t="s">
        <v>5411</v>
      </c>
      <c r="H147" s="49" t="s">
        <v>5412</v>
      </c>
      <c r="I147" s="49" t="s">
        <v>3725</v>
      </c>
      <c r="J147" s="316">
        <v>45182</v>
      </c>
      <c r="K147" s="360">
        <v>45198</v>
      </c>
      <c r="L147" s="363" t="s">
        <v>28</v>
      </c>
      <c r="M147" s="317" t="s">
        <v>28</v>
      </c>
      <c r="N147" s="322">
        <v>45189</v>
      </c>
      <c r="O147" s="317" t="s">
        <v>5413</v>
      </c>
      <c r="P147" s="317">
        <v>1</v>
      </c>
      <c r="Q147" s="366">
        <v>45189</v>
      </c>
      <c r="R147" s="365" t="s">
        <v>264</v>
      </c>
      <c r="S147" s="364">
        <v>45191</v>
      </c>
      <c r="T147" s="364">
        <v>45191</v>
      </c>
      <c r="U147" s="348" t="s">
        <v>4999</v>
      </c>
    </row>
    <row r="148" spans="1:21" ht="25.5" x14ac:dyDescent="0.25">
      <c r="A148" s="359">
        <v>0</v>
      </c>
      <c r="B148" s="49" t="s">
        <v>5414</v>
      </c>
      <c r="C148" s="49" t="s">
        <v>69</v>
      </c>
      <c r="D148" s="362" t="s">
        <v>5402</v>
      </c>
      <c r="E148" s="362" t="s">
        <v>5415</v>
      </c>
      <c r="F148" s="49" t="s">
        <v>4998</v>
      </c>
      <c r="G148" s="49" t="s">
        <v>1743</v>
      </c>
      <c r="H148" s="49" t="s">
        <v>1744</v>
      </c>
      <c r="I148" s="49" t="s">
        <v>1730</v>
      </c>
      <c r="J148" s="316">
        <v>45182</v>
      </c>
      <c r="K148" s="360">
        <v>45198</v>
      </c>
      <c r="L148" s="363" t="s">
        <v>28</v>
      </c>
      <c r="M148" s="317" t="s">
        <v>28</v>
      </c>
      <c r="N148" s="322">
        <v>45189</v>
      </c>
      <c r="O148" s="317" t="s">
        <v>5416</v>
      </c>
      <c r="P148" s="317">
        <v>4</v>
      </c>
      <c r="Q148" s="366">
        <v>45189</v>
      </c>
      <c r="R148" s="365" t="s">
        <v>264</v>
      </c>
      <c r="S148" s="364">
        <v>45195</v>
      </c>
      <c r="T148" s="364">
        <v>45195</v>
      </c>
      <c r="U148" s="348" t="s">
        <v>4999</v>
      </c>
    </row>
    <row r="149" spans="1:21" ht="38.25" x14ac:dyDescent="0.25">
      <c r="A149" s="359">
        <v>0</v>
      </c>
      <c r="B149" s="49" t="s">
        <v>5417</v>
      </c>
      <c r="C149" s="49" t="s">
        <v>69</v>
      </c>
      <c r="D149" s="362" t="s">
        <v>5402</v>
      </c>
      <c r="E149" s="362" t="s">
        <v>5418</v>
      </c>
      <c r="F149" s="49" t="s">
        <v>4998</v>
      </c>
      <c r="G149" s="49" t="s">
        <v>5419</v>
      </c>
      <c r="H149" s="49" t="s">
        <v>5420</v>
      </c>
      <c r="I149" s="49" t="s">
        <v>1730</v>
      </c>
      <c r="J149" s="316">
        <v>45182</v>
      </c>
      <c r="K149" s="360">
        <v>45198</v>
      </c>
      <c r="L149" s="363" t="s">
        <v>28</v>
      </c>
      <c r="M149" s="317" t="s">
        <v>28</v>
      </c>
      <c r="N149" s="322">
        <v>45189</v>
      </c>
      <c r="O149" s="317" t="s">
        <v>5421</v>
      </c>
      <c r="P149" s="317">
        <v>8</v>
      </c>
      <c r="Q149" s="366">
        <v>45204</v>
      </c>
      <c r="R149" s="365" t="s">
        <v>1686</v>
      </c>
      <c r="S149" s="364">
        <v>45205</v>
      </c>
      <c r="T149" s="364">
        <v>45205</v>
      </c>
      <c r="U149" s="348" t="s">
        <v>4999</v>
      </c>
    </row>
    <row r="150" spans="1:21" ht="25.7" x14ac:dyDescent="0.25">
      <c r="A150" s="359">
        <v>0</v>
      </c>
      <c r="B150" s="49" t="s">
        <v>5422</v>
      </c>
      <c r="C150" s="49" t="s">
        <v>69</v>
      </c>
      <c r="D150" s="362" t="s">
        <v>5402</v>
      </c>
      <c r="E150" s="362" t="s">
        <v>5423</v>
      </c>
      <c r="F150" s="49" t="s">
        <v>4998</v>
      </c>
      <c r="G150" s="49" t="s">
        <v>5411</v>
      </c>
      <c r="H150" s="49" t="s">
        <v>5424</v>
      </c>
      <c r="I150" s="49" t="s">
        <v>1730</v>
      </c>
      <c r="J150" s="316">
        <v>45182</v>
      </c>
      <c r="K150" s="360">
        <v>45198</v>
      </c>
      <c r="L150" s="363" t="s">
        <v>28</v>
      </c>
      <c r="M150" s="317" t="s">
        <v>28</v>
      </c>
      <c r="N150" s="322">
        <v>45189</v>
      </c>
      <c r="O150" s="317" t="s">
        <v>5425</v>
      </c>
      <c r="P150" s="317">
        <v>3</v>
      </c>
      <c r="Q150" s="366">
        <v>45189</v>
      </c>
      <c r="R150" s="365" t="s">
        <v>264</v>
      </c>
      <c r="S150" s="364">
        <v>45191</v>
      </c>
      <c r="T150" s="364">
        <v>45191</v>
      </c>
      <c r="U150" s="348" t="s">
        <v>4999</v>
      </c>
    </row>
    <row r="151" spans="1:21" ht="14.25" x14ac:dyDescent="0.25">
      <c r="A151" s="359">
        <v>0</v>
      </c>
      <c r="B151" s="49" t="s">
        <v>5426</v>
      </c>
      <c r="C151" s="49" t="s">
        <v>69</v>
      </c>
      <c r="D151" s="362"/>
      <c r="E151" s="362"/>
      <c r="F151" s="49"/>
      <c r="G151" s="49"/>
      <c r="H151" s="49"/>
      <c r="I151" s="49"/>
      <c r="J151" s="49"/>
      <c r="K151" s="361"/>
      <c r="L151" s="363"/>
      <c r="M151" s="317"/>
      <c r="N151" s="317"/>
      <c r="O151" s="317"/>
      <c r="P151" s="317"/>
      <c r="Q151" s="367"/>
      <c r="R151" s="365"/>
      <c r="S151" s="365"/>
      <c r="T151" s="365"/>
      <c r="U151" s="348"/>
    </row>
    <row r="152" spans="1:21" ht="25.7" x14ac:dyDescent="0.25">
      <c r="A152" s="359">
        <v>0</v>
      </c>
      <c r="B152" s="49" t="s">
        <v>5427</v>
      </c>
      <c r="C152" s="49" t="s">
        <v>69</v>
      </c>
      <c r="D152" s="362" t="s">
        <v>5402</v>
      </c>
      <c r="E152" s="362" t="s">
        <v>5428</v>
      </c>
      <c r="F152" s="49" t="s">
        <v>4998</v>
      </c>
      <c r="G152" s="49" t="s">
        <v>1738</v>
      </c>
      <c r="H152" s="49" t="s">
        <v>1739</v>
      </c>
      <c r="I152" s="49" t="s">
        <v>1730</v>
      </c>
      <c r="J152" s="316">
        <v>45205</v>
      </c>
      <c r="K152" s="360">
        <v>45198</v>
      </c>
      <c r="L152" s="363" t="s">
        <v>28</v>
      </c>
      <c r="M152" s="317" t="s">
        <v>28</v>
      </c>
      <c r="N152" s="322">
        <v>45208</v>
      </c>
      <c r="O152" s="317" t="s">
        <v>1740</v>
      </c>
      <c r="P152" s="317">
        <v>1</v>
      </c>
      <c r="Q152" s="366">
        <v>45209</v>
      </c>
      <c r="R152" s="365" t="s">
        <v>1686</v>
      </c>
      <c r="S152" s="364">
        <v>45218</v>
      </c>
      <c r="T152" s="364">
        <v>45219</v>
      </c>
      <c r="U152" s="348" t="s">
        <v>4999</v>
      </c>
    </row>
    <row r="153" spans="1:21" ht="25.5" x14ac:dyDescent="0.25">
      <c r="A153" s="359">
        <v>0</v>
      </c>
      <c r="B153" s="49" t="s">
        <v>5429</v>
      </c>
      <c r="C153" s="49" t="s">
        <v>69</v>
      </c>
      <c r="D153" s="362" t="s">
        <v>5402</v>
      </c>
      <c r="E153" s="362" t="s">
        <v>5430</v>
      </c>
      <c r="F153" s="49" t="s">
        <v>4998</v>
      </c>
      <c r="G153" s="49" t="s">
        <v>1406</v>
      </c>
      <c r="H153" s="49" t="s">
        <v>5431</v>
      </c>
      <c r="I153" s="49" t="s">
        <v>3725</v>
      </c>
      <c r="J153" s="316">
        <v>45205</v>
      </c>
      <c r="K153" s="360">
        <v>45198</v>
      </c>
      <c r="L153" s="363" t="s">
        <v>28</v>
      </c>
      <c r="M153" s="317" t="s">
        <v>28</v>
      </c>
      <c r="N153" s="322">
        <v>45208</v>
      </c>
      <c r="O153" s="317" t="s">
        <v>5432</v>
      </c>
      <c r="P153" s="317">
        <v>1</v>
      </c>
      <c r="Q153" s="366">
        <v>45208</v>
      </c>
      <c r="R153" s="365" t="s">
        <v>1686</v>
      </c>
      <c r="S153" s="364">
        <v>45218</v>
      </c>
      <c r="T153" s="364">
        <v>45219</v>
      </c>
      <c r="U153" s="348" t="s">
        <v>4999</v>
      </c>
    </row>
    <row r="154" spans="1:21" ht="25.7" x14ac:dyDescent="0.25">
      <c r="A154" s="359">
        <v>0</v>
      </c>
      <c r="B154" s="49" t="s">
        <v>5433</v>
      </c>
      <c r="C154" s="49" t="s">
        <v>69</v>
      </c>
      <c r="D154" s="362" t="s">
        <v>5402</v>
      </c>
      <c r="E154" s="362" t="s">
        <v>5434</v>
      </c>
      <c r="F154" s="49" t="s">
        <v>4998</v>
      </c>
      <c r="G154" s="49" t="s">
        <v>5435</v>
      </c>
      <c r="H154" s="49" t="s">
        <v>1757</v>
      </c>
      <c r="I154" s="49" t="s">
        <v>1758</v>
      </c>
      <c r="J154" s="316">
        <v>45205</v>
      </c>
      <c r="K154" s="360">
        <v>45198</v>
      </c>
      <c r="L154" s="363" t="s">
        <v>28</v>
      </c>
      <c r="M154" s="317" t="s">
        <v>28</v>
      </c>
      <c r="N154" s="322">
        <v>45208</v>
      </c>
      <c r="O154" s="317" t="s">
        <v>1759</v>
      </c>
      <c r="P154" s="317">
        <v>4</v>
      </c>
      <c r="Q154" s="366">
        <v>45209</v>
      </c>
      <c r="R154" s="365" t="s">
        <v>1686</v>
      </c>
      <c r="S154" s="364">
        <v>45218</v>
      </c>
      <c r="T154" s="364">
        <v>45219</v>
      </c>
      <c r="U154" s="348" t="s">
        <v>4999</v>
      </c>
    </row>
    <row r="155" spans="1:21" x14ac:dyDescent="0.25">
      <c r="A155" s="359">
        <v>0</v>
      </c>
      <c r="B155" s="49" t="s">
        <v>5436</v>
      </c>
      <c r="C155" s="49" t="s">
        <v>69</v>
      </c>
      <c r="D155" s="362" t="s">
        <v>5402</v>
      </c>
      <c r="E155" s="362" t="s">
        <v>5437</v>
      </c>
      <c r="F155" s="49" t="s">
        <v>4998</v>
      </c>
      <c r="G155" s="49" t="s">
        <v>5438</v>
      </c>
      <c r="H155" s="49" t="s">
        <v>3724</v>
      </c>
      <c r="I155" s="49" t="s">
        <v>3725</v>
      </c>
      <c r="J155" s="316">
        <v>45205</v>
      </c>
      <c r="K155" s="360">
        <v>45198</v>
      </c>
      <c r="L155" s="363" t="s">
        <v>28</v>
      </c>
      <c r="M155" s="317" t="s">
        <v>28</v>
      </c>
      <c r="N155" s="322">
        <v>45208</v>
      </c>
      <c r="O155" s="317" t="s">
        <v>3726</v>
      </c>
      <c r="P155" s="317">
        <v>16</v>
      </c>
      <c r="Q155" s="366">
        <v>45209</v>
      </c>
      <c r="R155" s="365" t="s">
        <v>1686</v>
      </c>
      <c r="S155" s="364">
        <v>45218</v>
      </c>
      <c r="T155" s="364">
        <v>45219</v>
      </c>
      <c r="U155" s="348" t="s">
        <v>4999</v>
      </c>
    </row>
    <row r="156" spans="1:21" x14ac:dyDescent="0.25">
      <c r="A156" s="359">
        <v>0</v>
      </c>
      <c r="B156" s="49" t="s">
        <v>5439</v>
      </c>
      <c r="C156" s="49" t="s">
        <v>69</v>
      </c>
      <c r="D156" s="362" t="s">
        <v>5402</v>
      </c>
      <c r="E156" s="362" t="s">
        <v>5440</v>
      </c>
      <c r="F156" s="49" t="s">
        <v>4998</v>
      </c>
      <c r="G156" s="49" t="s">
        <v>2136</v>
      </c>
      <c r="H156" s="49" t="s">
        <v>5441</v>
      </c>
      <c r="I156" s="49" t="s">
        <v>73</v>
      </c>
      <c r="J156" s="316">
        <v>45215</v>
      </c>
      <c r="K156" s="360">
        <v>45198</v>
      </c>
      <c r="L156" s="363" t="s">
        <v>28</v>
      </c>
      <c r="M156" s="317" t="s">
        <v>28</v>
      </c>
      <c r="N156" s="322">
        <v>45239</v>
      </c>
      <c r="O156" s="317" t="s">
        <v>2138</v>
      </c>
      <c r="P156" s="317">
        <v>18</v>
      </c>
      <c r="Q156" s="366">
        <v>45240</v>
      </c>
      <c r="R156" s="365" t="s">
        <v>264</v>
      </c>
      <c r="S156" s="364">
        <v>45377</v>
      </c>
      <c r="T156" s="364">
        <v>45378</v>
      </c>
      <c r="U156" s="348"/>
    </row>
    <row r="157" spans="1:21" x14ac:dyDescent="0.25">
      <c r="A157" s="359">
        <v>0</v>
      </c>
      <c r="B157" s="49" t="s">
        <v>5442</v>
      </c>
      <c r="C157" s="49" t="s">
        <v>69</v>
      </c>
      <c r="D157" s="362" t="s">
        <v>5402</v>
      </c>
      <c r="E157" s="362" t="s">
        <v>5443</v>
      </c>
      <c r="F157" s="49" t="s">
        <v>4998</v>
      </c>
      <c r="G157" s="49" t="s">
        <v>2136</v>
      </c>
      <c r="H157" s="49" t="s">
        <v>5444</v>
      </c>
      <c r="I157" s="49" t="s">
        <v>73</v>
      </c>
      <c r="J157" s="316">
        <v>45215</v>
      </c>
      <c r="K157" s="360">
        <v>45198</v>
      </c>
      <c r="L157" s="363" t="s">
        <v>28</v>
      </c>
      <c r="M157" s="317" t="s">
        <v>28</v>
      </c>
      <c r="N157" s="322">
        <v>45239</v>
      </c>
      <c r="O157" s="317" t="s">
        <v>2138</v>
      </c>
      <c r="P157" s="317">
        <v>3</v>
      </c>
      <c r="Q157" s="322">
        <v>45239</v>
      </c>
      <c r="R157" s="365" t="s">
        <v>264</v>
      </c>
      <c r="S157" s="364">
        <v>45377</v>
      </c>
      <c r="T157" s="364">
        <v>45378</v>
      </c>
      <c r="U157" s="348"/>
    </row>
    <row r="158" spans="1:21" ht="14.25" x14ac:dyDescent="0.25">
      <c r="A158" s="359">
        <v>0</v>
      </c>
      <c r="B158" s="49" t="s">
        <v>5445</v>
      </c>
      <c r="C158" s="49" t="s">
        <v>69</v>
      </c>
      <c r="D158" s="362" t="s">
        <v>5402</v>
      </c>
      <c r="E158" s="362" t="s">
        <v>5446</v>
      </c>
      <c r="F158" s="49" t="s">
        <v>4998</v>
      </c>
      <c r="G158" s="49" t="s">
        <v>5447</v>
      </c>
      <c r="H158" s="49" t="s">
        <v>5448</v>
      </c>
      <c r="I158" s="49" t="s">
        <v>73</v>
      </c>
      <c r="J158" s="316">
        <v>45215</v>
      </c>
      <c r="K158" s="360">
        <v>45198</v>
      </c>
      <c r="L158" s="363" t="s">
        <v>28</v>
      </c>
      <c r="M158" s="317" t="s">
        <v>28</v>
      </c>
      <c r="N158" s="322">
        <v>45239</v>
      </c>
      <c r="O158" s="317" t="s">
        <v>4277</v>
      </c>
      <c r="P158" s="317">
        <v>5</v>
      </c>
      <c r="Q158" s="366">
        <v>45240</v>
      </c>
      <c r="R158" s="365" t="s">
        <v>264</v>
      </c>
      <c r="S158" s="364">
        <v>45377</v>
      </c>
      <c r="T158" s="364">
        <v>45378</v>
      </c>
      <c r="U158" s="348"/>
    </row>
    <row r="159" spans="1:21" x14ac:dyDescent="0.25">
      <c r="A159" s="359">
        <v>0</v>
      </c>
      <c r="B159" s="49" t="s">
        <v>5449</v>
      </c>
      <c r="C159" s="49" t="s">
        <v>69</v>
      </c>
      <c r="D159" s="362" t="s">
        <v>5402</v>
      </c>
      <c r="E159" s="362" t="s">
        <v>5450</v>
      </c>
      <c r="F159" s="49" t="s">
        <v>4998</v>
      </c>
      <c r="G159" s="49" t="s">
        <v>2136</v>
      </c>
      <c r="H159" s="49" t="s">
        <v>3865</v>
      </c>
      <c r="I159" s="49" t="s">
        <v>73</v>
      </c>
      <c r="J159" s="316">
        <v>45215</v>
      </c>
      <c r="K159" s="360">
        <v>45198</v>
      </c>
      <c r="L159" s="363" t="s">
        <v>28</v>
      </c>
      <c r="M159" s="317" t="s">
        <v>28</v>
      </c>
      <c r="N159" s="322">
        <v>45239</v>
      </c>
      <c r="O159" s="317" t="s">
        <v>2157</v>
      </c>
      <c r="P159" s="317">
        <v>4</v>
      </c>
      <c r="Q159" s="322">
        <v>45239</v>
      </c>
      <c r="R159" s="365" t="s">
        <v>264</v>
      </c>
      <c r="S159" s="364">
        <v>45377</v>
      </c>
      <c r="T159" s="364">
        <v>45378</v>
      </c>
      <c r="U159" s="348"/>
    </row>
    <row r="160" spans="1:21" ht="25.5" x14ac:dyDescent="0.25">
      <c r="A160" s="359">
        <v>0</v>
      </c>
      <c r="B160" s="49" t="s">
        <v>5451</v>
      </c>
      <c r="C160" s="49" t="s">
        <v>69</v>
      </c>
      <c r="D160" s="362" t="s">
        <v>5402</v>
      </c>
      <c r="E160" s="362" t="s">
        <v>5452</v>
      </c>
      <c r="F160" s="49" t="s">
        <v>4998</v>
      </c>
      <c r="G160" s="49" t="s">
        <v>1743</v>
      </c>
      <c r="H160" s="49" t="s">
        <v>1744</v>
      </c>
      <c r="I160" s="49" t="s">
        <v>1730</v>
      </c>
      <c r="J160" s="316">
        <v>45237</v>
      </c>
      <c r="K160" s="360">
        <v>45198</v>
      </c>
      <c r="L160" s="363" t="s">
        <v>28</v>
      </c>
      <c r="M160" s="317" t="s">
        <v>28</v>
      </c>
      <c r="N160" s="322">
        <v>45238</v>
      </c>
      <c r="O160" s="317" t="s">
        <v>5416</v>
      </c>
      <c r="P160" s="317">
        <v>1</v>
      </c>
      <c r="Q160" s="366">
        <v>45238</v>
      </c>
      <c r="R160" s="365" t="s">
        <v>1686</v>
      </c>
      <c r="S160" s="364">
        <v>45238</v>
      </c>
      <c r="T160" s="364">
        <v>45238</v>
      </c>
      <c r="U160" s="348" t="s">
        <v>4999</v>
      </c>
    </row>
    <row r="161" spans="1:21" ht="38.25" x14ac:dyDescent="0.25">
      <c r="A161" s="359">
        <v>0</v>
      </c>
      <c r="B161" s="49" t="s">
        <v>5453</v>
      </c>
      <c r="C161" s="49" t="s">
        <v>69</v>
      </c>
      <c r="D161" s="362" t="s">
        <v>5402</v>
      </c>
      <c r="E161" s="362" t="s">
        <v>5454</v>
      </c>
      <c r="F161" s="49" t="s">
        <v>4998</v>
      </c>
      <c r="G161" s="49" t="s">
        <v>5406</v>
      </c>
      <c r="H161" s="49" t="s">
        <v>5455</v>
      </c>
      <c r="I161" s="49" t="s">
        <v>1730</v>
      </c>
      <c r="J161" s="316">
        <v>45238</v>
      </c>
      <c r="K161" s="360">
        <v>45198</v>
      </c>
      <c r="L161" s="363" t="s">
        <v>28</v>
      </c>
      <c r="M161" s="317" t="s">
        <v>28</v>
      </c>
      <c r="N161" s="322">
        <v>45238</v>
      </c>
      <c r="O161" s="317" t="s">
        <v>5456</v>
      </c>
      <c r="P161" s="317">
        <v>16</v>
      </c>
      <c r="Q161" s="366">
        <v>45238</v>
      </c>
      <c r="R161" s="365" t="s">
        <v>1686</v>
      </c>
      <c r="S161" s="364">
        <v>45239</v>
      </c>
      <c r="T161" s="364">
        <v>45239</v>
      </c>
      <c r="U161" s="348" t="s">
        <v>4999</v>
      </c>
    </row>
    <row r="162" spans="1:21" ht="25.5" x14ac:dyDescent="0.25">
      <c r="A162" s="359">
        <v>0</v>
      </c>
      <c r="B162" s="49" t="s">
        <v>5457</v>
      </c>
      <c r="C162" s="49" t="s">
        <v>69</v>
      </c>
      <c r="D162" s="362" t="s">
        <v>5402</v>
      </c>
      <c r="E162" s="362" t="s">
        <v>5458</v>
      </c>
      <c r="F162" s="49" t="s">
        <v>4998</v>
      </c>
      <c r="G162" s="49" t="s">
        <v>5459</v>
      </c>
      <c r="H162" s="49" t="s">
        <v>2688</v>
      </c>
      <c r="I162" s="49" t="s">
        <v>1730</v>
      </c>
      <c r="J162" s="316">
        <v>45238</v>
      </c>
      <c r="K162" s="360">
        <v>45198</v>
      </c>
      <c r="L162" s="363" t="s">
        <v>28</v>
      </c>
      <c r="M162" s="317" t="s">
        <v>28</v>
      </c>
      <c r="N162" s="322">
        <v>45238</v>
      </c>
      <c r="O162" s="317" t="s">
        <v>2690</v>
      </c>
      <c r="P162" s="317">
        <v>2</v>
      </c>
      <c r="Q162" s="366">
        <v>45238</v>
      </c>
      <c r="R162" s="365" t="s">
        <v>1686</v>
      </c>
      <c r="S162" s="364">
        <v>45239</v>
      </c>
      <c r="T162" s="364">
        <v>45239</v>
      </c>
      <c r="U162" s="348" t="s">
        <v>4999</v>
      </c>
    </row>
    <row r="163" spans="1:21" ht="38.25" x14ac:dyDescent="0.25">
      <c r="A163" s="359">
        <v>0</v>
      </c>
      <c r="B163" s="49" t="s">
        <v>5460</v>
      </c>
      <c r="C163" s="49" t="s">
        <v>69</v>
      </c>
      <c r="D163" s="362" t="s">
        <v>5461</v>
      </c>
      <c r="E163" s="362" t="s">
        <v>5462</v>
      </c>
      <c r="F163" s="49" t="s">
        <v>4998</v>
      </c>
      <c r="G163" s="49" t="s">
        <v>5406</v>
      </c>
      <c r="H163" s="49" t="s">
        <v>5407</v>
      </c>
      <c r="I163" s="49" t="s">
        <v>1730</v>
      </c>
      <c r="J163" s="316">
        <v>45204</v>
      </c>
      <c r="K163" s="360">
        <v>45209</v>
      </c>
      <c r="L163" s="363" t="s">
        <v>28</v>
      </c>
      <c r="M163" s="317" t="s">
        <v>28</v>
      </c>
      <c r="N163" s="322">
        <v>45209</v>
      </c>
      <c r="O163" s="317" t="s">
        <v>5408</v>
      </c>
      <c r="P163" s="317">
        <v>4</v>
      </c>
      <c r="Q163" s="366">
        <v>45209</v>
      </c>
      <c r="R163" s="365" t="s">
        <v>1686</v>
      </c>
      <c r="S163" s="364">
        <v>45218</v>
      </c>
      <c r="T163" s="364">
        <v>45219</v>
      </c>
      <c r="U163" s="348" t="s">
        <v>4999</v>
      </c>
    </row>
    <row r="164" spans="1:21" ht="14.25" x14ac:dyDescent="0.25">
      <c r="A164" s="359">
        <v>0</v>
      </c>
      <c r="B164" s="49" t="s">
        <v>5463</v>
      </c>
      <c r="C164" s="49" t="s">
        <v>69</v>
      </c>
      <c r="D164" s="362" t="s">
        <v>5461</v>
      </c>
      <c r="E164" s="362" t="s">
        <v>5464</v>
      </c>
      <c r="F164" s="49" t="s">
        <v>4998</v>
      </c>
      <c r="G164" s="49" t="s">
        <v>291</v>
      </c>
      <c r="H164" s="49" t="s">
        <v>292</v>
      </c>
      <c r="I164" s="49" t="s">
        <v>73</v>
      </c>
      <c r="J164" s="316">
        <v>45204</v>
      </c>
      <c r="K164" s="360">
        <v>45209</v>
      </c>
      <c r="L164" s="363" t="s">
        <v>28</v>
      </c>
      <c r="M164" s="317" t="s">
        <v>28</v>
      </c>
      <c r="N164" s="322">
        <v>45209</v>
      </c>
      <c r="O164" s="317" t="s">
        <v>293</v>
      </c>
      <c r="P164" s="317">
        <v>15</v>
      </c>
      <c r="Q164" s="366">
        <v>45209</v>
      </c>
      <c r="R164" s="365" t="s">
        <v>1686</v>
      </c>
      <c r="S164" s="364">
        <v>45218</v>
      </c>
      <c r="T164" s="364">
        <v>45219</v>
      </c>
      <c r="U164" s="348" t="s">
        <v>4999</v>
      </c>
    </row>
    <row r="165" spans="1:21" ht="38.25" x14ac:dyDescent="0.25">
      <c r="A165" s="359">
        <v>0</v>
      </c>
      <c r="B165" s="49" t="s">
        <v>5465</v>
      </c>
      <c r="C165" s="49" t="s">
        <v>5466</v>
      </c>
      <c r="D165" s="49">
        <v>182476</v>
      </c>
      <c r="E165" s="49" t="s">
        <v>5467</v>
      </c>
      <c r="F165" s="49" t="s">
        <v>4998</v>
      </c>
      <c r="G165" s="49" t="s">
        <v>5468</v>
      </c>
      <c r="H165" s="368" t="s">
        <v>5469</v>
      </c>
      <c r="I165" s="49" t="s">
        <v>5470</v>
      </c>
      <c r="J165" s="316">
        <v>44942</v>
      </c>
      <c r="K165" s="360">
        <v>44944</v>
      </c>
      <c r="L165" s="363" t="s">
        <v>28</v>
      </c>
      <c r="M165" s="317" t="s">
        <v>28</v>
      </c>
      <c r="N165" s="322">
        <v>44951</v>
      </c>
      <c r="O165" s="317" t="s">
        <v>3324</v>
      </c>
      <c r="P165" s="317">
        <v>4</v>
      </c>
      <c r="Q165" s="366">
        <v>44951</v>
      </c>
      <c r="R165" s="365" t="s">
        <v>264</v>
      </c>
      <c r="S165" s="364">
        <v>44952</v>
      </c>
      <c r="T165" s="364">
        <v>44952</v>
      </c>
      <c r="U165" s="348" t="s">
        <v>4999</v>
      </c>
    </row>
    <row r="166" spans="1:21" ht="25.5" x14ac:dyDescent="0.25">
      <c r="A166" s="359">
        <v>0</v>
      </c>
      <c r="B166" s="49" t="s">
        <v>5471</v>
      </c>
      <c r="C166" s="49" t="s">
        <v>5472</v>
      </c>
      <c r="D166" s="49">
        <v>182490</v>
      </c>
      <c r="E166" s="49" t="s">
        <v>5473</v>
      </c>
      <c r="F166" s="49" t="s">
        <v>4998</v>
      </c>
      <c r="G166" s="49" t="s">
        <v>5474</v>
      </c>
      <c r="H166" s="316" t="s">
        <v>5475</v>
      </c>
      <c r="I166" s="49" t="s">
        <v>3314</v>
      </c>
      <c r="J166" s="316">
        <v>44950</v>
      </c>
      <c r="K166" s="316">
        <v>44950</v>
      </c>
      <c r="L166" s="363" t="s">
        <v>28</v>
      </c>
      <c r="M166" s="317" t="s">
        <v>28</v>
      </c>
      <c r="N166" s="322">
        <v>44953</v>
      </c>
      <c r="O166" s="317" t="s">
        <v>5476</v>
      </c>
      <c r="P166" s="317">
        <v>1</v>
      </c>
      <c r="Q166" s="366">
        <v>44953</v>
      </c>
      <c r="R166" s="365" t="s">
        <v>264</v>
      </c>
      <c r="S166" s="364">
        <v>44953</v>
      </c>
      <c r="T166" s="364">
        <v>44953</v>
      </c>
      <c r="U166" s="348" t="s">
        <v>4999</v>
      </c>
    </row>
    <row r="167" spans="1:21" ht="25.5" x14ac:dyDescent="0.25">
      <c r="A167" s="359">
        <v>0</v>
      </c>
      <c r="B167" s="49" t="s">
        <v>5477</v>
      </c>
      <c r="C167" s="49" t="s">
        <v>5478</v>
      </c>
      <c r="D167" s="49">
        <v>182480</v>
      </c>
      <c r="E167" s="49" t="s">
        <v>5479</v>
      </c>
      <c r="F167" s="49" t="s">
        <v>4998</v>
      </c>
      <c r="G167" s="49" t="s">
        <v>5480</v>
      </c>
      <c r="H167" s="49" t="s">
        <v>5481</v>
      </c>
      <c r="I167" s="49" t="s">
        <v>5482</v>
      </c>
      <c r="J167" s="316">
        <v>44935</v>
      </c>
      <c r="K167" s="360">
        <v>44947</v>
      </c>
      <c r="L167" s="363" t="s">
        <v>28</v>
      </c>
      <c r="M167" s="317" t="s">
        <v>28</v>
      </c>
      <c r="N167" s="322">
        <v>45048</v>
      </c>
      <c r="O167" s="317" t="s">
        <v>5483</v>
      </c>
      <c r="P167" s="317">
        <v>10</v>
      </c>
      <c r="Q167" s="366">
        <v>45048</v>
      </c>
      <c r="R167" s="365" t="s">
        <v>264</v>
      </c>
      <c r="S167" s="364">
        <v>45051</v>
      </c>
      <c r="T167" s="364">
        <v>45051</v>
      </c>
      <c r="U167" s="377" t="s">
        <v>4999</v>
      </c>
    </row>
    <row r="168" spans="1:21" ht="38.25" x14ac:dyDescent="0.25">
      <c r="A168" s="359">
        <v>0</v>
      </c>
      <c r="B168" s="49" t="s">
        <v>5484</v>
      </c>
      <c r="C168" s="49" t="s">
        <v>5067</v>
      </c>
      <c r="D168" s="49">
        <v>182434</v>
      </c>
      <c r="E168" s="49" t="s">
        <v>5485</v>
      </c>
      <c r="F168" s="49" t="s">
        <v>4998</v>
      </c>
      <c r="G168" s="49" t="s">
        <v>5486</v>
      </c>
      <c r="H168" s="49" t="s">
        <v>5487</v>
      </c>
      <c r="I168" s="49" t="s">
        <v>1715</v>
      </c>
      <c r="J168" s="316">
        <v>44908</v>
      </c>
      <c r="K168" s="360">
        <v>44935</v>
      </c>
      <c r="L168" s="363" t="s">
        <v>28</v>
      </c>
      <c r="M168" s="317" t="s">
        <v>28</v>
      </c>
      <c r="N168" s="322">
        <v>44953</v>
      </c>
      <c r="O168" s="317" t="s">
        <v>5488</v>
      </c>
      <c r="P168" s="317">
        <v>2</v>
      </c>
      <c r="Q168" s="366">
        <v>44986</v>
      </c>
      <c r="R168" s="365" t="s">
        <v>264</v>
      </c>
      <c r="S168" s="364">
        <v>44991</v>
      </c>
      <c r="T168" s="364">
        <v>44991</v>
      </c>
      <c r="U168" s="348" t="s">
        <v>4999</v>
      </c>
    </row>
    <row r="169" spans="1:21" ht="38.25" x14ac:dyDescent="0.25">
      <c r="A169" s="359">
        <v>0</v>
      </c>
      <c r="B169" s="49" t="s">
        <v>5489</v>
      </c>
      <c r="C169" s="49" t="s">
        <v>5490</v>
      </c>
      <c r="D169" s="49">
        <v>181733</v>
      </c>
      <c r="E169" s="49" t="s">
        <v>5491</v>
      </c>
      <c r="F169" s="49" t="s">
        <v>4998</v>
      </c>
      <c r="G169" s="49" t="s">
        <v>5492</v>
      </c>
      <c r="H169" s="49" t="s">
        <v>5493</v>
      </c>
      <c r="I169" s="49" t="s">
        <v>5494</v>
      </c>
      <c r="J169" s="316">
        <v>44862</v>
      </c>
      <c r="K169" s="316">
        <v>44862</v>
      </c>
      <c r="L169" s="363" t="s">
        <v>28</v>
      </c>
      <c r="M169" s="317" t="s">
        <v>28</v>
      </c>
      <c r="N169" s="322">
        <v>44953</v>
      </c>
      <c r="O169" s="317" t="s">
        <v>3348</v>
      </c>
      <c r="P169" s="317">
        <v>3</v>
      </c>
      <c r="Q169" s="366">
        <v>44953</v>
      </c>
      <c r="R169" s="365" t="s">
        <v>264</v>
      </c>
      <c r="S169" s="364">
        <v>44953</v>
      </c>
      <c r="T169" s="364">
        <v>44953</v>
      </c>
      <c r="U169" s="348" t="s">
        <v>4999</v>
      </c>
    </row>
    <row r="170" spans="1:21" ht="38.25" x14ac:dyDescent="0.25">
      <c r="A170" s="359">
        <v>0</v>
      </c>
      <c r="B170" s="49" t="s">
        <v>5495</v>
      </c>
      <c r="C170" s="49" t="s">
        <v>5490</v>
      </c>
      <c r="D170" s="49">
        <v>182318</v>
      </c>
      <c r="E170" s="49" t="s">
        <v>5496</v>
      </c>
      <c r="F170" s="49" t="s">
        <v>4998</v>
      </c>
      <c r="G170" s="49" t="s">
        <v>5497</v>
      </c>
      <c r="H170" s="49" t="s">
        <v>5498</v>
      </c>
      <c r="I170" s="49" t="s">
        <v>5499</v>
      </c>
      <c r="J170" s="316">
        <v>44847</v>
      </c>
      <c r="K170" s="360">
        <v>44862</v>
      </c>
      <c r="L170" s="363" t="s">
        <v>28</v>
      </c>
      <c r="M170" s="317" t="s">
        <v>28</v>
      </c>
      <c r="N170" s="322">
        <v>44957</v>
      </c>
      <c r="O170" s="317" t="s">
        <v>1925</v>
      </c>
      <c r="P170" s="317">
        <v>1</v>
      </c>
      <c r="Q170" s="366">
        <v>44957</v>
      </c>
      <c r="R170" s="365" t="s">
        <v>264</v>
      </c>
      <c r="S170" s="364">
        <v>44957</v>
      </c>
      <c r="T170" s="364">
        <v>44957</v>
      </c>
      <c r="U170" s="348" t="s">
        <v>4999</v>
      </c>
    </row>
    <row r="171" spans="1:21" ht="25.5" x14ac:dyDescent="0.25">
      <c r="A171" s="359">
        <v>0</v>
      </c>
      <c r="B171" s="49" t="s">
        <v>5500</v>
      </c>
      <c r="C171" s="49" t="s">
        <v>1854</v>
      </c>
      <c r="D171" s="49">
        <v>182492</v>
      </c>
      <c r="E171" s="49" t="s">
        <v>5501</v>
      </c>
      <c r="F171" s="49" t="s">
        <v>4998</v>
      </c>
      <c r="G171" s="49" t="s">
        <v>5502</v>
      </c>
      <c r="H171" s="49" t="s">
        <v>5503</v>
      </c>
      <c r="I171" s="49" t="s">
        <v>5504</v>
      </c>
      <c r="J171" s="316">
        <v>44949</v>
      </c>
      <c r="K171" s="360">
        <v>44958</v>
      </c>
      <c r="L171" s="363" t="s">
        <v>28</v>
      </c>
      <c r="M171" s="317" t="s">
        <v>28</v>
      </c>
      <c r="N171" s="322">
        <v>44958</v>
      </c>
      <c r="O171" s="317" t="s">
        <v>384</v>
      </c>
      <c r="P171" s="317">
        <v>1</v>
      </c>
      <c r="Q171" s="366">
        <v>44958</v>
      </c>
      <c r="R171" s="365" t="s">
        <v>264</v>
      </c>
      <c r="S171" s="364">
        <v>44958</v>
      </c>
      <c r="T171" s="364">
        <v>44958</v>
      </c>
      <c r="U171" s="348" t="s">
        <v>4999</v>
      </c>
    </row>
    <row r="172" spans="1:21" ht="25.7" x14ac:dyDescent="0.25">
      <c r="A172" s="359">
        <v>0</v>
      </c>
      <c r="B172" s="49" t="s">
        <v>5505</v>
      </c>
      <c r="C172" s="49" t="s">
        <v>5001</v>
      </c>
      <c r="D172" s="49">
        <v>182493</v>
      </c>
      <c r="E172" s="49" t="s">
        <v>5506</v>
      </c>
      <c r="F172" s="49" t="s">
        <v>4998</v>
      </c>
      <c r="G172" s="49" t="s">
        <v>5507</v>
      </c>
      <c r="H172" s="49">
        <v>897494</v>
      </c>
      <c r="I172" s="49" t="s">
        <v>5508</v>
      </c>
      <c r="J172" s="316">
        <v>44950</v>
      </c>
      <c r="K172" s="360">
        <v>44956</v>
      </c>
      <c r="L172" s="363" t="s">
        <v>28</v>
      </c>
      <c r="M172" s="317" t="s">
        <v>28</v>
      </c>
      <c r="N172" s="322">
        <v>44958</v>
      </c>
      <c r="O172" s="317" t="s">
        <v>5509</v>
      </c>
      <c r="P172" s="317">
        <v>1</v>
      </c>
      <c r="Q172" s="366">
        <v>44986</v>
      </c>
      <c r="R172" s="365" t="s">
        <v>264</v>
      </c>
      <c r="S172" s="364">
        <v>44987</v>
      </c>
      <c r="T172" s="364">
        <v>44987</v>
      </c>
      <c r="U172" s="348" t="s">
        <v>4999</v>
      </c>
    </row>
    <row r="173" spans="1:21" x14ac:dyDescent="0.25">
      <c r="A173" s="359">
        <v>0</v>
      </c>
      <c r="B173" s="49" t="s">
        <v>5510</v>
      </c>
      <c r="C173" s="49" t="s">
        <v>1680</v>
      </c>
      <c r="D173" s="49">
        <v>181202</v>
      </c>
      <c r="E173" s="49" t="s">
        <v>5511</v>
      </c>
      <c r="F173" s="49" t="s">
        <v>4998</v>
      </c>
      <c r="G173" s="49" t="s">
        <v>5512</v>
      </c>
      <c r="H173" s="49" t="s">
        <v>5513</v>
      </c>
      <c r="I173" s="49" t="s">
        <v>5514</v>
      </c>
      <c r="J173" s="316">
        <v>44756</v>
      </c>
      <c r="K173" s="316">
        <v>44756</v>
      </c>
      <c r="L173" s="363" t="s">
        <v>28</v>
      </c>
      <c r="M173" s="317" t="s">
        <v>28</v>
      </c>
      <c r="N173" s="322">
        <v>44965</v>
      </c>
      <c r="O173" s="317" t="s">
        <v>5515</v>
      </c>
      <c r="P173" s="317">
        <v>1</v>
      </c>
      <c r="Q173" s="366">
        <v>44965</v>
      </c>
      <c r="R173" s="365" t="s">
        <v>264</v>
      </c>
      <c r="S173" s="364">
        <v>44965</v>
      </c>
      <c r="T173" s="364">
        <v>44965</v>
      </c>
      <c r="U173" s="348" t="s">
        <v>4999</v>
      </c>
    </row>
    <row r="174" spans="1:21" ht="14.25" x14ac:dyDescent="0.25">
      <c r="A174" s="359">
        <v>0</v>
      </c>
      <c r="B174" s="49" t="s">
        <v>5516</v>
      </c>
      <c r="C174" s="49" t="s">
        <v>5517</v>
      </c>
      <c r="D174" s="49">
        <v>182505</v>
      </c>
      <c r="E174" s="49" t="s">
        <v>5518</v>
      </c>
      <c r="F174" s="49" t="s">
        <v>4998</v>
      </c>
      <c r="G174" s="49" t="s">
        <v>2047</v>
      </c>
      <c r="H174" s="49" t="s">
        <v>5519</v>
      </c>
      <c r="I174" s="49" t="s">
        <v>5470</v>
      </c>
      <c r="J174" s="316">
        <v>44957</v>
      </c>
      <c r="K174" s="360">
        <v>44960</v>
      </c>
      <c r="L174" s="363" t="s">
        <v>28</v>
      </c>
      <c r="M174" s="317" t="s">
        <v>28</v>
      </c>
      <c r="N174" s="322">
        <v>44959</v>
      </c>
      <c r="O174" s="317" t="s">
        <v>5520</v>
      </c>
      <c r="P174" s="317">
        <v>8</v>
      </c>
      <c r="Q174" s="366">
        <v>44964</v>
      </c>
      <c r="R174" s="365" t="s">
        <v>264</v>
      </c>
      <c r="S174" s="364">
        <v>44964</v>
      </c>
      <c r="T174" s="364">
        <v>44964</v>
      </c>
      <c r="U174" s="348" t="s">
        <v>4999</v>
      </c>
    </row>
    <row r="175" spans="1:21" ht="25.7" x14ac:dyDescent="0.25">
      <c r="A175" s="359">
        <v>1</v>
      </c>
      <c r="B175" s="49" t="s">
        <v>5521</v>
      </c>
      <c r="C175" s="49" t="s">
        <v>132</v>
      </c>
      <c r="D175" s="49">
        <v>182514</v>
      </c>
      <c r="E175" s="49" t="s">
        <v>5522</v>
      </c>
      <c r="F175" s="49" t="s">
        <v>4998</v>
      </c>
      <c r="G175" s="49" t="s">
        <v>3907</v>
      </c>
      <c r="H175" s="49" t="s">
        <v>5523</v>
      </c>
      <c r="I175" s="49" t="s">
        <v>1890</v>
      </c>
      <c r="J175" s="316">
        <v>44964</v>
      </c>
      <c r="K175" s="316">
        <v>44964</v>
      </c>
      <c r="L175" s="363" t="s">
        <v>28</v>
      </c>
      <c r="M175" s="317" t="s">
        <v>28</v>
      </c>
      <c r="N175" s="322">
        <v>44964</v>
      </c>
      <c r="O175" s="317" t="s">
        <v>1891</v>
      </c>
      <c r="P175" s="317">
        <v>2</v>
      </c>
      <c r="Q175" s="366">
        <v>44970</v>
      </c>
      <c r="R175" s="365" t="s">
        <v>264</v>
      </c>
      <c r="S175" s="364">
        <v>44971</v>
      </c>
      <c r="T175" s="364">
        <v>44971</v>
      </c>
      <c r="U175" s="348" t="s">
        <v>4999</v>
      </c>
    </row>
    <row r="176" spans="1:21" ht="38.25" x14ac:dyDescent="0.25">
      <c r="A176" s="359">
        <v>0</v>
      </c>
      <c r="B176" s="49" t="s">
        <v>5524</v>
      </c>
      <c r="C176" s="49" t="s">
        <v>5525</v>
      </c>
      <c r="D176" s="49">
        <v>181934</v>
      </c>
      <c r="E176" s="49" t="s">
        <v>5526</v>
      </c>
      <c r="F176" s="49" t="s">
        <v>4998</v>
      </c>
      <c r="G176" s="49" t="s">
        <v>5527</v>
      </c>
      <c r="H176" s="49" t="s">
        <v>5528</v>
      </c>
      <c r="I176" s="49" t="s">
        <v>5529</v>
      </c>
      <c r="J176" s="316">
        <v>44713</v>
      </c>
      <c r="K176" s="360">
        <v>44713</v>
      </c>
      <c r="L176" s="317" t="s">
        <v>264</v>
      </c>
      <c r="M176" s="317" t="s">
        <v>264</v>
      </c>
      <c r="N176" s="322">
        <v>44713</v>
      </c>
      <c r="O176" s="317"/>
      <c r="P176" s="317">
        <v>2</v>
      </c>
      <c r="Q176" s="366">
        <v>44713</v>
      </c>
      <c r="R176" s="365" t="s">
        <v>264</v>
      </c>
      <c r="S176" s="364">
        <v>44967</v>
      </c>
      <c r="T176" s="364">
        <v>44967</v>
      </c>
      <c r="U176" s="348" t="s">
        <v>4999</v>
      </c>
    </row>
    <row r="177" spans="1:21" x14ac:dyDescent="0.25">
      <c r="A177" s="359">
        <v>0</v>
      </c>
      <c r="B177" s="49" t="s">
        <v>5530</v>
      </c>
      <c r="C177" s="49" t="s">
        <v>1680</v>
      </c>
      <c r="D177" s="49">
        <v>181202</v>
      </c>
      <c r="E177" s="49" t="s">
        <v>5531</v>
      </c>
      <c r="F177" s="49" t="s">
        <v>4998</v>
      </c>
      <c r="G177" s="49" t="s">
        <v>5532</v>
      </c>
      <c r="H177" s="49" t="s">
        <v>5533</v>
      </c>
      <c r="I177" s="49" t="s">
        <v>5534</v>
      </c>
      <c r="J177" s="316">
        <v>44966</v>
      </c>
      <c r="K177" s="316">
        <v>44966</v>
      </c>
      <c r="L177" s="363" t="s">
        <v>28</v>
      </c>
      <c r="M177" s="317" t="s">
        <v>28</v>
      </c>
      <c r="N177" s="322">
        <v>44967</v>
      </c>
      <c r="O177" s="317" t="s">
        <v>5535</v>
      </c>
      <c r="P177" s="317">
        <v>1</v>
      </c>
      <c r="Q177" s="366">
        <v>44971</v>
      </c>
      <c r="R177" s="365" t="s">
        <v>264</v>
      </c>
      <c r="S177" s="364">
        <v>44971</v>
      </c>
      <c r="T177" s="364">
        <v>44971</v>
      </c>
      <c r="U177" s="348" t="s">
        <v>4999</v>
      </c>
    </row>
    <row r="178" spans="1:21" ht="25.5" x14ac:dyDescent="0.25">
      <c r="A178" s="359">
        <v>0</v>
      </c>
      <c r="B178" s="49" t="s">
        <v>5536</v>
      </c>
      <c r="C178" s="49" t="s">
        <v>1854</v>
      </c>
      <c r="D178" s="49">
        <v>182511</v>
      </c>
      <c r="E178" s="49" t="s">
        <v>5537</v>
      </c>
      <c r="F178" s="49" t="s">
        <v>4998</v>
      </c>
      <c r="G178" s="49" t="s">
        <v>1856</v>
      </c>
      <c r="H178" s="49" t="s">
        <v>5538</v>
      </c>
      <c r="I178" s="49" t="s">
        <v>149</v>
      </c>
      <c r="J178" s="316">
        <v>44964</v>
      </c>
      <c r="K178" s="360">
        <v>44966</v>
      </c>
      <c r="L178" s="363" t="s">
        <v>28</v>
      </c>
      <c r="M178" s="317" t="s">
        <v>28</v>
      </c>
      <c r="N178" s="322">
        <v>44970</v>
      </c>
      <c r="O178" s="317" t="s">
        <v>5539</v>
      </c>
      <c r="P178" s="317">
        <v>1</v>
      </c>
      <c r="Q178" s="366">
        <v>44970</v>
      </c>
      <c r="R178" s="365" t="s">
        <v>264</v>
      </c>
      <c r="S178" s="364">
        <v>44970</v>
      </c>
      <c r="T178" s="364">
        <v>44970</v>
      </c>
      <c r="U178" s="348" t="s">
        <v>4999</v>
      </c>
    </row>
    <row r="179" spans="1:21" ht="25.7" x14ac:dyDescent="0.25">
      <c r="A179" s="359">
        <v>0</v>
      </c>
      <c r="B179" s="49" t="s">
        <v>5540</v>
      </c>
      <c r="C179" s="49" t="s">
        <v>132</v>
      </c>
      <c r="D179" s="75">
        <v>182521</v>
      </c>
      <c r="E179" s="49" t="s">
        <v>5541</v>
      </c>
      <c r="F179" s="49" t="s">
        <v>4998</v>
      </c>
      <c r="G179" s="49"/>
      <c r="H179" s="49"/>
      <c r="I179" s="49"/>
      <c r="J179" s="316">
        <v>44970</v>
      </c>
      <c r="K179" s="360"/>
      <c r="L179" s="322"/>
      <c r="M179" s="322"/>
      <c r="N179" s="322"/>
      <c r="O179" s="322"/>
      <c r="P179" s="322"/>
      <c r="Q179" s="322"/>
      <c r="R179" s="364"/>
      <c r="S179" s="364"/>
      <c r="T179" s="364"/>
      <c r="U179" s="377"/>
    </row>
    <row r="180" spans="1:21" x14ac:dyDescent="0.25">
      <c r="A180" s="359">
        <v>0</v>
      </c>
      <c r="B180" s="49" t="s">
        <v>5542</v>
      </c>
      <c r="C180" s="49" t="s">
        <v>5543</v>
      </c>
      <c r="D180" s="49">
        <v>182518</v>
      </c>
      <c r="E180" s="49" t="s">
        <v>5544</v>
      </c>
      <c r="F180" s="49" t="s">
        <v>4998</v>
      </c>
      <c r="G180" s="49" t="s">
        <v>2136</v>
      </c>
      <c r="H180" s="49" t="s">
        <v>5545</v>
      </c>
      <c r="I180" s="49" t="s">
        <v>2858</v>
      </c>
      <c r="J180" s="316">
        <v>44966</v>
      </c>
      <c r="K180" s="360">
        <v>44970</v>
      </c>
      <c r="L180" s="363" t="s">
        <v>28</v>
      </c>
      <c r="M180" s="317" t="s">
        <v>28</v>
      </c>
      <c r="N180" s="322">
        <v>44972</v>
      </c>
      <c r="O180" s="317" t="s">
        <v>2859</v>
      </c>
      <c r="P180" s="317">
        <v>1</v>
      </c>
      <c r="Q180" s="366">
        <v>44972</v>
      </c>
      <c r="R180" s="365" t="s">
        <v>264</v>
      </c>
      <c r="S180" s="364">
        <v>44972</v>
      </c>
      <c r="T180" s="364">
        <v>44972</v>
      </c>
      <c r="U180" s="348" t="s">
        <v>4999</v>
      </c>
    </row>
    <row r="181" spans="1:21" ht="25.5" x14ac:dyDescent="0.25">
      <c r="A181" s="359">
        <v>0</v>
      </c>
      <c r="B181" s="49" t="s">
        <v>5546</v>
      </c>
      <c r="C181" s="49" t="s">
        <v>1680</v>
      </c>
      <c r="D181" s="49">
        <v>181202</v>
      </c>
      <c r="E181" s="49" t="s">
        <v>5547</v>
      </c>
      <c r="F181" s="49" t="s">
        <v>4998</v>
      </c>
      <c r="G181" s="49" t="s">
        <v>5548</v>
      </c>
      <c r="H181" s="49" t="s">
        <v>5549</v>
      </c>
      <c r="I181" s="49" t="s">
        <v>5550</v>
      </c>
      <c r="J181" s="316">
        <v>44971</v>
      </c>
      <c r="K181" s="316">
        <v>44971</v>
      </c>
      <c r="L181" s="363" t="s">
        <v>28</v>
      </c>
      <c r="M181" s="317" t="s">
        <v>28</v>
      </c>
      <c r="N181" s="322">
        <v>44974</v>
      </c>
      <c r="O181" s="317" t="s">
        <v>5551</v>
      </c>
      <c r="P181" s="317">
        <v>1</v>
      </c>
      <c r="Q181" s="366">
        <v>44980</v>
      </c>
      <c r="R181" s="365" t="s">
        <v>264</v>
      </c>
      <c r="S181" s="364">
        <v>44981</v>
      </c>
      <c r="T181" s="364">
        <v>44981</v>
      </c>
      <c r="U181" s="348" t="s">
        <v>4999</v>
      </c>
    </row>
    <row r="182" spans="1:21" ht="25.5" x14ac:dyDescent="0.25">
      <c r="A182" s="359">
        <v>0</v>
      </c>
      <c r="B182" s="49" t="s">
        <v>5552</v>
      </c>
      <c r="C182" s="49" t="s">
        <v>132</v>
      </c>
      <c r="D182" s="49">
        <v>182537</v>
      </c>
      <c r="E182" s="49" t="s">
        <v>5553</v>
      </c>
      <c r="F182" s="49" t="s">
        <v>4998</v>
      </c>
      <c r="G182" s="49" t="s">
        <v>5554</v>
      </c>
      <c r="H182" s="49" t="s">
        <v>5555</v>
      </c>
      <c r="I182" s="49" t="s">
        <v>5556</v>
      </c>
      <c r="J182" s="316">
        <v>44973</v>
      </c>
      <c r="K182" s="316">
        <v>44973</v>
      </c>
      <c r="L182" s="363" t="s">
        <v>28</v>
      </c>
      <c r="M182" s="317" t="s">
        <v>28</v>
      </c>
      <c r="N182" s="322">
        <v>44994</v>
      </c>
      <c r="O182" s="317" t="s">
        <v>5557</v>
      </c>
      <c r="P182" s="317">
        <v>6</v>
      </c>
      <c r="Q182" s="366">
        <v>44994</v>
      </c>
      <c r="R182" s="365" t="s">
        <v>264</v>
      </c>
      <c r="S182" s="364">
        <v>44999</v>
      </c>
      <c r="T182" s="364">
        <v>44999</v>
      </c>
      <c r="U182" s="348" t="s">
        <v>4999</v>
      </c>
    </row>
    <row r="183" spans="1:21" ht="38.25" x14ac:dyDescent="0.25">
      <c r="A183" s="359">
        <v>0</v>
      </c>
      <c r="B183" s="49" t="s">
        <v>5558</v>
      </c>
      <c r="C183" s="49" t="s">
        <v>3758</v>
      </c>
      <c r="D183" s="49">
        <v>182426</v>
      </c>
      <c r="E183" s="49" t="s">
        <v>5559</v>
      </c>
      <c r="F183" s="49" t="s">
        <v>4998</v>
      </c>
      <c r="G183" s="49" t="s">
        <v>5560</v>
      </c>
      <c r="H183" s="49" t="s">
        <v>5561</v>
      </c>
      <c r="I183" s="49" t="s">
        <v>389</v>
      </c>
      <c r="J183" s="316">
        <v>44907</v>
      </c>
      <c r="K183" s="316">
        <v>44914</v>
      </c>
      <c r="L183" s="363" t="s">
        <v>28</v>
      </c>
      <c r="M183" s="317" t="s">
        <v>28</v>
      </c>
      <c r="N183" s="322">
        <v>45026</v>
      </c>
      <c r="O183" s="317">
        <v>5014669</v>
      </c>
      <c r="P183" s="317">
        <v>2</v>
      </c>
      <c r="Q183" s="366">
        <v>45026</v>
      </c>
      <c r="R183" s="365" t="s">
        <v>264</v>
      </c>
      <c r="S183" s="364">
        <v>45026</v>
      </c>
      <c r="T183" s="364">
        <v>45026</v>
      </c>
      <c r="U183" s="348" t="s">
        <v>4999</v>
      </c>
    </row>
    <row r="184" spans="1:21" ht="38.25" x14ac:dyDescent="0.25">
      <c r="A184" s="359">
        <v>0</v>
      </c>
      <c r="B184" s="49" t="s">
        <v>5562</v>
      </c>
      <c r="C184" s="49" t="s">
        <v>3758</v>
      </c>
      <c r="D184" s="49">
        <v>182426</v>
      </c>
      <c r="E184" s="49" t="s">
        <v>5563</v>
      </c>
      <c r="F184" s="49" t="s">
        <v>4998</v>
      </c>
      <c r="G184" s="49" t="s">
        <v>5560</v>
      </c>
      <c r="H184" s="49" t="s">
        <v>5561</v>
      </c>
      <c r="I184" s="49" t="s">
        <v>389</v>
      </c>
      <c r="J184" s="316">
        <v>44907</v>
      </c>
      <c r="K184" s="316">
        <v>44914</v>
      </c>
      <c r="L184" s="363" t="s">
        <v>28</v>
      </c>
      <c r="M184" s="317" t="s">
        <v>28</v>
      </c>
      <c r="N184" s="322">
        <v>45026</v>
      </c>
      <c r="O184" s="317">
        <v>5014669</v>
      </c>
      <c r="P184" s="317">
        <v>1</v>
      </c>
      <c r="Q184" s="366">
        <v>45026</v>
      </c>
      <c r="R184" s="365" t="s">
        <v>264</v>
      </c>
      <c r="S184" s="364">
        <v>45026</v>
      </c>
      <c r="T184" s="364">
        <v>45026</v>
      </c>
      <c r="U184" s="348" t="s">
        <v>4999</v>
      </c>
    </row>
    <row r="185" spans="1:21" ht="38.25" x14ac:dyDescent="0.25">
      <c r="A185" s="359">
        <v>0</v>
      </c>
      <c r="B185" s="49" t="s">
        <v>5564</v>
      </c>
      <c r="C185" s="49" t="s">
        <v>3758</v>
      </c>
      <c r="D185" s="49">
        <v>182426</v>
      </c>
      <c r="E185" s="49" t="s">
        <v>5565</v>
      </c>
      <c r="F185" s="49" t="s">
        <v>4998</v>
      </c>
      <c r="G185" s="49" t="s">
        <v>5560</v>
      </c>
      <c r="H185" s="49" t="s">
        <v>5561</v>
      </c>
      <c r="I185" s="49" t="s">
        <v>389</v>
      </c>
      <c r="J185" s="316">
        <v>44907</v>
      </c>
      <c r="K185" s="316">
        <v>44914</v>
      </c>
      <c r="L185" s="363" t="s">
        <v>28</v>
      </c>
      <c r="M185" s="317" t="s">
        <v>28</v>
      </c>
      <c r="N185" s="322">
        <v>45026</v>
      </c>
      <c r="O185" s="317">
        <v>5014669</v>
      </c>
      <c r="P185" s="317">
        <v>1</v>
      </c>
      <c r="Q185" s="322">
        <v>45026</v>
      </c>
      <c r="R185" s="365" t="s">
        <v>264</v>
      </c>
      <c r="S185" s="364">
        <v>45026</v>
      </c>
      <c r="T185" s="364">
        <v>45026</v>
      </c>
      <c r="U185" s="348" t="s">
        <v>4999</v>
      </c>
    </row>
    <row r="186" spans="1:21" ht="38.25" x14ac:dyDescent="0.25">
      <c r="A186" s="359">
        <v>0</v>
      </c>
      <c r="B186" s="49" t="s">
        <v>5566</v>
      </c>
      <c r="C186" s="49" t="s">
        <v>5067</v>
      </c>
      <c r="D186" s="49">
        <v>182462</v>
      </c>
      <c r="E186" s="49" t="s">
        <v>5567</v>
      </c>
      <c r="F186" s="49" t="s">
        <v>4998</v>
      </c>
      <c r="G186" s="49" t="s">
        <v>5568</v>
      </c>
      <c r="H186" s="49" t="s">
        <v>5569</v>
      </c>
      <c r="I186" s="49" t="s">
        <v>1715</v>
      </c>
      <c r="J186" s="316">
        <v>44774</v>
      </c>
      <c r="K186" s="360">
        <v>44964</v>
      </c>
      <c r="L186" s="363" t="s">
        <v>28</v>
      </c>
      <c r="M186" s="317" t="s">
        <v>28</v>
      </c>
      <c r="N186" s="322">
        <v>45000</v>
      </c>
      <c r="O186" s="317" t="s">
        <v>595</v>
      </c>
      <c r="P186" s="317">
        <v>2</v>
      </c>
      <c r="Q186" s="366">
        <v>45001</v>
      </c>
      <c r="R186" s="365" t="s">
        <v>264</v>
      </c>
      <c r="S186" s="364">
        <v>45001</v>
      </c>
      <c r="T186" s="364">
        <v>45001</v>
      </c>
      <c r="U186" s="348" t="s">
        <v>4999</v>
      </c>
    </row>
    <row r="187" spans="1:21" ht="38.25" x14ac:dyDescent="0.25">
      <c r="A187" s="359">
        <v>0</v>
      </c>
      <c r="B187" s="49" t="s">
        <v>5570</v>
      </c>
      <c r="C187" s="49" t="s">
        <v>5067</v>
      </c>
      <c r="D187" s="49">
        <v>182450</v>
      </c>
      <c r="E187" s="49" t="s">
        <v>5571</v>
      </c>
      <c r="F187" s="49" t="s">
        <v>4998</v>
      </c>
      <c r="G187" s="49" t="s">
        <v>3701</v>
      </c>
      <c r="H187" s="49" t="s">
        <v>5572</v>
      </c>
      <c r="I187" s="49" t="s">
        <v>3460</v>
      </c>
      <c r="J187" s="316">
        <v>44915</v>
      </c>
      <c r="K187" s="360">
        <v>44964</v>
      </c>
      <c r="L187" s="363" t="s">
        <v>28</v>
      </c>
      <c r="M187" s="317" t="s">
        <v>28</v>
      </c>
      <c r="N187" s="322">
        <v>44979</v>
      </c>
      <c r="O187" s="317" t="s">
        <v>5070</v>
      </c>
      <c r="P187" s="317">
        <v>3</v>
      </c>
      <c r="Q187" s="366">
        <v>44986</v>
      </c>
      <c r="R187" s="365" t="s">
        <v>264</v>
      </c>
      <c r="S187" s="364">
        <v>44991</v>
      </c>
      <c r="T187" s="364">
        <v>44991</v>
      </c>
      <c r="U187" s="348" t="s">
        <v>4999</v>
      </c>
    </row>
    <row r="188" spans="1:21" ht="38.25" x14ac:dyDescent="0.25">
      <c r="A188" s="359">
        <v>0</v>
      </c>
      <c r="B188" s="49" t="s">
        <v>5573</v>
      </c>
      <c r="C188" s="49" t="s">
        <v>5067</v>
      </c>
      <c r="D188" s="49">
        <v>182461</v>
      </c>
      <c r="E188" s="49" t="s">
        <v>5574</v>
      </c>
      <c r="F188" s="49" t="s">
        <v>4998</v>
      </c>
      <c r="G188" s="49" t="s">
        <v>212</v>
      </c>
      <c r="H188" s="49">
        <v>573</v>
      </c>
      <c r="I188" s="49" t="s">
        <v>2099</v>
      </c>
      <c r="J188" s="316">
        <v>44823</v>
      </c>
      <c r="K188" s="360">
        <v>44964</v>
      </c>
      <c r="L188" s="363" t="s">
        <v>28</v>
      </c>
      <c r="M188" s="317" t="s">
        <v>28</v>
      </c>
      <c r="N188" s="322">
        <v>45000</v>
      </c>
      <c r="O188" s="317" t="s">
        <v>5575</v>
      </c>
      <c r="P188" s="317">
        <v>4</v>
      </c>
      <c r="Q188" s="366">
        <v>45000</v>
      </c>
      <c r="R188" s="365" t="s">
        <v>264</v>
      </c>
      <c r="S188" s="364">
        <v>45001</v>
      </c>
      <c r="T188" s="364">
        <v>45001</v>
      </c>
      <c r="U188" s="348" t="s">
        <v>4999</v>
      </c>
    </row>
    <row r="189" spans="1:21" ht="38.25" x14ac:dyDescent="0.25">
      <c r="A189" s="359">
        <v>0</v>
      </c>
      <c r="B189" s="49" t="s">
        <v>5576</v>
      </c>
      <c r="C189" s="49" t="s">
        <v>5577</v>
      </c>
      <c r="D189" s="49">
        <v>182302</v>
      </c>
      <c r="E189" s="49" t="s">
        <v>5578</v>
      </c>
      <c r="F189" s="49" t="s">
        <v>4998</v>
      </c>
      <c r="G189" s="49" t="s">
        <v>5579</v>
      </c>
      <c r="H189" s="49" t="s">
        <v>5580</v>
      </c>
      <c r="I189" s="49" t="s">
        <v>198</v>
      </c>
      <c r="J189" s="316">
        <v>44854</v>
      </c>
      <c r="K189" s="360">
        <v>44980</v>
      </c>
      <c r="L189" s="363" t="s">
        <v>28</v>
      </c>
      <c r="M189" s="317" t="s">
        <v>28</v>
      </c>
      <c r="N189" s="322">
        <v>44984</v>
      </c>
      <c r="O189" s="317" t="s">
        <v>5581</v>
      </c>
      <c r="P189" s="317">
        <v>1</v>
      </c>
      <c r="Q189" s="366">
        <v>44992</v>
      </c>
      <c r="R189" s="365" t="s">
        <v>264</v>
      </c>
      <c r="S189" s="364">
        <v>44992</v>
      </c>
      <c r="T189" s="364">
        <v>44992</v>
      </c>
      <c r="U189" s="348" t="s">
        <v>4999</v>
      </c>
    </row>
    <row r="190" spans="1:21" x14ac:dyDescent="0.25">
      <c r="A190" s="359">
        <v>0</v>
      </c>
      <c r="B190" s="49" t="s">
        <v>5582</v>
      </c>
      <c r="C190" s="49" t="s">
        <v>5577</v>
      </c>
      <c r="D190" s="49">
        <v>182392</v>
      </c>
      <c r="E190" s="49" t="s">
        <v>5583</v>
      </c>
      <c r="F190" s="49" t="s">
        <v>4998</v>
      </c>
      <c r="G190" s="49" t="s">
        <v>1888</v>
      </c>
      <c r="H190" s="49" t="s">
        <v>5584</v>
      </c>
      <c r="I190" s="49" t="s">
        <v>5585</v>
      </c>
      <c r="J190" s="316">
        <v>44888</v>
      </c>
      <c r="K190" s="316">
        <v>44980</v>
      </c>
      <c r="L190" s="363" t="s">
        <v>28</v>
      </c>
      <c r="M190" s="317" t="s">
        <v>28</v>
      </c>
      <c r="N190" s="322">
        <v>44984</v>
      </c>
      <c r="O190" s="317" t="s">
        <v>1891</v>
      </c>
      <c r="P190" s="317">
        <v>2</v>
      </c>
      <c r="Q190" s="366">
        <v>44988</v>
      </c>
      <c r="R190" s="365" t="s">
        <v>264</v>
      </c>
      <c r="S190" s="364">
        <v>44991</v>
      </c>
      <c r="T190" s="364">
        <v>44991</v>
      </c>
      <c r="U190" s="348" t="s">
        <v>4999</v>
      </c>
    </row>
    <row r="191" spans="1:21" ht="38.25" x14ac:dyDescent="0.25">
      <c r="A191" s="359">
        <v>0</v>
      </c>
      <c r="B191" s="49" t="s">
        <v>5586</v>
      </c>
      <c r="C191" s="49" t="s">
        <v>5543</v>
      </c>
      <c r="D191" s="49">
        <v>182534</v>
      </c>
      <c r="E191" s="49" t="s">
        <v>5587</v>
      </c>
      <c r="F191" s="49" t="s">
        <v>4998</v>
      </c>
      <c r="G191" s="49" t="s">
        <v>5588</v>
      </c>
      <c r="H191" s="49" t="s">
        <v>5589</v>
      </c>
      <c r="I191" s="49" t="s">
        <v>2858</v>
      </c>
      <c r="J191" s="316">
        <v>44973</v>
      </c>
      <c r="K191" s="360">
        <v>44980</v>
      </c>
      <c r="L191" s="363" t="s">
        <v>28</v>
      </c>
      <c r="M191" s="317" t="s">
        <v>28</v>
      </c>
      <c r="N191" s="322">
        <v>44987</v>
      </c>
      <c r="O191" s="317" t="s">
        <v>2859</v>
      </c>
      <c r="P191" s="317">
        <v>12</v>
      </c>
      <c r="Q191" s="366">
        <v>44987</v>
      </c>
      <c r="R191" s="365" t="s">
        <v>264</v>
      </c>
      <c r="S191" s="364">
        <v>44991</v>
      </c>
      <c r="T191" s="364">
        <v>44991</v>
      </c>
      <c r="U191" s="348" t="s">
        <v>4999</v>
      </c>
    </row>
    <row r="192" spans="1:21" ht="38.25" x14ac:dyDescent="0.25">
      <c r="A192" s="359">
        <v>0</v>
      </c>
      <c r="B192" s="49" t="s">
        <v>5590</v>
      </c>
      <c r="C192" s="49" t="s">
        <v>5543</v>
      </c>
      <c r="D192" s="49">
        <v>182535</v>
      </c>
      <c r="E192" s="49" t="s">
        <v>5591</v>
      </c>
      <c r="F192" s="49" t="s">
        <v>4998</v>
      </c>
      <c r="G192" s="49" t="s">
        <v>5588</v>
      </c>
      <c r="H192" s="49" t="s">
        <v>5592</v>
      </c>
      <c r="I192" s="49" t="s">
        <v>2858</v>
      </c>
      <c r="J192" s="316">
        <v>44973</v>
      </c>
      <c r="K192" s="360">
        <v>44980</v>
      </c>
      <c r="L192" s="363" t="s">
        <v>28</v>
      </c>
      <c r="M192" s="317" t="s">
        <v>28</v>
      </c>
      <c r="N192" s="322">
        <v>44987</v>
      </c>
      <c r="O192" s="317" t="s">
        <v>2859</v>
      </c>
      <c r="P192" s="317">
        <v>1</v>
      </c>
      <c r="Q192" s="366">
        <v>44987</v>
      </c>
      <c r="R192" s="365" t="s">
        <v>264</v>
      </c>
      <c r="S192" s="364">
        <v>44991</v>
      </c>
      <c r="T192" s="364">
        <v>44991</v>
      </c>
      <c r="U192" s="348" t="s">
        <v>4999</v>
      </c>
    </row>
    <row r="193" spans="1:21" ht="38.25" x14ac:dyDescent="0.25">
      <c r="A193" s="359">
        <v>0</v>
      </c>
      <c r="B193" s="49" t="s">
        <v>5593</v>
      </c>
      <c r="C193" s="49" t="s">
        <v>3758</v>
      </c>
      <c r="D193" s="49">
        <v>182539</v>
      </c>
      <c r="E193" s="49" t="s">
        <v>5594</v>
      </c>
      <c r="F193" s="49" t="s">
        <v>4998</v>
      </c>
      <c r="G193" s="49" t="s">
        <v>5560</v>
      </c>
      <c r="H193" s="49" t="s">
        <v>5595</v>
      </c>
      <c r="I193" s="49" t="s">
        <v>389</v>
      </c>
      <c r="J193" s="316">
        <v>44974</v>
      </c>
      <c r="K193" s="360">
        <v>44980</v>
      </c>
      <c r="L193" s="363" t="s">
        <v>28</v>
      </c>
      <c r="M193" s="317" t="s">
        <v>28</v>
      </c>
      <c r="N193" s="322">
        <v>44984</v>
      </c>
      <c r="O193" s="317" t="s">
        <v>5596</v>
      </c>
      <c r="P193" s="317">
        <v>1</v>
      </c>
      <c r="Q193" s="366">
        <v>44984</v>
      </c>
      <c r="R193" s="365" t="s">
        <v>264</v>
      </c>
      <c r="S193" s="364">
        <v>44985</v>
      </c>
      <c r="T193" s="364">
        <v>44985</v>
      </c>
      <c r="U193" s="348" t="s">
        <v>4999</v>
      </c>
    </row>
    <row r="194" spans="1:21" ht="25.5" x14ac:dyDescent="0.25">
      <c r="A194" s="359">
        <v>0</v>
      </c>
      <c r="B194" s="49" t="s">
        <v>5597</v>
      </c>
      <c r="C194" s="49" t="s">
        <v>5525</v>
      </c>
      <c r="D194" s="49">
        <v>182531</v>
      </c>
      <c r="E194" s="49" t="s">
        <v>5598</v>
      </c>
      <c r="F194" s="49" t="s">
        <v>4998</v>
      </c>
      <c r="G194" s="49" t="s">
        <v>5599</v>
      </c>
      <c r="H194" s="49" t="s">
        <v>5600</v>
      </c>
      <c r="I194" s="49" t="s">
        <v>5529</v>
      </c>
      <c r="J194" s="316">
        <v>44972</v>
      </c>
      <c r="K194" s="316">
        <v>44981</v>
      </c>
      <c r="L194" s="363" t="s">
        <v>28</v>
      </c>
      <c r="M194" s="317" t="s">
        <v>28</v>
      </c>
      <c r="N194" s="322">
        <v>44984</v>
      </c>
      <c r="O194" s="317" t="s">
        <v>5601</v>
      </c>
      <c r="P194" s="317">
        <v>4</v>
      </c>
      <c r="Q194" s="366">
        <v>44984</v>
      </c>
      <c r="R194" s="365" t="s">
        <v>264</v>
      </c>
      <c r="S194" s="364">
        <v>44985</v>
      </c>
      <c r="T194" s="364">
        <v>44985</v>
      </c>
      <c r="U194" s="348" t="s">
        <v>4999</v>
      </c>
    </row>
    <row r="195" spans="1:21" ht="38.25" x14ac:dyDescent="0.25">
      <c r="A195" s="359">
        <v>0</v>
      </c>
      <c r="B195" s="49" t="s">
        <v>5602</v>
      </c>
      <c r="C195" s="49" t="s">
        <v>5603</v>
      </c>
      <c r="D195" s="49">
        <v>182515</v>
      </c>
      <c r="E195" s="49" t="s">
        <v>5604</v>
      </c>
      <c r="F195" s="49" t="s">
        <v>4998</v>
      </c>
      <c r="G195" s="49" t="s">
        <v>5605</v>
      </c>
      <c r="H195" s="49" t="s">
        <v>5606</v>
      </c>
      <c r="I195" s="49" t="s">
        <v>5607</v>
      </c>
      <c r="J195" s="316">
        <v>44964</v>
      </c>
      <c r="K195" s="316">
        <v>44964</v>
      </c>
      <c r="L195" s="363" t="s">
        <v>28</v>
      </c>
      <c r="M195" s="317" t="s">
        <v>28</v>
      </c>
      <c r="N195" s="322">
        <v>44988</v>
      </c>
      <c r="O195" s="317" t="s">
        <v>5608</v>
      </c>
      <c r="P195" s="317">
        <v>3</v>
      </c>
      <c r="Q195" s="366">
        <v>44988</v>
      </c>
      <c r="R195" s="365" t="s">
        <v>264</v>
      </c>
      <c r="S195" s="364">
        <v>44991</v>
      </c>
      <c r="T195" s="364">
        <v>44991</v>
      </c>
      <c r="U195" s="348" t="s">
        <v>4999</v>
      </c>
    </row>
    <row r="196" spans="1:21" ht="14.25" x14ac:dyDescent="0.25">
      <c r="A196" s="359">
        <v>1</v>
      </c>
      <c r="B196" s="49" t="s">
        <v>5609</v>
      </c>
      <c r="C196" s="49" t="s">
        <v>5610</v>
      </c>
      <c r="D196" s="49">
        <v>182555</v>
      </c>
      <c r="E196" s="49" t="s">
        <v>5611</v>
      </c>
      <c r="F196" s="49" t="s">
        <v>4998</v>
      </c>
      <c r="G196" s="49" t="s">
        <v>5612</v>
      </c>
      <c r="H196" s="49" t="s">
        <v>5613</v>
      </c>
      <c r="I196" s="49" t="s">
        <v>2572</v>
      </c>
      <c r="J196" s="316">
        <v>44991</v>
      </c>
      <c r="K196" s="360">
        <v>44992</v>
      </c>
      <c r="L196" s="363" t="s">
        <v>28</v>
      </c>
      <c r="M196" s="317" t="s">
        <v>28</v>
      </c>
      <c r="N196" s="322">
        <v>45006</v>
      </c>
      <c r="O196" s="317" t="s">
        <v>5614</v>
      </c>
      <c r="P196" s="317">
        <v>20</v>
      </c>
      <c r="Q196" s="366">
        <v>45006</v>
      </c>
      <c r="R196" s="365" t="s">
        <v>264</v>
      </c>
      <c r="S196" s="364">
        <v>45006</v>
      </c>
      <c r="T196" s="364">
        <v>45006</v>
      </c>
      <c r="U196" s="348" t="s">
        <v>4999</v>
      </c>
    </row>
    <row r="197" spans="1:21" ht="38.25" x14ac:dyDescent="0.25">
      <c r="A197" s="359">
        <v>0</v>
      </c>
      <c r="B197" s="49" t="s">
        <v>5615</v>
      </c>
      <c r="C197" s="49" t="s">
        <v>219</v>
      </c>
      <c r="D197" s="49">
        <v>182533</v>
      </c>
      <c r="E197" s="49" t="s">
        <v>5616</v>
      </c>
      <c r="F197" s="49" t="s">
        <v>4998</v>
      </c>
      <c r="G197" s="49" t="s">
        <v>2546</v>
      </c>
      <c r="H197" s="49" t="s">
        <v>2547</v>
      </c>
      <c r="I197" s="49" t="s">
        <v>160</v>
      </c>
      <c r="J197" s="316">
        <v>44972</v>
      </c>
      <c r="K197" s="360">
        <v>45113</v>
      </c>
      <c r="L197" s="363" t="s">
        <v>28</v>
      </c>
      <c r="M197" s="317" t="s">
        <v>28</v>
      </c>
      <c r="N197" s="322">
        <v>45005</v>
      </c>
      <c r="O197" s="317" t="s">
        <v>274</v>
      </c>
      <c r="P197" s="317">
        <v>3</v>
      </c>
      <c r="Q197" s="366">
        <v>45008</v>
      </c>
      <c r="R197" s="365" t="s">
        <v>264</v>
      </c>
      <c r="S197" s="364">
        <v>45008</v>
      </c>
      <c r="T197" s="364">
        <v>45008</v>
      </c>
      <c r="U197" s="348" t="s">
        <v>4999</v>
      </c>
    </row>
    <row r="198" spans="1:21" ht="25.7" x14ac:dyDescent="0.25">
      <c r="A198" s="359">
        <v>0</v>
      </c>
      <c r="B198" s="49" t="s">
        <v>5617</v>
      </c>
      <c r="C198" s="49" t="s">
        <v>219</v>
      </c>
      <c r="D198" s="49">
        <v>182533</v>
      </c>
      <c r="E198" s="49" t="s">
        <v>5618</v>
      </c>
      <c r="F198" s="49" t="s">
        <v>4998</v>
      </c>
      <c r="G198" s="49" t="s">
        <v>5619</v>
      </c>
      <c r="H198" s="49" t="s">
        <v>5620</v>
      </c>
      <c r="I198" s="49" t="s">
        <v>160</v>
      </c>
      <c r="J198" s="316">
        <v>44972</v>
      </c>
      <c r="K198" s="360">
        <v>45113</v>
      </c>
      <c r="L198" s="363" t="s">
        <v>28</v>
      </c>
      <c r="M198" s="317" t="s">
        <v>28</v>
      </c>
      <c r="N198" s="322">
        <v>45005</v>
      </c>
      <c r="O198" s="317" t="s">
        <v>5621</v>
      </c>
      <c r="P198" s="317">
        <v>3</v>
      </c>
      <c r="Q198" s="366">
        <v>45008</v>
      </c>
      <c r="R198" s="365" t="s">
        <v>264</v>
      </c>
      <c r="S198" s="364">
        <v>45008</v>
      </c>
      <c r="T198" s="364">
        <v>45008</v>
      </c>
      <c r="U198" s="348" t="s">
        <v>4999</v>
      </c>
    </row>
    <row r="199" spans="1:21" ht="25.5" x14ac:dyDescent="0.25">
      <c r="A199" s="359">
        <v>0</v>
      </c>
      <c r="B199" s="49" t="s">
        <v>5622</v>
      </c>
      <c r="C199" s="49" t="s">
        <v>1854</v>
      </c>
      <c r="D199" s="49">
        <v>182554</v>
      </c>
      <c r="E199" s="49" t="s">
        <v>5623</v>
      </c>
      <c r="F199" s="49" t="s">
        <v>4998</v>
      </c>
      <c r="G199" s="49" t="s">
        <v>71</v>
      </c>
      <c r="H199" s="49" t="s">
        <v>5624</v>
      </c>
      <c r="I199" s="49" t="s">
        <v>1869</v>
      </c>
      <c r="J199" s="316">
        <v>44991</v>
      </c>
      <c r="K199" s="360">
        <v>44993</v>
      </c>
      <c r="L199" s="363" t="s">
        <v>28</v>
      </c>
      <c r="M199" s="317" t="s">
        <v>28</v>
      </c>
      <c r="N199" s="322">
        <v>44991</v>
      </c>
      <c r="O199" s="317" t="s">
        <v>5625</v>
      </c>
      <c r="P199" s="317">
        <v>1</v>
      </c>
      <c r="Q199" s="366">
        <v>44995</v>
      </c>
      <c r="R199" s="365" t="s">
        <v>264</v>
      </c>
      <c r="S199" s="364">
        <v>45000</v>
      </c>
      <c r="T199" s="364">
        <v>45000</v>
      </c>
      <c r="U199" s="377" t="s">
        <v>4999</v>
      </c>
    </row>
    <row r="200" spans="1:21" ht="25.5" x14ac:dyDescent="0.25">
      <c r="A200" s="359">
        <v>0</v>
      </c>
      <c r="B200" s="49" t="s">
        <v>5626</v>
      </c>
      <c r="C200" s="49" t="s">
        <v>1854</v>
      </c>
      <c r="D200" s="49">
        <v>182554</v>
      </c>
      <c r="E200" s="49" t="s">
        <v>5627</v>
      </c>
      <c r="F200" s="49" t="s">
        <v>4998</v>
      </c>
      <c r="G200" s="49" t="s">
        <v>5502</v>
      </c>
      <c r="H200" s="49" t="s">
        <v>5628</v>
      </c>
      <c r="I200" s="49" t="s">
        <v>149</v>
      </c>
      <c r="J200" s="316">
        <v>44991</v>
      </c>
      <c r="K200" s="360">
        <v>44993</v>
      </c>
      <c r="L200" s="363" t="s">
        <v>28</v>
      </c>
      <c r="M200" s="317" t="s">
        <v>28</v>
      </c>
      <c r="N200" s="322">
        <v>44991</v>
      </c>
      <c r="O200" s="317" t="s">
        <v>384</v>
      </c>
      <c r="P200" s="317">
        <v>2</v>
      </c>
      <c r="Q200" s="366">
        <v>44995</v>
      </c>
      <c r="R200" s="365" t="s">
        <v>264</v>
      </c>
      <c r="S200" s="364">
        <v>45000</v>
      </c>
      <c r="T200" s="364">
        <v>45000</v>
      </c>
      <c r="U200" s="348" t="s">
        <v>4999</v>
      </c>
    </row>
    <row r="201" spans="1:21" ht="25.7" x14ac:dyDescent="0.25">
      <c r="A201" s="359">
        <v>1</v>
      </c>
      <c r="B201" s="49" t="s">
        <v>5629</v>
      </c>
      <c r="C201" s="49" t="s">
        <v>5630</v>
      </c>
      <c r="D201" s="49">
        <v>182346</v>
      </c>
      <c r="E201" s="49" t="s">
        <v>5631</v>
      </c>
      <c r="F201" s="49" t="s">
        <v>4998</v>
      </c>
      <c r="G201" s="49" t="s">
        <v>5632</v>
      </c>
      <c r="H201" s="49" t="s">
        <v>5633</v>
      </c>
      <c r="I201" s="49" t="s">
        <v>279</v>
      </c>
      <c r="J201" s="316">
        <v>44872</v>
      </c>
      <c r="K201" s="360">
        <v>44875</v>
      </c>
      <c r="L201" s="363" t="s">
        <v>28</v>
      </c>
      <c r="M201" s="317" t="s">
        <v>28</v>
      </c>
      <c r="N201" s="322">
        <v>44872</v>
      </c>
      <c r="O201" s="317" t="s">
        <v>5634</v>
      </c>
      <c r="P201" s="317">
        <v>9</v>
      </c>
      <c r="Q201" s="366">
        <v>44935</v>
      </c>
      <c r="R201" s="365" t="s">
        <v>264</v>
      </c>
      <c r="S201" s="364">
        <v>45008</v>
      </c>
      <c r="T201" s="364">
        <v>45008</v>
      </c>
      <c r="U201" s="348" t="s">
        <v>4999</v>
      </c>
    </row>
    <row r="202" spans="1:21" ht="25.7" x14ac:dyDescent="0.25">
      <c r="A202" s="359">
        <v>0</v>
      </c>
      <c r="B202" s="49" t="s">
        <v>5635</v>
      </c>
      <c r="C202" s="49" t="s">
        <v>132</v>
      </c>
      <c r="D202" s="49">
        <v>182564</v>
      </c>
      <c r="E202" s="49" t="s">
        <v>5636</v>
      </c>
      <c r="F202" s="49" t="s">
        <v>4998</v>
      </c>
      <c r="G202" s="49" t="s">
        <v>2047</v>
      </c>
      <c r="H202" s="49" t="s">
        <v>5637</v>
      </c>
      <c r="I202" s="49" t="s">
        <v>5638</v>
      </c>
      <c r="J202" s="316">
        <v>44994</v>
      </c>
      <c r="K202" s="360">
        <v>44998</v>
      </c>
      <c r="L202" s="363" t="s">
        <v>28</v>
      </c>
      <c r="M202" s="317" t="s">
        <v>28</v>
      </c>
      <c r="N202" s="322">
        <v>44998</v>
      </c>
      <c r="O202" s="317" t="s">
        <v>3324</v>
      </c>
      <c r="P202" s="317">
        <v>2</v>
      </c>
      <c r="Q202" s="366">
        <v>45019</v>
      </c>
      <c r="R202" s="365" t="s">
        <v>264</v>
      </c>
      <c r="S202" s="364">
        <v>45000</v>
      </c>
      <c r="T202" s="364">
        <v>45000</v>
      </c>
      <c r="U202" s="348" t="s">
        <v>4999</v>
      </c>
    </row>
    <row r="203" spans="1:21" ht="25.5" x14ac:dyDescent="0.25">
      <c r="A203" s="359">
        <v>0</v>
      </c>
      <c r="B203" s="49" t="s">
        <v>5639</v>
      </c>
      <c r="C203" s="49" t="s">
        <v>5525</v>
      </c>
      <c r="D203" s="49">
        <v>182566</v>
      </c>
      <c r="E203" s="49" t="s">
        <v>5640</v>
      </c>
      <c r="F203" s="49" t="s">
        <v>4998</v>
      </c>
      <c r="G203" s="49" t="s">
        <v>5641</v>
      </c>
      <c r="H203" s="49" t="s">
        <v>1788</v>
      </c>
      <c r="I203" s="49" t="s">
        <v>5642</v>
      </c>
      <c r="J203" s="316">
        <v>44995</v>
      </c>
      <c r="K203" s="360">
        <v>44999</v>
      </c>
      <c r="L203" s="363" t="s">
        <v>28</v>
      </c>
      <c r="M203" s="317" t="s">
        <v>28</v>
      </c>
      <c r="N203" s="322">
        <v>45005</v>
      </c>
      <c r="O203" s="317" t="s">
        <v>1789</v>
      </c>
      <c r="P203" s="317">
        <v>6</v>
      </c>
      <c r="Q203" s="366">
        <v>45015</v>
      </c>
      <c r="R203" s="365" t="s">
        <v>264</v>
      </c>
      <c r="S203" s="364">
        <v>45019</v>
      </c>
      <c r="T203" s="364">
        <v>45019</v>
      </c>
      <c r="U203" s="348" t="s">
        <v>4999</v>
      </c>
    </row>
    <row r="204" spans="1:21" ht="25.5" x14ac:dyDescent="0.25">
      <c r="A204" s="359">
        <v>0</v>
      </c>
      <c r="B204" s="49" t="s">
        <v>5643</v>
      </c>
      <c r="C204" s="49" t="s">
        <v>5525</v>
      </c>
      <c r="D204" s="49">
        <v>182566</v>
      </c>
      <c r="E204" s="49" t="s">
        <v>5644</v>
      </c>
      <c r="F204" s="49" t="s">
        <v>4998</v>
      </c>
      <c r="G204" s="49" t="s">
        <v>5645</v>
      </c>
      <c r="H204" s="49" t="s">
        <v>1694</v>
      </c>
      <c r="I204" s="49" t="s">
        <v>1695</v>
      </c>
      <c r="J204" s="316">
        <v>44995</v>
      </c>
      <c r="K204" s="360">
        <v>44999</v>
      </c>
      <c r="L204" s="363" t="s">
        <v>28</v>
      </c>
      <c r="M204" s="317" t="s">
        <v>28</v>
      </c>
      <c r="N204" s="322">
        <v>45005</v>
      </c>
      <c r="O204" s="317" t="s">
        <v>5646</v>
      </c>
      <c r="P204" s="317">
        <v>6</v>
      </c>
      <c r="Q204" s="366">
        <v>45015</v>
      </c>
      <c r="R204" s="365" t="s">
        <v>264</v>
      </c>
      <c r="S204" s="364">
        <v>45019</v>
      </c>
      <c r="T204" s="364">
        <v>45019</v>
      </c>
      <c r="U204" s="348" t="s">
        <v>4999</v>
      </c>
    </row>
    <row r="205" spans="1:21" ht="25.5" x14ac:dyDescent="0.25">
      <c r="A205" s="359">
        <v>0</v>
      </c>
      <c r="B205" s="49" t="s">
        <v>5647</v>
      </c>
      <c r="C205" s="49" t="s">
        <v>253</v>
      </c>
      <c r="D205" s="49">
        <v>182553</v>
      </c>
      <c r="E205" s="49" t="s">
        <v>5648</v>
      </c>
      <c r="F205" s="49" t="s">
        <v>4998</v>
      </c>
      <c r="G205" s="49" t="s">
        <v>261</v>
      </c>
      <c r="H205" s="49" t="s">
        <v>1879</v>
      </c>
      <c r="I205" s="316" t="s">
        <v>257</v>
      </c>
      <c r="J205" s="316">
        <v>44988</v>
      </c>
      <c r="K205" s="360">
        <v>44991</v>
      </c>
      <c r="L205" s="363" t="s">
        <v>28</v>
      </c>
      <c r="M205" s="317" t="s">
        <v>28</v>
      </c>
      <c r="N205" s="322">
        <v>45013</v>
      </c>
      <c r="O205" s="317" t="s">
        <v>263</v>
      </c>
      <c r="P205" s="317">
        <v>20</v>
      </c>
      <c r="Q205" s="366">
        <v>45014</v>
      </c>
      <c r="R205" s="365" t="s">
        <v>264</v>
      </c>
      <c r="S205" s="364">
        <v>45015</v>
      </c>
      <c r="T205" s="364">
        <v>45015</v>
      </c>
      <c r="U205" s="348" t="s">
        <v>4999</v>
      </c>
    </row>
    <row r="206" spans="1:21" x14ac:dyDescent="0.25">
      <c r="A206" s="359">
        <v>0</v>
      </c>
      <c r="B206" s="49" t="s">
        <v>5649</v>
      </c>
      <c r="C206" s="49" t="s">
        <v>69</v>
      </c>
      <c r="D206" s="49">
        <v>182060</v>
      </c>
      <c r="E206" s="49" t="s">
        <v>5650</v>
      </c>
      <c r="F206" s="49" t="s">
        <v>4998</v>
      </c>
      <c r="G206" s="49" t="s">
        <v>2136</v>
      </c>
      <c r="H206" s="49" t="s">
        <v>5444</v>
      </c>
      <c r="I206" s="49" t="s">
        <v>73</v>
      </c>
      <c r="J206" s="316">
        <v>45002</v>
      </c>
      <c r="K206" s="316">
        <v>45002</v>
      </c>
      <c r="L206" s="363" t="s">
        <v>28</v>
      </c>
      <c r="M206" s="317" t="s">
        <v>28</v>
      </c>
      <c r="N206" s="322">
        <v>45012</v>
      </c>
      <c r="O206" s="317" t="s">
        <v>2138</v>
      </c>
      <c r="P206" s="317">
        <v>6</v>
      </c>
      <c r="Q206" s="366">
        <v>45012</v>
      </c>
      <c r="R206" s="365" t="s">
        <v>264</v>
      </c>
      <c r="S206" s="364">
        <v>45026</v>
      </c>
      <c r="T206" s="364">
        <v>45026</v>
      </c>
      <c r="U206" s="348" t="s">
        <v>4999</v>
      </c>
    </row>
    <row r="207" spans="1:21" ht="25.5" x14ac:dyDescent="0.25">
      <c r="A207" s="359">
        <v>0</v>
      </c>
      <c r="B207" s="49" t="s">
        <v>5651</v>
      </c>
      <c r="C207" s="49" t="s">
        <v>5652</v>
      </c>
      <c r="D207" s="49">
        <v>182574</v>
      </c>
      <c r="E207" s="49" t="s">
        <v>5653</v>
      </c>
      <c r="F207" s="49" t="s">
        <v>4998</v>
      </c>
      <c r="G207" s="49" t="s">
        <v>5654</v>
      </c>
      <c r="H207" s="49" t="s">
        <v>5655</v>
      </c>
      <c r="I207" s="49" t="s">
        <v>5656</v>
      </c>
      <c r="J207" s="316">
        <v>45000</v>
      </c>
      <c r="K207" s="360">
        <v>45005</v>
      </c>
      <c r="L207" s="363" t="s">
        <v>28</v>
      </c>
      <c r="M207" s="317" t="s">
        <v>28</v>
      </c>
      <c r="N207" s="322">
        <v>45006</v>
      </c>
      <c r="O207" s="317" t="s">
        <v>5657</v>
      </c>
      <c r="P207" s="317">
        <v>2</v>
      </c>
      <c r="Q207" s="366">
        <v>45015</v>
      </c>
      <c r="R207" s="365" t="s">
        <v>264</v>
      </c>
      <c r="S207" s="364">
        <v>45019</v>
      </c>
      <c r="T207" s="364">
        <v>45019</v>
      </c>
      <c r="U207" s="348" t="s">
        <v>4999</v>
      </c>
    </row>
    <row r="208" spans="1:21" ht="38.25" x14ac:dyDescent="0.25">
      <c r="A208" s="359">
        <v>0</v>
      </c>
      <c r="B208" s="49" t="s">
        <v>5658</v>
      </c>
      <c r="C208" s="49" t="s">
        <v>5659</v>
      </c>
      <c r="D208" s="49">
        <v>182287</v>
      </c>
      <c r="E208" s="49" t="s">
        <v>5660</v>
      </c>
      <c r="F208" s="49" t="s">
        <v>4998</v>
      </c>
      <c r="G208" s="49" t="s">
        <v>5661</v>
      </c>
      <c r="H208" s="49" t="s">
        <v>5662</v>
      </c>
      <c r="I208" s="49" t="s">
        <v>5663</v>
      </c>
      <c r="J208" s="316">
        <v>44851</v>
      </c>
      <c r="K208" s="360">
        <v>44966</v>
      </c>
      <c r="L208" s="363" t="s">
        <v>28</v>
      </c>
      <c r="M208" s="317" t="s">
        <v>28</v>
      </c>
      <c r="N208" s="322">
        <v>45065</v>
      </c>
      <c r="O208" s="317" t="s">
        <v>5664</v>
      </c>
      <c r="P208" s="317">
        <v>2</v>
      </c>
      <c r="Q208" s="366">
        <v>45076</v>
      </c>
      <c r="R208" s="365" t="s">
        <v>264</v>
      </c>
      <c r="S208" s="364">
        <v>45077</v>
      </c>
      <c r="T208" s="364">
        <v>45077</v>
      </c>
      <c r="U208" s="348" t="s">
        <v>4999</v>
      </c>
    </row>
    <row r="209" spans="1:22" ht="25.5" x14ac:dyDescent="0.25">
      <c r="A209" s="359">
        <v>0</v>
      </c>
      <c r="B209" s="49" t="s">
        <v>5665</v>
      </c>
      <c r="C209" s="49" t="s">
        <v>1854</v>
      </c>
      <c r="D209" s="49">
        <v>182582</v>
      </c>
      <c r="E209" s="49" t="s">
        <v>5666</v>
      </c>
      <c r="F209" s="49" t="s">
        <v>4998</v>
      </c>
      <c r="G209" s="49" t="s">
        <v>5667</v>
      </c>
      <c r="H209" s="49" t="s">
        <v>5668</v>
      </c>
      <c r="I209" s="49" t="s">
        <v>1869</v>
      </c>
      <c r="J209" s="316">
        <v>45008</v>
      </c>
      <c r="K209" s="316">
        <v>45008</v>
      </c>
      <c r="L209" s="363" t="s">
        <v>28</v>
      </c>
      <c r="M209" s="317" t="s">
        <v>28</v>
      </c>
      <c r="N209" s="322">
        <v>45012</v>
      </c>
      <c r="O209" s="317" t="s">
        <v>5669</v>
      </c>
      <c r="P209" s="317">
        <v>2</v>
      </c>
      <c r="Q209" s="366">
        <v>45012</v>
      </c>
      <c r="R209" s="365" t="s">
        <v>264</v>
      </c>
      <c r="S209" s="364">
        <v>45012</v>
      </c>
      <c r="T209" s="364">
        <v>45012</v>
      </c>
      <c r="U209" s="348" t="s">
        <v>4999</v>
      </c>
    </row>
    <row r="210" spans="1:22" ht="25.5" x14ac:dyDescent="0.25">
      <c r="A210" s="359">
        <v>0</v>
      </c>
      <c r="B210" s="49" t="s">
        <v>5670</v>
      </c>
      <c r="C210" s="49" t="s">
        <v>132</v>
      </c>
      <c r="D210" s="49">
        <v>182583</v>
      </c>
      <c r="E210" s="49" t="s">
        <v>5671</v>
      </c>
      <c r="F210" s="49" t="s">
        <v>4998</v>
      </c>
      <c r="G210" s="49" t="s">
        <v>2521</v>
      </c>
      <c r="H210" s="49" t="s">
        <v>5672</v>
      </c>
      <c r="I210" s="49" t="s">
        <v>5673</v>
      </c>
      <c r="J210" s="316">
        <v>45008</v>
      </c>
      <c r="K210" s="316">
        <v>45009</v>
      </c>
      <c r="L210" s="363" t="s">
        <v>28</v>
      </c>
      <c r="M210" s="373" t="s">
        <v>28</v>
      </c>
      <c r="N210" s="322">
        <v>45012</v>
      </c>
      <c r="O210" s="317" t="s">
        <v>5674</v>
      </c>
      <c r="P210" s="317">
        <v>2</v>
      </c>
      <c r="Q210" s="366">
        <v>45016</v>
      </c>
      <c r="R210" s="365" t="s">
        <v>264</v>
      </c>
      <c r="S210" s="364">
        <v>45019</v>
      </c>
      <c r="T210" s="364">
        <v>45019</v>
      </c>
      <c r="U210" s="348" t="s">
        <v>4999</v>
      </c>
    </row>
    <row r="211" spans="1:22" ht="38.25" x14ac:dyDescent="0.25">
      <c r="A211" s="359">
        <v>0</v>
      </c>
      <c r="B211" s="49" t="s">
        <v>5675</v>
      </c>
      <c r="C211" s="49" t="s">
        <v>5466</v>
      </c>
      <c r="D211" s="49"/>
      <c r="E211" s="49"/>
      <c r="F211" s="49" t="s">
        <v>4998</v>
      </c>
      <c r="G211" s="49"/>
      <c r="H211" s="49"/>
      <c r="I211" s="49"/>
      <c r="J211" s="49"/>
      <c r="K211" s="372"/>
      <c r="L211" s="317"/>
      <c r="M211" s="317"/>
      <c r="N211" s="317"/>
      <c r="O211" s="317"/>
      <c r="P211" s="317"/>
      <c r="Q211" s="317"/>
      <c r="R211" s="364"/>
      <c r="S211" s="364"/>
      <c r="T211" s="364"/>
      <c r="U211" s="377"/>
    </row>
    <row r="212" spans="1:22" ht="25.5" x14ac:dyDescent="0.25">
      <c r="A212" s="359">
        <v>0</v>
      </c>
      <c r="B212" s="49" t="s">
        <v>5676</v>
      </c>
      <c r="C212" s="49" t="s">
        <v>5677</v>
      </c>
      <c r="D212" s="49">
        <v>182207</v>
      </c>
      <c r="E212" s="49" t="s">
        <v>5678</v>
      </c>
      <c r="F212" s="49" t="s">
        <v>4998</v>
      </c>
      <c r="G212" s="49" t="s">
        <v>5679</v>
      </c>
      <c r="H212" s="49" t="s">
        <v>5680</v>
      </c>
      <c r="I212" s="49" t="s">
        <v>5681</v>
      </c>
      <c r="J212" s="316">
        <v>44781</v>
      </c>
      <c r="K212" s="360">
        <v>45027</v>
      </c>
      <c r="L212" s="363" t="s">
        <v>28</v>
      </c>
      <c r="M212" s="317" t="s">
        <v>28</v>
      </c>
      <c r="N212" s="322">
        <v>45022</v>
      </c>
      <c r="O212" s="317" t="s">
        <v>5682</v>
      </c>
      <c r="P212" s="317" t="s">
        <v>5683</v>
      </c>
      <c r="Q212" s="366">
        <v>45022</v>
      </c>
      <c r="R212" s="365" t="s">
        <v>264</v>
      </c>
      <c r="S212" s="364">
        <v>45022</v>
      </c>
      <c r="T212" s="364">
        <v>45022</v>
      </c>
      <c r="U212" s="377" t="s">
        <v>4999</v>
      </c>
    </row>
    <row r="213" spans="1:22" ht="25.5" x14ac:dyDescent="0.25">
      <c r="A213" s="359">
        <v>0</v>
      </c>
      <c r="B213" s="49" t="s">
        <v>5684</v>
      </c>
      <c r="C213" s="49" t="s">
        <v>5525</v>
      </c>
      <c r="D213" s="49">
        <v>182594</v>
      </c>
      <c r="E213" s="49" t="s">
        <v>5685</v>
      </c>
      <c r="F213" s="49" t="s">
        <v>4998</v>
      </c>
      <c r="G213" s="49" t="s">
        <v>5686</v>
      </c>
      <c r="H213" s="49" t="s">
        <v>5687</v>
      </c>
      <c r="I213" s="49" t="s">
        <v>5529</v>
      </c>
      <c r="J213" s="316">
        <v>45014</v>
      </c>
      <c r="K213" s="360">
        <v>45021</v>
      </c>
      <c r="L213" s="363" t="s">
        <v>28</v>
      </c>
      <c r="M213" s="317" t="s">
        <v>28</v>
      </c>
      <c r="N213" s="322">
        <v>45022</v>
      </c>
      <c r="O213" s="317" t="s">
        <v>5688</v>
      </c>
      <c r="P213" s="317">
        <v>3</v>
      </c>
      <c r="Q213" s="366">
        <v>45022</v>
      </c>
      <c r="R213" s="365" t="s">
        <v>264</v>
      </c>
      <c r="S213" s="364">
        <v>45026</v>
      </c>
      <c r="T213" s="364">
        <v>45026</v>
      </c>
      <c r="U213" s="348" t="s">
        <v>4999</v>
      </c>
    </row>
    <row r="214" spans="1:22" ht="38.450000000000003" x14ac:dyDescent="0.25">
      <c r="A214" s="359">
        <v>0</v>
      </c>
      <c r="B214" s="49" t="s">
        <v>5689</v>
      </c>
      <c r="C214" s="49" t="s">
        <v>5690</v>
      </c>
      <c r="D214" s="49">
        <v>182484</v>
      </c>
      <c r="E214" s="49" t="s">
        <v>5691</v>
      </c>
      <c r="F214" s="49" t="s">
        <v>4998</v>
      </c>
      <c r="G214" s="49" t="s">
        <v>494</v>
      </c>
      <c r="H214" s="49" t="s">
        <v>495</v>
      </c>
      <c r="I214" s="49" t="s">
        <v>489</v>
      </c>
      <c r="J214" s="316">
        <v>44986</v>
      </c>
      <c r="K214" s="360">
        <v>45009</v>
      </c>
      <c r="L214" s="363" t="s">
        <v>28</v>
      </c>
      <c r="M214" s="317" t="s">
        <v>28</v>
      </c>
      <c r="N214" s="322">
        <v>45026</v>
      </c>
      <c r="O214" s="317" t="s">
        <v>490</v>
      </c>
      <c r="P214" s="317">
        <v>19</v>
      </c>
      <c r="Q214" s="322">
        <v>45070</v>
      </c>
      <c r="R214" s="365" t="s">
        <v>264</v>
      </c>
      <c r="S214" s="364">
        <v>45070</v>
      </c>
      <c r="T214" s="364">
        <v>45070</v>
      </c>
      <c r="U214" s="377" t="s">
        <v>4999</v>
      </c>
    </row>
    <row r="215" spans="1:22" ht="25.5" x14ac:dyDescent="0.25">
      <c r="A215" s="359">
        <v>0</v>
      </c>
      <c r="B215" s="49" t="s">
        <v>5692</v>
      </c>
      <c r="C215" s="49" t="s">
        <v>536</v>
      </c>
      <c r="D215" s="49">
        <v>182605</v>
      </c>
      <c r="E215" s="49" t="s">
        <v>5693</v>
      </c>
      <c r="F215" s="49" t="s">
        <v>4998</v>
      </c>
      <c r="G215" s="49" t="s">
        <v>3537</v>
      </c>
      <c r="H215" s="49" t="s">
        <v>5694</v>
      </c>
      <c r="I215" s="49" t="s">
        <v>5695</v>
      </c>
      <c r="J215" s="316">
        <v>45021</v>
      </c>
      <c r="K215" s="360">
        <v>45021</v>
      </c>
      <c r="L215" s="363" t="s">
        <v>28</v>
      </c>
      <c r="M215" s="317" t="s">
        <v>28</v>
      </c>
      <c r="N215" s="322">
        <v>45026</v>
      </c>
      <c r="O215" s="317" t="s">
        <v>3540</v>
      </c>
      <c r="P215" s="317">
        <v>1</v>
      </c>
      <c r="Q215" s="366">
        <v>45029</v>
      </c>
      <c r="R215" s="365" t="s">
        <v>264</v>
      </c>
      <c r="S215" s="364">
        <v>45029</v>
      </c>
      <c r="T215" s="364">
        <v>45029</v>
      </c>
      <c r="U215" s="348" t="s">
        <v>4999</v>
      </c>
    </row>
    <row r="216" spans="1:22" ht="25.7" x14ac:dyDescent="0.25">
      <c r="A216" s="359">
        <v>0</v>
      </c>
      <c r="B216" s="49" t="s">
        <v>5696</v>
      </c>
      <c r="C216" s="49" t="s">
        <v>5001</v>
      </c>
      <c r="D216" s="49">
        <v>182613</v>
      </c>
      <c r="E216" s="49" t="s">
        <v>5697</v>
      </c>
      <c r="F216" s="49" t="s">
        <v>4998</v>
      </c>
      <c r="G216" s="49" t="s">
        <v>5698</v>
      </c>
      <c r="H216" s="49" t="s">
        <v>5699</v>
      </c>
      <c r="I216" s="49" t="s">
        <v>160</v>
      </c>
      <c r="J216" s="316">
        <v>45026</v>
      </c>
      <c r="K216" s="360">
        <v>45028</v>
      </c>
      <c r="L216" s="322" t="s">
        <v>5116</v>
      </c>
      <c r="M216" s="317" t="s">
        <v>5116</v>
      </c>
      <c r="N216" s="366">
        <v>45093</v>
      </c>
      <c r="O216" s="366" t="s">
        <v>5700</v>
      </c>
      <c r="P216" s="317">
        <v>2</v>
      </c>
      <c r="Q216" s="366">
        <v>42537</v>
      </c>
      <c r="R216" s="365" t="s">
        <v>264</v>
      </c>
      <c r="S216" s="364">
        <v>45097</v>
      </c>
      <c r="T216" s="364">
        <v>45097</v>
      </c>
      <c r="U216" s="348" t="s">
        <v>4999</v>
      </c>
      <c r="V216" s="386"/>
    </row>
    <row r="217" spans="1:22" ht="25.7" x14ac:dyDescent="0.25">
      <c r="A217" s="359">
        <v>0</v>
      </c>
      <c r="B217" s="49" t="s">
        <v>5701</v>
      </c>
      <c r="C217" s="49" t="s">
        <v>5001</v>
      </c>
      <c r="D217" s="49">
        <v>182613</v>
      </c>
      <c r="E217" s="49" t="s">
        <v>5702</v>
      </c>
      <c r="F217" s="49" t="s">
        <v>4998</v>
      </c>
      <c r="G217" s="49" t="s">
        <v>5698</v>
      </c>
      <c r="H217" s="49" t="s">
        <v>273</v>
      </c>
      <c r="I217" s="49" t="s">
        <v>160</v>
      </c>
      <c r="J217" s="316">
        <v>45026</v>
      </c>
      <c r="K217" s="360">
        <v>45028</v>
      </c>
      <c r="L217" s="322" t="s">
        <v>5116</v>
      </c>
      <c r="M217" s="317" t="s">
        <v>5116</v>
      </c>
      <c r="N217" s="366">
        <v>45093</v>
      </c>
      <c r="O217" s="366" t="s">
        <v>5703</v>
      </c>
      <c r="P217" s="317">
        <v>2</v>
      </c>
      <c r="Q217" s="366">
        <v>45093</v>
      </c>
      <c r="R217" s="365" t="s">
        <v>264</v>
      </c>
      <c r="S217" s="364">
        <v>45097</v>
      </c>
      <c r="T217" s="364">
        <v>45097</v>
      </c>
      <c r="U217" s="348" t="s">
        <v>4999</v>
      </c>
      <c r="V217" s="386"/>
    </row>
    <row r="218" spans="1:22" ht="38.25" x14ac:dyDescent="0.25">
      <c r="A218" s="359">
        <v>0</v>
      </c>
      <c r="B218" s="49" t="s">
        <v>5704</v>
      </c>
      <c r="C218" s="49" t="s">
        <v>132</v>
      </c>
      <c r="D218" s="49">
        <v>182624</v>
      </c>
      <c r="E218" s="49" t="s">
        <v>5705</v>
      </c>
      <c r="F218" s="49" t="s">
        <v>4998</v>
      </c>
      <c r="G218" s="49" t="s">
        <v>5706</v>
      </c>
      <c r="H218" s="49" t="s">
        <v>5707</v>
      </c>
      <c r="I218" s="49" t="s">
        <v>5708</v>
      </c>
      <c r="J218" s="316">
        <v>45030</v>
      </c>
      <c r="K218" s="316">
        <v>45033</v>
      </c>
      <c r="L218" s="363" t="s">
        <v>5709</v>
      </c>
      <c r="M218" s="373" t="s">
        <v>5709</v>
      </c>
      <c r="N218" s="322">
        <v>45033</v>
      </c>
      <c r="O218" s="317" t="s">
        <v>5710</v>
      </c>
      <c r="P218" s="317">
        <v>1</v>
      </c>
      <c r="Q218" s="366">
        <v>45042</v>
      </c>
      <c r="R218" s="365" t="s">
        <v>264</v>
      </c>
      <c r="S218" s="364">
        <v>45049</v>
      </c>
      <c r="T218" s="364">
        <v>45049</v>
      </c>
      <c r="U218" s="348" t="s">
        <v>4999</v>
      </c>
    </row>
    <row r="219" spans="1:22" ht="25.5" x14ac:dyDescent="0.25">
      <c r="A219" s="359">
        <v>0</v>
      </c>
      <c r="B219" s="49" t="s">
        <v>5711</v>
      </c>
      <c r="C219" s="49" t="s">
        <v>1904</v>
      </c>
      <c r="D219" s="49">
        <v>182578</v>
      </c>
      <c r="E219" s="49" t="s">
        <v>5712</v>
      </c>
      <c r="F219" s="49" t="s">
        <v>4998</v>
      </c>
      <c r="G219" s="49" t="s">
        <v>1900</v>
      </c>
      <c r="H219" s="49" t="s">
        <v>5713</v>
      </c>
      <c r="I219" s="49" t="s">
        <v>1902</v>
      </c>
      <c r="J219" s="316">
        <v>45006</v>
      </c>
      <c r="K219" s="360">
        <v>45014</v>
      </c>
      <c r="L219" s="363" t="s">
        <v>28</v>
      </c>
      <c r="M219" s="317" t="s">
        <v>28</v>
      </c>
      <c r="N219" s="322">
        <v>45043</v>
      </c>
      <c r="O219" s="317" t="s">
        <v>235</v>
      </c>
      <c r="P219" s="391">
        <v>17</v>
      </c>
      <c r="Q219" s="366">
        <v>45083</v>
      </c>
      <c r="R219" s="365" t="s">
        <v>264</v>
      </c>
      <c r="S219" s="364">
        <v>45089</v>
      </c>
      <c r="T219" s="364">
        <v>45089</v>
      </c>
      <c r="U219" s="348" t="s">
        <v>1687</v>
      </c>
    </row>
    <row r="220" spans="1:22" ht="38.25" x14ac:dyDescent="0.25">
      <c r="A220" s="359">
        <v>0</v>
      </c>
      <c r="B220" s="49" t="s">
        <v>5714</v>
      </c>
      <c r="C220" s="49" t="s">
        <v>1791</v>
      </c>
      <c r="D220" s="49">
        <v>182634</v>
      </c>
      <c r="E220" s="49" t="s">
        <v>5715</v>
      </c>
      <c r="F220" s="49" t="s">
        <v>4998</v>
      </c>
      <c r="G220" s="49" t="s">
        <v>1793</v>
      </c>
      <c r="H220" s="49" t="s">
        <v>5716</v>
      </c>
      <c r="I220" s="49" t="s">
        <v>504</v>
      </c>
      <c r="J220" s="316">
        <v>45043</v>
      </c>
      <c r="K220" s="360">
        <v>45043</v>
      </c>
      <c r="L220" s="363" t="s">
        <v>28</v>
      </c>
      <c r="M220" s="317" t="s">
        <v>28</v>
      </c>
      <c r="N220" s="322">
        <v>45043</v>
      </c>
      <c r="O220" s="317" t="s">
        <v>505</v>
      </c>
      <c r="P220" s="317">
        <v>4</v>
      </c>
      <c r="Q220" s="366">
        <v>45044</v>
      </c>
      <c r="R220" s="365" t="s">
        <v>264</v>
      </c>
      <c r="S220" s="364">
        <v>45048</v>
      </c>
      <c r="T220" s="364">
        <v>45048</v>
      </c>
      <c r="U220" s="348" t="s">
        <v>4999</v>
      </c>
    </row>
    <row r="221" spans="1:22" ht="25.5" x14ac:dyDescent="0.25">
      <c r="A221" s="359">
        <v>0</v>
      </c>
      <c r="B221" s="49" t="s">
        <v>5717</v>
      </c>
      <c r="C221" s="49" t="s">
        <v>5001</v>
      </c>
      <c r="D221" s="49">
        <v>182633</v>
      </c>
      <c r="E221" s="49" t="s">
        <v>5718</v>
      </c>
      <c r="F221" s="49" t="s">
        <v>4998</v>
      </c>
      <c r="G221" s="49" t="s">
        <v>5719</v>
      </c>
      <c r="H221" s="49" t="s">
        <v>5720</v>
      </c>
      <c r="I221" s="49" t="s">
        <v>53</v>
      </c>
      <c r="J221" s="316">
        <v>45042</v>
      </c>
      <c r="K221" s="360">
        <v>45042</v>
      </c>
      <c r="L221" s="363" t="s">
        <v>28</v>
      </c>
      <c r="M221" s="317" t="s">
        <v>28</v>
      </c>
      <c r="N221" s="322">
        <v>45044</v>
      </c>
      <c r="O221" s="317" t="s">
        <v>3236</v>
      </c>
      <c r="P221" s="317">
        <v>3</v>
      </c>
      <c r="Q221" s="322">
        <v>45070</v>
      </c>
      <c r="R221" s="365" t="s">
        <v>264</v>
      </c>
      <c r="S221" s="364">
        <v>45077</v>
      </c>
      <c r="T221" s="364">
        <v>45077</v>
      </c>
      <c r="U221" s="348" t="s">
        <v>4999</v>
      </c>
    </row>
    <row r="222" spans="1:22" ht="25.5" x14ac:dyDescent="0.25">
      <c r="A222" s="359">
        <v>0</v>
      </c>
      <c r="B222" s="49" t="s">
        <v>5721</v>
      </c>
      <c r="C222" s="49" t="s">
        <v>1854</v>
      </c>
      <c r="D222" s="49">
        <v>182638</v>
      </c>
      <c r="E222" s="49" t="s">
        <v>5722</v>
      </c>
      <c r="F222" s="49" t="s">
        <v>4998</v>
      </c>
      <c r="G222" s="49" t="s">
        <v>1147</v>
      </c>
      <c r="H222" s="49" t="s">
        <v>5723</v>
      </c>
      <c r="I222" s="49" t="s">
        <v>1869</v>
      </c>
      <c r="J222" s="316">
        <v>45044</v>
      </c>
      <c r="K222" s="316">
        <v>45048</v>
      </c>
      <c r="L222" s="363" t="s">
        <v>28</v>
      </c>
      <c r="M222" s="317" t="s">
        <v>28</v>
      </c>
      <c r="N222" s="322">
        <v>45049</v>
      </c>
      <c r="O222" s="317" t="s">
        <v>5724</v>
      </c>
      <c r="P222" s="317">
        <v>4</v>
      </c>
      <c r="Q222" s="366">
        <v>45049</v>
      </c>
      <c r="R222" s="365" t="s">
        <v>264</v>
      </c>
      <c r="S222" s="364">
        <v>45050</v>
      </c>
      <c r="T222" s="364">
        <v>45050</v>
      </c>
      <c r="U222" s="348" t="s">
        <v>4999</v>
      </c>
    </row>
    <row r="223" spans="1:22" ht="38.25" x14ac:dyDescent="0.25">
      <c r="A223" s="359">
        <v>0</v>
      </c>
      <c r="B223" s="49" t="s">
        <v>5725</v>
      </c>
      <c r="C223" s="49" t="s">
        <v>5543</v>
      </c>
      <c r="D223" s="49">
        <v>182646</v>
      </c>
      <c r="E223" s="49" t="s">
        <v>5726</v>
      </c>
      <c r="F223" s="49" t="s">
        <v>4998</v>
      </c>
      <c r="G223" s="49" t="s">
        <v>2136</v>
      </c>
      <c r="H223" s="49" t="s">
        <v>5727</v>
      </c>
      <c r="I223" s="49" t="s">
        <v>2858</v>
      </c>
      <c r="J223" s="316">
        <v>45048</v>
      </c>
      <c r="K223" s="360">
        <v>45049</v>
      </c>
      <c r="L223" s="363" t="s">
        <v>28</v>
      </c>
      <c r="M223" s="317" t="s">
        <v>28</v>
      </c>
      <c r="N223" s="322">
        <v>45050</v>
      </c>
      <c r="O223" s="317" t="s">
        <v>2859</v>
      </c>
      <c r="P223" s="317">
        <v>2</v>
      </c>
      <c r="Q223" s="366">
        <v>45050</v>
      </c>
      <c r="R223" s="365" t="s">
        <v>264</v>
      </c>
      <c r="S223" s="364">
        <v>45055</v>
      </c>
      <c r="T223" s="364">
        <v>45055</v>
      </c>
      <c r="U223" s="348" t="s">
        <v>4999</v>
      </c>
    </row>
    <row r="224" spans="1:22" ht="25.5" x14ac:dyDescent="0.25">
      <c r="A224" s="359">
        <v>0</v>
      </c>
      <c r="B224" s="49" t="s">
        <v>5728</v>
      </c>
      <c r="C224" s="49" t="s">
        <v>1820</v>
      </c>
      <c r="D224" s="49">
        <v>182652</v>
      </c>
      <c r="E224" s="49" t="s">
        <v>5729</v>
      </c>
      <c r="F224" s="49" t="s">
        <v>4998</v>
      </c>
      <c r="G224" s="49" t="s">
        <v>427</v>
      </c>
      <c r="H224" s="49" t="s">
        <v>5730</v>
      </c>
      <c r="I224" s="49" t="s">
        <v>588</v>
      </c>
      <c r="J224" s="316">
        <v>45054</v>
      </c>
      <c r="K224" s="360">
        <v>45065</v>
      </c>
      <c r="L224" s="363" t="s">
        <v>28</v>
      </c>
      <c r="M224" s="317" t="s">
        <v>28</v>
      </c>
      <c r="N224" s="322">
        <v>45055</v>
      </c>
      <c r="O224" s="317" t="s">
        <v>430</v>
      </c>
      <c r="P224" s="317">
        <v>2</v>
      </c>
      <c r="Q224" s="366">
        <v>45055</v>
      </c>
      <c r="R224" s="365" t="s">
        <v>264</v>
      </c>
      <c r="S224" s="364">
        <v>45055</v>
      </c>
      <c r="T224" s="364">
        <v>45055</v>
      </c>
      <c r="U224" s="348" t="s">
        <v>4999</v>
      </c>
    </row>
    <row r="225" spans="1:22" ht="25.5" x14ac:dyDescent="0.25">
      <c r="A225" s="359">
        <v>0</v>
      </c>
      <c r="B225" s="49" t="s">
        <v>5731</v>
      </c>
      <c r="C225" s="49" t="s">
        <v>5732</v>
      </c>
      <c r="D225" s="49">
        <v>182657</v>
      </c>
      <c r="E225" s="49" t="s">
        <v>5733</v>
      </c>
      <c r="F225" s="49" t="s">
        <v>4998</v>
      </c>
      <c r="G225" s="49" t="s">
        <v>5734</v>
      </c>
      <c r="H225" s="49" t="s">
        <v>5735</v>
      </c>
      <c r="I225" s="49" t="s">
        <v>5736</v>
      </c>
      <c r="J225" s="316">
        <v>45055</v>
      </c>
      <c r="K225" s="360">
        <v>45055</v>
      </c>
      <c r="L225" s="363" t="s">
        <v>28</v>
      </c>
      <c r="M225" s="317" t="s">
        <v>28</v>
      </c>
      <c r="N225" s="322">
        <v>45055</v>
      </c>
      <c r="O225" s="317" t="s">
        <v>5737</v>
      </c>
      <c r="P225" s="317">
        <v>2</v>
      </c>
      <c r="Q225" s="366">
        <v>45055</v>
      </c>
      <c r="R225" s="365" t="s">
        <v>264</v>
      </c>
      <c r="S225" s="364">
        <v>45055</v>
      </c>
      <c r="T225" s="364">
        <v>45055</v>
      </c>
      <c r="U225" s="348" t="s">
        <v>4999</v>
      </c>
    </row>
    <row r="226" spans="1:22" x14ac:dyDescent="0.25">
      <c r="A226" s="359">
        <v>0</v>
      </c>
      <c r="B226" s="49" t="s">
        <v>5738</v>
      </c>
      <c r="C226" s="49" t="s">
        <v>1680</v>
      </c>
      <c r="D226" s="49">
        <v>181202</v>
      </c>
      <c r="E226" s="49" t="s">
        <v>5739</v>
      </c>
      <c r="F226" s="49" t="s">
        <v>4998</v>
      </c>
      <c r="G226" s="49" t="s">
        <v>5740</v>
      </c>
      <c r="H226" s="49" t="s">
        <v>5741</v>
      </c>
      <c r="I226" s="49" t="s">
        <v>143</v>
      </c>
      <c r="J226" s="316"/>
      <c r="K226" s="316"/>
      <c r="L226" s="363" t="s">
        <v>28</v>
      </c>
      <c r="M226" s="317" t="s">
        <v>28</v>
      </c>
      <c r="N226" s="322">
        <v>45058</v>
      </c>
      <c r="O226" s="317" t="s">
        <v>5742</v>
      </c>
      <c r="P226" s="317">
        <v>1</v>
      </c>
      <c r="Q226" s="317"/>
      <c r="R226" s="365"/>
      <c r="S226" s="365"/>
      <c r="T226" s="365"/>
      <c r="U226" s="348"/>
    </row>
    <row r="227" spans="1:22" ht="25.5" x14ac:dyDescent="0.25">
      <c r="A227" s="359">
        <v>0</v>
      </c>
      <c r="B227" s="49" t="s">
        <v>5743</v>
      </c>
      <c r="C227" s="49" t="s">
        <v>5732</v>
      </c>
      <c r="D227" s="49">
        <v>182662</v>
      </c>
      <c r="E227" s="49" t="s">
        <v>5744</v>
      </c>
      <c r="F227" s="49" t="s">
        <v>4998</v>
      </c>
      <c r="G227" s="49" t="s">
        <v>5745</v>
      </c>
      <c r="H227" s="49" t="s">
        <v>5746</v>
      </c>
      <c r="I227" s="49" t="s">
        <v>5747</v>
      </c>
      <c r="J227" s="316">
        <v>45057</v>
      </c>
      <c r="K227" s="360">
        <v>45057</v>
      </c>
      <c r="L227" s="317" t="s">
        <v>28</v>
      </c>
      <c r="M227" s="317" t="s">
        <v>28</v>
      </c>
      <c r="N227" s="322">
        <v>45057</v>
      </c>
      <c r="O227" s="317" t="s">
        <v>5748</v>
      </c>
      <c r="P227" s="317">
        <v>3</v>
      </c>
      <c r="Q227" s="366">
        <v>45068</v>
      </c>
      <c r="R227" s="365" t="s">
        <v>264</v>
      </c>
      <c r="S227" s="364">
        <v>45068</v>
      </c>
      <c r="T227" s="364">
        <v>45068</v>
      </c>
      <c r="U227" s="348" t="s">
        <v>4999</v>
      </c>
    </row>
    <row r="228" spans="1:22" ht="38.450000000000003" x14ac:dyDescent="0.25">
      <c r="A228" s="359">
        <v>0</v>
      </c>
      <c r="B228" s="49" t="s">
        <v>5749</v>
      </c>
      <c r="C228" s="49" t="s">
        <v>5001</v>
      </c>
      <c r="D228" s="49">
        <v>182636</v>
      </c>
      <c r="E228" s="49" t="s">
        <v>5750</v>
      </c>
      <c r="F228" s="49" t="s">
        <v>4998</v>
      </c>
      <c r="G228" s="49" t="s">
        <v>5751</v>
      </c>
      <c r="H228" s="49" t="s">
        <v>5752</v>
      </c>
      <c r="I228" s="316" t="s">
        <v>5753</v>
      </c>
      <c r="J228" s="316">
        <v>45057</v>
      </c>
      <c r="K228" s="360">
        <v>45057</v>
      </c>
      <c r="L228" s="363" t="s">
        <v>47</v>
      </c>
      <c r="M228" s="317" t="s">
        <v>47</v>
      </c>
      <c r="N228" s="366">
        <v>45118</v>
      </c>
      <c r="O228" s="367" t="s">
        <v>2648</v>
      </c>
      <c r="P228" s="367">
        <v>1</v>
      </c>
      <c r="Q228" s="366">
        <v>45173</v>
      </c>
      <c r="R228" s="365" t="s">
        <v>264</v>
      </c>
      <c r="S228" s="364">
        <v>45173</v>
      </c>
      <c r="T228" s="364">
        <v>45173</v>
      </c>
      <c r="U228" s="348" t="s">
        <v>4999</v>
      </c>
    </row>
    <row r="229" spans="1:22" ht="25.5" x14ac:dyDescent="0.25">
      <c r="A229" s="359">
        <v>0</v>
      </c>
      <c r="B229" s="49" t="s">
        <v>5754</v>
      </c>
      <c r="C229" s="49" t="s">
        <v>5472</v>
      </c>
      <c r="D229" s="49">
        <v>182676</v>
      </c>
      <c r="E229" s="49" t="s">
        <v>5755</v>
      </c>
      <c r="F229" s="49" t="s">
        <v>4998</v>
      </c>
      <c r="G229" s="316" t="s">
        <v>2840</v>
      </c>
      <c r="H229" s="316" t="s">
        <v>5756</v>
      </c>
      <c r="I229" s="316" t="s">
        <v>5757</v>
      </c>
      <c r="J229" s="316">
        <v>45057</v>
      </c>
      <c r="K229" s="360">
        <v>45061</v>
      </c>
      <c r="L229" s="363" t="s">
        <v>47</v>
      </c>
      <c r="M229" s="317" t="s">
        <v>47</v>
      </c>
      <c r="N229" s="366">
        <v>45061</v>
      </c>
      <c r="O229" s="367">
        <v>215780</v>
      </c>
      <c r="P229" s="367">
        <v>5</v>
      </c>
      <c r="Q229" s="366">
        <v>45145</v>
      </c>
      <c r="R229" s="365" t="s">
        <v>264</v>
      </c>
      <c r="S229" s="364">
        <v>45148</v>
      </c>
      <c r="T229" s="364">
        <v>45148</v>
      </c>
      <c r="U229" s="348" t="s">
        <v>4999</v>
      </c>
    </row>
    <row r="230" spans="1:22" ht="38.25" x14ac:dyDescent="0.25">
      <c r="A230" s="359">
        <v>0</v>
      </c>
      <c r="B230" s="49" t="s">
        <v>5758</v>
      </c>
      <c r="C230" s="49" t="s">
        <v>219</v>
      </c>
      <c r="D230" s="49">
        <v>182668</v>
      </c>
      <c r="E230" s="49" t="s">
        <v>5759</v>
      </c>
      <c r="F230" s="49" t="s">
        <v>4998</v>
      </c>
      <c r="G230" s="316" t="s">
        <v>2546</v>
      </c>
      <c r="H230" s="316" t="s">
        <v>5760</v>
      </c>
      <c r="I230" s="316" t="s">
        <v>160</v>
      </c>
      <c r="J230" s="316">
        <v>45061</v>
      </c>
      <c r="K230" s="360">
        <v>45061</v>
      </c>
      <c r="L230" s="322" t="s">
        <v>5116</v>
      </c>
      <c r="M230" s="367" t="s">
        <v>28</v>
      </c>
      <c r="N230" s="366">
        <v>45076</v>
      </c>
      <c r="O230" s="367" t="s">
        <v>5761</v>
      </c>
      <c r="P230" s="367">
        <v>3</v>
      </c>
      <c r="Q230" s="366">
        <v>45076</v>
      </c>
      <c r="R230" s="365" t="s">
        <v>264</v>
      </c>
      <c r="S230" s="364">
        <v>45061</v>
      </c>
      <c r="T230" s="364">
        <v>45061</v>
      </c>
      <c r="U230" s="348" t="s">
        <v>4999</v>
      </c>
    </row>
    <row r="231" spans="1:22" ht="25.7" x14ac:dyDescent="0.25">
      <c r="A231" s="359">
        <v>0</v>
      </c>
      <c r="B231" s="49" t="s">
        <v>5762</v>
      </c>
      <c r="C231" s="49" t="s">
        <v>5472</v>
      </c>
      <c r="D231" s="49">
        <v>182667</v>
      </c>
      <c r="E231" s="49" t="s">
        <v>5763</v>
      </c>
      <c r="F231" s="316" t="s">
        <v>4998</v>
      </c>
      <c r="G231" s="316" t="s">
        <v>5764</v>
      </c>
      <c r="H231" s="316" t="s">
        <v>5765</v>
      </c>
      <c r="I231" s="316" t="s">
        <v>5757</v>
      </c>
      <c r="J231" s="316">
        <v>45057</v>
      </c>
      <c r="K231" s="360">
        <v>45061</v>
      </c>
      <c r="L231" s="363" t="s">
        <v>47</v>
      </c>
      <c r="M231" s="317" t="s">
        <v>47</v>
      </c>
      <c r="N231" s="366">
        <v>45061</v>
      </c>
      <c r="O231" s="367">
        <v>215780</v>
      </c>
      <c r="P231" s="367">
        <v>1</v>
      </c>
      <c r="Q231" s="366">
        <v>45092</v>
      </c>
      <c r="R231" s="364" t="s">
        <v>264</v>
      </c>
      <c r="S231" s="364">
        <v>45148</v>
      </c>
      <c r="T231" s="364">
        <v>45148</v>
      </c>
      <c r="U231" s="348" t="s">
        <v>4999</v>
      </c>
    </row>
    <row r="232" spans="1:22" ht="14.25" x14ac:dyDescent="0.25">
      <c r="A232" s="359">
        <v>0</v>
      </c>
      <c r="B232" s="49" t="s">
        <v>5766</v>
      </c>
      <c r="C232" s="49" t="s">
        <v>69</v>
      </c>
      <c r="D232" s="49">
        <v>182681</v>
      </c>
      <c r="E232" s="49" t="s">
        <v>5767</v>
      </c>
      <c r="F232" s="49" t="s">
        <v>4998</v>
      </c>
      <c r="G232" s="49" t="s">
        <v>5768</v>
      </c>
      <c r="H232" s="49" t="s">
        <v>3865</v>
      </c>
      <c r="I232" s="49" t="s">
        <v>73</v>
      </c>
      <c r="J232" s="316">
        <v>45064</v>
      </c>
      <c r="K232" s="360">
        <v>45071</v>
      </c>
      <c r="L232" s="363" t="s">
        <v>28</v>
      </c>
      <c r="M232" s="317" t="s">
        <v>28</v>
      </c>
      <c r="N232" s="322">
        <v>45076</v>
      </c>
      <c r="O232" s="317" t="s">
        <v>2157</v>
      </c>
      <c r="P232" s="317">
        <v>10</v>
      </c>
      <c r="Q232" s="366">
        <v>45082</v>
      </c>
      <c r="R232" s="365" t="s">
        <v>264</v>
      </c>
      <c r="S232" s="364">
        <v>45090</v>
      </c>
      <c r="T232" s="364">
        <v>45092</v>
      </c>
      <c r="U232" s="348" t="s">
        <v>4999</v>
      </c>
    </row>
    <row r="233" spans="1:22" ht="30" x14ac:dyDescent="0.25">
      <c r="A233" s="359">
        <v>0</v>
      </c>
      <c r="B233" s="49" t="s">
        <v>5769</v>
      </c>
      <c r="C233" s="49" t="s">
        <v>5543</v>
      </c>
      <c r="D233" s="49">
        <v>182705</v>
      </c>
      <c r="E233" s="49" t="s">
        <v>5770</v>
      </c>
      <c r="F233" s="49" t="s">
        <v>4998</v>
      </c>
      <c r="G233" s="49" t="s">
        <v>5771</v>
      </c>
      <c r="H233" s="49" t="s">
        <v>5772</v>
      </c>
      <c r="I233" s="49" t="s">
        <v>2858</v>
      </c>
      <c r="J233" s="316">
        <v>45071</v>
      </c>
      <c r="K233" s="360">
        <v>45076</v>
      </c>
      <c r="L233" s="322" t="s">
        <v>5116</v>
      </c>
      <c r="M233" s="317" t="s">
        <v>464</v>
      </c>
      <c r="N233" s="322">
        <v>45089</v>
      </c>
      <c r="O233" s="317" t="s">
        <v>2859</v>
      </c>
      <c r="P233" s="317">
        <v>1</v>
      </c>
      <c r="Q233" s="366">
        <v>45092</v>
      </c>
      <c r="R233" s="365"/>
      <c r="S233" s="365"/>
      <c r="T233" s="365"/>
      <c r="U233" s="348"/>
      <c r="V233" s="351" t="s">
        <v>5773</v>
      </c>
    </row>
    <row r="234" spans="1:22" ht="38.25" x14ac:dyDescent="0.25">
      <c r="A234" s="359">
        <v>0</v>
      </c>
      <c r="B234" s="49" t="s">
        <v>5774</v>
      </c>
      <c r="C234" s="49" t="s">
        <v>5466</v>
      </c>
      <c r="D234" s="49">
        <v>182703</v>
      </c>
      <c r="E234" s="49" t="s">
        <v>5775</v>
      </c>
      <c r="F234" s="49" t="s">
        <v>4998</v>
      </c>
      <c r="G234" s="49" t="s">
        <v>5776</v>
      </c>
      <c r="H234" s="49" t="s">
        <v>5777</v>
      </c>
      <c r="I234" s="49" t="s">
        <v>5778</v>
      </c>
      <c r="J234" s="316">
        <v>45042</v>
      </c>
      <c r="K234" s="360">
        <v>45076</v>
      </c>
      <c r="L234" s="322" t="s">
        <v>5116</v>
      </c>
      <c r="M234" s="317" t="s">
        <v>464</v>
      </c>
      <c r="N234" s="322">
        <v>45091</v>
      </c>
      <c r="O234" s="317">
        <v>70220244</v>
      </c>
      <c r="P234" s="317">
        <v>11</v>
      </c>
      <c r="Q234" s="367"/>
      <c r="R234" s="365"/>
      <c r="S234" s="365"/>
      <c r="T234" s="365"/>
      <c r="U234" s="348"/>
    </row>
    <row r="235" spans="1:22" ht="25.5" x14ac:dyDescent="0.25">
      <c r="A235" s="359">
        <v>0</v>
      </c>
      <c r="B235" s="49" t="s">
        <v>5779</v>
      </c>
      <c r="C235" s="49" t="s">
        <v>132</v>
      </c>
      <c r="D235" s="49">
        <v>182696</v>
      </c>
      <c r="E235" s="49" t="s">
        <v>5780</v>
      </c>
      <c r="F235" s="49" t="s">
        <v>4998</v>
      </c>
      <c r="G235" s="49" t="s">
        <v>633</v>
      </c>
      <c r="H235" s="49" t="s">
        <v>5781</v>
      </c>
      <c r="I235" s="49" t="s">
        <v>5782</v>
      </c>
      <c r="J235" s="316">
        <v>45072</v>
      </c>
      <c r="K235" s="360">
        <v>45073</v>
      </c>
      <c r="L235" s="322" t="s">
        <v>5116</v>
      </c>
      <c r="M235" s="317" t="s">
        <v>28</v>
      </c>
      <c r="N235" s="322">
        <v>45083</v>
      </c>
      <c r="O235" s="317" t="s">
        <v>5783</v>
      </c>
      <c r="P235" s="317">
        <v>2</v>
      </c>
      <c r="Q235" s="366">
        <v>45091</v>
      </c>
      <c r="R235" s="365" t="s">
        <v>264</v>
      </c>
      <c r="S235" s="364">
        <v>45091</v>
      </c>
      <c r="T235" s="364">
        <v>45091</v>
      </c>
      <c r="U235" s="348" t="s">
        <v>4999</v>
      </c>
    </row>
    <row r="236" spans="1:22" ht="25.7" x14ac:dyDescent="0.25">
      <c r="A236" s="359">
        <v>0</v>
      </c>
      <c r="B236" s="49" t="s">
        <v>5784</v>
      </c>
      <c r="C236" s="49" t="s">
        <v>132</v>
      </c>
      <c r="D236" s="49">
        <v>182697</v>
      </c>
      <c r="E236" s="49" t="s">
        <v>5785</v>
      </c>
      <c r="F236" s="49" t="s">
        <v>4998</v>
      </c>
      <c r="G236" s="49" t="s">
        <v>5786</v>
      </c>
      <c r="H236" s="49"/>
      <c r="I236" s="49" t="s">
        <v>5787</v>
      </c>
      <c r="J236" s="49"/>
      <c r="K236" s="361"/>
      <c r="L236" s="363"/>
      <c r="M236" s="317"/>
      <c r="N236" s="317"/>
      <c r="O236" s="317"/>
      <c r="P236" s="317"/>
      <c r="Q236" s="367"/>
      <c r="R236" s="365"/>
      <c r="S236" s="365"/>
      <c r="T236" s="365"/>
      <c r="U236" s="348"/>
    </row>
    <row r="237" spans="1:22" ht="25.5" x14ac:dyDescent="0.25">
      <c r="A237" s="359">
        <v>0</v>
      </c>
      <c r="B237" s="49" t="s">
        <v>5788</v>
      </c>
      <c r="C237" s="49" t="s">
        <v>1854</v>
      </c>
      <c r="D237" s="49">
        <v>182699</v>
      </c>
      <c r="E237" s="49" t="s">
        <v>5789</v>
      </c>
      <c r="F237" s="49" t="s">
        <v>4998</v>
      </c>
      <c r="G237" s="49" t="s">
        <v>5790</v>
      </c>
      <c r="H237" s="49" t="s">
        <v>5791</v>
      </c>
      <c r="I237" s="49" t="s">
        <v>1869</v>
      </c>
      <c r="J237" s="316">
        <v>45071</v>
      </c>
      <c r="K237" s="360">
        <v>45078</v>
      </c>
      <c r="L237" s="322" t="s">
        <v>5116</v>
      </c>
      <c r="M237" s="317" t="s">
        <v>28</v>
      </c>
      <c r="N237" s="322">
        <v>45084</v>
      </c>
      <c r="O237" s="317" t="s">
        <v>5792</v>
      </c>
      <c r="P237" s="317">
        <v>4</v>
      </c>
      <c r="Q237" s="366">
        <v>45084</v>
      </c>
      <c r="R237" s="365" t="s">
        <v>264</v>
      </c>
      <c r="S237" s="364">
        <v>45092</v>
      </c>
      <c r="T237" s="364">
        <v>45092</v>
      </c>
      <c r="U237" s="348" t="s">
        <v>4999</v>
      </c>
    </row>
    <row r="238" spans="1:22" ht="14.25" x14ac:dyDescent="0.25">
      <c r="A238" s="359">
        <v>0</v>
      </c>
      <c r="B238" s="49" t="s">
        <v>5793</v>
      </c>
      <c r="C238" s="49" t="s">
        <v>1680</v>
      </c>
      <c r="D238" s="49">
        <v>182698</v>
      </c>
      <c r="E238" s="49" t="s">
        <v>5794</v>
      </c>
      <c r="F238" s="49" t="s">
        <v>4998</v>
      </c>
      <c r="G238" s="49" t="s">
        <v>5795</v>
      </c>
      <c r="H238" s="49" t="s">
        <v>5796</v>
      </c>
      <c r="I238" s="49" t="s">
        <v>1938</v>
      </c>
      <c r="J238" s="49"/>
      <c r="K238" s="360">
        <v>45078</v>
      </c>
      <c r="L238" s="363" t="s">
        <v>464</v>
      </c>
      <c r="M238" s="317" t="s">
        <v>464</v>
      </c>
      <c r="N238" s="322">
        <v>45090</v>
      </c>
      <c r="O238" s="317" t="s">
        <v>5797</v>
      </c>
      <c r="P238" s="317">
        <v>1</v>
      </c>
      <c r="Q238" s="366">
        <v>45090</v>
      </c>
      <c r="R238" s="365" t="s">
        <v>264</v>
      </c>
      <c r="S238" s="364">
        <v>45090</v>
      </c>
      <c r="T238" s="364">
        <v>45090</v>
      </c>
      <c r="U238" s="348"/>
    </row>
    <row r="239" spans="1:22" x14ac:dyDescent="0.25">
      <c r="A239" s="359">
        <v>0</v>
      </c>
      <c r="B239" s="49" t="s">
        <v>5798</v>
      </c>
      <c r="C239" s="49" t="s">
        <v>69</v>
      </c>
      <c r="D239" s="49">
        <v>182060</v>
      </c>
      <c r="E239" s="49" t="s">
        <v>5799</v>
      </c>
      <c r="F239" s="49" t="s">
        <v>4998</v>
      </c>
      <c r="G239" s="49" t="s">
        <v>5034</v>
      </c>
      <c r="H239" s="49" t="s">
        <v>5800</v>
      </c>
      <c r="I239" s="49" t="s">
        <v>73</v>
      </c>
      <c r="J239" s="316">
        <v>45159</v>
      </c>
      <c r="K239" s="316">
        <v>45159</v>
      </c>
      <c r="L239" s="363" t="s">
        <v>47</v>
      </c>
      <c r="M239" s="317" t="s">
        <v>47</v>
      </c>
      <c r="N239" s="322">
        <v>45159</v>
      </c>
      <c r="O239" s="317" t="s">
        <v>5801</v>
      </c>
      <c r="P239" s="317">
        <v>8</v>
      </c>
      <c r="Q239" s="366">
        <v>45160</v>
      </c>
      <c r="R239" s="365" t="s">
        <v>264</v>
      </c>
      <c r="S239" s="364">
        <v>45160</v>
      </c>
      <c r="T239" s="364">
        <v>45160</v>
      </c>
      <c r="U239" s="348" t="s">
        <v>4999</v>
      </c>
    </row>
    <row r="240" spans="1:22" ht="25.5" x14ac:dyDescent="0.25">
      <c r="A240" s="359">
        <v>0</v>
      </c>
      <c r="B240" s="49" t="s">
        <v>5802</v>
      </c>
      <c r="C240" s="49" t="s">
        <v>69</v>
      </c>
      <c r="D240" s="49">
        <v>182872</v>
      </c>
      <c r="E240" s="49" t="s">
        <v>5803</v>
      </c>
      <c r="F240" s="49" t="s">
        <v>4998</v>
      </c>
      <c r="G240" s="49" t="s">
        <v>5804</v>
      </c>
      <c r="H240" s="49" t="s">
        <v>5805</v>
      </c>
      <c r="I240" s="49" t="s">
        <v>73</v>
      </c>
      <c r="J240" s="316">
        <v>45145</v>
      </c>
      <c r="K240" s="361" t="s">
        <v>5806</v>
      </c>
      <c r="L240" s="363" t="s">
        <v>47</v>
      </c>
      <c r="M240" s="317" t="s">
        <v>47</v>
      </c>
      <c r="N240" s="322">
        <v>45148</v>
      </c>
      <c r="O240" s="317" t="s">
        <v>2138</v>
      </c>
      <c r="P240" s="317">
        <v>20</v>
      </c>
      <c r="Q240" s="366">
        <v>45148</v>
      </c>
      <c r="R240" s="365" t="s">
        <v>264</v>
      </c>
      <c r="S240" s="364">
        <v>45152</v>
      </c>
      <c r="T240" s="364">
        <v>45152</v>
      </c>
      <c r="U240" s="348" t="s">
        <v>4999</v>
      </c>
    </row>
    <row r="241" spans="1:21" ht="25.5" x14ac:dyDescent="0.25">
      <c r="A241" s="359">
        <v>0</v>
      </c>
      <c r="B241" s="49" t="s">
        <v>5807</v>
      </c>
      <c r="C241" s="49" t="s">
        <v>69</v>
      </c>
      <c r="D241" s="49">
        <v>182962</v>
      </c>
      <c r="E241" s="49" t="s">
        <v>5808</v>
      </c>
      <c r="F241" s="49" t="s">
        <v>4998</v>
      </c>
      <c r="G241" s="49" t="s">
        <v>5809</v>
      </c>
      <c r="H241" s="49" t="s">
        <v>5810</v>
      </c>
      <c r="I241" s="49" t="s">
        <v>73</v>
      </c>
      <c r="J241" s="316">
        <v>45175</v>
      </c>
      <c r="K241" s="360">
        <v>45180</v>
      </c>
      <c r="L241" s="363" t="s">
        <v>47</v>
      </c>
      <c r="M241" s="317" t="s">
        <v>47</v>
      </c>
      <c r="N241" s="322">
        <v>45145</v>
      </c>
      <c r="O241" s="317" t="s">
        <v>4277</v>
      </c>
      <c r="P241" s="317">
        <v>8</v>
      </c>
      <c r="Q241" s="366">
        <v>45187</v>
      </c>
      <c r="R241" s="365" t="s">
        <v>264</v>
      </c>
      <c r="S241" s="364">
        <v>45187</v>
      </c>
      <c r="T241" s="364">
        <v>45187</v>
      </c>
      <c r="U241" s="348" t="s">
        <v>4999</v>
      </c>
    </row>
    <row r="242" spans="1:21" x14ac:dyDescent="0.25">
      <c r="A242" s="359">
        <v>0</v>
      </c>
      <c r="B242" s="49" t="s">
        <v>5811</v>
      </c>
      <c r="C242" s="49" t="s">
        <v>69</v>
      </c>
      <c r="D242" s="49">
        <v>182962</v>
      </c>
      <c r="E242" s="49" t="s">
        <v>5812</v>
      </c>
      <c r="F242" s="49" t="s">
        <v>4998</v>
      </c>
      <c r="G242" s="49" t="s">
        <v>5813</v>
      </c>
      <c r="H242" s="49" t="s">
        <v>5814</v>
      </c>
      <c r="I242" s="49" t="s">
        <v>73</v>
      </c>
      <c r="J242" s="316">
        <v>45175</v>
      </c>
      <c r="K242" s="360">
        <v>45180</v>
      </c>
      <c r="L242" s="363" t="s">
        <v>47</v>
      </c>
      <c r="M242" s="317" t="s">
        <v>47</v>
      </c>
      <c r="N242" s="322">
        <v>45145</v>
      </c>
      <c r="O242" s="317" t="s">
        <v>5815</v>
      </c>
      <c r="P242" s="317">
        <v>3</v>
      </c>
      <c r="Q242" s="366">
        <v>45195</v>
      </c>
      <c r="R242" s="365" t="s">
        <v>264</v>
      </c>
      <c r="S242" s="364">
        <v>45195</v>
      </c>
      <c r="T242" s="364">
        <v>45195</v>
      </c>
      <c r="U242" s="348" t="s">
        <v>4999</v>
      </c>
    </row>
    <row r="243" spans="1:21" ht="38.25" x14ac:dyDescent="0.25">
      <c r="A243" s="359">
        <v>0</v>
      </c>
      <c r="B243" s="49" t="s">
        <v>5816</v>
      </c>
      <c r="C243" s="49" t="s">
        <v>5817</v>
      </c>
      <c r="D243" s="49">
        <v>182678</v>
      </c>
      <c r="E243" s="49" t="s">
        <v>5818</v>
      </c>
      <c r="F243" s="49" t="s">
        <v>4998</v>
      </c>
      <c r="G243" s="49" t="s">
        <v>5819</v>
      </c>
      <c r="H243" s="49" t="s">
        <v>5820</v>
      </c>
      <c r="I243" s="49" t="s">
        <v>5821</v>
      </c>
      <c r="J243" s="316">
        <v>45063</v>
      </c>
      <c r="K243" s="360">
        <v>45098</v>
      </c>
      <c r="L243" s="322" t="s">
        <v>5116</v>
      </c>
      <c r="M243" s="317" t="s">
        <v>5116</v>
      </c>
      <c r="N243" s="322">
        <v>45103</v>
      </c>
      <c r="O243" s="317" t="s">
        <v>5822</v>
      </c>
      <c r="P243" s="317">
        <v>1</v>
      </c>
      <c r="Q243" s="366">
        <v>45011</v>
      </c>
      <c r="R243" s="365" t="s">
        <v>264</v>
      </c>
      <c r="S243" s="364">
        <v>45103</v>
      </c>
      <c r="T243" s="364">
        <v>45103</v>
      </c>
      <c r="U243" s="348" t="s">
        <v>4999</v>
      </c>
    </row>
    <row r="244" spans="1:21" ht="38.25" x14ac:dyDescent="0.25">
      <c r="A244" s="359">
        <v>0</v>
      </c>
      <c r="B244" s="49" t="s">
        <v>5823</v>
      </c>
      <c r="C244" s="49" t="s">
        <v>5001</v>
      </c>
      <c r="D244" s="49">
        <v>182656</v>
      </c>
      <c r="E244" s="49" t="s">
        <v>5824</v>
      </c>
      <c r="F244" s="49" t="s">
        <v>4998</v>
      </c>
      <c r="G244" s="49" t="s">
        <v>5825</v>
      </c>
      <c r="H244" s="49" t="s">
        <v>5826</v>
      </c>
      <c r="I244" s="49" t="s">
        <v>5753</v>
      </c>
      <c r="J244" s="316">
        <v>45054</v>
      </c>
      <c r="K244" s="360">
        <v>45084</v>
      </c>
      <c r="L244" s="363" t="s">
        <v>28</v>
      </c>
      <c r="M244" s="317" t="s">
        <v>28</v>
      </c>
      <c r="N244" s="322">
        <v>45153</v>
      </c>
      <c r="O244" s="317" t="s">
        <v>2648</v>
      </c>
      <c r="P244" s="317">
        <v>17</v>
      </c>
      <c r="Q244" s="366">
        <v>45170</v>
      </c>
      <c r="R244" s="365" t="s">
        <v>264</v>
      </c>
      <c r="S244" s="364">
        <v>45173</v>
      </c>
      <c r="T244" s="364">
        <v>45173</v>
      </c>
      <c r="U244" s="348" t="s">
        <v>4999</v>
      </c>
    </row>
    <row r="245" spans="1:21" ht="25.5" x14ac:dyDescent="0.25">
      <c r="A245" s="359">
        <v>0</v>
      </c>
      <c r="B245" s="49" t="s">
        <v>5827</v>
      </c>
      <c r="C245" s="49" t="s">
        <v>69</v>
      </c>
      <c r="D245" s="49">
        <v>182060</v>
      </c>
      <c r="E245" s="49" t="s">
        <v>5828</v>
      </c>
      <c r="F245" s="49" t="s">
        <v>4998</v>
      </c>
      <c r="G245" s="49" t="s">
        <v>5829</v>
      </c>
      <c r="H245" s="49" t="s">
        <v>5830</v>
      </c>
      <c r="I245" s="49" t="s">
        <v>73</v>
      </c>
      <c r="J245" s="316">
        <v>45104</v>
      </c>
      <c r="K245" s="360">
        <v>45104</v>
      </c>
      <c r="L245" s="322" t="s">
        <v>5116</v>
      </c>
      <c r="M245" s="317" t="s">
        <v>5116</v>
      </c>
      <c r="N245" s="322">
        <v>45107</v>
      </c>
      <c r="O245" s="317" t="s">
        <v>93</v>
      </c>
      <c r="P245" s="317">
        <v>1</v>
      </c>
      <c r="Q245" s="366">
        <v>45107</v>
      </c>
      <c r="R245" s="365" t="s">
        <v>264</v>
      </c>
      <c r="S245" s="364">
        <v>45114</v>
      </c>
      <c r="T245" s="364">
        <v>45114</v>
      </c>
      <c r="U245" s="348" t="s">
        <v>4999</v>
      </c>
    </row>
    <row r="246" spans="1:21" ht="27.4" customHeight="1" x14ac:dyDescent="0.25">
      <c r="A246" s="359">
        <v>0</v>
      </c>
      <c r="B246" s="49" t="s">
        <v>5831</v>
      </c>
      <c r="C246" s="49" t="s">
        <v>5832</v>
      </c>
      <c r="D246" s="49">
        <v>182837</v>
      </c>
      <c r="E246" s="49" t="s">
        <v>5833</v>
      </c>
      <c r="F246" s="49" t="s">
        <v>4998</v>
      </c>
      <c r="G246" s="49" t="s">
        <v>5034</v>
      </c>
      <c r="H246" s="49" t="s">
        <v>5035</v>
      </c>
      <c r="I246" s="49" t="s">
        <v>73</v>
      </c>
      <c r="J246" s="316">
        <v>45138</v>
      </c>
      <c r="K246" s="316">
        <v>45138</v>
      </c>
      <c r="L246" s="363" t="s">
        <v>47</v>
      </c>
      <c r="M246" s="317" t="s">
        <v>47</v>
      </c>
      <c r="N246" s="322">
        <v>45114</v>
      </c>
      <c r="O246" s="317" t="s">
        <v>5036</v>
      </c>
      <c r="P246" s="317">
        <v>1</v>
      </c>
      <c r="Q246" s="366">
        <v>45114</v>
      </c>
      <c r="R246" s="365" t="s">
        <v>264</v>
      </c>
      <c r="S246" s="364">
        <v>45140</v>
      </c>
      <c r="T246" s="364">
        <v>45140</v>
      </c>
      <c r="U246" s="348" t="s">
        <v>4999</v>
      </c>
    </row>
    <row r="247" spans="1:21" ht="25.5" x14ac:dyDescent="0.25">
      <c r="A247" s="359">
        <v>0</v>
      </c>
      <c r="B247" s="49" t="s">
        <v>5834</v>
      </c>
      <c r="C247" s="49" t="s">
        <v>69</v>
      </c>
      <c r="D247" s="49">
        <v>182060</v>
      </c>
      <c r="E247" s="49" t="s">
        <v>5835</v>
      </c>
      <c r="F247" s="49" t="s">
        <v>4998</v>
      </c>
      <c r="G247" s="49" t="s">
        <v>5836</v>
      </c>
      <c r="H247" s="49" t="s">
        <v>1744</v>
      </c>
      <c r="I247" s="49" t="s">
        <v>73</v>
      </c>
      <c r="J247" s="316">
        <v>45104</v>
      </c>
      <c r="K247" s="360">
        <v>45104</v>
      </c>
      <c r="L247" s="322" t="s">
        <v>5116</v>
      </c>
      <c r="M247" s="317" t="s">
        <v>5116</v>
      </c>
      <c r="N247" s="322">
        <v>45114</v>
      </c>
      <c r="O247" s="317" t="s">
        <v>5416</v>
      </c>
      <c r="P247" s="317">
        <v>1</v>
      </c>
      <c r="Q247" s="366">
        <v>45114</v>
      </c>
      <c r="R247" s="365" t="s">
        <v>264</v>
      </c>
      <c r="S247" s="364">
        <v>45114</v>
      </c>
      <c r="T247" s="364">
        <v>45114</v>
      </c>
      <c r="U247" s="348" t="s">
        <v>4999</v>
      </c>
    </row>
    <row r="248" spans="1:21" ht="25.5" x14ac:dyDescent="0.25">
      <c r="A248" s="359">
        <v>0</v>
      </c>
      <c r="B248" s="49" t="s">
        <v>5837</v>
      </c>
      <c r="C248" s="49" t="s">
        <v>69</v>
      </c>
      <c r="D248" s="49">
        <v>182060</v>
      </c>
      <c r="E248" s="49" t="s">
        <v>5838</v>
      </c>
      <c r="F248" s="49" t="s">
        <v>4998</v>
      </c>
      <c r="G248" s="49" t="s">
        <v>5839</v>
      </c>
      <c r="H248" s="49" t="s">
        <v>5840</v>
      </c>
      <c r="I248" s="49" t="s">
        <v>5841</v>
      </c>
      <c r="J248" s="316">
        <v>45104</v>
      </c>
      <c r="K248" s="360">
        <v>45104</v>
      </c>
      <c r="L248" s="363" t="s">
        <v>5842</v>
      </c>
      <c r="M248" s="317" t="s">
        <v>464</v>
      </c>
      <c r="N248" s="322">
        <v>45114</v>
      </c>
      <c r="O248" s="317" t="s">
        <v>5843</v>
      </c>
      <c r="P248" s="317">
        <v>15</v>
      </c>
      <c r="Q248" s="366">
        <v>45114</v>
      </c>
      <c r="R248" s="365" t="s">
        <v>264</v>
      </c>
      <c r="S248" s="364">
        <v>45114</v>
      </c>
      <c r="T248" s="364">
        <v>45114</v>
      </c>
      <c r="U248" s="348" t="s">
        <v>4999</v>
      </c>
    </row>
    <row r="249" spans="1:21" ht="25.5" x14ac:dyDescent="0.25">
      <c r="A249" s="359">
        <v>0</v>
      </c>
      <c r="B249" s="49" t="s">
        <v>5844</v>
      </c>
      <c r="C249" s="49" t="s">
        <v>69</v>
      </c>
      <c r="D249" s="49">
        <v>182060</v>
      </c>
      <c r="E249" s="49" t="s">
        <v>5845</v>
      </c>
      <c r="F249" s="49" t="s">
        <v>4998</v>
      </c>
      <c r="G249" s="49" t="s">
        <v>5839</v>
      </c>
      <c r="H249" s="49" t="s">
        <v>5048</v>
      </c>
      <c r="I249" s="49" t="s">
        <v>5841</v>
      </c>
      <c r="J249" s="316">
        <v>45104</v>
      </c>
      <c r="K249" s="360">
        <v>45104</v>
      </c>
      <c r="L249" s="363" t="s">
        <v>5842</v>
      </c>
      <c r="M249" s="317" t="s">
        <v>464</v>
      </c>
      <c r="N249" s="322">
        <v>45114</v>
      </c>
      <c r="O249" s="317" t="s">
        <v>5049</v>
      </c>
      <c r="P249" s="317">
        <v>2</v>
      </c>
      <c r="Q249" s="366">
        <v>45114</v>
      </c>
      <c r="R249" s="365" t="s">
        <v>264</v>
      </c>
      <c r="S249" s="364">
        <v>45114</v>
      </c>
      <c r="T249" s="364">
        <v>45114</v>
      </c>
      <c r="U249" s="348" t="s">
        <v>4999</v>
      </c>
    </row>
    <row r="250" spans="1:21" x14ac:dyDescent="0.25">
      <c r="A250" s="359">
        <v>0</v>
      </c>
      <c r="B250" s="49" t="s">
        <v>5846</v>
      </c>
      <c r="C250" s="49" t="s">
        <v>69</v>
      </c>
      <c r="D250" s="49">
        <v>182962</v>
      </c>
      <c r="E250" s="49" t="s">
        <v>5847</v>
      </c>
      <c r="F250" s="49" t="s">
        <v>4998</v>
      </c>
      <c r="G250" s="49" t="s">
        <v>5809</v>
      </c>
      <c r="H250" s="49" t="s">
        <v>5848</v>
      </c>
      <c r="I250" s="49" t="s">
        <v>5841</v>
      </c>
      <c r="J250" s="316">
        <v>45175</v>
      </c>
      <c r="K250" s="360">
        <v>45180</v>
      </c>
      <c r="L250" s="363" t="s">
        <v>47</v>
      </c>
      <c r="M250" s="317" t="s">
        <v>47</v>
      </c>
      <c r="N250" s="322">
        <v>45145</v>
      </c>
      <c r="O250" s="317" t="s">
        <v>5849</v>
      </c>
      <c r="P250" s="317">
        <v>2</v>
      </c>
      <c r="Q250" s="366">
        <v>45195</v>
      </c>
      <c r="R250" s="365" t="s">
        <v>264</v>
      </c>
      <c r="S250" s="364">
        <v>45195</v>
      </c>
      <c r="T250" s="364">
        <v>45195</v>
      </c>
      <c r="U250" s="348" t="s">
        <v>4999</v>
      </c>
    </row>
    <row r="251" spans="1:21" ht="25.5" x14ac:dyDescent="0.25">
      <c r="A251" s="359">
        <v>0</v>
      </c>
      <c r="B251" s="49" t="s">
        <v>5850</v>
      </c>
      <c r="C251" s="49" t="s">
        <v>5851</v>
      </c>
      <c r="D251" s="49">
        <v>182717</v>
      </c>
      <c r="E251" s="49" t="s">
        <v>5852</v>
      </c>
      <c r="F251" s="49" t="s">
        <v>4998</v>
      </c>
      <c r="G251" s="49" t="s">
        <v>5853</v>
      </c>
      <c r="H251" s="49" t="s">
        <v>5854</v>
      </c>
      <c r="I251" s="49" t="s">
        <v>5855</v>
      </c>
      <c r="J251" s="316">
        <v>45080</v>
      </c>
      <c r="K251" s="360">
        <v>45089</v>
      </c>
      <c r="L251" s="322" t="s">
        <v>5116</v>
      </c>
      <c r="M251" s="317" t="s">
        <v>5116</v>
      </c>
      <c r="N251" s="322">
        <v>45097</v>
      </c>
      <c r="O251" s="317" t="s">
        <v>5856</v>
      </c>
      <c r="P251" s="317">
        <v>2</v>
      </c>
      <c r="Q251" s="366">
        <v>45098</v>
      </c>
      <c r="R251" s="365" t="s">
        <v>264</v>
      </c>
      <c r="S251" s="364">
        <v>45103</v>
      </c>
      <c r="T251" s="364">
        <v>45103</v>
      </c>
      <c r="U251" s="348" t="s">
        <v>4999</v>
      </c>
    </row>
    <row r="252" spans="1:21" x14ac:dyDescent="0.25">
      <c r="A252" s="359">
        <v>0</v>
      </c>
      <c r="B252" s="49" t="s">
        <v>5857</v>
      </c>
      <c r="C252" s="49" t="s">
        <v>5858</v>
      </c>
      <c r="D252" s="49">
        <v>182706</v>
      </c>
      <c r="E252" s="49" t="s">
        <v>5859</v>
      </c>
      <c r="F252" s="49" t="s">
        <v>4998</v>
      </c>
      <c r="G252" s="49" t="s">
        <v>1843</v>
      </c>
      <c r="H252" s="49" t="s">
        <v>5860</v>
      </c>
      <c r="I252" s="49" t="s">
        <v>1845</v>
      </c>
      <c r="J252" s="316">
        <v>45076</v>
      </c>
      <c r="K252" s="360">
        <v>45090</v>
      </c>
      <c r="L252" s="363" t="s">
        <v>47</v>
      </c>
      <c r="M252" s="317" t="s">
        <v>47</v>
      </c>
      <c r="N252" s="322">
        <v>45132</v>
      </c>
      <c r="O252" s="317" t="s">
        <v>1846</v>
      </c>
      <c r="P252" s="317">
        <v>20</v>
      </c>
      <c r="Q252" s="366">
        <v>45132</v>
      </c>
      <c r="R252" s="365" t="s">
        <v>264</v>
      </c>
      <c r="S252" s="364">
        <v>45134</v>
      </c>
      <c r="T252" s="364">
        <v>45134</v>
      </c>
      <c r="U252" s="348" t="s">
        <v>4999</v>
      </c>
    </row>
    <row r="253" spans="1:21" ht="38.25" x14ac:dyDescent="0.25">
      <c r="A253" s="359">
        <v>0</v>
      </c>
      <c r="B253" s="49" t="s">
        <v>5861</v>
      </c>
      <c r="C253" s="49" t="s">
        <v>1791</v>
      </c>
      <c r="D253" s="49">
        <v>182403</v>
      </c>
      <c r="E253" s="49" t="s">
        <v>5862</v>
      </c>
      <c r="F253" s="49" t="s">
        <v>4998</v>
      </c>
      <c r="G253" s="49" t="s">
        <v>5863</v>
      </c>
      <c r="H253" s="49" t="s">
        <v>1794</v>
      </c>
      <c r="I253" s="49" t="s">
        <v>504</v>
      </c>
      <c r="J253" s="316">
        <v>44890</v>
      </c>
      <c r="K253" s="360">
        <v>45077</v>
      </c>
      <c r="L253" s="363" t="s">
        <v>464</v>
      </c>
      <c r="M253" s="317" t="s">
        <v>464</v>
      </c>
      <c r="N253" s="322">
        <v>45093</v>
      </c>
      <c r="O253" s="317" t="s">
        <v>505</v>
      </c>
      <c r="P253" s="317">
        <v>3</v>
      </c>
      <c r="Q253" s="366">
        <v>45093</v>
      </c>
      <c r="R253" s="365" t="s">
        <v>264</v>
      </c>
      <c r="S253" s="364">
        <v>45093</v>
      </c>
      <c r="T253" s="364">
        <v>45093</v>
      </c>
      <c r="U253" s="348" t="s">
        <v>4999</v>
      </c>
    </row>
    <row r="254" spans="1:21" ht="25.5" x14ac:dyDescent="0.25">
      <c r="A254" s="359">
        <v>0</v>
      </c>
      <c r="B254" s="49" t="s">
        <v>5864</v>
      </c>
      <c r="C254" s="49" t="s">
        <v>132</v>
      </c>
      <c r="D254" s="49">
        <v>182746</v>
      </c>
      <c r="E254" s="49" t="s">
        <v>5865</v>
      </c>
      <c r="F254" s="49" t="s">
        <v>4998</v>
      </c>
      <c r="G254" s="49"/>
      <c r="H254" s="49"/>
      <c r="I254" s="49"/>
      <c r="J254" s="49"/>
      <c r="K254" s="361"/>
      <c r="L254" s="363"/>
      <c r="M254" s="317"/>
      <c r="N254" s="317"/>
      <c r="O254" s="317"/>
      <c r="P254" s="317"/>
      <c r="Q254" s="367"/>
      <c r="R254" s="365"/>
      <c r="S254" s="365"/>
      <c r="T254" s="365"/>
      <c r="U254" s="348" t="s">
        <v>4999</v>
      </c>
    </row>
    <row r="255" spans="1:21" x14ac:dyDescent="0.25">
      <c r="A255" s="359">
        <v>0</v>
      </c>
      <c r="B255" s="49" t="s">
        <v>5866</v>
      </c>
      <c r="C255" s="49" t="s">
        <v>5867</v>
      </c>
      <c r="D255" s="49">
        <v>182741</v>
      </c>
      <c r="E255" s="49" t="s">
        <v>5868</v>
      </c>
      <c r="F255" s="49" t="s">
        <v>4998</v>
      </c>
      <c r="G255" s="49" t="s">
        <v>5869</v>
      </c>
      <c r="H255" s="49" t="s">
        <v>5870</v>
      </c>
      <c r="I255" s="49" t="s">
        <v>5871</v>
      </c>
      <c r="J255" s="316">
        <v>45092</v>
      </c>
      <c r="K255" s="316">
        <v>45093</v>
      </c>
      <c r="L255" s="322" t="s">
        <v>5116</v>
      </c>
      <c r="M255" s="317" t="s">
        <v>5116</v>
      </c>
      <c r="N255" s="322">
        <v>45099</v>
      </c>
      <c r="O255" s="317" t="s">
        <v>5872</v>
      </c>
      <c r="P255" s="317">
        <v>6</v>
      </c>
      <c r="Q255" s="366">
        <v>46195</v>
      </c>
      <c r="R255" s="365" t="s">
        <v>264</v>
      </c>
      <c r="S255" s="364">
        <v>45100</v>
      </c>
      <c r="T255" s="364">
        <v>45100</v>
      </c>
      <c r="U255" s="348" t="s">
        <v>4999</v>
      </c>
    </row>
    <row r="256" spans="1:21" ht="25.5" x14ac:dyDescent="0.25">
      <c r="A256" s="359">
        <v>0</v>
      </c>
      <c r="B256" s="49" t="s">
        <v>5873</v>
      </c>
      <c r="C256" s="49" t="s">
        <v>5874</v>
      </c>
      <c r="D256" s="49">
        <v>182748</v>
      </c>
      <c r="E256" s="49" t="s">
        <v>5875</v>
      </c>
      <c r="F256" s="49" t="s">
        <v>4998</v>
      </c>
      <c r="G256" s="49" t="s">
        <v>5876</v>
      </c>
      <c r="H256" s="49" t="s">
        <v>2126</v>
      </c>
      <c r="I256" s="49" t="s">
        <v>1715</v>
      </c>
      <c r="J256" s="316">
        <v>45096</v>
      </c>
      <c r="K256" s="360">
        <v>45096</v>
      </c>
      <c r="L256" s="322" t="s">
        <v>5116</v>
      </c>
      <c r="M256" s="317" t="s">
        <v>5116</v>
      </c>
      <c r="N256" s="322">
        <v>45104</v>
      </c>
      <c r="O256" s="317" t="s">
        <v>2127</v>
      </c>
      <c r="P256" s="317">
        <v>20</v>
      </c>
      <c r="Q256" s="366">
        <v>45105</v>
      </c>
      <c r="R256" s="365" t="s">
        <v>264</v>
      </c>
      <c r="S256" s="364">
        <v>45106</v>
      </c>
      <c r="T256" s="364">
        <v>45106</v>
      </c>
      <c r="U256" s="348" t="s">
        <v>4999</v>
      </c>
    </row>
    <row r="257" spans="1:21" ht="25.5" x14ac:dyDescent="0.25">
      <c r="A257" s="359">
        <v>0</v>
      </c>
      <c r="B257" s="49" t="s">
        <v>5877</v>
      </c>
      <c r="C257" s="49" t="s">
        <v>5874</v>
      </c>
      <c r="D257" s="49">
        <v>182749</v>
      </c>
      <c r="E257" s="49" t="s">
        <v>5878</v>
      </c>
      <c r="F257" s="49" t="s">
        <v>4998</v>
      </c>
      <c r="G257" s="49" t="s">
        <v>5876</v>
      </c>
      <c r="H257" s="49" t="s">
        <v>2126</v>
      </c>
      <c r="I257" s="49" t="s">
        <v>1715</v>
      </c>
      <c r="J257" s="316">
        <v>45096</v>
      </c>
      <c r="K257" s="360">
        <v>45096</v>
      </c>
      <c r="L257" s="322" t="s">
        <v>5116</v>
      </c>
      <c r="M257" s="317" t="s">
        <v>5116</v>
      </c>
      <c r="N257" s="322">
        <v>45104</v>
      </c>
      <c r="O257" s="317" t="s">
        <v>2127</v>
      </c>
      <c r="P257" s="317">
        <v>20</v>
      </c>
      <c r="Q257" s="366">
        <v>45105</v>
      </c>
      <c r="R257" s="365" t="s">
        <v>264</v>
      </c>
      <c r="S257" s="364">
        <v>45106</v>
      </c>
      <c r="T257" s="364">
        <v>45106</v>
      </c>
      <c r="U257" s="348" t="s">
        <v>4999</v>
      </c>
    </row>
    <row r="258" spans="1:21" ht="25.5" x14ac:dyDescent="0.25">
      <c r="A258" s="359">
        <v>0</v>
      </c>
      <c r="B258" s="49" t="s">
        <v>5879</v>
      </c>
      <c r="C258" s="49" t="s">
        <v>5880</v>
      </c>
      <c r="D258" s="49">
        <v>182750</v>
      </c>
      <c r="E258" s="49" t="s">
        <v>5881</v>
      </c>
      <c r="F258" s="49" t="s">
        <v>4998</v>
      </c>
      <c r="G258" s="49" t="s">
        <v>5876</v>
      </c>
      <c r="H258" s="49" t="s">
        <v>5882</v>
      </c>
      <c r="I258" s="49" t="s">
        <v>3460</v>
      </c>
      <c r="J258" s="316">
        <v>45096</v>
      </c>
      <c r="K258" s="360">
        <v>45096</v>
      </c>
      <c r="L258" s="322" t="s">
        <v>5116</v>
      </c>
      <c r="M258" s="317" t="s">
        <v>5116</v>
      </c>
      <c r="N258" s="322">
        <v>45104</v>
      </c>
      <c r="O258" s="317" t="s">
        <v>2127</v>
      </c>
      <c r="P258" s="317">
        <v>20</v>
      </c>
      <c r="Q258" s="366">
        <v>45105</v>
      </c>
      <c r="R258" s="365" t="s">
        <v>264</v>
      </c>
      <c r="S258" s="364">
        <v>45106</v>
      </c>
      <c r="T258" s="364">
        <v>45106</v>
      </c>
      <c r="U258" s="348" t="s">
        <v>4999</v>
      </c>
    </row>
    <row r="259" spans="1:21" ht="25.5" x14ac:dyDescent="0.25">
      <c r="A259" s="359">
        <v>0</v>
      </c>
      <c r="B259" s="49" t="s">
        <v>5883</v>
      </c>
      <c r="C259" s="49" t="s">
        <v>5884</v>
      </c>
      <c r="D259" s="49">
        <v>182751</v>
      </c>
      <c r="E259" s="49" t="s">
        <v>5885</v>
      </c>
      <c r="F259" s="49" t="s">
        <v>4998</v>
      </c>
      <c r="G259" s="49" t="s">
        <v>5876</v>
      </c>
      <c r="H259" s="49" t="s">
        <v>5882</v>
      </c>
      <c r="I259" s="49" t="s">
        <v>3460</v>
      </c>
      <c r="J259" s="316">
        <v>45096</v>
      </c>
      <c r="K259" s="360">
        <v>45096</v>
      </c>
      <c r="L259" s="322" t="s">
        <v>5116</v>
      </c>
      <c r="M259" s="317" t="s">
        <v>5116</v>
      </c>
      <c r="N259" s="322">
        <v>45104</v>
      </c>
      <c r="O259" s="317" t="s">
        <v>2127</v>
      </c>
      <c r="P259" s="317">
        <v>20</v>
      </c>
      <c r="Q259" s="366">
        <v>45105</v>
      </c>
      <c r="R259" s="365" t="s">
        <v>264</v>
      </c>
      <c r="S259" s="364">
        <v>45106</v>
      </c>
      <c r="T259" s="364">
        <v>45106</v>
      </c>
      <c r="U259" s="348" t="s">
        <v>4999</v>
      </c>
    </row>
    <row r="260" spans="1:21" ht="38.25" x14ac:dyDescent="0.25">
      <c r="A260" s="359">
        <v>0</v>
      </c>
      <c r="B260" s="49" t="s">
        <v>5886</v>
      </c>
      <c r="C260" s="49" t="s">
        <v>5067</v>
      </c>
      <c r="D260" s="49">
        <v>182752</v>
      </c>
      <c r="E260" s="49" t="s">
        <v>5887</v>
      </c>
      <c r="F260" s="49" t="s">
        <v>4998</v>
      </c>
      <c r="G260" s="49" t="s">
        <v>5876</v>
      </c>
      <c r="H260" s="49" t="s">
        <v>5882</v>
      </c>
      <c r="I260" s="49" t="s">
        <v>3460</v>
      </c>
      <c r="J260" s="316">
        <v>45096</v>
      </c>
      <c r="K260" s="360">
        <v>45096</v>
      </c>
      <c r="L260" s="322" t="s">
        <v>5116</v>
      </c>
      <c r="M260" s="317" t="s">
        <v>5116</v>
      </c>
      <c r="N260" s="322">
        <v>45104</v>
      </c>
      <c r="O260" s="317" t="s">
        <v>2127</v>
      </c>
      <c r="P260" s="317">
        <v>20</v>
      </c>
      <c r="Q260" s="366">
        <v>45105</v>
      </c>
      <c r="R260" s="365" t="s">
        <v>264</v>
      </c>
      <c r="S260" s="364">
        <v>45106</v>
      </c>
      <c r="T260" s="364">
        <v>45106</v>
      </c>
      <c r="U260" s="348" t="s">
        <v>4999</v>
      </c>
    </row>
    <row r="261" spans="1:21" ht="38.25" x14ac:dyDescent="0.25">
      <c r="A261" s="359">
        <v>0</v>
      </c>
      <c r="B261" s="49" t="s">
        <v>5888</v>
      </c>
      <c r="C261" s="49" t="s">
        <v>5889</v>
      </c>
      <c r="D261" s="49">
        <v>182361</v>
      </c>
      <c r="E261" s="49" t="s">
        <v>5890</v>
      </c>
      <c r="F261" s="49" t="s">
        <v>4998</v>
      </c>
      <c r="G261" s="49" t="s">
        <v>5891</v>
      </c>
      <c r="H261" s="49" t="s">
        <v>5892</v>
      </c>
      <c r="I261" s="49" t="s">
        <v>5893</v>
      </c>
      <c r="J261" s="316">
        <v>45049</v>
      </c>
      <c r="K261" s="360">
        <v>45072</v>
      </c>
      <c r="L261" s="363" t="s">
        <v>47</v>
      </c>
      <c r="M261" s="317" t="s">
        <v>47</v>
      </c>
      <c r="N261" s="322">
        <v>45100</v>
      </c>
      <c r="O261" s="317" t="s">
        <v>5894</v>
      </c>
      <c r="P261" s="317">
        <v>6</v>
      </c>
      <c r="Q261" s="366">
        <v>45162</v>
      </c>
      <c r="R261" s="365" t="s">
        <v>264</v>
      </c>
      <c r="S261" s="364">
        <v>45162</v>
      </c>
      <c r="T261" s="364">
        <v>45162</v>
      </c>
      <c r="U261" s="348" t="s">
        <v>4999</v>
      </c>
    </row>
    <row r="262" spans="1:21" ht="25.5" x14ac:dyDescent="0.25">
      <c r="A262" s="359">
        <v>0</v>
      </c>
      <c r="B262" s="49" t="s">
        <v>5895</v>
      </c>
      <c r="C262" s="49" t="s">
        <v>1854</v>
      </c>
      <c r="D262" s="49">
        <v>182755</v>
      </c>
      <c r="E262" s="49" t="s">
        <v>5896</v>
      </c>
      <c r="F262" s="49" t="s">
        <v>4998</v>
      </c>
      <c r="G262" s="49" t="s">
        <v>44</v>
      </c>
      <c r="H262" s="49" t="s">
        <v>5897</v>
      </c>
      <c r="I262" s="49" t="s">
        <v>5898</v>
      </c>
      <c r="J262" s="316">
        <v>45093</v>
      </c>
      <c r="K262" s="360">
        <v>45098</v>
      </c>
      <c r="L262" s="322" t="s">
        <v>5116</v>
      </c>
      <c r="M262" s="317" t="s">
        <v>5116</v>
      </c>
      <c r="N262" s="322">
        <v>45103</v>
      </c>
      <c r="O262" s="317" t="s">
        <v>5899</v>
      </c>
      <c r="P262" s="317">
        <v>1</v>
      </c>
      <c r="Q262" s="366">
        <v>45103</v>
      </c>
      <c r="R262" s="365" t="s">
        <v>264</v>
      </c>
      <c r="S262" s="364">
        <v>45104</v>
      </c>
      <c r="T262" s="364">
        <v>45104</v>
      </c>
      <c r="U262" s="348" t="s">
        <v>4999</v>
      </c>
    </row>
    <row r="263" spans="1:21" x14ac:dyDescent="0.25">
      <c r="A263" s="359">
        <v>0</v>
      </c>
      <c r="B263" s="49" t="s">
        <v>5900</v>
      </c>
      <c r="C263" s="49" t="s">
        <v>5901</v>
      </c>
      <c r="D263" s="49">
        <v>182761</v>
      </c>
      <c r="E263" s="49"/>
      <c r="F263" s="49" t="s">
        <v>4998</v>
      </c>
      <c r="G263" s="49" t="s">
        <v>5902</v>
      </c>
      <c r="H263" s="49"/>
      <c r="I263" s="49"/>
      <c r="J263" s="49"/>
      <c r="K263" s="361"/>
      <c r="L263" s="363"/>
      <c r="M263" s="317"/>
      <c r="N263" s="317"/>
      <c r="O263" s="317"/>
      <c r="P263" s="317"/>
      <c r="Q263" s="367"/>
      <c r="R263" s="365"/>
      <c r="S263" s="365"/>
      <c r="T263" s="365"/>
      <c r="U263" s="348"/>
    </row>
    <row r="264" spans="1:21" x14ac:dyDescent="0.25">
      <c r="A264" s="359">
        <v>0</v>
      </c>
      <c r="B264" s="49" t="s">
        <v>5903</v>
      </c>
      <c r="C264" s="49" t="s">
        <v>5901</v>
      </c>
      <c r="D264" s="49">
        <v>182762</v>
      </c>
      <c r="E264" s="49"/>
      <c r="F264" s="49" t="s">
        <v>4998</v>
      </c>
      <c r="G264" s="49" t="s">
        <v>5904</v>
      </c>
      <c r="H264" s="49"/>
      <c r="I264" s="49"/>
      <c r="J264" s="49"/>
      <c r="K264" s="361"/>
      <c r="L264" s="363"/>
      <c r="M264" s="317"/>
      <c r="N264" s="317"/>
      <c r="O264" s="317"/>
      <c r="P264" s="317"/>
      <c r="Q264" s="367"/>
      <c r="R264" s="365"/>
      <c r="S264" s="365"/>
      <c r="T264" s="365"/>
      <c r="U264" s="348"/>
    </row>
    <row r="265" spans="1:21" ht="25.5" x14ac:dyDescent="0.25">
      <c r="A265" s="359">
        <v>0</v>
      </c>
      <c r="B265" s="49" t="s">
        <v>5905</v>
      </c>
      <c r="C265" s="49" t="s">
        <v>1820</v>
      </c>
      <c r="D265" s="49">
        <v>182767</v>
      </c>
      <c r="E265" s="49" t="s">
        <v>5906</v>
      </c>
      <c r="F265" s="49" t="s">
        <v>4998</v>
      </c>
      <c r="G265" s="49" t="s">
        <v>427</v>
      </c>
      <c r="H265" s="49" t="s">
        <v>2756</v>
      </c>
      <c r="I265" s="49" t="s">
        <v>588</v>
      </c>
      <c r="J265" s="316">
        <v>45103</v>
      </c>
      <c r="K265" s="360">
        <v>45103</v>
      </c>
      <c r="L265" s="322" t="s">
        <v>5116</v>
      </c>
      <c r="M265" s="317" t="s">
        <v>5116</v>
      </c>
      <c r="N265" s="322">
        <v>45105</v>
      </c>
      <c r="O265" s="317" t="s">
        <v>2757</v>
      </c>
      <c r="P265" s="317">
        <v>1</v>
      </c>
      <c r="Q265" s="366">
        <v>45105</v>
      </c>
      <c r="R265" s="365" t="s">
        <v>264</v>
      </c>
      <c r="S265" s="364">
        <v>45106</v>
      </c>
      <c r="T265" s="364">
        <v>45106</v>
      </c>
      <c r="U265" s="348" t="s">
        <v>4999</v>
      </c>
    </row>
    <row r="266" spans="1:21" ht="38.25" x14ac:dyDescent="0.25">
      <c r="A266" s="359">
        <v>0</v>
      </c>
      <c r="B266" s="49" t="s">
        <v>5907</v>
      </c>
      <c r="C266" s="49" t="s">
        <v>5067</v>
      </c>
      <c r="D266" s="49"/>
      <c r="E266" s="49"/>
      <c r="F266" s="49"/>
      <c r="G266" s="49"/>
      <c r="H266" s="49"/>
      <c r="I266" s="49"/>
      <c r="J266" s="49"/>
      <c r="K266" s="361"/>
      <c r="L266" s="363"/>
      <c r="M266" s="317"/>
      <c r="N266" s="317"/>
      <c r="O266" s="317"/>
      <c r="P266" s="317"/>
      <c r="Q266" s="367"/>
      <c r="R266" s="365"/>
      <c r="S266" s="365"/>
      <c r="T266" s="365"/>
      <c r="U266" s="348"/>
    </row>
    <row r="267" spans="1:21" ht="25.5" x14ac:dyDescent="0.25">
      <c r="A267" s="359">
        <v>0</v>
      </c>
      <c r="B267" s="49" t="s">
        <v>5908</v>
      </c>
      <c r="C267" s="49" t="s">
        <v>5867</v>
      </c>
      <c r="D267" s="49">
        <v>182763</v>
      </c>
      <c r="E267" s="49" t="s">
        <v>5909</v>
      </c>
      <c r="F267" s="49" t="s">
        <v>4998</v>
      </c>
      <c r="G267" s="49" t="s">
        <v>1874</v>
      </c>
      <c r="H267" s="49" t="s">
        <v>5910</v>
      </c>
      <c r="I267" s="49" t="s">
        <v>2713</v>
      </c>
      <c r="J267" s="316">
        <v>45097</v>
      </c>
      <c r="K267" s="360">
        <v>45104</v>
      </c>
      <c r="L267" s="322" t="s">
        <v>5116</v>
      </c>
      <c r="M267" s="317" t="s">
        <v>5116</v>
      </c>
      <c r="N267" s="322">
        <v>45113</v>
      </c>
      <c r="O267" s="317" t="s">
        <v>5911</v>
      </c>
      <c r="P267" s="317">
        <v>6</v>
      </c>
      <c r="Q267" s="367"/>
      <c r="R267" s="365"/>
      <c r="S267" s="365"/>
      <c r="T267" s="365"/>
      <c r="U267" s="348"/>
    </row>
    <row r="268" spans="1:21" x14ac:dyDescent="0.25">
      <c r="A268" s="359">
        <v>0</v>
      </c>
      <c r="B268" s="49" t="s">
        <v>5912</v>
      </c>
      <c r="C268" s="49" t="s">
        <v>5867</v>
      </c>
      <c r="D268" s="49">
        <v>182764</v>
      </c>
      <c r="E268" s="49" t="s">
        <v>5913</v>
      </c>
      <c r="F268" s="49" t="s">
        <v>4998</v>
      </c>
      <c r="G268" s="49" t="s">
        <v>1874</v>
      </c>
      <c r="H268" s="49" t="s">
        <v>5914</v>
      </c>
      <c r="I268" s="49" t="s">
        <v>5915</v>
      </c>
      <c r="J268" s="316">
        <v>45103</v>
      </c>
      <c r="K268" s="360">
        <v>45104</v>
      </c>
      <c r="L268" s="322" t="s">
        <v>5116</v>
      </c>
      <c r="M268" s="317" t="s">
        <v>5116</v>
      </c>
      <c r="N268" s="322">
        <v>45081</v>
      </c>
      <c r="O268" s="317" t="s">
        <v>5916</v>
      </c>
      <c r="P268" s="317">
        <v>2</v>
      </c>
      <c r="Q268" s="366">
        <v>45081</v>
      </c>
      <c r="R268" s="365" t="s">
        <v>264</v>
      </c>
      <c r="S268" s="364">
        <v>45113</v>
      </c>
      <c r="T268" s="364">
        <v>45113</v>
      </c>
      <c r="U268" s="348" t="s">
        <v>4999</v>
      </c>
    </row>
    <row r="269" spans="1:21" ht="38.25" x14ac:dyDescent="0.25">
      <c r="A269" s="359">
        <v>0</v>
      </c>
      <c r="B269" s="49" t="s">
        <v>5917</v>
      </c>
      <c r="C269" s="49" t="s">
        <v>5067</v>
      </c>
      <c r="D269" s="49">
        <v>182778</v>
      </c>
      <c r="E269" s="49" t="s">
        <v>5918</v>
      </c>
      <c r="F269" s="49" t="s">
        <v>4998</v>
      </c>
      <c r="G269" s="49" t="s">
        <v>5919</v>
      </c>
      <c r="H269" s="49">
        <v>6148</v>
      </c>
      <c r="I269" s="49" t="s">
        <v>1715</v>
      </c>
      <c r="J269" s="49"/>
      <c r="K269" s="361"/>
      <c r="L269" s="363"/>
      <c r="M269" s="317"/>
      <c r="N269" s="317"/>
      <c r="O269" s="317"/>
      <c r="P269" s="317"/>
      <c r="Q269" s="367"/>
      <c r="R269" s="365"/>
      <c r="S269" s="365"/>
      <c r="T269" s="365"/>
      <c r="U269" s="348"/>
    </row>
    <row r="270" spans="1:21" ht="25.5" x14ac:dyDescent="0.25">
      <c r="A270" s="359">
        <v>0</v>
      </c>
      <c r="B270" s="49" t="s">
        <v>5920</v>
      </c>
      <c r="C270" s="49" t="s">
        <v>5921</v>
      </c>
      <c r="D270" s="49">
        <v>182651</v>
      </c>
      <c r="E270" s="49" t="s">
        <v>5922</v>
      </c>
      <c r="F270" s="49" t="s">
        <v>4998</v>
      </c>
      <c r="G270" s="49" t="s">
        <v>5923</v>
      </c>
      <c r="H270" s="49" t="s">
        <v>5924</v>
      </c>
      <c r="I270" s="49" t="s">
        <v>1869</v>
      </c>
      <c r="J270" s="316">
        <v>45054</v>
      </c>
      <c r="K270" s="360">
        <v>45075</v>
      </c>
      <c r="L270" s="363" t="s">
        <v>47</v>
      </c>
      <c r="M270" s="317" t="s">
        <v>47</v>
      </c>
      <c r="N270" s="322">
        <v>45112</v>
      </c>
      <c r="O270" s="317" t="s">
        <v>5925</v>
      </c>
      <c r="P270" s="317">
        <v>2</v>
      </c>
      <c r="Q270" s="366">
        <v>45153</v>
      </c>
      <c r="R270" s="365" t="s">
        <v>264</v>
      </c>
      <c r="S270" s="364">
        <v>45153</v>
      </c>
      <c r="T270" s="364">
        <v>45153</v>
      </c>
      <c r="U270" s="348" t="s">
        <v>4999</v>
      </c>
    </row>
    <row r="271" spans="1:21" ht="25.5" x14ac:dyDescent="0.25">
      <c r="A271" s="359">
        <v>0</v>
      </c>
      <c r="B271" s="49" t="s">
        <v>5926</v>
      </c>
      <c r="C271" s="49" t="s">
        <v>5921</v>
      </c>
      <c r="D271" s="49">
        <v>182651</v>
      </c>
      <c r="E271" s="49" t="s">
        <v>5927</v>
      </c>
      <c r="F271" s="49" t="s">
        <v>4998</v>
      </c>
      <c r="G271" s="49" t="s">
        <v>5928</v>
      </c>
      <c r="H271" s="49" t="s">
        <v>5723</v>
      </c>
      <c r="I271" s="49" t="s">
        <v>1869</v>
      </c>
      <c r="J271" s="316">
        <v>45054</v>
      </c>
      <c r="K271" s="360">
        <v>45075</v>
      </c>
      <c r="L271" s="363" t="s">
        <v>47</v>
      </c>
      <c r="M271" s="317" t="s">
        <v>47</v>
      </c>
      <c r="N271" s="322">
        <v>45112</v>
      </c>
      <c r="O271" s="317" t="s">
        <v>5929</v>
      </c>
      <c r="P271" s="317">
        <v>2</v>
      </c>
      <c r="Q271" s="366">
        <v>45153</v>
      </c>
      <c r="R271" s="365" t="s">
        <v>264</v>
      </c>
      <c r="S271" s="364">
        <v>45153</v>
      </c>
      <c r="T271" s="364">
        <v>45153</v>
      </c>
      <c r="U271" s="348" t="s">
        <v>4999</v>
      </c>
    </row>
    <row r="272" spans="1:21" x14ac:dyDescent="0.25">
      <c r="A272" s="359">
        <v>0</v>
      </c>
      <c r="B272" s="49" t="s">
        <v>5930</v>
      </c>
      <c r="C272" s="49" t="s">
        <v>5921</v>
      </c>
      <c r="D272" s="49">
        <v>182651</v>
      </c>
      <c r="E272" s="49" t="s">
        <v>5931</v>
      </c>
      <c r="F272" s="49" t="s">
        <v>4998</v>
      </c>
      <c r="G272" s="49" t="s">
        <v>5932</v>
      </c>
      <c r="H272" s="49" t="s">
        <v>5933</v>
      </c>
      <c r="I272" s="49" t="s">
        <v>5934</v>
      </c>
      <c r="J272" s="316">
        <v>45054</v>
      </c>
      <c r="K272" s="360">
        <v>45075</v>
      </c>
      <c r="L272" s="363" t="s">
        <v>47</v>
      </c>
      <c r="M272" s="317" t="s">
        <v>47</v>
      </c>
      <c r="N272" s="322">
        <v>45112</v>
      </c>
      <c r="O272" s="317" t="s">
        <v>5935</v>
      </c>
      <c r="P272" s="317">
        <v>2</v>
      </c>
      <c r="Q272" s="366">
        <v>45153</v>
      </c>
      <c r="R272" s="365" t="s">
        <v>264</v>
      </c>
      <c r="S272" s="364">
        <v>45153</v>
      </c>
      <c r="T272" s="364">
        <v>45153</v>
      </c>
      <c r="U272" s="348" t="s">
        <v>4999</v>
      </c>
    </row>
    <row r="273" spans="1:21" ht="25.5" x14ac:dyDescent="0.25">
      <c r="A273" s="359">
        <v>0</v>
      </c>
      <c r="B273" s="49" t="s">
        <v>5936</v>
      </c>
      <c r="C273" s="49" t="s">
        <v>5543</v>
      </c>
      <c r="D273" s="49">
        <v>182772</v>
      </c>
      <c r="E273" s="49" t="s">
        <v>5937</v>
      </c>
      <c r="F273" s="49" t="s">
        <v>4998</v>
      </c>
      <c r="G273" s="49" t="s">
        <v>5938</v>
      </c>
      <c r="H273" s="49" t="s">
        <v>5939</v>
      </c>
      <c r="I273" s="49" t="s">
        <v>2858</v>
      </c>
      <c r="J273" s="316">
        <v>45102</v>
      </c>
      <c r="K273" s="360">
        <v>45104</v>
      </c>
      <c r="L273" s="363" t="s">
        <v>5842</v>
      </c>
      <c r="M273" s="317" t="s">
        <v>5940</v>
      </c>
      <c r="N273" s="322">
        <v>45112</v>
      </c>
      <c r="O273" s="317" t="s">
        <v>2859</v>
      </c>
      <c r="P273" s="317">
        <v>1</v>
      </c>
      <c r="Q273" s="366">
        <v>45112</v>
      </c>
      <c r="R273" s="365" t="s">
        <v>264</v>
      </c>
      <c r="S273" s="364">
        <v>45112</v>
      </c>
      <c r="T273" s="364">
        <v>45112</v>
      </c>
      <c r="U273" s="348" t="s">
        <v>4999</v>
      </c>
    </row>
    <row r="274" spans="1:21" ht="25.5" x14ac:dyDescent="0.25">
      <c r="A274" s="359">
        <v>0</v>
      </c>
      <c r="B274" s="49" t="s">
        <v>5941</v>
      </c>
      <c r="C274" s="49" t="s">
        <v>132</v>
      </c>
      <c r="D274" s="49">
        <v>182786</v>
      </c>
      <c r="E274" s="49" t="s">
        <v>5942</v>
      </c>
      <c r="F274" s="49" t="s">
        <v>4998</v>
      </c>
      <c r="G274" s="49" t="s">
        <v>5943</v>
      </c>
      <c r="H274" s="49" t="s">
        <v>5944</v>
      </c>
      <c r="I274" s="49" t="s">
        <v>1890</v>
      </c>
      <c r="J274" s="316">
        <v>45136</v>
      </c>
      <c r="K274" s="360">
        <v>45107</v>
      </c>
      <c r="L274" s="322" t="s">
        <v>5116</v>
      </c>
      <c r="M274" s="317" t="s">
        <v>5116</v>
      </c>
      <c r="N274" s="322">
        <v>45111</v>
      </c>
      <c r="O274" s="317" t="s">
        <v>1891</v>
      </c>
      <c r="P274" s="317">
        <v>7</v>
      </c>
      <c r="Q274" s="366">
        <v>45111</v>
      </c>
      <c r="R274" s="365" t="s">
        <v>264</v>
      </c>
      <c r="S274" s="364">
        <v>45111</v>
      </c>
      <c r="T274" s="364">
        <v>45111</v>
      </c>
      <c r="U274" s="348" t="s">
        <v>4999</v>
      </c>
    </row>
    <row r="275" spans="1:21" ht="25.5" x14ac:dyDescent="0.25">
      <c r="A275" s="359">
        <v>0</v>
      </c>
      <c r="B275" s="49" t="s">
        <v>5945</v>
      </c>
      <c r="C275" s="49" t="s">
        <v>132</v>
      </c>
      <c r="D275" s="49">
        <v>182787</v>
      </c>
      <c r="E275" s="49" t="s">
        <v>5946</v>
      </c>
      <c r="F275" s="49" t="s">
        <v>4998</v>
      </c>
      <c r="G275" s="49" t="s">
        <v>5947</v>
      </c>
      <c r="H275" s="49">
        <v>5550</v>
      </c>
      <c r="I275" s="49" t="s">
        <v>1426</v>
      </c>
      <c r="J275" s="316">
        <v>45106</v>
      </c>
      <c r="K275" s="360">
        <v>45107</v>
      </c>
      <c r="L275" s="322" t="s">
        <v>5116</v>
      </c>
      <c r="M275" s="317" t="s">
        <v>5116</v>
      </c>
      <c r="N275" s="322">
        <v>45081</v>
      </c>
      <c r="O275" s="317" t="s">
        <v>5948</v>
      </c>
      <c r="P275" s="317">
        <v>4</v>
      </c>
      <c r="Q275" s="366">
        <v>45111</v>
      </c>
      <c r="R275" s="365" t="s">
        <v>264</v>
      </c>
      <c r="S275" s="364">
        <v>45111</v>
      </c>
      <c r="T275" s="364">
        <v>45111</v>
      </c>
      <c r="U275" s="348" t="s">
        <v>4999</v>
      </c>
    </row>
    <row r="276" spans="1:21" ht="25.5" x14ac:dyDescent="0.25">
      <c r="A276" s="359">
        <v>0</v>
      </c>
      <c r="B276" s="49" t="s">
        <v>5949</v>
      </c>
      <c r="C276" s="49" t="s">
        <v>132</v>
      </c>
      <c r="D276" s="49">
        <v>182788</v>
      </c>
      <c r="E276" s="49" t="s">
        <v>5950</v>
      </c>
      <c r="F276" s="49" t="s">
        <v>4998</v>
      </c>
      <c r="G276" s="49" t="s">
        <v>5951</v>
      </c>
      <c r="H276" s="49" t="s">
        <v>5952</v>
      </c>
      <c r="I276" s="49" t="s">
        <v>5953</v>
      </c>
      <c r="J276" s="316">
        <v>45106</v>
      </c>
      <c r="K276" s="360">
        <v>45107</v>
      </c>
      <c r="L276" s="322" t="s">
        <v>5116</v>
      </c>
      <c r="M276" s="317" t="s">
        <v>5116</v>
      </c>
      <c r="N276" s="322">
        <v>45111</v>
      </c>
      <c r="O276" s="317" t="s">
        <v>5954</v>
      </c>
      <c r="P276" s="317">
        <v>1</v>
      </c>
      <c r="Q276" s="366">
        <v>45112</v>
      </c>
      <c r="R276" s="365" t="s">
        <v>264</v>
      </c>
      <c r="S276" s="364">
        <v>45113</v>
      </c>
      <c r="T276" s="364">
        <v>45113</v>
      </c>
      <c r="U276" s="348" t="s">
        <v>4999</v>
      </c>
    </row>
    <row r="277" spans="1:21" ht="25.5" x14ac:dyDescent="0.25">
      <c r="A277" s="359">
        <v>0</v>
      </c>
      <c r="B277" s="49" t="s">
        <v>5955</v>
      </c>
      <c r="C277" s="49" t="s">
        <v>1854</v>
      </c>
      <c r="D277" s="49">
        <v>182791</v>
      </c>
      <c r="E277" s="49" t="s">
        <v>5956</v>
      </c>
      <c r="F277" s="49" t="s">
        <v>4998</v>
      </c>
      <c r="G277" s="49" t="s">
        <v>1147</v>
      </c>
      <c r="H277" s="49" t="s">
        <v>5723</v>
      </c>
      <c r="I277" s="49" t="s">
        <v>1869</v>
      </c>
      <c r="J277" s="316">
        <v>45111</v>
      </c>
      <c r="K277" s="360">
        <v>45112</v>
      </c>
      <c r="L277" s="317" t="s">
        <v>464</v>
      </c>
      <c r="M277" s="317" t="s">
        <v>464</v>
      </c>
      <c r="N277" s="322">
        <v>45112</v>
      </c>
      <c r="O277" s="317" t="s">
        <v>1876</v>
      </c>
      <c r="P277" s="317">
        <v>11</v>
      </c>
      <c r="Q277" s="366">
        <v>45113</v>
      </c>
      <c r="R277" s="365" t="s">
        <v>264</v>
      </c>
      <c r="S277" s="364">
        <v>45117</v>
      </c>
      <c r="T277" s="364">
        <v>45117</v>
      </c>
      <c r="U277" s="348" t="s">
        <v>4999</v>
      </c>
    </row>
    <row r="278" spans="1:21" ht="25.5" x14ac:dyDescent="0.25">
      <c r="A278" s="359">
        <v>0</v>
      </c>
      <c r="B278" s="49" t="s">
        <v>5957</v>
      </c>
      <c r="C278" s="49" t="s">
        <v>1854</v>
      </c>
      <c r="D278" s="49">
        <v>182791</v>
      </c>
      <c r="E278" s="49" t="s">
        <v>5958</v>
      </c>
      <c r="F278" s="49" t="s">
        <v>4998</v>
      </c>
      <c r="G278" s="49" t="s">
        <v>1856</v>
      </c>
      <c r="H278" s="49" t="s">
        <v>5959</v>
      </c>
      <c r="I278" s="49" t="s">
        <v>149</v>
      </c>
      <c r="J278" s="316">
        <v>45111</v>
      </c>
      <c r="K278" s="360">
        <v>45112</v>
      </c>
      <c r="L278" s="317" t="s">
        <v>464</v>
      </c>
      <c r="M278" s="317" t="s">
        <v>464</v>
      </c>
      <c r="N278" s="322">
        <v>45112</v>
      </c>
      <c r="O278" s="317" t="s">
        <v>5539</v>
      </c>
      <c r="P278" s="317">
        <v>4</v>
      </c>
      <c r="Q278" s="366">
        <v>45112</v>
      </c>
      <c r="R278" s="365" t="s">
        <v>264</v>
      </c>
      <c r="S278" s="364">
        <v>45113</v>
      </c>
      <c r="T278" s="364">
        <v>45113</v>
      </c>
      <c r="U278" s="348" t="s">
        <v>4999</v>
      </c>
    </row>
    <row r="279" spans="1:21" ht="25.5" x14ac:dyDescent="0.25">
      <c r="A279" s="359">
        <v>0</v>
      </c>
      <c r="B279" s="49" t="s">
        <v>5960</v>
      </c>
      <c r="C279" s="49" t="s">
        <v>1854</v>
      </c>
      <c r="D279" s="49">
        <v>182791</v>
      </c>
      <c r="E279" s="49" t="s">
        <v>5961</v>
      </c>
      <c r="F279" s="49" t="s">
        <v>4998</v>
      </c>
      <c r="G279" s="49" t="s">
        <v>5962</v>
      </c>
      <c r="H279" s="49" t="s">
        <v>5963</v>
      </c>
      <c r="I279" s="49" t="s">
        <v>5898</v>
      </c>
      <c r="J279" s="316">
        <v>45111</v>
      </c>
      <c r="K279" s="360">
        <v>45111</v>
      </c>
      <c r="L279" s="317" t="s">
        <v>464</v>
      </c>
      <c r="M279" s="317" t="s">
        <v>464</v>
      </c>
      <c r="N279" s="322">
        <v>45112</v>
      </c>
      <c r="O279" s="317" t="s">
        <v>5899</v>
      </c>
      <c r="P279" s="317">
        <v>1</v>
      </c>
      <c r="Q279" s="366">
        <v>45112</v>
      </c>
      <c r="R279" s="365" t="s">
        <v>264</v>
      </c>
      <c r="S279" s="364">
        <v>45113</v>
      </c>
      <c r="T279" s="364">
        <v>45113</v>
      </c>
      <c r="U279" s="348" t="s">
        <v>4999</v>
      </c>
    </row>
    <row r="280" spans="1:21" ht="38.25" x14ac:dyDescent="0.25">
      <c r="A280" s="359">
        <v>0</v>
      </c>
      <c r="B280" s="49" t="s">
        <v>5964</v>
      </c>
      <c r="C280" s="49" t="s">
        <v>219</v>
      </c>
      <c r="D280" s="49">
        <v>182756</v>
      </c>
      <c r="E280" s="49" t="s">
        <v>5965</v>
      </c>
      <c r="F280" s="49" t="s">
        <v>4998</v>
      </c>
      <c r="G280" s="49" t="s">
        <v>2546</v>
      </c>
      <c r="H280" s="49" t="s">
        <v>5966</v>
      </c>
      <c r="I280" s="316" t="s">
        <v>160</v>
      </c>
      <c r="J280" s="316">
        <v>45093</v>
      </c>
      <c r="K280" s="360">
        <v>45097</v>
      </c>
      <c r="L280" s="322" t="s">
        <v>5116</v>
      </c>
      <c r="M280" s="317" t="s">
        <v>5116</v>
      </c>
      <c r="N280" s="322">
        <v>45113</v>
      </c>
      <c r="O280" s="317" t="s">
        <v>274</v>
      </c>
      <c r="P280" s="317">
        <v>4</v>
      </c>
      <c r="Q280" s="366">
        <v>45156</v>
      </c>
      <c r="R280" s="365" t="s">
        <v>264</v>
      </c>
      <c r="S280" s="364">
        <v>45156</v>
      </c>
      <c r="T280" s="364">
        <v>45156</v>
      </c>
      <c r="U280" s="348" t="s">
        <v>4999</v>
      </c>
    </row>
    <row r="281" spans="1:21" ht="76.5" x14ac:dyDescent="0.25">
      <c r="A281" s="359">
        <v>0</v>
      </c>
      <c r="B281" s="49" t="s">
        <v>5967</v>
      </c>
      <c r="C281" s="49" t="s">
        <v>5867</v>
      </c>
      <c r="D281" s="49">
        <v>182765</v>
      </c>
      <c r="E281" s="49" t="s">
        <v>5968</v>
      </c>
      <c r="F281" s="49" t="s">
        <v>4998</v>
      </c>
      <c r="G281" s="49" t="s">
        <v>1147</v>
      </c>
      <c r="H281" s="49" t="s">
        <v>5969</v>
      </c>
      <c r="I281" s="49" t="s">
        <v>2937</v>
      </c>
      <c r="J281" s="316">
        <v>45105</v>
      </c>
      <c r="K281" s="360">
        <v>45105</v>
      </c>
      <c r="L281" s="322" t="s">
        <v>5116</v>
      </c>
      <c r="M281" s="317" t="s">
        <v>5116</v>
      </c>
      <c r="N281" s="322">
        <v>45113</v>
      </c>
      <c r="O281" s="317" t="s">
        <v>5970</v>
      </c>
      <c r="P281" s="317">
        <v>8</v>
      </c>
      <c r="Q281" s="366">
        <v>45118</v>
      </c>
      <c r="R281" s="365" t="s">
        <v>264</v>
      </c>
      <c r="S281" s="364">
        <v>45119</v>
      </c>
      <c r="T281" s="364">
        <v>45119</v>
      </c>
      <c r="U281" s="348" t="s">
        <v>4999</v>
      </c>
    </row>
    <row r="282" spans="1:21" ht="25.5" x14ac:dyDescent="0.25">
      <c r="A282" s="359">
        <v>0</v>
      </c>
      <c r="B282" s="49" t="s">
        <v>5971</v>
      </c>
      <c r="C282" s="49" t="s">
        <v>1820</v>
      </c>
      <c r="D282" s="49">
        <v>182802</v>
      </c>
      <c r="E282" s="49" t="s">
        <v>5972</v>
      </c>
      <c r="F282" s="49" t="s">
        <v>4998</v>
      </c>
      <c r="G282" s="49" t="s">
        <v>2717</v>
      </c>
      <c r="H282" s="49" t="s">
        <v>5973</v>
      </c>
      <c r="I282" s="49" t="s">
        <v>588</v>
      </c>
      <c r="J282" s="316">
        <v>45114</v>
      </c>
      <c r="K282" s="360">
        <v>45117</v>
      </c>
      <c r="L282" s="363" t="s">
        <v>47</v>
      </c>
      <c r="M282" s="317" t="s">
        <v>47</v>
      </c>
      <c r="N282" s="322">
        <v>45119</v>
      </c>
      <c r="O282" s="317" t="s">
        <v>5974</v>
      </c>
      <c r="P282" s="317">
        <v>1</v>
      </c>
      <c r="Q282" s="366">
        <v>45119</v>
      </c>
      <c r="R282" s="365" t="s">
        <v>264</v>
      </c>
      <c r="S282" s="364">
        <v>45121</v>
      </c>
      <c r="T282" s="364">
        <v>45121</v>
      </c>
      <c r="U282" s="348" t="s">
        <v>4999</v>
      </c>
    </row>
    <row r="283" spans="1:21" x14ac:dyDescent="0.25">
      <c r="A283" s="359">
        <v>0</v>
      </c>
      <c r="B283" s="49" t="s">
        <v>5975</v>
      </c>
      <c r="C283" s="49" t="s">
        <v>5874</v>
      </c>
      <c r="D283" s="49">
        <v>182766</v>
      </c>
      <c r="E283" s="49"/>
      <c r="F283" s="49"/>
      <c r="G283" s="49" t="s">
        <v>5976</v>
      </c>
      <c r="H283" s="49" t="s">
        <v>5977</v>
      </c>
      <c r="I283" s="49" t="s">
        <v>5978</v>
      </c>
      <c r="J283" s="316">
        <v>45117</v>
      </c>
      <c r="K283" s="361"/>
      <c r="L283" s="363"/>
      <c r="M283" s="317"/>
      <c r="N283" s="322"/>
      <c r="O283" s="317"/>
      <c r="P283" s="317"/>
      <c r="Q283" s="366"/>
      <c r="R283" s="365"/>
      <c r="S283" s="364"/>
      <c r="T283" s="364"/>
      <c r="U283" s="348" t="s">
        <v>4999</v>
      </c>
    </row>
    <row r="284" spans="1:21" ht="25.5" x14ac:dyDescent="0.25">
      <c r="A284" s="359">
        <v>0</v>
      </c>
      <c r="B284" s="49" t="s">
        <v>5979</v>
      </c>
      <c r="C284" s="49" t="s">
        <v>5889</v>
      </c>
      <c r="D284" s="49">
        <v>182361</v>
      </c>
      <c r="E284" s="49" t="s">
        <v>5980</v>
      </c>
      <c r="F284" s="49" t="s">
        <v>4998</v>
      </c>
      <c r="G284" s="49" t="s">
        <v>2721</v>
      </c>
      <c r="H284" s="49" t="s">
        <v>5981</v>
      </c>
      <c r="I284" s="49" t="s">
        <v>5982</v>
      </c>
      <c r="J284" s="316">
        <v>45070</v>
      </c>
      <c r="K284" s="360">
        <v>45072</v>
      </c>
      <c r="L284" s="363" t="s">
        <v>47</v>
      </c>
      <c r="M284" s="317" t="s">
        <v>47</v>
      </c>
      <c r="N284" s="322">
        <v>45100</v>
      </c>
      <c r="O284" s="317" t="s">
        <v>5983</v>
      </c>
      <c r="P284" s="317">
        <v>6</v>
      </c>
      <c r="Q284" s="366">
        <v>45162</v>
      </c>
      <c r="R284" s="365" t="s">
        <v>264</v>
      </c>
      <c r="S284" s="364">
        <v>45162</v>
      </c>
      <c r="T284" s="364">
        <v>45162</v>
      </c>
      <c r="U284" s="348" t="s">
        <v>4999</v>
      </c>
    </row>
    <row r="285" spans="1:21" ht="25.5" x14ac:dyDescent="0.25">
      <c r="A285" s="359">
        <v>0</v>
      </c>
      <c r="B285" s="49" t="s">
        <v>5984</v>
      </c>
      <c r="C285" s="49" t="s">
        <v>1904</v>
      </c>
      <c r="D285" s="49">
        <v>182810</v>
      </c>
      <c r="E285" s="49" t="s">
        <v>5985</v>
      </c>
      <c r="F285" s="49" t="s">
        <v>4998</v>
      </c>
      <c r="G285" s="49" t="s">
        <v>1900</v>
      </c>
      <c r="H285" s="49" t="s">
        <v>5986</v>
      </c>
      <c r="I285" s="49" t="s">
        <v>1902</v>
      </c>
      <c r="J285" s="316">
        <v>45119</v>
      </c>
      <c r="K285" s="360">
        <v>45120</v>
      </c>
      <c r="L285" s="363" t="s">
        <v>47</v>
      </c>
      <c r="M285" s="317" t="s">
        <v>47</v>
      </c>
      <c r="N285" s="322">
        <v>45201</v>
      </c>
      <c r="O285" s="317" t="s">
        <v>235</v>
      </c>
      <c r="P285" s="317">
        <v>20</v>
      </c>
      <c r="Q285" s="366">
        <v>45208</v>
      </c>
      <c r="R285" s="365" t="s">
        <v>264</v>
      </c>
      <c r="S285" s="364">
        <v>45208</v>
      </c>
      <c r="T285" s="364">
        <v>45208</v>
      </c>
      <c r="U285" s="348" t="s">
        <v>4999</v>
      </c>
    </row>
    <row r="286" spans="1:21" ht="38.25" x14ac:dyDescent="0.25">
      <c r="A286" s="359">
        <v>0</v>
      </c>
      <c r="B286" s="49" t="s">
        <v>5987</v>
      </c>
      <c r="C286" s="49" t="s">
        <v>219</v>
      </c>
      <c r="D286" s="49">
        <v>182794</v>
      </c>
      <c r="E286" s="49" t="s">
        <v>5988</v>
      </c>
      <c r="F286" s="49" t="s">
        <v>4998</v>
      </c>
      <c r="G286" s="49" t="s">
        <v>2546</v>
      </c>
      <c r="H286" s="49" t="s">
        <v>5989</v>
      </c>
      <c r="I286" s="316" t="s">
        <v>160</v>
      </c>
      <c r="J286" s="316">
        <v>45111</v>
      </c>
      <c r="K286" s="360">
        <v>45113</v>
      </c>
      <c r="L286" s="363" t="s">
        <v>47</v>
      </c>
      <c r="M286" s="317" t="s">
        <v>47</v>
      </c>
      <c r="N286" s="322">
        <v>45132</v>
      </c>
      <c r="O286" s="317" t="s">
        <v>274</v>
      </c>
      <c r="P286" s="317">
        <v>9</v>
      </c>
      <c r="Q286" s="366">
        <v>45156</v>
      </c>
      <c r="R286" s="365" t="s">
        <v>264</v>
      </c>
      <c r="S286" s="364">
        <v>45159</v>
      </c>
      <c r="T286" s="364">
        <v>45159</v>
      </c>
      <c r="U286" s="348" t="s">
        <v>4999</v>
      </c>
    </row>
    <row r="287" spans="1:21" ht="25.5" x14ac:dyDescent="0.25">
      <c r="A287" s="359">
        <v>0</v>
      </c>
      <c r="B287" s="49" t="s">
        <v>5990</v>
      </c>
      <c r="C287" s="49" t="s">
        <v>5991</v>
      </c>
      <c r="D287" s="49">
        <v>182809</v>
      </c>
      <c r="E287" s="49" t="s">
        <v>5992</v>
      </c>
      <c r="F287" s="49" t="s">
        <v>4998</v>
      </c>
      <c r="G287" s="49" t="s">
        <v>5993</v>
      </c>
      <c r="H287" s="49" t="s">
        <v>5994</v>
      </c>
      <c r="I287" s="49" t="s">
        <v>127</v>
      </c>
      <c r="J287" s="316">
        <v>45118</v>
      </c>
      <c r="K287" s="360">
        <v>45119</v>
      </c>
      <c r="L287" s="363" t="s">
        <v>47</v>
      </c>
      <c r="M287" s="317" t="s">
        <v>47</v>
      </c>
      <c r="N287" s="322">
        <v>45135</v>
      </c>
      <c r="O287" s="317" t="s">
        <v>5995</v>
      </c>
      <c r="P287" s="317">
        <v>1</v>
      </c>
      <c r="Q287" s="366">
        <v>45138</v>
      </c>
      <c r="R287" s="365" t="s">
        <v>264</v>
      </c>
      <c r="S287" s="364">
        <v>45138</v>
      </c>
      <c r="T287" s="364">
        <v>45138</v>
      </c>
      <c r="U287" s="348" t="s">
        <v>4999</v>
      </c>
    </row>
    <row r="288" spans="1:21" ht="25.5" x14ac:dyDescent="0.25">
      <c r="A288" s="359">
        <v>0</v>
      </c>
      <c r="B288" s="49" t="s">
        <v>5996</v>
      </c>
      <c r="C288" s="49" t="s">
        <v>5997</v>
      </c>
      <c r="D288" s="49">
        <v>182832</v>
      </c>
      <c r="E288" s="49" t="s">
        <v>5998</v>
      </c>
      <c r="F288" s="49" t="s">
        <v>4998</v>
      </c>
      <c r="G288" s="49" t="s">
        <v>5999</v>
      </c>
      <c r="H288" s="49" t="s">
        <v>6000</v>
      </c>
      <c r="I288" s="49"/>
      <c r="J288" s="49"/>
      <c r="K288" s="361"/>
      <c r="L288" s="363"/>
      <c r="M288" s="317"/>
      <c r="N288" s="317"/>
      <c r="O288" s="317"/>
      <c r="P288" s="317"/>
      <c r="Q288" s="367"/>
      <c r="R288" s="365"/>
      <c r="S288" s="365"/>
      <c r="T288" s="365"/>
      <c r="U288" s="348"/>
    </row>
    <row r="289" spans="1:21" ht="25.5" x14ac:dyDescent="0.25">
      <c r="A289" s="359">
        <v>0</v>
      </c>
      <c r="B289" s="49" t="s">
        <v>6001</v>
      </c>
      <c r="C289" s="49" t="s">
        <v>1854</v>
      </c>
      <c r="D289" s="49">
        <v>182828</v>
      </c>
      <c r="E289" s="49" t="s">
        <v>6002</v>
      </c>
      <c r="F289" s="49" t="s">
        <v>4998</v>
      </c>
      <c r="G289" s="49" t="s">
        <v>1874</v>
      </c>
      <c r="H289" s="49" t="s">
        <v>6003</v>
      </c>
      <c r="I289" s="49" t="s">
        <v>1869</v>
      </c>
      <c r="J289" s="316">
        <v>45125</v>
      </c>
      <c r="K289" s="360">
        <v>45125</v>
      </c>
      <c r="L289" s="363" t="s">
        <v>47</v>
      </c>
      <c r="M289" s="317" t="s">
        <v>47</v>
      </c>
      <c r="N289" s="322">
        <v>45125</v>
      </c>
      <c r="O289" s="317" t="s">
        <v>6004</v>
      </c>
      <c r="P289" s="317">
        <v>3</v>
      </c>
      <c r="Q289" s="366">
        <v>45132</v>
      </c>
      <c r="R289" s="365" t="s">
        <v>264</v>
      </c>
      <c r="S289" s="364">
        <v>45132</v>
      </c>
      <c r="T289" s="364">
        <v>45132</v>
      </c>
      <c r="U289" s="348" t="s">
        <v>4999</v>
      </c>
    </row>
    <row r="290" spans="1:21" ht="25.5" x14ac:dyDescent="0.25">
      <c r="A290" s="359">
        <v>0</v>
      </c>
      <c r="B290" s="49" t="s">
        <v>6005</v>
      </c>
      <c r="C290" s="49" t="s">
        <v>5817</v>
      </c>
      <c r="D290" s="49">
        <v>182821</v>
      </c>
      <c r="E290" s="49" t="s">
        <v>6006</v>
      </c>
      <c r="F290" s="49" t="s">
        <v>4998</v>
      </c>
      <c r="G290" s="49" t="s">
        <v>538</v>
      </c>
      <c r="H290" s="49" t="s">
        <v>6007</v>
      </c>
      <c r="I290" s="49" t="s">
        <v>2492</v>
      </c>
      <c r="J290" s="316">
        <v>45114</v>
      </c>
      <c r="K290" s="360">
        <v>45126</v>
      </c>
      <c r="L290" s="363" t="s">
        <v>47</v>
      </c>
      <c r="M290" s="317" t="s">
        <v>47</v>
      </c>
      <c r="N290" s="322">
        <v>45134</v>
      </c>
      <c r="O290" s="317" t="s">
        <v>6008</v>
      </c>
      <c r="P290" s="317">
        <v>4</v>
      </c>
      <c r="Q290" s="366">
        <v>45134</v>
      </c>
      <c r="R290" s="365" t="s">
        <v>264</v>
      </c>
      <c r="S290" s="364">
        <v>45138</v>
      </c>
      <c r="T290" s="364">
        <v>45138</v>
      </c>
      <c r="U290" s="348" t="s">
        <v>4999</v>
      </c>
    </row>
    <row r="291" spans="1:21" ht="25.5" x14ac:dyDescent="0.25">
      <c r="A291" s="359">
        <v>0</v>
      </c>
      <c r="B291" s="49" t="s">
        <v>6009</v>
      </c>
      <c r="C291" s="49" t="s">
        <v>1820</v>
      </c>
      <c r="D291" s="49">
        <v>182844</v>
      </c>
      <c r="E291" s="49" t="s">
        <v>6010</v>
      </c>
      <c r="F291" s="49" t="s">
        <v>4998</v>
      </c>
      <c r="G291" s="49" t="s">
        <v>427</v>
      </c>
      <c r="H291" s="49" t="s">
        <v>2820</v>
      </c>
      <c r="I291" s="49" t="s">
        <v>588</v>
      </c>
      <c r="J291" s="316">
        <v>45132</v>
      </c>
      <c r="K291" s="360">
        <v>45132</v>
      </c>
      <c r="L291" s="363" t="s">
        <v>47</v>
      </c>
      <c r="M291" s="317" t="s">
        <v>47</v>
      </c>
      <c r="N291" s="322">
        <v>45134</v>
      </c>
      <c r="O291" s="317" t="s">
        <v>2757</v>
      </c>
      <c r="P291" s="317">
        <v>1</v>
      </c>
      <c r="Q291" s="366">
        <v>45134</v>
      </c>
      <c r="R291" s="365" t="s">
        <v>264</v>
      </c>
      <c r="S291" s="364">
        <v>45134</v>
      </c>
      <c r="T291" s="364">
        <v>45134</v>
      </c>
      <c r="U291" s="348" t="s">
        <v>4999</v>
      </c>
    </row>
    <row r="292" spans="1:21" ht="25.5" x14ac:dyDescent="0.25">
      <c r="A292" s="359">
        <v>0</v>
      </c>
      <c r="B292" s="49" t="s">
        <v>6011</v>
      </c>
      <c r="C292" s="49" t="s">
        <v>5867</v>
      </c>
      <c r="D292" s="49">
        <v>182848</v>
      </c>
      <c r="E292" s="49" t="s">
        <v>6012</v>
      </c>
      <c r="F292" s="49" t="s">
        <v>4998</v>
      </c>
      <c r="G292" s="49" t="s">
        <v>6013</v>
      </c>
      <c r="H292" s="49" t="s">
        <v>6014</v>
      </c>
      <c r="I292" s="49" t="s">
        <v>1864</v>
      </c>
      <c r="J292" s="316">
        <v>45134</v>
      </c>
      <c r="K292" s="360">
        <v>45138</v>
      </c>
      <c r="L292" s="363" t="s">
        <v>47</v>
      </c>
      <c r="M292" s="317" t="s">
        <v>47</v>
      </c>
      <c r="N292" s="322">
        <v>45133</v>
      </c>
      <c r="O292" s="317" t="s">
        <v>6015</v>
      </c>
      <c r="P292" s="317">
        <v>1</v>
      </c>
      <c r="Q292" s="366">
        <v>45139</v>
      </c>
      <c r="R292" s="365" t="s">
        <v>264</v>
      </c>
      <c r="S292" s="364">
        <v>45140</v>
      </c>
      <c r="T292" s="364">
        <v>45140</v>
      </c>
      <c r="U292" s="348" t="s">
        <v>4999</v>
      </c>
    </row>
    <row r="293" spans="1:21" ht="25.5" x14ac:dyDescent="0.25">
      <c r="A293" s="359">
        <v>0</v>
      </c>
      <c r="B293" s="49" t="s">
        <v>6016</v>
      </c>
      <c r="C293" s="49" t="s">
        <v>5472</v>
      </c>
      <c r="D293" s="49">
        <v>182824</v>
      </c>
      <c r="E293" s="49" t="s">
        <v>6017</v>
      </c>
      <c r="F293" s="49" t="s">
        <v>4998</v>
      </c>
      <c r="G293" s="49" t="s">
        <v>6018</v>
      </c>
      <c r="H293" s="49" t="s">
        <v>6019</v>
      </c>
      <c r="I293" s="49" t="s">
        <v>6020</v>
      </c>
      <c r="J293" s="316">
        <v>45125</v>
      </c>
      <c r="K293" s="360">
        <v>45126</v>
      </c>
      <c r="L293" s="363" t="s">
        <v>47</v>
      </c>
      <c r="M293" s="317" t="s">
        <v>47</v>
      </c>
      <c r="N293" s="322">
        <v>45254</v>
      </c>
      <c r="O293" s="317" t="s">
        <v>6021</v>
      </c>
      <c r="P293" s="317">
        <v>2</v>
      </c>
      <c r="Q293" s="322">
        <v>45254</v>
      </c>
      <c r="R293" s="365"/>
      <c r="S293" s="365"/>
      <c r="T293" s="365"/>
      <c r="U293" s="348"/>
    </row>
    <row r="294" spans="1:21" ht="25.5" x14ac:dyDescent="0.25">
      <c r="A294" s="359">
        <v>0</v>
      </c>
      <c r="B294" s="49" t="s">
        <v>6022</v>
      </c>
      <c r="C294" s="49" t="s">
        <v>1820</v>
      </c>
      <c r="D294" s="49">
        <v>182849</v>
      </c>
      <c r="E294" s="49" t="s">
        <v>6023</v>
      </c>
      <c r="F294" s="49" t="s">
        <v>4998</v>
      </c>
      <c r="G294" s="49" t="s">
        <v>427</v>
      </c>
      <c r="H294" s="49" t="s">
        <v>6024</v>
      </c>
      <c r="I294" s="49" t="s">
        <v>588</v>
      </c>
      <c r="J294" s="316">
        <v>45134</v>
      </c>
      <c r="K294" s="360">
        <v>45135</v>
      </c>
      <c r="L294" s="363" t="s">
        <v>47</v>
      </c>
      <c r="M294" s="317" t="s">
        <v>47</v>
      </c>
      <c r="N294" s="322">
        <v>45135</v>
      </c>
      <c r="O294" s="317" t="s">
        <v>430</v>
      </c>
      <c r="P294" s="317">
        <v>1</v>
      </c>
      <c r="Q294" s="366">
        <v>45138</v>
      </c>
      <c r="R294" s="365" t="s">
        <v>264</v>
      </c>
      <c r="S294" s="364">
        <v>45138</v>
      </c>
      <c r="T294" s="364">
        <v>45138</v>
      </c>
      <c r="U294" s="348" t="s">
        <v>4999</v>
      </c>
    </row>
    <row r="295" spans="1:21" x14ac:dyDescent="0.25">
      <c r="A295" s="359">
        <v>0</v>
      </c>
      <c r="B295" s="49" t="s">
        <v>6025</v>
      </c>
      <c r="C295" s="49" t="s">
        <v>1680</v>
      </c>
      <c r="D295" s="49">
        <v>182850</v>
      </c>
      <c r="E295" s="49" t="s">
        <v>6026</v>
      </c>
      <c r="F295" s="49" t="s">
        <v>4998</v>
      </c>
      <c r="G295" s="49" t="s">
        <v>6027</v>
      </c>
      <c r="H295" s="49" t="s">
        <v>6028</v>
      </c>
      <c r="I295" s="49" t="s">
        <v>6029</v>
      </c>
      <c r="J295" s="316">
        <v>45135</v>
      </c>
      <c r="K295" s="360">
        <v>45140</v>
      </c>
      <c r="L295" s="363" t="s">
        <v>47</v>
      </c>
      <c r="M295" s="317" t="s">
        <v>47</v>
      </c>
      <c r="N295" s="322">
        <v>45145</v>
      </c>
      <c r="O295" s="317" t="s">
        <v>6030</v>
      </c>
      <c r="P295" s="317">
        <v>2</v>
      </c>
      <c r="Q295" s="366">
        <v>45145</v>
      </c>
      <c r="R295" s="365" t="s">
        <v>264</v>
      </c>
      <c r="S295" s="364">
        <v>45145</v>
      </c>
      <c r="T295" s="364">
        <v>45145</v>
      </c>
      <c r="U295" s="348" t="s">
        <v>4999</v>
      </c>
    </row>
    <row r="296" spans="1:21" x14ac:dyDescent="0.25">
      <c r="A296" s="359">
        <v>0</v>
      </c>
      <c r="B296" s="49" t="s">
        <v>6031</v>
      </c>
      <c r="C296" s="49" t="s">
        <v>6032</v>
      </c>
      <c r="D296" s="49">
        <v>182877</v>
      </c>
      <c r="E296" s="49" t="s">
        <v>6033</v>
      </c>
      <c r="F296" s="49" t="s">
        <v>4998</v>
      </c>
      <c r="G296" s="49" t="s">
        <v>3057</v>
      </c>
      <c r="H296" s="49" t="s">
        <v>6034</v>
      </c>
      <c r="I296" s="49" t="s">
        <v>6035</v>
      </c>
      <c r="J296" s="316">
        <v>45148</v>
      </c>
      <c r="K296" s="360">
        <v>45148</v>
      </c>
      <c r="L296" s="363" t="s">
        <v>47</v>
      </c>
      <c r="M296" s="317" t="s">
        <v>47</v>
      </c>
      <c r="N296" s="317"/>
      <c r="O296" s="317" t="s">
        <v>6036</v>
      </c>
      <c r="P296" s="317">
        <v>1</v>
      </c>
      <c r="Q296" s="367"/>
      <c r="R296" s="365"/>
      <c r="S296" s="365"/>
      <c r="T296" s="365"/>
      <c r="U296" s="348"/>
    </row>
    <row r="297" spans="1:21" x14ac:dyDescent="0.25">
      <c r="A297" s="359">
        <v>0</v>
      </c>
      <c r="B297" s="49" t="s">
        <v>6037</v>
      </c>
      <c r="C297" s="49" t="s">
        <v>5001</v>
      </c>
      <c r="D297" s="49">
        <v>182596</v>
      </c>
      <c r="E297" s="49" t="s">
        <v>6038</v>
      </c>
      <c r="F297" s="49" t="s">
        <v>4998</v>
      </c>
      <c r="G297" s="49" t="s">
        <v>6039</v>
      </c>
      <c r="H297" s="49">
        <v>981332</v>
      </c>
      <c r="I297" s="49" t="s">
        <v>53</v>
      </c>
      <c r="J297" s="316">
        <v>45014</v>
      </c>
      <c r="K297" s="360">
        <v>45021</v>
      </c>
      <c r="L297" s="363" t="s">
        <v>28</v>
      </c>
      <c r="M297" s="317" t="s">
        <v>28</v>
      </c>
      <c r="N297" s="322">
        <v>45152</v>
      </c>
      <c r="O297" s="317" t="s">
        <v>6040</v>
      </c>
      <c r="P297" s="317">
        <v>2</v>
      </c>
      <c r="Q297" s="366">
        <v>45173</v>
      </c>
      <c r="R297" s="365" t="s">
        <v>264</v>
      </c>
      <c r="S297" s="364">
        <v>45174</v>
      </c>
      <c r="T297" s="364">
        <v>45174</v>
      </c>
      <c r="U297" s="348" t="s">
        <v>4999</v>
      </c>
    </row>
    <row r="298" spans="1:21" ht="38.25" x14ac:dyDescent="0.25">
      <c r="A298" s="359">
        <v>0</v>
      </c>
      <c r="B298" s="49" t="s">
        <v>6041</v>
      </c>
      <c r="C298" s="49" t="s">
        <v>219</v>
      </c>
      <c r="D298" s="49">
        <v>182781</v>
      </c>
      <c r="E298" s="49" t="s">
        <v>6042</v>
      </c>
      <c r="F298" s="49" t="s">
        <v>4998</v>
      </c>
      <c r="G298" s="49" t="s">
        <v>2546</v>
      </c>
      <c r="H298" s="49" t="s">
        <v>6043</v>
      </c>
      <c r="I298" s="49" t="s">
        <v>160</v>
      </c>
      <c r="J298" s="316">
        <v>45105</v>
      </c>
      <c r="K298" s="360">
        <v>45125</v>
      </c>
      <c r="L298" s="363" t="s">
        <v>47</v>
      </c>
      <c r="M298" s="317" t="s">
        <v>47</v>
      </c>
      <c r="N298" s="322">
        <v>45132</v>
      </c>
      <c r="O298" s="317" t="s">
        <v>274</v>
      </c>
      <c r="P298" s="317">
        <v>9</v>
      </c>
      <c r="Q298" s="366">
        <v>45156</v>
      </c>
      <c r="R298" s="365" t="s">
        <v>264</v>
      </c>
      <c r="S298" s="364">
        <v>45156</v>
      </c>
      <c r="T298" s="364">
        <v>45156</v>
      </c>
      <c r="U298" s="348" t="s">
        <v>4999</v>
      </c>
    </row>
    <row r="299" spans="1:21" x14ac:dyDescent="0.25">
      <c r="A299" s="359">
        <v>0</v>
      </c>
      <c r="B299" s="49" t="s">
        <v>6044</v>
      </c>
      <c r="C299" s="49" t="s">
        <v>5001</v>
      </c>
      <c r="D299" s="75">
        <v>182884</v>
      </c>
      <c r="E299" s="49" t="s">
        <v>6045</v>
      </c>
      <c r="F299" s="49" t="s">
        <v>4998</v>
      </c>
      <c r="G299" s="49" t="s">
        <v>6046</v>
      </c>
      <c r="H299" s="49" t="s">
        <v>6047</v>
      </c>
      <c r="I299" s="49" t="s">
        <v>53</v>
      </c>
      <c r="J299" s="49"/>
      <c r="K299" s="361"/>
      <c r="L299" s="363"/>
      <c r="M299" s="317"/>
      <c r="N299" s="317"/>
      <c r="O299" s="317"/>
      <c r="P299" s="317"/>
      <c r="Q299" s="367"/>
      <c r="R299" s="365"/>
      <c r="S299" s="365"/>
      <c r="T299" s="365"/>
      <c r="U299" s="348"/>
    </row>
    <row r="300" spans="1:21" x14ac:dyDescent="0.25">
      <c r="A300" s="359">
        <v>0</v>
      </c>
      <c r="B300" s="49" t="s">
        <v>6048</v>
      </c>
      <c r="C300" s="49"/>
      <c r="D300" s="49"/>
      <c r="E300" s="49"/>
      <c r="F300" s="49"/>
      <c r="G300" s="49"/>
      <c r="H300" s="49"/>
      <c r="I300" s="49"/>
      <c r="J300" s="49"/>
      <c r="K300" s="361"/>
      <c r="L300" s="363"/>
      <c r="M300" s="317"/>
      <c r="N300" s="317"/>
      <c r="O300" s="317"/>
      <c r="P300" s="317"/>
      <c r="Q300" s="367"/>
      <c r="R300" s="365"/>
      <c r="S300" s="365"/>
      <c r="T300" s="365"/>
      <c r="U300" s="348"/>
    </row>
    <row r="301" spans="1:21" ht="25.5" x14ac:dyDescent="0.25">
      <c r="A301" s="359">
        <v>0</v>
      </c>
      <c r="B301" s="49" t="s">
        <v>6049</v>
      </c>
      <c r="C301" s="49" t="s">
        <v>1345</v>
      </c>
      <c r="D301" s="362" t="s">
        <v>5285</v>
      </c>
      <c r="E301" s="378">
        <v>181825189</v>
      </c>
      <c r="F301" s="49" t="s">
        <v>4998</v>
      </c>
      <c r="G301" s="49" t="s">
        <v>6050</v>
      </c>
      <c r="H301" s="49" t="s">
        <v>6051</v>
      </c>
      <c r="I301" s="49" t="s">
        <v>346</v>
      </c>
      <c r="J301" s="316">
        <v>45124</v>
      </c>
      <c r="K301" s="360">
        <v>45079</v>
      </c>
      <c r="L301" s="363" t="s">
        <v>47</v>
      </c>
      <c r="M301" s="317" t="s">
        <v>47</v>
      </c>
      <c r="N301" s="322">
        <v>45124</v>
      </c>
      <c r="O301" s="317" t="s">
        <v>2198</v>
      </c>
      <c r="P301" s="317">
        <v>1</v>
      </c>
      <c r="Q301" s="366">
        <v>45124</v>
      </c>
      <c r="R301" s="365" t="s">
        <v>264</v>
      </c>
      <c r="S301" s="364">
        <v>45124</v>
      </c>
      <c r="T301" s="364">
        <v>45124</v>
      </c>
      <c r="U301" s="348" t="s">
        <v>4999</v>
      </c>
    </row>
    <row r="302" spans="1:21" ht="25.5" x14ac:dyDescent="0.25">
      <c r="A302" s="359">
        <v>0</v>
      </c>
      <c r="B302" s="49" t="s">
        <v>6052</v>
      </c>
      <c r="C302" s="49" t="s">
        <v>1345</v>
      </c>
      <c r="D302" s="362" t="s">
        <v>5285</v>
      </c>
      <c r="E302" s="378">
        <v>181825190</v>
      </c>
      <c r="F302" s="49" t="s">
        <v>4998</v>
      </c>
      <c r="G302" s="49" t="s">
        <v>147</v>
      </c>
      <c r="H302" s="49" t="s">
        <v>6053</v>
      </c>
      <c r="I302" s="49" t="s">
        <v>346</v>
      </c>
      <c r="J302" s="316">
        <v>45131</v>
      </c>
      <c r="K302" s="360">
        <v>45079</v>
      </c>
      <c r="L302" s="363" t="s">
        <v>47</v>
      </c>
      <c r="M302" s="317" t="s">
        <v>47</v>
      </c>
      <c r="N302" s="322">
        <v>45131</v>
      </c>
      <c r="O302" s="317" t="s">
        <v>2216</v>
      </c>
      <c r="P302" s="317">
        <v>1</v>
      </c>
      <c r="Q302" s="366">
        <v>45131</v>
      </c>
      <c r="R302" s="365" t="s">
        <v>264</v>
      </c>
      <c r="S302" s="364">
        <v>45132</v>
      </c>
      <c r="T302" s="364">
        <v>45132</v>
      </c>
      <c r="U302" s="348" t="s">
        <v>4999</v>
      </c>
    </row>
    <row r="303" spans="1:21" ht="25.5" x14ac:dyDescent="0.25">
      <c r="A303" s="359">
        <v>0</v>
      </c>
      <c r="B303" s="49" t="s">
        <v>6054</v>
      </c>
      <c r="C303" s="49" t="s">
        <v>1345</v>
      </c>
      <c r="D303" s="362" t="s">
        <v>5285</v>
      </c>
      <c r="E303" s="378">
        <v>181825191</v>
      </c>
      <c r="F303" s="49" t="s">
        <v>4998</v>
      </c>
      <c r="G303" s="49" t="s">
        <v>5267</v>
      </c>
      <c r="H303" s="49" t="s">
        <v>6055</v>
      </c>
      <c r="I303" s="49" t="s">
        <v>346</v>
      </c>
      <c r="J303" s="316">
        <v>45132</v>
      </c>
      <c r="K303" s="360">
        <v>45079</v>
      </c>
      <c r="L303" s="363" t="s">
        <v>47</v>
      </c>
      <c r="M303" s="317" t="s">
        <v>47</v>
      </c>
      <c r="N303" s="322">
        <v>45132</v>
      </c>
      <c r="O303" s="317" t="s">
        <v>1387</v>
      </c>
      <c r="P303" s="317">
        <v>2</v>
      </c>
      <c r="Q303" s="366">
        <v>45132</v>
      </c>
      <c r="R303" s="365" t="s">
        <v>264</v>
      </c>
      <c r="S303" s="364">
        <v>45132</v>
      </c>
      <c r="T303" s="364">
        <v>45132</v>
      </c>
      <c r="U303" s="348" t="s">
        <v>4999</v>
      </c>
    </row>
    <row r="304" spans="1:21" ht="25.5" x14ac:dyDescent="0.25">
      <c r="A304" s="359">
        <v>0</v>
      </c>
      <c r="B304" s="49" t="s">
        <v>6056</v>
      </c>
      <c r="C304" s="49" t="s">
        <v>1345</v>
      </c>
      <c r="D304" s="362" t="s">
        <v>5285</v>
      </c>
      <c r="E304" s="378">
        <v>181825192</v>
      </c>
      <c r="F304" s="49" t="s">
        <v>4998</v>
      </c>
      <c r="G304" s="49" t="s">
        <v>6050</v>
      </c>
      <c r="H304" s="49" t="s">
        <v>6057</v>
      </c>
      <c r="I304" s="49" t="s">
        <v>346</v>
      </c>
      <c r="J304" s="316">
        <v>45133</v>
      </c>
      <c r="K304" s="360">
        <v>45079</v>
      </c>
      <c r="L304" s="363" t="s">
        <v>47</v>
      </c>
      <c r="M304" s="317" t="s">
        <v>47</v>
      </c>
      <c r="N304" s="322">
        <v>45133</v>
      </c>
      <c r="O304" s="317" t="s">
        <v>2198</v>
      </c>
      <c r="P304" s="317">
        <v>1</v>
      </c>
      <c r="Q304" s="366">
        <v>45133</v>
      </c>
      <c r="R304" s="365" t="s">
        <v>264</v>
      </c>
      <c r="S304" s="364">
        <v>45133</v>
      </c>
      <c r="T304" s="364">
        <v>45133</v>
      </c>
      <c r="U304" s="348" t="s">
        <v>4999</v>
      </c>
    </row>
    <row r="305" spans="1:21" ht="25.5" x14ac:dyDescent="0.25">
      <c r="A305" s="359">
        <v>0</v>
      </c>
      <c r="B305" s="49" t="s">
        <v>6058</v>
      </c>
      <c r="C305" s="49" t="s">
        <v>1345</v>
      </c>
      <c r="D305" s="362" t="s">
        <v>5285</v>
      </c>
      <c r="E305" s="378">
        <v>181825193</v>
      </c>
      <c r="F305" s="49" t="s">
        <v>4998</v>
      </c>
      <c r="G305" s="49" t="s">
        <v>6050</v>
      </c>
      <c r="H305" s="49" t="s">
        <v>6059</v>
      </c>
      <c r="I305" s="49" t="s">
        <v>346</v>
      </c>
      <c r="J305" s="316">
        <v>45133</v>
      </c>
      <c r="K305" s="360">
        <v>45079</v>
      </c>
      <c r="L305" s="363" t="s">
        <v>47</v>
      </c>
      <c r="M305" s="317" t="s">
        <v>47</v>
      </c>
      <c r="N305" s="322">
        <v>45133</v>
      </c>
      <c r="O305" s="317" t="s">
        <v>2198</v>
      </c>
      <c r="P305" s="317">
        <v>2</v>
      </c>
      <c r="Q305" s="366">
        <v>45133</v>
      </c>
      <c r="R305" s="365" t="s">
        <v>264</v>
      </c>
      <c r="S305" s="364">
        <v>45133</v>
      </c>
      <c r="T305" s="364">
        <v>45133</v>
      </c>
      <c r="U305" s="348" t="s">
        <v>4999</v>
      </c>
    </row>
    <row r="306" spans="1:21" ht="25.5" x14ac:dyDescent="0.25">
      <c r="A306" s="359">
        <v>0</v>
      </c>
      <c r="B306" s="49" t="s">
        <v>6060</v>
      </c>
      <c r="C306" s="49" t="s">
        <v>1345</v>
      </c>
      <c r="D306" s="362" t="s">
        <v>5285</v>
      </c>
      <c r="E306" s="378">
        <v>181825194</v>
      </c>
      <c r="F306" s="49" t="s">
        <v>4998</v>
      </c>
      <c r="G306" s="49" t="s">
        <v>1406</v>
      </c>
      <c r="H306" s="49" t="s">
        <v>6061</v>
      </c>
      <c r="I306" s="49" t="s">
        <v>5186</v>
      </c>
      <c r="J306" s="316">
        <v>45134</v>
      </c>
      <c r="K306" s="360">
        <v>45079</v>
      </c>
      <c r="L306" s="363" t="s">
        <v>47</v>
      </c>
      <c r="M306" s="317" t="s">
        <v>47</v>
      </c>
      <c r="N306" s="322">
        <v>45134</v>
      </c>
      <c r="O306" s="317" t="s">
        <v>5153</v>
      </c>
      <c r="P306" s="317">
        <v>1</v>
      </c>
      <c r="Q306" s="366">
        <v>45135</v>
      </c>
      <c r="R306" s="365" t="s">
        <v>264</v>
      </c>
      <c r="S306" s="364">
        <v>45138</v>
      </c>
      <c r="T306" s="364">
        <v>45138</v>
      </c>
      <c r="U306" s="348" t="s">
        <v>4999</v>
      </c>
    </row>
    <row r="307" spans="1:21" ht="25.5" x14ac:dyDescent="0.25">
      <c r="A307" s="359">
        <v>0</v>
      </c>
      <c r="B307" s="49" t="s">
        <v>6062</v>
      </c>
      <c r="C307" s="49" t="s">
        <v>1345</v>
      </c>
      <c r="D307" s="362" t="s">
        <v>5285</v>
      </c>
      <c r="E307" s="378">
        <v>181825195</v>
      </c>
      <c r="F307" s="49" t="s">
        <v>4998</v>
      </c>
      <c r="G307" s="49" t="s">
        <v>6050</v>
      </c>
      <c r="H307" s="49" t="s">
        <v>6063</v>
      </c>
      <c r="I307" s="49" t="s">
        <v>346</v>
      </c>
      <c r="J307" s="316">
        <v>45134</v>
      </c>
      <c r="K307" s="360">
        <v>45079</v>
      </c>
      <c r="L307" s="363" t="s">
        <v>47</v>
      </c>
      <c r="M307" s="317" t="s">
        <v>47</v>
      </c>
      <c r="N307" s="322">
        <v>45134</v>
      </c>
      <c r="O307" s="317" t="s">
        <v>2198</v>
      </c>
      <c r="P307" s="317">
        <v>1</v>
      </c>
      <c r="Q307" s="366">
        <v>45134</v>
      </c>
      <c r="R307" s="365" t="s">
        <v>264</v>
      </c>
      <c r="S307" s="364">
        <v>45134</v>
      </c>
      <c r="T307" s="364">
        <v>45134</v>
      </c>
      <c r="U307" s="348" t="s">
        <v>4999</v>
      </c>
    </row>
    <row r="308" spans="1:21" ht="25.5" x14ac:dyDescent="0.25">
      <c r="A308" s="359">
        <v>0</v>
      </c>
      <c r="B308" s="49" t="s">
        <v>6064</v>
      </c>
      <c r="C308" s="49" t="s">
        <v>1345</v>
      </c>
      <c r="D308" s="362" t="s">
        <v>5285</v>
      </c>
      <c r="E308" s="378">
        <v>181825196</v>
      </c>
      <c r="F308" s="49" t="s">
        <v>4998</v>
      </c>
      <c r="G308" s="49" t="s">
        <v>5335</v>
      </c>
      <c r="H308" s="49" t="s">
        <v>6065</v>
      </c>
      <c r="I308" s="49" t="s">
        <v>346</v>
      </c>
      <c r="J308" s="316">
        <v>45134</v>
      </c>
      <c r="K308" s="360">
        <v>45079</v>
      </c>
      <c r="L308" s="363" t="s">
        <v>47</v>
      </c>
      <c r="M308" s="317" t="s">
        <v>47</v>
      </c>
      <c r="N308" s="322">
        <v>45134</v>
      </c>
      <c r="O308" s="317" t="s">
        <v>5111</v>
      </c>
      <c r="P308" s="317">
        <v>2</v>
      </c>
      <c r="Q308" s="366">
        <v>45135</v>
      </c>
      <c r="R308" s="365" t="s">
        <v>264</v>
      </c>
      <c r="S308" s="364">
        <v>45138</v>
      </c>
      <c r="T308" s="364">
        <v>45138</v>
      </c>
      <c r="U308" s="348" t="s">
        <v>4999</v>
      </c>
    </row>
    <row r="309" spans="1:21" ht="25.5" x14ac:dyDescent="0.25">
      <c r="A309" s="359">
        <v>0</v>
      </c>
      <c r="B309" s="49" t="s">
        <v>6066</v>
      </c>
      <c r="C309" s="49" t="s">
        <v>1345</v>
      </c>
      <c r="D309" s="362" t="s">
        <v>5285</v>
      </c>
      <c r="E309" s="378">
        <v>181825197</v>
      </c>
      <c r="F309" s="49" t="s">
        <v>4998</v>
      </c>
      <c r="G309" s="49" t="s">
        <v>6050</v>
      </c>
      <c r="H309" s="49" t="s">
        <v>6067</v>
      </c>
      <c r="I309" s="49" t="s">
        <v>346</v>
      </c>
      <c r="J309" s="316">
        <v>45142</v>
      </c>
      <c r="K309" s="360">
        <v>45079</v>
      </c>
      <c r="L309" s="363" t="s">
        <v>47</v>
      </c>
      <c r="M309" s="317" t="s">
        <v>47</v>
      </c>
      <c r="N309" s="322">
        <v>45142</v>
      </c>
      <c r="O309" s="317" t="s">
        <v>2198</v>
      </c>
      <c r="P309" s="317">
        <v>1</v>
      </c>
      <c r="Q309" s="366">
        <v>45145</v>
      </c>
      <c r="R309" s="365" t="s">
        <v>264</v>
      </c>
      <c r="S309" s="364">
        <v>45145</v>
      </c>
      <c r="T309" s="364">
        <v>45145</v>
      </c>
      <c r="U309" s="348" t="s">
        <v>4999</v>
      </c>
    </row>
    <row r="310" spans="1:21" ht="38.25" x14ac:dyDescent="0.25">
      <c r="A310" s="359">
        <v>0</v>
      </c>
      <c r="B310" s="49" t="s">
        <v>6068</v>
      </c>
      <c r="C310" s="49" t="s">
        <v>1345</v>
      </c>
      <c r="D310" s="362" t="s">
        <v>5285</v>
      </c>
      <c r="E310" s="378">
        <v>181825198</v>
      </c>
      <c r="F310" s="49" t="s">
        <v>4998</v>
      </c>
      <c r="G310" s="49" t="s">
        <v>5267</v>
      </c>
      <c r="H310" s="49" t="s">
        <v>6069</v>
      </c>
      <c r="I310" s="49" t="s">
        <v>346</v>
      </c>
      <c r="J310" s="316">
        <v>45154</v>
      </c>
      <c r="K310" s="360">
        <v>45079</v>
      </c>
      <c r="L310" s="363" t="s">
        <v>47</v>
      </c>
      <c r="M310" s="317" t="s">
        <v>47</v>
      </c>
      <c r="N310" s="322">
        <v>45154</v>
      </c>
      <c r="O310" s="317" t="s">
        <v>1387</v>
      </c>
      <c r="P310" s="317">
        <v>4</v>
      </c>
      <c r="Q310" s="366">
        <v>45154</v>
      </c>
      <c r="R310" s="365" t="s">
        <v>264</v>
      </c>
      <c r="S310" s="364">
        <v>45154</v>
      </c>
      <c r="T310" s="364">
        <v>45154</v>
      </c>
      <c r="U310" s="348" t="s">
        <v>4999</v>
      </c>
    </row>
    <row r="311" spans="1:21" ht="38.25" x14ac:dyDescent="0.25">
      <c r="A311" s="359">
        <v>0</v>
      </c>
      <c r="B311" s="49" t="s">
        <v>6068</v>
      </c>
      <c r="C311" s="49" t="s">
        <v>1345</v>
      </c>
      <c r="D311" s="362" t="s">
        <v>5285</v>
      </c>
      <c r="E311" s="378">
        <v>181825199</v>
      </c>
      <c r="F311" s="49" t="s">
        <v>4998</v>
      </c>
      <c r="G311" s="49" t="s">
        <v>5267</v>
      </c>
      <c r="H311" s="49" t="s">
        <v>6069</v>
      </c>
      <c r="I311" s="49" t="s">
        <v>346</v>
      </c>
      <c r="J311" s="316">
        <v>45154</v>
      </c>
      <c r="K311" s="360">
        <v>45079</v>
      </c>
      <c r="L311" s="363" t="s">
        <v>28</v>
      </c>
      <c r="M311" s="317" t="s">
        <v>28</v>
      </c>
      <c r="N311" s="322">
        <v>45154</v>
      </c>
      <c r="O311" s="317" t="s">
        <v>1387</v>
      </c>
      <c r="P311" s="317">
        <v>4</v>
      </c>
      <c r="Q311" s="366">
        <v>45155</v>
      </c>
      <c r="R311" s="365" t="s">
        <v>264</v>
      </c>
      <c r="S311" s="364">
        <v>45156</v>
      </c>
      <c r="T311" s="364">
        <v>45156</v>
      </c>
      <c r="U311" s="348" t="s">
        <v>4999</v>
      </c>
    </row>
    <row r="312" spans="1:21" ht="25.5" x14ac:dyDescent="0.25">
      <c r="A312" s="359">
        <v>0</v>
      </c>
      <c r="B312" s="49" t="s">
        <v>6070</v>
      </c>
      <c r="C312" s="49" t="s">
        <v>1345</v>
      </c>
      <c r="D312" s="362" t="s">
        <v>5285</v>
      </c>
      <c r="E312" s="378">
        <v>181825201</v>
      </c>
      <c r="F312" s="49" t="s">
        <v>4998</v>
      </c>
      <c r="G312" s="49" t="s">
        <v>6071</v>
      </c>
      <c r="H312" s="49" t="s">
        <v>6072</v>
      </c>
      <c r="I312" s="49" t="s">
        <v>2419</v>
      </c>
      <c r="J312" s="316">
        <v>45156</v>
      </c>
      <c r="K312" s="360">
        <v>45079</v>
      </c>
      <c r="L312" s="363" t="s">
        <v>47</v>
      </c>
      <c r="M312" s="317" t="s">
        <v>47</v>
      </c>
      <c r="N312" s="322">
        <v>45156</v>
      </c>
      <c r="O312" s="317" t="s">
        <v>1380</v>
      </c>
      <c r="P312" s="317">
        <v>1</v>
      </c>
      <c r="Q312" s="366">
        <v>45156</v>
      </c>
      <c r="R312" s="365" t="s">
        <v>264</v>
      </c>
      <c r="S312" s="364">
        <v>45160</v>
      </c>
      <c r="T312" s="364">
        <v>45160</v>
      </c>
      <c r="U312" s="348" t="s">
        <v>4999</v>
      </c>
    </row>
    <row r="313" spans="1:21" ht="25.5" x14ac:dyDescent="0.25">
      <c r="A313" s="359">
        <v>0</v>
      </c>
      <c r="B313" s="49" t="s">
        <v>6073</v>
      </c>
      <c r="C313" s="49" t="s">
        <v>1345</v>
      </c>
      <c r="D313" s="362" t="s">
        <v>5285</v>
      </c>
      <c r="E313" s="378">
        <v>181825200</v>
      </c>
      <c r="F313" s="49" t="s">
        <v>4998</v>
      </c>
      <c r="G313" s="49" t="s">
        <v>6074</v>
      </c>
      <c r="H313" s="49" t="s">
        <v>6075</v>
      </c>
      <c r="I313" s="49" t="s">
        <v>2419</v>
      </c>
      <c r="J313" s="316">
        <v>45155</v>
      </c>
      <c r="K313" s="360">
        <v>45079</v>
      </c>
      <c r="L313" s="363" t="s">
        <v>28</v>
      </c>
      <c r="M313" s="317" t="s">
        <v>28</v>
      </c>
      <c r="N313" s="322">
        <v>45155</v>
      </c>
      <c r="O313" s="317" t="s">
        <v>5111</v>
      </c>
      <c r="P313" s="317">
        <v>1</v>
      </c>
      <c r="Q313" s="366">
        <v>45155</v>
      </c>
      <c r="R313" s="365" t="s">
        <v>264</v>
      </c>
      <c r="S313" s="364">
        <v>45156</v>
      </c>
      <c r="T313" s="364">
        <v>45156</v>
      </c>
      <c r="U313" s="348" t="s">
        <v>4999</v>
      </c>
    </row>
    <row r="314" spans="1:21" ht="25.5" x14ac:dyDescent="0.25">
      <c r="A314" s="359">
        <v>0</v>
      </c>
      <c r="B314" s="49" t="s">
        <v>6076</v>
      </c>
      <c r="C314" s="49" t="s">
        <v>1345</v>
      </c>
      <c r="D314" s="362" t="s">
        <v>5285</v>
      </c>
      <c r="E314" s="378">
        <v>181825202</v>
      </c>
      <c r="F314" s="49" t="s">
        <v>4998</v>
      </c>
      <c r="G314" s="49" t="s">
        <v>3945</v>
      </c>
      <c r="H314" s="49" t="s">
        <v>6077</v>
      </c>
      <c r="I314" s="49" t="s">
        <v>346</v>
      </c>
      <c r="J314" s="316">
        <v>45160</v>
      </c>
      <c r="K314" s="360">
        <v>45079</v>
      </c>
      <c r="L314" s="363" t="s">
        <v>28</v>
      </c>
      <c r="M314" s="317" t="s">
        <v>28</v>
      </c>
      <c r="N314" s="322">
        <v>45161</v>
      </c>
      <c r="O314" s="317" t="s">
        <v>5145</v>
      </c>
      <c r="P314" s="317">
        <v>1</v>
      </c>
      <c r="Q314" s="366">
        <v>45161</v>
      </c>
      <c r="R314" s="365" t="s">
        <v>264</v>
      </c>
      <c r="S314" s="364">
        <v>45161</v>
      </c>
      <c r="T314" s="364">
        <v>45161</v>
      </c>
      <c r="U314" s="348" t="s">
        <v>4999</v>
      </c>
    </row>
    <row r="315" spans="1:21" ht="25.5" x14ac:dyDescent="0.25">
      <c r="A315" s="359">
        <v>0</v>
      </c>
      <c r="B315" s="49" t="s">
        <v>6078</v>
      </c>
      <c r="C315" s="49" t="s">
        <v>1345</v>
      </c>
      <c r="D315" s="362" t="s">
        <v>5285</v>
      </c>
      <c r="E315" s="378">
        <v>181825203</v>
      </c>
      <c r="F315" s="49" t="s">
        <v>4998</v>
      </c>
      <c r="G315" s="49" t="s">
        <v>6050</v>
      </c>
      <c r="H315" s="49" t="s">
        <v>5108</v>
      </c>
      <c r="I315" s="49" t="s">
        <v>346</v>
      </c>
      <c r="J315" s="316">
        <v>45160</v>
      </c>
      <c r="K315" s="360">
        <v>45079</v>
      </c>
      <c r="L315" s="363" t="s">
        <v>28</v>
      </c>
      <c r="M315" s="317" t="s">
        <v>28</v>
      </c>
      <c r="N315" s="322">
        <v>45161</v>
      </c>
      <c r="O315" s="317" t="s">
        <v>5098</v>
      </c>
      <c r="P315" s="317">
        <v>3</v>
      </c>
      <c r="Q315" s="366">
        <v>45161</v>
      </c>
      <c r="R315" s="365" t="s">
        <v>264</v>
      </c>
      <c r="S315" s="364">
        <v>45161</v>
      </c>
      <c r="T315" s="364">
        <v>45161</v>
      </c>
      <c r="U315" s="348" t="s">
        <v>4999</v>
      </c>
    </row>
    <row r="316" spans="1:21" ht="25.5" x14ac:dyDescent="0.25">
      <c r="A316" s="359">
        <v>0</v>
      </c>
      <c r="B316" s="49" t="s">
        <v>6079</v>
      </c>
      <c r="C316" s="49" t="s">
        <v>1345</v>
      </c>
      <c r="D316" s="362" t="s">
        <v>5285</v>
      </c>
      <c r="E316" s="378">
        <v>181825204</v>
      </c>
      <c r="F316" s="49" t="s">
        <v>4998</v>
      </c>
      <c r="G316" s="49" t="s">
        <v>3945</v>
      </c>
      <c r="H316" s="49" t="s">
        <v>6080</v>
      </c>
      <c r="I316" s="49" t="s">
        <v>346</v>
      </c>
      <c r="J316" s="316">
        <v>45161</v>
      </c>
      <c r="K316" s="360">
        <v>45079</v>
      </c>
      <c r="L316" s="363" t="s">
        <v>28</v>
      </c>
      <c r="M316" s="317" t="s">
        <v>28</v>
      </c>
      <c r="N316" s="322">
        <v>45162</v>
      </c>
      <c r="O316" s="317" t="s">
        <v>5145</v>
      </c>
      <c r="P316" s="317">
        <v>2</v>
      </c>
      <c r="Q316" s="366">
        <v>45162</v>
      </c>
      <c r="R316" s="365" t="s">
        <v>264</v>
      </c>
      <c r="S316" s="364">
        <v>45163</v>
      </c>
      <c r="T316" s="364">
        <v>45163</v>
      </c>
      <c r="U316" s="348" t="s">
        <v>4999</v>
      </c>
    </row>
    <row r="317" spans="1:21" ht="25.5" x14ac:dyDescent="0.25">
      <c r="A317" s="359">
        <v>0</v>
      </c>
      <c r="B317" s="49" t="s">
        <v>6081</v>
      </c>
      <c r="C317" s="49" t="s">
        <v>1345</v>
      </c>
      <c r="D317" s="362" t="s">
        <v>5285</v>
      </c>
      <c r="E317" s="378">
        <v>181825205</v>
      </c>
      <c r="F317" s="49" t="s">
        <v>4998</v>
      </c>
      <c r="G317" s="49" t="s">
        <v>1540</v>
      </c>
      <c r="H317" s="49" t="s">
        <v>6082</v>
      </c>
      <c r="I317" s="49" t="s">
        <v>346</v>
      </c>
      <c r="J317" s="316">
        <v>45161</v>
      </c>
      <c r="K317" s="360">
        <v>45079</v>
      </c>
      <c r="L317" s="363" t="s">
        <v>28</v>
      </c>
      <c r="M317" s="317" t="s">
        <v>28</v>
      </c>
      <c r="N317" s="322">
        <v>45162</v>
      </c>
      <c r="O317" s="317" t="s">
        <v>5313</v>
      </c>
      <c r="P317" s="317">
        <v>8</v>
      </c>
      <c r="Q317" s="366">
        <v>45162</v>
      </c>
      <c r="R317" s="365" t="s">
        <v>264</v>
      </c>
      <c r="S317" s="364">
        <v>45163</v>
      </c>
      <c r="T317" s="364">
        <v>45163</v>
      </c>
      <c r="U317" s="348" t="s">
        <v>4999</v>
      </c>
    </row>
    <row r="318" spans="1:21" ht="25.5" x14ac:dyDescent="0.25">
      <c r="A318" s="359">
        <v>0</v>
      </c>
      <c r="B318" s="49" t="s">
        <v>6083</v>
      </c>
      <c r="C318" s="49" t="s">
        <v>1345</v>
      </c>
      <c r="D318" s="362" t="s">
        <v>5285</v>
      </c>
      <c r="E318" s="378">
        <v>181825206</v>
      </c>
      <c r="F318" s="49" t="s">
        <v>4998</v>
      </c>
      <c r="G318" s="49" t="s">
        <v>44</v>
      </c>
      <c r="H318" s="49" t="s">
        <v>6084</v>
      </c>
      <c r="I318" s="49" t="s">
        <v>5186</v>
      </c>
      <c r="J318" s="316">
        <v>45162</v>
      </c>
      <c r="K318" s="360">
        <v>45079</v>
      </c>
      <c r="L318" s="363" t="s">
        <v>28</v>
      </c>
      <c r="M318" s="317" t="s">
        <v>28</v>
      </c>
      <c r="N318" s="322">
        <v>45162</v>
      </c>
      <c r="O318" s="317" t="s">
        <v>1466</v>
      </c>
      <c r="P318" s="317">
        <v>1</v>
      </c>
      <c r="Q318" s="366">
        <v>45162</v>
      </c>
      <c r="R318" s="365" t="s">
        <v>264</v>
      </c>
      <c r="S318" s="364">
        <v>45163</v>
      </c>
      <c r="T318" s="364">
        <v>45163</v>
      </c>
      <c r="U318" s="348" t="s">
        <v>4999</v>
      </c>
    </row>
    <row r="319" spans="1:21" ht="25.5" x14ac:dyDescent="0.25">
      <c r="A319" s="359">
        <v>0</v>
      </c>
      <c r="B319" s="49" t="s">
        <v>6085</v>
      </c>
      <c r="C319" s="49" t="s">
        <v>1345</v>
      </c>
      <c r="D319" s="362" t="s">
        <v>5285</v>
      </c>
      <c r="E319" s="378">
        <v>181825207</v>
      </c>
      <c r="F319" s="49" t="s">
        <v>4998</v>
      </c>
      <c r="G319" s="49" t="s">
        <v>3945</v>
      </c>
      <c r="H319" s="49" t="s">
        <v>6086</v>
      </c>
      <c r="I319" s="49" t="s">
        <v>346</v>
      </c>
      <c r="J319" s="316">
        <v>45163</v>
      </c>
      <c r="K319" s="360">
        <v>45079</v>
      </c>
      <c r="L319" s="363" t="s">
        <v>28</v>
      </c>
      <c r="M319" s="317" t="s">
        <v>28</v>
      </c>
      <c r="N319" s="322">
        <v>45163</v>
      </c>
      <c r="O319" s="317" t="s">
        <v>5145</v>
      </c>
      <c r="P319" s="317">
        <v>1</v>
      </c>
      <c r="Q319" s="366">
        <v>45163</v>
      </c>
      <c r="R319" s="365" t="s">
        <v>264</v>
      </c>
      <c r="S319" s="364">
        <v>45167</v>
      </c>
      <c r="T319" s="364">
        <v>45167</v>
      </c>
      <c r="U319" s="348" t="s">
        <v>4999</v>
      </c>
    </row>
    <row r="320" spans="1:21" ht="25.5" x14ac:dyDescent="0.25">
      <c r="A320" s="359">
        <v>0</v>
      </c>
      <c r="B320" s="49" t="s">
        <v>6087</v>
      </c>
      <c r="C320" s="49" t="s">
        <v>1345</v>
      </c>
      <c r="D320" s="362" t="s">
        <v>5285</v>
      </c>
      <c r="E320" s="378">
        <v>181825208</v>
      </c>
      <c r="F320" s="49" t="s">
        <v>4998</v>
      </c>
      <c r="G320" s="49" t="s">
        <v>44</v>
      </c>
      <c r="H320" s="49" t="s">
        <v>6063</v>
      </c>
      <c r="I320" s="49" t="s">
        <v>346</v>
      </c>
      <c r="J320" s="316">
        <v>45167</v>
      </c>
      <c r="K320" s="360">
        <v>45079</v>
      </c>
      <c r="L320" s="363" t="s">
        <v>28</v>
      </c>
      <c r="M320" s="317" t="s">
        <v>28</v>
      </c>
      <c r="N320" s="322">
        <v>45167</v>
      </c>
      <c r="O320" s="317" t="s">
        <v>2198</v>
      </c>
      <c r="P320" s="317">
        <v>1</v>
      </c>
      <c r="Q320" s="366">
        <v>45167</v>
      </c>
      <c r="R320" s="365" t="s">
        <v>264</v>
      </c>
      <c r="S320" s="364">
        <v>45167</v>
      </c>
      <c r="T320" s="364">
        <v>45167</v>
      </c>
      <c r="U320" s="348" t="s">
        <v>4999</v>
      </c>
    </row>
    <row r="321" spans="1:21" ht="25.5" x14ac:dyDescent="0.25">
      <c r="A321" s="359">
        <v>0</v>
      </c>
      <c r="B321" s="49" t="s">
        <v>6088</v>
      </c>
      <c r="C321" s="49" t="s">
        <v>1345</v>
      </c>
      <c r="D321" s="362" t="s">
        <v>5285</v>
      </c>
      <c r="E321" s="378">
        <v>181825209</v>
      </c>
      <c r="F321" s="49" t="s">
        <v>4998</v>
      </c>
      <c r="G321" s="49" t="s">
        <v>44</v>
      </c>
      <c r="H321" s="49" t="s">
        <v>2246</v>
      </c>
      <c r="I321" s="49" t="s">
        <v>346</v>
      </c>
      <c r="J321" s="316">
        <v>45168</v>
      </c>
      <c r="K321" s="360">
        <v>45079</v>
      </c>
      <c r="L321" s="363" t="s">
        <v>28</v>
      </c>
      <c r="M321" s="317" t="s">
        <v>28</v>
      </c>
      <c r="N321" s="322">
        <v>45168</v>
      </c>
      <c r="O321" s="317" t="s">
        <v>6089</v>
      </c>
      <c r="P321" s="317">
        <v>1</v>
      </c>
      <c r="Q321" s="366">
        <v>45168</v>
      </c>
      <c r="R321" s="365" t="s">
        <v>264</v>
      </c>
      <c r="S321" s="364">
        <v>45169</v>
      </c>
      <c r="T321" s="364">
        <v>45169</v>
      </c>
      <c r="U321" s="348" t="s">
        <v>4999</v>
      </c>
    </row>
    <row r="322" spans="1:21" ht="25.5" x14ac:dyDescent="0.25">
      <c r="A322" s="359">
        <v>0</v>
      </c>
      <c r="B322" s="49" t="s">
        <v>6090</v>
      </c>
      <c r="C322" s="49" t="s">
        <v>1345</v>
      </c>
      <c r="D322" s="362" t="s">
        <v>5285</v>
      </c>
      <c r="E322" s="378">
        <v>181825210</v>
      </c>
      <c r="F322" s="49" t="s">
        <v>4998</v>
      </c>
      <c r="G322" s="49" t="s">
        <v>6071</v>
      </c>
      <c r="H322" s="49" t="s">
        <v>6091</v>
      </c>
      <c r="I322" s="49" t="s">
        <v>2419</v>
      </c>
      <c r="J322" s="316">
        <v>45169</v>
      </c>
      <c r="K322" s="360">
        <v>45079</v>
      </c>
      <c r="L322" s="363" t="s">
        <v>28</v>
      </c>
      <c r="M322" s="317" t="s">
        <v>28</v>
      </c>
      <c r="N322" s="322">
        <v>45169</v>
      </c>
      <c r="O322" s="317" t="s">
        <v>1380</v>
      </c>
      <c r="P322" s="317">
        <v>1</v>
      </c>
      <c r="Q322" s="366">
        <v>45173</v>
      </c>
      <c r="R322" s="365" t="s">
        <v>264</v>
      </c>
      <c r="S322" s="364">
        <v>45174</v>
      </c>
      <c r="T322" s="364">
        <v>45174</v>
      </c>
      <c r="U322" s="348" t="s">
        <v>4999</v>
      </c>
    </row>
    <row r="323" spans="1:21" ht="25.5" x14ac:dyDescent="0.25">
      <c r="A323" s="359">
        <v>0</v>
      </c>
      <c r="B323" s="49" t="s">
        <v>6092</v>
      </c>
      <c r="C323" s="49" t="s">
        <v>1345</v>
      </c>
      <c r="D323" s="362" t="s">
        <v>5285</v>
      </c>
      <c r="E323" s="378">
        <v>181825211</v>
      </c>
      <c r="F323" s="49" t="s">
        <v>4998</v>
      </c>
      <c r="G323" s="49" t="s">
        <v>6074</v>
      </c>
      <c r="H323" s="49" t="s">
        <v>6093</v>
      </c>
      <c r="I323" s="49" t="s">
        <v>2419</v>
      </c>
      <c r="J323" s="316">
        <v>45170</v>
      </c>
      <c r="K323" s="360">
        <v>45079</v>
      </c>
      <c r="L323" s="363" t="s">
        <v>28</v>
      </c>
      <c r="M323" s="317" t="s">
        <v>28</v>
      </c>
      <c r="N323" s="322">
        <v>45170</v>
      </c>
      <c r="O323" s="317" t="s">
        <v>5111</v>
      </c>
      <c r="P323" s="317">
        <v>1</v>
      </c>
      <c r="Q323" s="366">
        <v>45170</v>
      </c>
      <c r="R323" s="365" t="s">
        <v>264</v>
      </c>
      <c r="S323" s="364">
        <v>45170</v>
      </c>
      <c r="T323" s="364">
        <v>45170</v>
      </c>
      <c r="U323" s="348" t="s">
        <v>4999</v>
      </c>
    </row>
    <row r="324" spans="1:21" ht="25.5" x14ac:dyDescent="0.25">
      <c r="A324" s="359">
        <v>0</v>
      </c>
      <c r="B324" s="49" t="s">
        <v>6094</v>
      </c>
      <c r="C324" s="49" t="s">
        <v>1345</v>
      </c>
      <c r="D324" s="362" t="s">
        <v>5285</v>
      </c>
      <c r="E324" s="378">
        <v>181825212</v>
      </c>
      <c r="F324" s="49" t="s">
        <v>4998</v>
      </c>
      <c r="G324" s="49" t="s">
        <v>1540</v>
      </c>
      <c r="H324" s="49" t="s">
        <v>1372</v>
      </c>
      <c r="I324" s="49" t="s">
        <v>2419</v>
      </c>
      <c r="J324" s="316">
        <v>45173</v>
      </c>
      <c r="K324" s="360">
        <v>45079</v>
      </c>
      <c r="L324" s="363" t="s">
        <v>28</v>
      </c>
      <c r="M324" s="317" t="s">
        <v>28</v>
      </c>
      <c r="N324" s="322">
        <v>45173</v>
      </c>
      <c r="O324" s="317" t="s">
        <v>5111</v>
      </c>
      <c r="P324" s="317">
        <v>1</v>
      </c>
      <c r="Q324" s="366">
        <v>45173</v>
      </c>
      <c r="R324" s="365" t="s">
        <v>264</v>
      </c>
      <c r="S324" s="364">
        <v>45174</v>
      </c>
      <c r="T324" s="364">
        <v>45174</v>
      </c>
      <c r="U324" s="348" t="s">
        <v>4999</v>
      </c>
    </row>
    <row r="325" spans="1:21" ht="25.5" x14ac:dyDescent="0.25">
      <c r="A325" s="359">
        <v>0</v>
      </c>
      <c r="B325" s="49" t="s">
        <v>6095</v>
      </c>
      <c r="C325" s="49" t="s">
        <v>1345</v>
      </c>
      <c r="D325" s="362" t="s">
        <v>5285</v>
      </c>
      <c r="E325" s="378">
        <v>181825213</v>
      </c>
      <c r="F325" s="49" t="s">
        <v>4998</v>
      </c>
      <c r="G325" s="49" t="s">
        <v>44</v>
      </c>
      <c r="H325" s="49" t="s">
        <v>6096</v>
      </c>
      <c r="I325" s="49" t="s">
        <v>346</v>
      </c>
      <c r="J325" s="316">
        <v>45173</v>
      </c>
      <c r="K325" s="360">
        <v>45079</v>
      </c>
      <c r="L325" s="363" t="s">
        <v>28</v>
      </c>
      <c r="M325" s="317" t="s">
        <v>28</v>
      </c>
      <c r="N325" s="322">
        <v>45173</v>
      </c>
      <c r="O325" s="317" t="s">
        <v>2198</v>
      </c>
      <c r="P325" s="317">
        <v>1</v>
      </c>
      <c r="Q325" s="366">
        <v>45173</v>
      </c>
      <c r="R325" s="365" t="s">
        <v>264</v>
      </c>
      <c r="S325" s="364">
        <v>45174</v>
      </c>
      <c r="T325" s="364">
        <v>45174</v>
      </c>
      <c r="U325" s="348" t="s">
        <v>4999</v>
      </c>
    </row>
    <row r="326" spans="1:21" ht="25.5" x14ac:dyDescent="0.25">
      <c r="A326" s="359">
        <v>0</v>
      </c>
      <c r="B326" s="49" t="s">
        <v>6097</v>
      </c>
      <c r="C326" s="49" t="s">
        <v>1345</v>
      </c>
      <c r="D326" s="362" t="s">
        <v>5285</v>
      </c>
      <c r="E326" s="378">
        <v>181825214</v>
      </c>
      <c r="F326" s="49" t="s">
        <v>4998</v>
      </c>
      <c r="G326" s="49" t="s">
        <v>44</v>
      </c>
      <c r="H326" s="49" t="s">
        <v>6098</v>
      </c>
      <c r="I326" s="49" t="s">
        <v>346</v>
      </c>
      <c r="J326" s="316">
        <v>45173</v>
      </c>
      <c r="K326" s="360">
        <v>45079</v>
      </c>
      <c r="L326" s="363" t="s">
        <v>28</v>
      </c>
      <c r="M326" s="317" t="s">
        <v>28</v>
      </c>
      <c r="N326" s="322">
        <v>45173</v>
      </c>
      <c r="O326" s="317" t="s">
        <v>2198</v>
      </c>
      <c r="P326" s="317">
        <v>1</v>
      </c>
      <c r="Q326" s="366">
        <v>45174</v>
      </c>
      <c r="R326" s="365" t="s">
        <v>264</v>
      </c>
      <c r="S326" s="364">
        <v>45174</v>
      </c>
      <c r="T326" s="364">
        <v>45174</v>
      </c>
      <c r="U326" s="348" t="s">
        <v>4999</v>
      </c>
    </row>
    <row r="327" spans="1:21" ht="25.5" x14ac:dyDescent="0.25">
      <c r="A327" s="359">
        <v>0</v>
      </c>
      <c r="B327" s="49" t="s">
        <v>6099</v>
      </c>
      <c r="C327" s="49" t="s">
        <v>1345</v>
      </c>
      <c r="D327" s="362" t="s">
        <v>5285</v>
      </c>
      <c r="E327" s="378">
        <v>181825215</v>
      </c>
      <c r="F327" s="49" t="s">
        <v>4998</v>
      </c>
      <c r="G327" s="49" t="s">
        <v>1540</v>
      </c>
      <c r="H327" s="49" t="s">
        <v>6100</v>
      </c>
      <c r="I327" s="49" t="s">
        <v>346</v>
      </c>
      <c r="J327" s="316">
        <v>45173</v>
      </c>
      <c r="K327" s="360">
        <v>45079</v>
      </c>
      <c r="L327" s="363" t="s">
        <v>28</v>
      </c>
      <c r="M327" s="317" t="s">
        <v>28</v>
      </c>
      <c r="N327" s="322">
        <v>45173</v>
      </c>
      <c r="O327" s="317" t="s">
        <v>2205</v>
      </c>
      <c r="P327" s="317">
        <v>2</v>
      </c>
      <c r="Q327" s="366">
        <v>45174</v>
      </c>
      <c r="R327" s="365" t="s">
        <v>264</v>
      </c>
      <c r="S327" s="364">
        <v>45175</v>
      </c>
      <c r="T327" s="364">
        <v>45175</v>
      </c>
      <c r="U327" s="348" t="s">
        <v>4999</v>
      </c>
    </row>
    <row r="328" spans="1:21" ht="25.5" x14ac:dyDescent="0.25">
      <c r="A328" s="359">
        <v>0</v>
      </c>
      <c r="B328" s="49" t="s">
        <v>6101</v>
      </c>
      <c r="C328" s="49" t="s">
        <v>1345</v>
      </c>
      <c r="D328" s="49">
        <v>181825</v>
      </c>
      <c r="E328" s="378">
        <v>181825216</v>
      </c>
      <c r="F328" s="49" t="s">
        <v>4998</v>
      </c>
      <c r="G328" s="49" t="s">
        <v>44</v>
      </c>
      <c r="H328" s="49" t="s">
        <v>5196</v>
      </c>
      <c r="I328" s="49" t="s">
        <v>2419</v>
      </c>
      <c r="J328" s="316">
        <v>45174</v>
      </c>
      <c r="K328" s="360">
        <v>45079</v>
      </c>
      <c r="L328" s="363" t="s">
        <v>28</v>
      </c>
      <c r="M328" s="317" t="s">
        <v>28</v>
      </c>
      <c r="N328" s="322">
        <v>45174</v>
      </c>
      <c r="O328" s="317" t="s">
        <v>6102</v>
      </c>
      <c r="P328" s="317">
        <v>1</v>
      </c>
      <c r="Q328" s="366">
        <v>45174</v>
      </c>
      <c r="R328" s="365" t="s">
        <v>264</v>
      </c>
      <c r="S328" s="364">
        <v>45175</v>
      </c>
      <c r="T328" s="364">
        <v>45175</v>
      </c>
      <c r="U328" s="348" t="s">
        <v>4999</v>
      </c>
    </row>
    <row r="329" spans="1:21" ht="25.5" x14ac:dyDescent="0.25">
      <c r="A329" s="359">
        <v>0</v>
      </c>
      <c r="B329" s="49" t="s">
        <v>6103</v>
      </c>
      <c r="C329" s="49" t="s">
        <v>1345</v>
      </c>
      <c r="D329" s="362" t="s">
        <v>5285</v>
      </c>
      <c r="E329" s="378">
        <v>181825217</v>
      </c>
      <c r="F329" s="49" t="s">
        <v>4998</v>
      </c>
      <c r="G329" s="49" t="s">
        <v>44</v>
      </c>
      <c r="H329" s="49" t="s">
        <v>2314</v>
      </c>
      <c r="I329" s="49" t="s">
        <v>346</v>
      </c>
      <c r="J329" s="316">
        <v>45182</v>
      </c>
      <c r="K329" s="360">
        <v>45079</v>
      </c>
      <c r="L329" s="363" t="s">
        <v>28</v>
      </c>
      <c r="M329" s="317" t="s">
        <v>28</v>
      </c>
      <c r="N329" s="322">
        <v>45182</v>
      </c>
      <c r="O329" s="317" t="s">
        <v>2315</v>
      </c>
      <c r="P329" s="317">
        <v>1</v>
      </c>
      <c r="Q329" s="366">
        <v>45183</v>
      </c>
      <c r="R329" s="365" t="s">
        <v>264</v>
      </c>
      <c r="S329" s="364">
        <v>45184</v>
      </c>
      <c r="T329" s="364">
        <v>45184</v>
      </c>
      <c r="U329" s="348" t="s">
        <v>4999</v>
      </c>
    </row>
    <row r="330" spans="1:21" ht="25.5" x14ac:dyDescent="0.25">
      <c r="A330" s="359">
        <v>0</v>
      </c>
      <c r="B330" s="49" t="s">
        <v>6104</v>
      </c>
      <c r="C330" s="49" t="s">
        <v>1345</v>
      </c>
      <c r="D330" s="362" t="s">
        <v>5285</v>
      </c>
      <c r="E330" s="378">
        <v>181825218</v>
      </c>
      <c r="F330" s="49" t="s">
        <v>4998</v>
      </c>
      <c r="G330" s="49" t="s">
        <v>44</v>
      </c>
      <c r="H330" s="49" t="s">
        <v>6105</v>
      </c>
      <c r="I330" s="49" t="s">
        <v>346</v>
      </c>
      <c r="J330" s="316">
        <v>45190</v>
      </c>
      <c r="K330" s="360">
        <v>45079</v>
      </c>
      <c r="L330" s="363" t="s">
        <v>28</v>
      </c>
      <c r="M330" s="317" t="s">
        <v>28</v>
      </c>
      <c r="N330" s="322">
        <v>45190</v>
      </c>
      <c r="O330" s="317" t="s">
        <v>2198</v>
      </c>
      <c r="P330" s="317">
        <v>1</v>
      </c>
      <c r="Q330" s="366">
        <v>45190</v>
      </c>
      <c r="R330" s="365" t="s">
        <v>264</v>
      </c>
      <c r="S330" s="364">
        <v>45190</v>
      </c>
      <c r="T330" s="364">
        <v>45190</v>
      </c>
      <c r="U330" s="348" t="s">
        <v>4999</v>
      </c>
    </row>
    <row r="331" spans="1:21" ht="25.5" x14ac:dyDescent="0.25">
      <c r="A331" s="359">
        <v>0</v>
      </c>
      <c r="B331" s="49" t="s">
        <v>6106</v>
      </c>
      <c r="C331" s="49" t="s">
        <v>1345</v>
      </c>
      <c r="D331" s="49">
        <v>181826</v>
      </c>
      <c r="E331" s="378">
        <v>181825219</v>
      </c>
      <c r="F331" s="49" t="s">
        <v>4998</v>
      </c>
      <c r="G331" s="49" t="s">
        <v>44</v>
      </c>
      <c r="H331" s="49" t="s">
        <v>6107</v>
      </c>
      <c r="I331" s="49" t="s">
        <v>346</v>
      </c>
      <c r="J331" s="316">
        <v>45191</v>
      </c>
      <c r="K331" s="360">
        <v>45079</v>
      </c>
      <c r="L331" s="363" t="s">
        <v>28</v>
      </c>
      <c r="M331" s="317" t="s">
        <v>28</v>
      </c>
      <c r="N331" s="322">
        <v>45191</v>
      </c>
      <c r="O331" s="317" t="s">
        <v>2198</v>
      </c>
      <c r="P331" s="317">
        <v>1</v>
      </c>
      <c r="Q331" s="366">
        <v>45191</v>
      </c>
      <c r="R331" s="365" t="s">
        <v>264</v>
      </c>
      <c r="S331" s="364">
        <v>45191</v>
      </c>
      <c r="T331" s="364">
        <v>45191</v>
      </c>
      <c r="U331" s="348" t="s">
        <v>4999</v>
      </c>
    </row>
    <row r="332" spans="1:21" ht="25.5" x14ac:dyDescent="0.25">
      <c r="A332" s="359">
        <v>0</v>
      </c>
      <c r="B332" s="49" t="s">
        <v>6108</v>
      </c>
      <c r="C332" s="49" t="s">
        <v>1345</v>
      </c>
      <c r="D332" s="362" t="s">
        <v>5285</v>
      </c>
      <c r="E332" s="378">
        <v>181825220</v>
      </c>
      <c r="F332" s="49" t="s">
        <v>4998</v>
      </c>
      <c r="G332" s="49" t="s">
        <v>5267</v>
      </c>
      <c r="H332" s="49" t="s">
        <v>6109</v>
      </c>
      <c r="I332" s="49" t="s">
        <v>346</v>
      </c>
      <c r="J332" s="316">
        <v>45190</v>
      </c>
      <c r="K332" s="360">
        <v>45079</v>
      </c>
      <c r="L332" s="363" t="s">
        <v>28</v>
      </c>
      <c r="M332" s="317" t="s">
        <v>28</v>
      </c>
      <c r="N332" s="322">
        <v>45191</v>
      </c>
      <c r="O332" s="317" t="s">
        <v>1387</v>
      </c>
      <c r="P332" s="317">
        <v>3</v>
      </c>
      <c r="Q332" s="366">
        <v>45191</v>
      </c>
      <c r="R332" s="365" t="s">
        <v>264</v>
      </c>
      <c r="S332" s="364">
        <v>45191</v>
      </c>
      <c r="T332" s="364">
        <v>45191</v>
      </c>
      <c r="U332" s="348" t="s">
        <v>4999</v>
      </c>
    </row>
    <row r="333" spans="1:21" ht="25.5" x14ac:dyDescent="0.25">
      <c r="A333" s="359">
        <v>0</v>
      </c>
      <c r="B333" s="49" t="s">
        <v>6110</v>
      </c>
      <c r="C333" s="49" t="s">
        <v>1345</v>
      </c>
      <c r="D333" s="362" t="s">
        <v>5285</v>
      </c>
      <c r="E333" s="378">
        <v>181825221</v>
      </c>
      <c r="F333" s="49" t="s">
        <v>4998</v>
      </c>
      <c r="G333" s="49" t="s">
        <v>1406</v>
      </c>
      <c r="H333" s="49" t="s">
        <v>6111</v>
      </c>
      <c r="I333" s="49" t="s">
        <v>346</v>
      </c>
      <c r="J333" s="316">
        <v>45194</v>
      </c>
      <c r="K333" s="360">
        <v>45079</v>
      </c>
      <c r="L333" s="363" t="s">
        <v>28</v>
      </c>
      <c r="M333" s="317" t="s">
        <v>28</v>
      </c>
      <c r="N333" s="322">
        <v>45194</v>
      </c>
      <c r="O333" s="317" t="s">
        <v>2209</v>
      </c>
      <c r="P333" s="317">
        <v>4</v>
      </c>
      <c r="Q333" s="366">
        <v>45194</v>
      </c>
      <c r="R333" s="365" t="s">
        <v>264</v>
      </c>
      <c r="S333" s="364">
        <v>45195</v>
      </c>
      <c r="T333" s="364">
        <v>45195</v>
      </c>
      <c r="U333" s="348" t="s">
        <v>4999</v>
      </c>
    </row>
    <row r="334" spans="1:21" ht="25.5" x14ac:dyDescent="0.25">
      <c r="A334" s="359">
        <v>0</v>
      </c>
      <c r="B334" s="49" t="s">
        <v>6112</v>
      </c>
      <c r="C334" s="49" t="s">
        <v>1345</v>
      </c>
      <c r="D334" s="49">
        <v>181827</v>
      </c>
      <c r="E334" s="378">
        <v>181825222</v>
      </c>
      <c r="F334" s="49" t="s">
        <v>4998</v>
      </c>
      <c r="G334" s="49" t="s">
        <v>1406</v>
      </c>
      <c r="H334" s="49" t="s">
        <v>5251</v>
      </c>
      <c r="I334" s="49" t="s">
        <v>346</v>
      </c>
      <c r="J334" s="316">
        <v>45194</v>
      </c>
      <c r="K334" s="360">
        <v>45079</v>
      </c>
      <c r="L334" s="363" t="s">
        <v>28</v>
      </c>
      <c r="M334" s="317" t="s">
        <v>28</v>
      </c>
      <c r="N334" s="322">
        <v>45194</v>
      </c>
      <c r="O334" s="317" t="s">
        <v>2198</v>
      </c>
      <c r="P334" s="317">
        <v>1</v>
      </c>
      <c r="Q334" s="366">
        <v>45194</v>
      </c>
      <c r="R334" s="365" t="s">
        <v>264</v>
      </c>
      <c r="S334" s="364">
        <v>45195</v>
      </c>
      <c r="T334" s="364">
        <v>45195</v>
      </c>
      <c r="U334" s="348" t="s">
        <v>4999</v>
      </c>
    </row>
    <row r="335" spans="1:21" ht="25.5" x14ac:dyDescent="0.25">
      <c r="A335" s="359">
        <v>0</v>
      </c>
      <c r="B335" s="49" t="s">
        <v>6113</v>
      </c>
      <c r="C335" s="49" t="s">
        <v>1345</v>
      </c>
      <c r="D335" s="362" t="s">
        <v>5285</v>
      </c>
      <c r="E335" s="378">
        <v>181825223</v>
      </c>
      <c r="F335" s="49" t="s">
        <v>4998</v>
      </c>
      <c r="G335" s="49" t="s">
        <v>1406</v>
      </c>
      <c r="H335" s="49" t="s">
        <v>6114</v>
      </c>
      <c r="I335" s="49" t="s">
        <v>346</v>
      </c>
      <c r="J335" s="316">
        <v>45194</v>
      </c>
      <c r="K335" s="360">
        <v>45079</v>
      </c>
      <c r="L335" s="363" t="s">
        <v>28</v>
      </c>
      <c r="M335" s="317" t="s">
        <v>28</v>
      </c>
      <c r="N335" s="322">
        <v>45194</v>
      </c>
      <c r="O335" s="317" t="s">
        <v>2198</v>
      </c>
      <c r="P335" s="317">
        <v>1</v>
      </c>
      <c r="Q335" s="366">
        <v>45194</v>
      </c>
      <c r="R335" s="365" t="s">
        <v>264</v>
      </c>
      <c r="S335" s="364">
        <v>45195</v>
      </c>
      <c r="T335" s="364">
        <v>45195</v>
      </c>
      <c r="U335" s="348" t="s">
        <v>4999</v>
      </c>
    </row>
    <row r="336" spans="1:21" ht="25.5" x14ac:dyDescent="0.25">
      <c r="A336" s="359">
        <v>0</v>
      </c>
      <c r="B336" s="49" t="s">
        <v>6115</v>
      </c>
      <c r="C336" s="49" t="s">
        <v>1345</v>
      </c>
      <c r="D336" s="362" t="s">
        <v>5285</v>
      </c>
      <c r="E336" s="378">
        <v>181825224</v>
      </c>
      <c r="F336" s="49" t="s">
        <v>4998</v>
      </c>
      <c r="G336" s="49" t="s">
        <v>1406</v>
      </c>
      <c r="H336" s="49" t="s">
        <v>2314</v>
      </c>
      <c r="I336" s="49" t="s">
        <v>346</v>
      </c>
      <c r="J336" s="316">
        <v>45195</v>
      </c>
      <c r="K336" s="360">
        <v>45079</v>
      </c>
      <c r="L336" s="363" t="s">
        <v>28</v>
      </c>
      <c r="M336" s="317" t="s">
        <v>28</v>
      </c>
      <c r="N336" s="322">
        <v>45195</v>
      </c>
      <c r="O336" s="317" t="s">
        <v>2315</v>
      </c>
      <c r="P336" s="317">
        <v>3</v>
      </c>
      <c r="Q336" s="366">
        <v>45196</v>
      </c>
      <c r="R336" s="365" t="s">
        <v>264</v>
      </c>
      <c r="S336" s="364">
        <v>45196</v>
      </c>
      <c r="T336" s="364">
        <v>45196</v>
      </c>
      <c r="U336" s="348" t="s">
        <v>4999</v>
      </c>
    </row>
    <row r="337" spans="1:21" ht="25.5" x14ac:dyDescent="0.25">
      <c r="A337" s="359">
        <v>0</v>
      </c>
      <c r="B337" s="49" t="s">
        <v>6116</v>
      </c>
      <c r="C337" s="49" t="s">
        <v>1345</v>
      </c>
      <c r="D337" s="49">
        <v>181828</v>
      </c>
      <c r="E337" s="378">
        <v>181825225</v>
      </c>
      <c r="F337" s="49" t="s">
        <v>4998</v>
      </c>
      <c r="G337" s="49" t="s">
        <v>1406</v>
      </c>
      <c r="H337" s="49" t="s">
        <v>6117</v>
      </c>
      <c r="I337" s="49" t="s">
        <v>346</v>
      </c>
      <c r="J337" s="316">
        <v>45195</v>
      </c>
      <c r="K337" s="360">
        <v>45079</v>
      </c>
      <c r="L337" s="363" t="s">
        <v>28</v>
      </c>
      <c r="M337" s="317" t="s">
        <v>28</v>
      </c>
      <c r="N337" s="322">
        <v>45195</v>
      </c>
      <c r="O337" s="317" t="s">
        <v>2198</v>
      </c>
      <c r="P337" s="317">
        <v>2</v>
      </c>
      <c r="Q337" s="366">
        <v>45196</v>
      </c>
      <c r="R337" s="365" t="s">
        <v>264</v>
      </c>
      <c r="S337" s="364">
        <v>45196</v>
      </c>
      <c r="T337" s="364">
        <v>45196</v>
      </c>
      <c r="U337" s="348" t="s">
        <v>4999</v>
      </c>
    </row>
    <row r="338" spans="1:21" ht="25.5" x14ac:dyDescent="0.25">
      <c r="A338" s="359">
        <v>0</v>
      </c>
      <c r="B338" s="49" t="s">
        <v>6118</v>
      </c>
      <c r="C338" s="49" t="s">
        <v>1345</v>
      </c>
      <c r="D338" s="362" t="s">
        <v>5285</v>
      </c>
      <c r="E338" s="378">
        <v>181825226</v>
      </c>
      <c r="F338" s="49" t="s">
        <v>4998</v>
      </c>
      <c r="G338" s="49" t="s">
        <v>1406</v>
      </c>
      <c r="H338" s="49" t="s">
        <v>6119</v>
      </c>
      <c r="I338" s="49" t="s">
        <v>346</v>
      </c>
      <c r="J338" s="316">
        <v>45197</v>
      </c>
      <c r="K338" s="360">
        <v>45079</v>
      </c>
      <c r="L338" s="363" t="s">
        <v>28</v>
      </c>
      <c r="M338" s="317" t="s">
        <v>28</v>
      </c>
      <c r="N338" s="322">
        <v>45197</v>
      </c>
      <c r="O338" s="317" t="s">
        <v>2216</v>
      </c>
      <c r="P338" s="317">
        <v>1</v>
      </c>
      <c r="Q338" s="366">
        <v>45197</v>
      </c>
      <c r="R338" s="365" t="s">
        <v>264</v>
      </c>
      <c r="S338" s="364">
        <v>45198</v>
      </c>
      <c r="T338" s="364">
        <v>45198</v>
      </c>
      <c r="U338" s="348" t="s">
        <v>4999</v>
      </c>
    </row>
    <row r="339" spans="1:21" ht="25.5" x14ac:dyDescent="0.25">
      <c r="A339" s="359">
        <v>0</v>
      </c>
      <c r="B339" s="49" t="s">
        <v>6120</v>
      </c>
      <c r="C339" s="49" t="s">
        <v>1345</v>
      </c>
      <c r="D339" s="362" t="s">
        <v>5285</v>
      </c>
      <c r="E339" s="378">
        <v>181825227</v>
      </c>
      <c r="F339" s="49" t="s">
        <v>4998</v>
      </c>
      <c r="G339" s="49" t="s">
        <v>1406</v>
      </c>
      <c r="H339" s="49" t="s">
        <v>6121</v>
      </c>
      <c r="I339" s="49" t="s">
        <v>346</v>
      </c>
      <c r="J339" s="316">
        <v>45197</v>
      </c>
      <c r="K339" s="360">
        <v>45079</v>
      </c>
      <c r="L339" s="363" t="s">
        <v>28</v>
      </c>
      <c r="M339" s="317" t="s">
        <v>28</v>
      </c>
      <c r="N339" s="322">
        <v>45197</v>
      </c>
      <c r="O339" s="317" t="s">
        <v>2198</v>
      </c>
      <c r="P339" s="317">
        <v>1</v>
      </c>
      <c r="Q339" s="366">
        <v>45197</v>
      </c>
      <c r="R339" s="365" t="s">
        <v>264</v>
      </c>
      <c r="S339" s="364">
        <v>45198</v>
      </c>
      <c r="T339" s="364">
        <v>45198</v>
      </c>
      <c r="U339" s="348" t="s">
        <v>4999</v>
      </c>
    </row>
    <row r="340" spans="1:21" ht="25.5" x14ac:dyDescent="0.25">
      <c r="A340" s="359">
        <v>0</v>
      </c>
      <c r="B340" s="49" t="s">
        <v>6122</v>
      </c>
      <c r="C340" s="49" t="s">
        <v>1345</v>
      </c>
      <c r="D340" s="49">
        <v>181829</v>
      </c>
      <c r="E340" s="378">
        <v>181825228</v>
      </c>
      <c r="F340" s="49" t="s">
        <v>4998</v>
      </c>
      <c r="G340" s="49" t="s">
        <v>1406</v>
      </c>
      <c r="H340" s="49" t="s">
        <v>5251</v>
      </c>
      <c r="I340" s="49" t="s">
        <v>346</v>
      </c>
      <c r="J340" s="316">
        <v>45201</v>
      </c>
      <c r="K340" s="360">
        <v>45079</v>
      </c>
      <c r="L340" s="363" t="s">
        <v>28</v>
      </c>
      <c r="M340" s="317" t="s">
        <v>28</v>
      </c>
      <c r="N340" s="322">
        <v>45201</v>
      </c>
      <c r="O340" s="317" t="s">
        <v>2198</v>
      </c>
      <c r="P340" s="317">
        <v>1</v>
      </c>
      <c r="Q340" s="366">
        <v>45201</v>
      </c>
      <c r="R340" s="365" t="s">
        <v>264</v>
      </c>
      <c r="S340" s="364">
        <v>45201</v>
      </c>
      <c r="T340" s="364">
        <v>45201</v>
      </c>
      <c r="U340" s="348" t="s">
        <v>4999</v>
      </c>
    </row>
    <row r="341" spans="1:21" ht="25.5" x14ac:dyDescent="0.25">
      <c r="A341" s="359">
        <v>0</v>
      </c>
      <c r="B341" s="49" t="s">
        <v>6123</v>
      </c>
      <c r="C341" s="49" t="s">
        <v>1345</v>
      </c>
      <c r="D341" s="362" t="s">
        <v>5285</v>
      </c>
      <c r="E341" s="378">
        <v>181825229</v>
      </c>
      <c r="F341" s="49" t="s">
        <v>4998</v>
      </c>
      <c r="G341" s="49" t="s">
        <v>1406</v>
      </c>
      <c r="H341" s="49" t="s">
        <v>6124</v>
      </c>
      <c r="I341" s="49" t="s">
        <v>346</v>
      </c>
      <c r="J341" s="316">
        <v>45201</v>
      </c>
      <c r="K341" s="360">
        <v>45079</v>
      </c>
      <c r="L341" s="363" t="s">
        <v>28</v>
      </c>
      <c r="M341" s="317" t="s">
        <v>28</v>
      </c>
      <c r="N341" s="322">
        <v>45201</v>
      </c>
      <c r="O341" s="317" t="s">
        <v>2198</v>
      </c>
      <c r="P341" s="317">
        <v>1</v>
      </c>
      <c r="Q341" s="366">
        <v>45201</v>
      </c>
      <c r="R341" s="365" t="s">
        <v>264</v>
      </c>
      <c r="S341" s="364">
        <v>45201</v>
      </c>
      <c r="T341" s="364">
        <v>45201</v>
      </c>
      <c r="U341" s="348" t="s">
        <v>4999</v>
      </c>
    </row>
    <row r="342" spans="1:21" ht="25.5" x14ac:dyDescent="0.25">
      <c r="A342" s="359">
        <v>0</v>
      </c>
      <c r="B342" s="49" t="s">
        <v>6125</v>
      </c>
      <c r="C342" s="49" t="s">
        <v>1345</v>
      </c>
      <c r="D342" s="362" t="s">
        <v>5285</v>
      </c>
      <c r="E342" s="378">
        <v>181825230</v>
      </c>
      <c r="F342" s="49" t="s">
        <v>4998</v>
      </c>
      <c r="G342" s="49" t="s">
        <v>1406</v>
      </c>
      <c r="H342" s="49" t="s">
        <v>5159</v>
      </c>
      <c r="I342" s="49" t="s">
        <v>346</v>
      </c>
      <c r="J342" s="316">
        <v>45201</v>
      </c>
      <c r="K342" s="360">
        <v>45079</v>
      </c>
      <c r="L342" s="363" t="s">
        <v>28</v>
      </c>
      <c r="M342" s="317" t="s">
        <v>28</v>
      </c>
      <c r="N342" s="322">
        <v>45201</v>
      </c>
      <c r="O342" s="317" t="s">
        <v>2198</v>
      </c>
      <c r="P342" s="317">
        <v>1</v>
      </c>
      <c r="Q342" s="366">
        <v>45201</v>
      </c>
      <c r="R342" s="365" t="s">
        <v>264</v>
      </c>
      <c r="S342" s="364">
        <v>45202</v>
      </c>
      <c r="T342" s="364">
        <v>45202</v>
      </c>
      <c r="U342" s="348" t="s">
        <v>4999</v>
      </c>
    </row>
    <row r="343" spans="1:21" ht="25.5" x14ac:dyDescent="0.25">
      <c r="A343" s="359">
        <v>0</v>
      </c>
      <c r="B343" s="49" t="s">
        <v>6126</v>
      </c>
      <c r="C343" s="49" t="s">
        <v>1345</v>
      </c>
      <c r="D343" s="362" t="s">
        <v>5285</v>
      </c>
      <c r="E343" s="378">
        <v>181825231</v>
      </c>
      <c r="F343" s="49" t="s">
        <v>4998</v>
      </c>
      <c r="G343" s="49" t="s">
        <v>547</v>
      </c>
      <c r="H343" s="49" t="s">
        <v>6127</v>
      </c>
      <c r="I343" s="49" t="s">
        <v>346</v>
      </c>
      <c r="J343" s="316">
        <v>45208</v>
      </c>
      <c r="K343" s="360">
        <v>45079</v>
      </c>
      <c r="L343" s="363" t="s">
        <v>28</v>
      </c>
      <c r="M343" s="317" t="s">
        <v>28</v>
      </c>
      <c r="N343" s="322">
        <v>45208</v>
      </c>
      <c r="O343" s="317" t="s">
        <v>6128</v>
      </c>
      <c r="P343" s="317">
        <v>1</v>
      </c>
      <c r="Q343" s="366">
        <v>45209</v>
      </c>
      <c r="R343" s="365" t="s">
        <v>264</v>
      </c>
      <c r="S343" s="365"/>
      <c r="T343" s="365"/>
      <c r="U343" s="348" t="s">
        <v>4999</v>
      </c>
    </row>
    <row r="344" spans="1:21" ht="25.5" x14ac:dyDescent="0.25">
      <c r="A344" s="359">
        <v>0</v>
      </c>
      <c r="B344" s="49" t="s">
        <v>6129</v>
      </c>
      <c r="C344" s="49" t="s">
        <v>1345</v>
      </c>
      <c r="D344" s="362" t="s">
        <v>5285</v>
      </c>
      <c r="E344" s="378">
        <v>181825232</v>
      </c>
      <c r="F344" s="49" t="s">
        <v>4998</v>
      </c>
      <c r="G344" s="49" t="s">
        <v>6130</v>
      </c>
      <c r="H344" s="49" t="s">
        <v>6131</v>
      </c>
      <c r="I344" s="49" t="s">
        <v>1395</v>
      </c>
      <c r="J344" s="316">
        <v>45215</v>
      </c>
      <c r="K344" s="360">
        <v>45079</v>
      </c>
      <c r="L344" s="363" t="s">
        <v>28</v>
      </c>
      <c r="M344" s="317" t="s">
        <v>28</v>
      </c>
      <c r="N344" s="322">
        <v>45215</v>
      </c>
      <c r="O344" s="317" t="s">
        <v>3683</v>
      </c>
      <c r="P344" s="317">
        <v>1</v>
      </c>
      <c r="Q344" s="366">
        <v>45215</v>
      </c>
      <c r="R344" s="365" t="s">
        <v>264</v>
      </c>
      <c r="S344" s="364">
        <v>45218</v>
      </c>
      <c r="T344" s="364">
        <v>45218</v>
      </c>
      <c r="U344" s="348" t="s">
        <v>4999</v>
      </c>
    </row>
    <row r="345" spans="1:21" ht="25.5" x14ac:dyDescent="0.25">
      <c r="A345" s="359">
        <v>0</v>
      </c>
      <c r="B345" s="49" t="s">
        <v>6132</v>
      </c>
      <c r="C345" s="49" t="s">
        <v>1345</v>
      </c>
      <c r="D345" s="362" t="s">
        <v>5285</v>
      </c>
      <c r="E345" s="378">
        <v>181825233</v>
      </c>
      <c r="F345" s="49" t="s">
        <v>4998</v>
      </c>
      <c r="G345" s="49" t="s">
        <v>1406</v>
      </c>
      <c r="H345" s="49" t="s">
        <v>6053</v>
      </c>
      <c r="I345" s="49" t="s">
        <v>346</v>
      </c>
      <c r="J345" s="316">
        <v>45216</v>
      </c>
      <c r="K345" s="360">
        <v>45079</v>
      </c>
      <c r="L345" s="363" t="s">
        <v>28</v>
      </c>
      <c r="M345" s="317" t="s">
        <v>28</v>
      </c>
      <c r="N345" s="322">
        <v>45216</v>
      </c>
      <c r="O345" s="317" t="s">
        <v>2216</v>
      </c>
      <c r="P345" s="317">
        <v>2</v>
      </c>
      <c r="Q345" s="322">
        <v>45216</v>
      </c>
      <c r="R345" s="365" t="s">
        <v>264</v>
      </c>
      <c r="S345" s="364">
        <v>45218</v>
      </c>
      <c r="T345" s="364">
        <v>45218</v>
      </c>
      <c r="U345" s="348" t="s">
        <v>4999</v>
      </c>
    </row>
    <row r="346" spans="1:21" ht="25.5" x14ac:dyDescent="0.25">
      <c r="A346" s="359">
        <v>0</v>
      </c>
      <c r="B346" s="49" t="s">
        <v>6133</v>
      </c>
      <c r="C346" s="49" t="s">
        <v>1345</v>
      </c>
      <c r="D346" s="362" t="s">
        <v>5285</v>
      </c>
      <c r="E346" s="378">
        <v>181825234</v>
      </c>
      <c r="F346" s="49" t="s">
        <v>4998</v>
      </c>
      <c r="G346" s="49" t="s">
        <v>1406</v>
      </c>
      <c r="H346" s="49" t="s">
        <v>2314</v>
      </c>
      <c r="I346" s="49" t="s">
        <v>346</v>
      </c>
      <c r="J346" s="316">
        <v>45216</v>
      </c>
      <c r="K346" s="360">
        <v>45079</v>
      </c>
      <c r="L346" s="363" t="s">
        <v>28</v>
      </c>
      <c r="M346" s="317" t="s">
        <v>28</v>
      </c>
      <c r="N346" s="322">
        <v>45216</v>
      </c>
      <c r="O346" s="317" t="s">
        <v>2315</v>
      </c>
      <c r="P346" s="317">
        <v>1</v>
      </c>
      <c r="Q346" s="322">
        <v>45216</v>
      </c>
      <c r="R346" s="365" t="s">
        <v>264</v>
      </c>
      <c r="S346" s="364">
        <v>45218</v>
      </c>
      <c r="T346" s="364">
        <v>45218</v>
      </c>
      <c r="U346" s="348" t="s">
        <v>4999</v>
      </c>
    </row>
    <row r="347" spans="1:21" ht="25.5" x14ac:dyDescent="0.25">
      <c r="A347" s="359">
        <v>0</v>
      </c>
      <c r="B347" s="49" t="s">
        <v>6134</v>
      </c>
      <c r="C347" s="49" t="s">
        <v>1345</v>
      </c>
      <c r="D347" s="362" t="s">
        <v>5285</v>
      </c>
      <c r="E347" s="378">
        <v>181825236</v>
      </c>
      <c r="F347" s="49" t="s">
        <v>4998</v>
      </c>
      <c r="G347" s="49" t="s">
        <v>1406</v>
      </c>
      <c r="H347" s="49" t="s">
        <v>6135</v>
      </c>
      <c r="I347" s="49" t="s">
        <v>346</v>
      </c>
      <c r="J347" s="316">
        <v>45217</v>
      </c>
      <c r="K347" s="360">
        <v>45079</v>
      </c>
      <c r="L347" s="363" t="s">
        <v>28</v>
      </c>
      <c r="M347" s="317" t="s">
        <v>28</v>
      </c>
      <c r="N347" s="322">
        <v>45217</v>
      </c>
      <c r="O347" s="317" t="s">
        <v>2198</v>
      </c>
      <c r="P347" s="317">
        <v>1</v>
      </c>
      <c r="Q347" s="322">
        <v>45217</v>
      </c>
      <c r="R347" s="365" t="s">
        <v>264</v>
      </c>
      <c r="S347" s="364">
        <v>45218</v>
      </c>
      <c r="T347" s="364">
        <v>45218</v>
      </c>
      <c r="U347" s="348" t="s">
        <v>4999</v>
      </c>
    </row>
    <row r="348" spans="1:21" ht="25.5" x14ac:dyDescent="0.25">
      <c r="A348" s="359">
        <v>0</v>
      </c>
      <c r="B348" s="49" t="s">
        <v>6136</v>
      </c>
      <c r="C348" s="49" t="s">
        <v>1345</v>
      </c>
      <c r="D348" s="362" t="s">
        <v>5285</v>
      </c>
      <c r="E348" s="378">
        <v>181825235</v>
      </c>
      <c r="F348" s="49" t="s">
        <v>4998</v>
      </c>
      <c r="G348" s="49" t="s">
        <v>2265</v>
      </c>
      <c r="H348" s="49" t="s">
        <v>6137</v>
      </c>
      <c r="I348" s="49" t="s">
        <v>346</v>
      </c>
      <c r="J348" s="316">
        <v>45217</v>
      </c>
      <c r="K348" s="360">
        <v>45079</v>
      </c>
      <c r="L348" s="363" t="s">
        <v>28</v>
      </c>
      <c r="M348" s="317" t="s">
        <v>28</v>
      </c>
      <c r="N348" s="322">
        <v>45217</v>
      </c>
      <c r="O348" s="317" t="s">
        <v>1387</v>
      </c>
      <c r="P348" s="317">
        <v>3</v>
      </c>
      <c r="Q348" s="322">
        <v>45217</v>
      </c>
      <c r="R348" s="365" t="s">
        <v>264</v>
      </c>
      <c r="S348" s="364">
        <v>45218</v>
      </c>
      <c r="T348" s="364">
        <v>45218</v>
      </c>
      <c r="U348" s="348" t="s">
        <v>4999</v>
      </c>
    </row>
    <row r="349" spans="1:21" ht="25.5" x14ac:dyDescent="0.25">
      <c r="A349" s="359">
        <v>0</v>
      </c>
      <c r="B349" s="49" t="s">
        <v>6138</v>
      </c>
      <c r="C349" s="49" t="s">
        <v>1345</v>
      </c>
      <c r="D349" s="362" t="s">
        <v>5285</v>
      </c>
      <c r="E349" s="378">
        <v>181825237</v>
      </c>
      <c r="F349" s="49" t="s">
        <v>4998</v>
      </c>
      <c r="G349" s="49" t="s">
        <v>1406</v>
      </c>
      <c r="H349" s="49" t="s">
        <v>6114</v>
      </c>
      <c r="I349" s="49" t="s">
        <v>346</v>
      </c>
      <c r="J349" s="316">
        <v>45217</v>
      </c>
      <c r="K349" s="360">
        <v>45079</v>
      </c>
      <c r="L349" s="363" t="s">
        <v>28</v>
      </c>
      <c r="M349" s="317" t="s">
        <v>28</v>
      </c>
      <c r="N349" s="322">
        <v>45217</v>
      </c>
      <c r="O349" s="317" t="s">
        <v>2198</v>
      </c>
      <c r="P349" s="317">
        <v>1</v>
      </c>
      <c r="Q349" s="322">
        <v>45217</v>
      </c>
      <c r="R349" s="365" t="s">
        <v>264</v>
      </c>
      <c r="S349" s="364">
        <v>45218</v>
      </c>
      <c r="T349" s="364">
        <v>45218</v>
      </c>
      <c r="U349" s="348" t="s">
        <v>4999</v>
      </c>
    </row>
    <row r="350" spans="1:21" ht="25.5" x14ac:dyDescent="0.25">
      <c r="A350" s="359">
        <v>0</v>
      </c>
      <c r="B350" s="49" t="s">
        <v>6139</v>
      </c>
      <c r="C350" s="49" t="s">
        <v>1345</v>
      </c>
      <c r="D350" s="362" t="s">
        <v>5285</v>
      </c>
      <c r="E350" s="378">
        <v>181825238</v>
      </c>
      <c r="F350" s="49" t="s">
        <v>4998</v>
      </c>
      <c r="G350" s="49" t="s">
        <v>1406</v>
      </c>
      <c r="H350" s="49" t="s">
        <v>6111</v>
      </c>
      <c r="I350" s="49" t="s">
        <v>346</v>
      </c>
      <c r="J350" s="316">
        <v>45224</v>
      </c>
      <c r="K350" s="360">
        <v>45079</v>
      </c>
      <c r="L350" s="363" t="s">
        <v>28</v>
      </c>
      <c r="M350" s="317" t="s">
        <v>28</v>
      </c>
      <c r="N350" s="322">
        <v>45224</v>
      </c>
      <c r="O350" s="317" t="s">
        <v>2209</v>
      </c>
      <c r="P350" s="317">
        <v>5</v>
      </c>
      <c r="Q350" s="366">
        <v>45224</v>
      </c>
      <c r="R350" s="365" t="s">
        <v>264</v>
      </c>
      <c r="S350" s="364">
        <v>45225</v>
      </c>
      <c r="T350" s="364">
        <v>45225</v>
      </c>
      <c r="U350" s="348" t="s">
        <v>4999</v>
      </c>
    </row>
    <row r="351" spans="1:21" ht="25.5" x14ac:dyDescent="0.25">
      <c r="A351" s="359">
        <v>0</v>
      </c>
      <c r="B351" s="49" t="s">
        <v>6140</v>
      </c>
      <c r="C351" s="49" t="s">
        <v>1345</v>
      </c>
      <c r="D351" s="362" t="s">
        <v>5285</v>
      </c>
      <c r="E351" s="378">
        <v>181825239</v>
      </c>
      <c r="F351" s="49" t="s">
        <v>4998</v>
      </c>
      <c r="G351" s="49" t="s">
        <v>1540</v>
      </c>
      <c r="H351" s="49" t="s">
        <v>6141</v>
      </c>
      <c r="I351" s="49" t="s">
        <v>2419</v>
      </c>
      <c r="J351" s="316">
        <v>45238</v>
      </c>
      <c r="K351" s="360">
        <v>45079</v>
      </c>
      <c r="L351" s="363" t="s">
        <v>28</v>
      </c>
      <c r="M351" s="317" t="s">
        <v>28</v>
      </c>
      <c r="N351" s="322">
        <v>45239</v>
      </c>
      <c r="O351" s="317" t="s">
        <v>5111</v>
      </c>
      <c r="P351" s="317">
        <v>1</v>
      </c>
      <c r="Q351" s="366">
        <v>45239</v>
      </c>
      <c r="R351" s="365" t="s">
        <v>1686</v>
      </c>
      <c r="S351" s="364">
        <v>45239</v>
      </c>
      <c r="T351" s="364">
        <v>45239</v>
      </c>
      <c r="U351" s="348" t="s">
        <v>4999</v>
      </c>
    </row>
    <row r="352" spans="1:21" ht="25.5" x14ac:dyDescent="0.25">
      <c r="A352" s="359">
        <v>0</v>
      </c>
      <c r="B352" s="49" t="s">
        <v>6142</v>
      </c>
      <c r="C352" s="49" t="s">
        <v>1345</v>
      </c>
      <c r="D352" s="362" t="s">
        <v>5285</v>
      </c>
      <c r="E352" s="378">
        <v>181825240</v>
      </c>
      <c r="F352" s="49" t="s">
        <v>4998</v>
      </c>
      <c r="G352" s="49" t="s">
        <v>1540</v>
      </c>
      <c r="H352" s="49" t="s">
        <v>2243</v>
      </c>
      <c r="I352" s="49" t="s">
        <v>2419</v>
      </c>
      <c r="J352" s="316">
        <v>45241</v>
      </c>
      <c r="K352" s="360">
        <v>45079</v>
      </c>
      <c r="L352" s="363" t="s">
        <v>28</v>
      </c>
      <c r="M352" s="317" t="s">
        <v>28</v>
      </c>
      <c r="N352" s="322">
        <v>45243</v>
      </c>
      <c r="O352" s="317" t="s">
        <v>5111</v>
      </c>
      <c r="P352" s="317">
        <v>1</v>
      </c>
      <c r="Q352" s="366">
        <v>45243</v>
      </c>
      <c r="R352" s="365" t="s">
        <v>1686</v>
      </c>
      <c r="S352" s="364">
        <v>45244</v>
      </c>
      <c r="T352" s="364">
        <v>45244</v>
      </c>
      <c r="U352" s="348" t="s">
        <v>4999</v>
      </c>
    </row>
    <row r="353" spans="1:21" ht="38.25" x14ac:dyDescent="0.25">
      <c r="A353" s="359">
        <v>0</v>
      </c>
      <c r="B353" s="49" t="s">
        <v>6143</v>
      </c>
      <c r="C353" s="49" t="s">
        <v>1403</v>
      </c>
      <c r="D353" s="362" t="s">
        <v>5285</v>
      </c>
      <c r="E353" s="378">
        <v>181825241</v>
      </c>
      <c r="F353" s="49" t="s">
        <v>4998</v>
      </c>
      <c r="G353" s="49" t="s">
        <v>1406</v>
      </c>
      <c r="H353" s="49" t="s">
        <v>5226</v>
      </c>
      <c r="I353" s="49" t="s">
        <v>346</v>
      </c>
      <c r="J353" s="316">
        <v>45244</v>
      </c>
      <c r="K353" s="360">
        <v>45079</v>
      </c>
      <c r="L353" s="363" t="s">
        <v>28</v>
      </c>
      <c r="M353" s="317" t="s">
        <v>28</v>
      </c>
      <c r="N353" s="322">
        <v>45244</v>
      </c>
      <c r="O353" s="317" t="s">
        <v>2198</v>
      </c>
      <c r="P353" s="317">
        <v>2</v>
      </c>
      <c r="Q353" s="366">
        <v>45247</v>
      </c>
      <c r="R353" s="365" t="s">
        <v>1686</v>
      </c>
      <c r="S353" s="364">
        <v>45247</v>
      </c>
      <c r="T353" s="364">
        <v>45247</v>
      </c>
      <c r="U353" s="348" t="s">
        <v>4999</v>
      </c>
    </row>
    <row r="354" spans="1:21" ht="25.5" x14ac:dyDescent="0.25">
      <c r="A354" s="359">
        <v>0</v>
      </c>
      <c r="B354" s="49" t="s">
        <v>6144</v>
      </c>
      <c r="C354" s="49" t="s">
        <v>1345</v>
      </c>
      <c r="D354" s="362" t="s">
        <v>5285</v>
      </c>
      <c r="E354" s="378">
        <v>181825242</v>
      </c>
      <c r="F354" s="49" t="s">
        <v>4998</v>
      </c>
      <c r="G354" s="49" t="s">
        <v>1406</v>
      </c>
      <c r="H354" s="49" t="s">
        <v>5256</v>
      </c>
      <c r="I354" s="49" t="s">
        <v>346</v>
      </c>
      <c r="J354" s="316">
        <v>45244</v>
      </c>
      <c r="K354" s="360">
        <v>45079</v>
      </c>
      <c r="L354" s="363" t="s">
        <v>28</v>
      </c>
      <c r="M354" s="317" t="s">
        <v>28</v>
      </c>
      <c r="N354" s="322">
        <v>45244</v>
      </c>
      <c r="O354" s="317" t="s">
        <v>2209</v>
      </c>
      <c r="P354" s="317">
        <v>1</v>
      </c>
      <c r="Q354" s="366">
        <v>45247</v>
      </c>
      <c r="R354" s="365" t="s">
        <v>1686</v>
      </c>
      <c r="S354" s="364">
        <v>45247</v>
      </c>
      <c r="T354" s="364">
        <v>45247</v>
      </c>
      <c r="U354" s="348" t="s">
        <v>4999</v>
      </c>
    </row>
    <row r="355" spans="1:21" ht="38.25" x14ac:dyDescent="0.25">
      <c r="A355" s="359">
        <v>0</v>
      </c>
      <c r="B355" s="49" t="s">
        <v>6145</v>
      </c>
      <c r="C355" s="49" t="s">
        <v>1403</v>
      </c>
      <c r="D355" s="362" t="s">
        <v>5285</v>
      </c>
      <c r="E355" s="378">
        <v>181825243</v>
      </c>
      <c r="F355" s="49" t="s">
        <v>4998</v>
      </c>
      <c r="G355" s="49" t="s">
        <v>1406</v>
      </c>
      <c r="H355" s="49" t="s">
        <v>6146</v>
      </c>
      <c r="I355" s="49" t="s">
        <v>346</v>
      </c>
      <c r="J355" s="316">
        <v>45244</v>
      </c>
      <c r="K355" s="360">
        <v>45079</v>
      </c>
      <c r="L355" s="363" t="s">
        <v>28</v>
      </c>
      <c r="M355" s="317" t="s">
        <v>28</v>
      </c>
      <c r="N355" s="322">
        <v>45244</v>
      </c>
      <c r="O355" s="317" t="s">
        <v>2198</v>
      </c>
      <c r="P355" s="317">
        <v>2</v>
      </c>
      <c r="Q355" s="366">
        <v>45247</v>
      </c>
      <c r="R355" s="365" t="s">
        <v>1686</v>
      </c>
      <c r="S355" s="364">
        <v>45247</v>
      </c>
      <c r="T355" s="364">
        <v>45247</v>
      </c>
      <c r="U355" s="348" t="s">
        <v>4999</v>
      </c>
    </row>
    <row r="356" spans="1:21" ht="25.5" x14ac:dyDescent="0.25">
      <c r="A356" s="359">
        <v>0</v>
      </c>
      <c r="B356" s="49" t="s">
        <v>6147</v>
      </c>
      <c r="C356" s="49" t="s">
        <v>1345</v>
      </c>
      <c r="D356" s="362" t="s">
        <v>5285</v>
      </c>
      <c r="E356" s="378">
        <v>181825244</v>
      </c>
      <c r="F356" s="49" t="s">
        <v>4998</v>
      </c>
      <c r="G356" s="49" t="s">
        <v>1406</v>
      </c>
      <c r="H356" s="49" t="s">
        <v>6148</v>
      </c>
      <c r="I356" s="49" t="s">
        <v>346</v>
      </c>
      <c r="J356" s="316">
        <v>45246</v>
      </c>
      <c r="K356" s="360">
        <v>45079</v>
      </c>
      <c r="L356" s="363" t="s">
        <v>47</v>
      </c>
      <c r="M356" s="317" t="s">
        <v>47</v>
      </c>
      <c r="N356" s="322">
        <v>45246</v>
      </c>
      <c r="O356" s="317" t="s">
        <v>2216</v>
      </c>
      <c r="P356" s="317">
        <v>2</v>
      </c>
      <c r="Q356" s="366">
        <v>45247</v>
      </c>
      <c r="R356" s="365" t="s">
        <v>1686</v>
      </c>
      <c r="S356" s="364">
        <v>45247</v>
      </c>
      <c r="T356" s="364">
        <v>45251</v>
      </c>
      <c r="U356" s="348" t="s">
        <v>4999</v>
      </c>
    </row>
    <row r="357" spans="1:21" ht="25.5" x14ac:dyDescent="0.25">
      <c r="A357" s="359">
        <v>0</v>
      </c>
      <c r="B357" s="49" t="s">
        <v>6149</v>
      </c>
      <c r="C357" s="49" t="s">
        <v>1345</v>
      </c>
      <c r="D357" s="362" t="s">
        <v>5285</v>
      </c>
      <c r="E357" s="378">
        <v>181825245</v>
      </c>
      <c r="F357" s="49" t="s">
        <v>4998</v>
      </c>
      <c r="G357" s="49" t="s">
        <v>1406</v>
      </c>
      <c r="H357" s="49" t="s">
        <v>6150</v>
      </c>
      <c r="I357" s="49" t="s">
        <v>346</v>
      </c>
      <c r="J357" s="316">
        <v>45247</v>
      </c>
      <c r="K357" s="360">
        <v>45079</v>
      </c>
      <c r="L357" s="363" t="s">
        <v>47</v>
      </c>
      <c r="M357" s="317" t="s">
        <v>47</v>
      </c>
      <c r="N357" s="322">
        <v>45247</v>
      </c>
      <c r="O357" s="317" t="s">
        <v>1555</v>
      </c>
      <c r="P357" s="317">
        <v>2</v>
      </c>
      <c r="Q357" s="366">
        <v>45247</v>
      </c>
      <c r="R357" s="365" t="s">
        <v>1686</v>
      </c>
      <c r="S357" s="364">
        <v>45247</v>
      </c>
      <c r="T357" s="364">
        <v>45251</v>
      </c>
      <c r="U357" s="348" t="s">
        <v>4999</v>
      </c>
    </row>
    <row r="358" spans="1:21" ht="38.25" x14ac:dyDescent="0.25">
      <c r="A358" s="359">
        <v>0</v>
      </c>
      <c r="B358" s="49" t="s">
        <v>6151</v>
      </c>
      <c r="C358" s="49" t="s">
        <v>1403</v>
      </c>
      <c r="D358" s="362" t="s">
        <v>5285</v>
      </c>
      <c r="E358" s="378">
        <v>181825246</v>
      </c>
      <c r="F358" s="49" t="s">
        <v>4998</v>
      </c>
      <c r="G358" s="49" t="s">
        <v>1406</v>
      </c>
      <c r="H358" s="49" t="s">
        <v>2293</v>
      </c>
      <c r="I358" s="49" t="s">
        <v>346</v>
      </c>
      <c r="J358" s="316">
        <v>45266</v>
      </c>
      <c r="K358" s="360">
        <v>45079</v>
      </c>
      <c r="L358" s="363" t="s">
        <v>28</v>
      </c>
      <c r="M358" s="317" t="s">
        <v>28</v>
      </c>
      <c r="N358" s="322">
        <v>45266</v>
      </c>
      <c r="O358" s="317" t="s">
        <v>2198</v>
      </c>
      <c r="P358" s="317">
        <v>1</v>
      </c>
      <c r="Q358" s="366">
        <v>45266</v>
      </c>
      <c r="R358" s="365" t="s">
        <v>1686</v>
      </c>
      <c r="S358" s="364">
        <v>45271</v>
      </c>
      <c r="T358" s="364">
        <v>45271</v>
      </c>
      <c r="U358" s="348" t="s">
        <v>4999</v>
      </c>
    </row>
    <row r="359" spans="1:21" ht="25.5" x14ac:dyDescent="0.25">
      <c r="A359" s="359">
        <v>0</v>
      </c>
      <c r="B359" s="49" t="s">
        <v>6152</v>
      </c>
      <c r="C359" s="49" t="s">
        <v>1345</v>
      </c>
      <c r="D359" s="362" t="s">
        <v>5285</v>
      </c>
      <c r="E359" s="378">
        <v>181825247</v>
      </c>
      <c r="F359" s="49" t="s">
        <v>4998</v>
      </c>
      <c r="G359" s="49" t="s">
        <v>1406</v>
      </c>
      <c r="H359" s="49" t="s">
        <v>6153</v>
      </c>
      <c r="I359" s="49" t="s">
        <v>1379</v>
      </c>
      <c r="J359" s="316">
        <v>45266</v>
      </c>
      <c r="K359" s="360">
        <v>45079</v>
      </c>
      <c r="L359" s="363" t="s">
        <v>28</v>
      </c>
      <c r="M359" s="317" t="s">
        <v>28</v>
      </c>
      <c r="N359" s="322">
        <v>45267</v>
      </c>
      <c r="O359" s="317" t="s">
        <v>1536</v>
      </c>
      <c r="P359" s="317">
        <v>1</v>
      </c>
      <c r="Q359" s="366">
        <v>45267</v>
      </c>
      <c r="R359" s="365" t="s">
        <v>1686</v>
      </c>
      <c r="S359" s="364">
        <v>45268</v>
      </c>
      <c r="T359" s="364">
        <v>45271</v>
      </c>
      <c r="U359" s="348" t="s">
        <v>4999</v>
      </c>
    </row>
    <row r="360" spans="1:21" ht="38.25" x14ac:dyDescent="0.25">
      <c r="A360" s="359">
        <v>0</v>
      </c>
      <c r="B360" s="49" t="s">
        <v>6154</v>
      </c>
      <c r="C360" s="49" t="s">
        <v>1403</v>
      </c>
      <c r="D360" s="362" t="s">
        <v>5285</v>
      </c>
      <c r="E360" s="378">
        <v>181825248</v>
      </c>
      <c r="F360" s="49" t="s">
        <v>4998</v>
      </c>
      <c r="G360" s="49" t="s">
        <v>1406</v>
      </c>
      <c r="H360" s="49" t="s">
        <v>6155</v>
      </c>
      <c r="I360" s="49" t="s">
        <v>346</v>
      </c>
      <c r="J360" s="316">
        <v>45278</v>
      </c>
      <c r="K360" s="360">
        <v>45079</v>
      </c>
      <c r="L360" s="363" t="s">
        <v>28</v>
      </c>
      <c r="M360" s="317" t="s">
        <v>28</v>
      </c>
      <c r="N360" s="322">
        <v>45278</v>
      </c>
      <c r="O360" s="317" t="s">
        <v>2198</v>
      </c>
      <c r="P360" s="317">
        <v>2</v>
      </c>
      <c r="Q360" s="322">
        <v>45278</v>
      </c>
      <c r="R360" s="365" t="s">
        <v>1686</v>
      </c>
      <c r="S360" s="364">
        <v>45278</v>
      </c>
      <c r="T360" s="364">
        <v>45278</v>
      </c>
      <c r="U360" s="348" t="s">
        <v>4999</v>
      </c>
    </row>
    <row r="361" spans="1:21" ht="25.5" x14ac:dyDescent="0.25">
      <c r="A361" s="359">
        <v>0</v>
      </c>
      <c r="B361" s="49" t="s">
        <v>6156</v>
      </c>
      <c r="C361" s="49" t="s">
        <v>1345</v>
      </c>
      <c r="D361" s="362" t="s">
        <v>5285</v>
      </c>
      <c r="E361" s="378">
        <v>181825249</v>
      </c>
      <c r="F361" s="49" t="s">
        <v>4998</v>
      </c>
      <c r="G361" s="49" t="s">
        <v>547</v>
      </c>
      <c r="H361" s="49" t="s">
        <v>5302</v>
      </c>
      <c r="I361" s="49" t="s">
        <v>346</v>
      </c>
      <c r="J361" s="316">
        <v>45279</v>
      </c>
      <c r="K361" s="360">
        <v>45079</v>
      </c>
      <c r="L361" s="363" t="s">
        <v>28</v>
      </c>
      <c r="M361" s="317" t="s">
        <v>28</v>
      </c>
      <c r="N361" s="322">
        <v>45279</v>
      </c>
      <c r="O361" s="317" t="s">
        <v>347</v>
      </c>
      <c r="P361" s="317">
        <v>1</v>
      </c>
      <c r="Q361" s="366">
        <v>45280</v>
      </c>
      <c r="R361" s="365" t="s">
        <v>1686</v>
      </c>
      <c r="S361" s="364">
        <v>45280</v>
      </c>
      <c r="T361" s="364">
        <v>45280</v>
      </c>
      <c r="U361" s="348" t="s">
        <v>4999</v>
      </c>
    </row>
    <row r="362" spans="1:21" ht="38.25" x14ac:dyDescent="0.25">
      <c r="A362" s="359">
        <v>0</v>
      </c>
      <c r="B362" s="49" t="s">
        <v>6157</v>
      </c>
      <c r="C362" s="49" t="s">
        <v>1403</v>
      </c>
      <c r="D362" s="362" t="s">
        <v>5285</v>
      </c>
      <c r="E362" s="378">
        <v>181825250</v>
      </c>
      <c r="F362" s="49" t="s">
        <v>4998</v>
      </c>
      <c r="G362" s="49" t="s">
        <v>1406</v>
      </c>
      <c r="H362" s="49" t="s">
        <v>6158</v>
      </c>
      <c r="I362" s="49" t="s">
        <v>346</v>
      </c>
      <c r="J362" s="316">
        <v>45279</v>
      </c>
      <c r="K362" s="360">
        <v>45079</v>
      </c>
      <c r="L362" s="363" t="s">
        <v>28</v>
      </c>
      <c r="M362" s="317" t="s">
        <v>28</v>
      </c>
      <c r="N362" s="322">
        <v>45279</v>
      </c>
      <c r="O362" s="317" t="s">
        <v>2198</v>
      </c>
      <c r="P362" s="317">
        <v>1</v>
      </c>
      <c r="Q362" s="366">
        <v>45280</v>
      </c>
      <c r="R362" s="365" t="s">
        <v>1686</v>
      </c>
      <c r="S362" s="364">
        <v>45280</v>
      </c>
      <c r="T362" s="364">
        <v>45280</v>
      </c>
      <c r="U362" s="348" t="s">
        <v>4999</v>
      </c>
    </row>
    <row r="363" spans="1:21" ht="38.25" x14ac:dyDescent="0.25">
      <c r="A363" s="359">
        <v>0</v>
      </c>
      <c r="B363" s="49" t="s">
        <v>6159</v>
      </c>
      <c r="C363" s="49" t="s">
        <v>1403</v>
      </c>
      <c r="D363" s="362" t="s">
        <v>5285</v>
      </c>
      <c r="E363" s="378">
        <v>181825251</v>
      </c>
      <c r="F363" s="49" t="s">
        <v>4998</v>
      </c>
      <c r="G363" s="49" t="s">
        <v>1406</v>
      </c>
      <c r="H363" s="49" t="s">
        <v>6114</v>
      </c>
      <c r="I363" s="49" t="s">
        <v>346</v>
      </c>
      <c r="J363" s="316">
        <v>45280</v>
      </c>
      <c r="K363" s="360">
        <v>45079</v>
      </c>
      <c r="L363" s="363" t="s">
        <v>28</v>
      </c>
      <c r="M363" s="317" t="s">
        <v>28</v>
      </c>
      <c r="N363" s="322">
        <v>45280</v>
      </c>
      <c r="O363" s="317" t="s">
        <v>2198</v>
      </c>
      <c r="P363" s="317">
        <v>1</v>
      </c>
      <c r="Q363" s="366">
        <v>45280</v>
      </c>
      <c r="R363" s="365" t="s">
        <v>1686</v>
      </c>
      <c r="S363" s="364">
        <v>45280</v>
      </c>
      <c r="T363" s="364">
        <v>45280</v>
      </c>
      <c r="U363" s="348" t="s">
        <v>4999</v>
      </c>
    </row>
    <row r="364" spans="1:21" ht="38.25" x14ac:dyDescent="0.25">
      <c r="A364" s="359">
        <v>0</v>
      </c>
      <c r="B364" s="49" t="s">
        <v>6160</v>
      </c>
      <c r="C364" s="49" t="s">
        <v>1403</v>
      </c>
      <c r="D364" s="362" t="s">
        <v>5285</v>
      </c>
      <c r="E364" s="378">
        <v>181825252</v>
      </c>
      <c r="F364" s="49" t="s">
        <v>4998</v>
      </c>
      <c r="G364" s="49" t="s">
        <v>1406</v>
      </c>
      <c r="H364" s="49" t="s">
        <v>6161</v>
      </c>
      <c r="I364" s="49" t="s">
        <v>346</v>
      </c>
      <c r="J364" s="316">
        <v>45281</v>
      </c>
      <c r="K364" s="360">
        <v>45079</v>
      </c>
      <c r="L364" s="363" t="s">
        <v>28</v>
      </c>
      <c r="M364" s="317" t="s">
        <v>28</v>
      </c>
      <c r="N364" s="322">
        <v>45282</v>
      </c>
      <c r="O364" s="317" t="s">
        <v>2198</v>
      </c>
      <c r="P364" s="317">
        <v>2</v>
      </c>
      <c r="Q364" s="366">
        <v>45282</v>
      </c>
      <c r="R364" s="365" t="s">
        <v>1686</v>
      </c>
      <c r="S364" s="364">
        <v>45282</v>
      </c>
      <c r="T364" s="364">
        <v>45282</v>
      </c>
      <c r="U364" s="348" t="s">
        <v>4999</v>
      </c>
    </row>
    <row r="365" spans="1:21" ht="38.25" x14ac:dyDescent="0.25">
      <c r="A365" s="359">
        <v>0</v>
      </c>
      <c r="B365" s="49" t="s">
        <v>6162</v>
      </c>
      <c r="C365" s="49" t="s">
        <v>1403</v>
      </c>
      <c r="D365" s="362" t="s">
        <v>5285</v>
      </c>
      <c r="E365" s="378">
        <v>181825253</v>
      </c>
      <c r="F365" s="49" t="s">
        <v>4998</v>
      </c>
      <c r="G365" s="49" t="s">
        <v>1406</v>
      </c>
      <c r="H365" s="49" t="s">
        <v>6163</v>
      </c>
      <c r="I365" s="49" t="s">
        <v>346</v>
      </c>
      <c r="J365" s="316">
        <v>45281</v>
      </c>
      <c r="K365" s="360">
        <v>45079</v>
      </c>
      <c r="L365" s="363" t="s">
        <v>28</v>
      </c>
      <c r="M365" s="317" t="s">
        <v>28</v>
      </c>
      <c r="N365" s="322">
        <v>45282</v>
      </c>
      <c r="O365" s="317" t="s">
        <v>2198</v>
      </c>
      <c r="P365" s="317">
        <v>1</v>
      </c>
      <c r="Q365" s="322">
        <v>45282</v>
      </c>
      <c r="R365" s="365" t="s">
        <v>1686</v>
      </c>
      <c r="S365" s="364">
        <v>45282</v>
      </c>
      <c r="T365" s="364">
        <v>45282</v>
      </c>
      <c r="U365" s="348" t="s">
        <v>4999</v>
      </c>
    </row>
    <row r="366" spans="1:21" ht="25.5" x14ac:dyDescent="0.25">
      <c r="A366" s="359">
        <v>0</v>
      </c>
      <c r="B366" s="49" t="s">
        <v>6164</v>
      </c>
      <c r="C366" s="49" t="s">
        <v>1345</v>
      </c>
      <c r="D366" s="362" t="s">
        <v>5285</v>
      </c>
      <c r="E366" s="378">
        <v>181825254</v>
      </c>
      <c r="F366" s="49" t="s">
        <v>4998</v>
      </c>
      <c r="G366" s="49" t="s">
        <v>6165</v>
      </c>
      <c r="H366" s="49" t="s">
        <v>1495</v>
      </c>
      <c r="I366" s="49" t="s">
        <v>2338</v>
      </c>
      <c r="J366" s="316">
        <v>45299</v>
      </c>
      <c r="K366" s="360">
        <v>45079</v>
      </c>
      <c r="L366" s="363" t="s">
        <v>28</v>
      </c>
      <c r="M366" s="317" t="s">
        <v>28</v>
      </c>
      <c r="N366" s="322">
        <v>45300</v>
      </c>
      <c r="O366" s="317" t="s">
        <v>1496</v>
      </c>
      <c r="P366" s="317">
        <v>1</v>
      </c>
      <c r="Q366" s="366">
        <v>45300</v>
      </c>
      <c r="R366" s="365" t="s">
        <v>1686</v>
      </c>
      <c r="S366" s="364">
        <v>45300</v>
      </c>
      <c r="T366" s="364">
        <v>45301</v>
      </c>
      <c r="U366" s="348" t="s">
        <v>4999</v>
      </c>
    </row>
    <row r="367" spans="1:21" ht="38.25" x14ac:dyDescent="0.25">
      <c r="A367" s="359">
        <v>0</v>
      </c>
      <c r="B367" s="49" t="s">
        <v>6166</v>
      </c>
      <c r="C367" s="49" t="s">
        <v>1680</v>
      </c>
      <c r="D367" s="49">
        <v>182857</v>
      </c>
      <c r="E367" s="49" t="s">
        <v>6167</v>
      </c>
      <c r="F367" s="49" t="s">
        <v>4998</v>
      </c>
      <c r="G367" s="49" t="s">
        <v>6168</v>
      </c>
      <c r="H367" s="49">
        <v>200250</v>
      </c>
      <c r="I367" s="49" t="s">
        <v>6169</v>
      </c>
      <c r="J367" s="316">
        <v>45139</v>
      </c>
      <c r="K367" s="360">
        <v>45146</v>
      </c>
      <c r="L367" s="363" t="s">
        <v>47</v>
      </c>
      <c r="M367" s="317" t="s">
        <v>47</v>
      </c>
      <c r="N367" s="322">
        <v>45149</v>
      </c>
      <c r="O367" s="317" t="s">
        <v>6170</v>
      </c>
      <c r="P367" s="317">
        <v>10</v>
      </c>
      <c r="Q367" s="366">
        <v>45149</v>
      </c>
      <c r="R367" s="365" t="s">
        <v>264</v>
      </c>
      <c r="S367" s="364">
        <v>45152</v>
      </c>
      <c r="T367" s="364">
        <v>45152</v>
      </c>
      <c r="U367" s="348" t="s">
        <v>4999</v>
      </c>
    </row>
    <row r="368" spans="1:21" ht="38.25" x14ac:dyDescent="0.25">
      <c r="A368" s="359">
        <v>0</v>
      </c>
      <c r="B368" s="49" t="s">
        <v>6171</v>
      </c>
      <c r="C368" s="49" t="s">
        <v>6172</v>
      </c>
      <c r="D368" s="49">
        <v>182858</v>
      </c>
      <c r="E368" s="49" t="s">
        <v>6173</v>
      </c>
      <c r="F368" s="49" t="s">
        <v>4998</v>
      </c>
      <c r="G368" s="49" t="s">
        <v>6168</v>
      </c>
      <c r="H368" s="49">
        <v>200250</v>
      </c>
      <c r="I368" s="49" t="s">
        <v>6169</v>
      </c>
      <c r="J368" s="316">
        <v>45139</v>
      </c>
      <c r="K368" s="360">
        <v>45141</v>
      </c>
      <c r="L368" s="363" t="s">
        <v>47</v>
      </c>
      <c r="M368" s="317" t="s">
        <v>47</v>
      </c>
      <c r="N368" s="322">
        <v>45149</v>
      </c>
      <c r="O368" s="317" t="s">
        <v>6170</v>
      </c>
      <c r="P368" s="317">
        <v>20</v>
      </c>
      <c r="Q368" s="366">
        <v>45149</v>
      </c>
      <c r="R368" s="365" t="s">
        <v>264</v>
      </c>
      <c r="S368" s="364">
        <v>45152</v>
      </c>
      <c r="T368" s="364">
        <v>45152</v>
      </c>
      <c r="U368" s="348" t="s">
        <v>4999</v>
      </c>
    </row>
    <row r="369" spans="1:21" ht="38.25" x14ac:dyDescent="0.25">
      <c r="A369" s="359">
        <v>0</v>
      </c>
      <c r="B369" s="49" t="s">
        <v>6174</v>
      </c>
      <c r="C369" s="49" t="s">
        <v>6175</v>
      </c>
      <c r="D369" s="49">
        <v>182859</v>
      </c>
      <c r="E369" s="49" t="s">
        <v>6176</v>
      </c>
      <c r="F369" s="49" t="s">
        <v>4998</v>
      </c>
      <c r="G369" s="49" t="s">
        <v>6168</v>
      </c>
      <c r="H369" s="49">
        <v>200250</v>
      </c>
      <c r="I369" s="49" t="s">
        <v>6169</v>
      </c>
      <c r="J369" s="316">
        <v>45139</v>
      </c>
      <c r="K369" s="360">
        <v>45141</v>
      </c>
      <c r="L369" s="363" t="s">
        <v>47</v>
      </c>
      <c r="M369" s="317" t="s">
        <v>47</v>
      </c>
      <c r="N369" s="322">
        <v>45149</v>
      </c>
      <c r="O369" s="317" t="s">
        <v>6170</v>
      </c>
      <c r="P369" s="317">
        <v>8</v>
      </c>
      <c r="Q369" s="366">
        <v>45149</v>
      </c>
      <c r="R369" s="365" t="s">
        <v>264</v>
      </c>
      <c r="S369" s="364">
        <v>45152</v>
      </c>
      <c r="T369" s="364">
        <v>45152</v>
      </c>
      <c r="U369" s="348" t="s">
        <v>4999</v>
      </c>
    </row>
    <row r="370" spans="1:21" x14ac:dyDescent="0.25">
      <c r="A370" s="359">
        <v>0</v>
      </c>
      <c r="B370" s="49" t="s">
        <v>6177</v>
      </c>
      <c r="C370" s="49" t="s">
        <v>5732</v>
      </c>
      <c r="D370" s="49">
        <v>182860</v>
      </c>
      <c r="E370" s="49" t="s">
        <v>6178</v>
      </c>
      <c r="F370" s="49" t="s">
        <v>4998</v>
      </c>
      <c r="G370" s="49" t="s">
        <v>44</v>
      </c>
      <c r="H370" s="49" t="s">
        <v>6179</v>
      </c>
      <c r="I370" s="49" t="s">
        <v>6180</v>
      </c>
      <c r="J370" s="316">
        <v>45140</v>
      </c>
      <c r="K370" s="360">
        <v>45140</v>
      </c>
      <c r="L370" s="363" t="s">
        <v>47</v>
      </c>
      <c r="M370" s="317" t="s">
        <v>47</v>
      </c>
      <c r="N370" s="322">
        <v>45142</v>
      </c>
      <c r="O370" s="317" t="s">
        <v>6181</v>
      </c>
      <c r="P370" s="317">
        <v>5</v>
      </c>
      <c r="Q370" s="366">
        <v>45142</v>
      </c>
      <c r="R370" s="365" t="s">
        <v>264</v>
      </c>
      <c r="S370" s="364">
        <v>45145</v>
      </c>
      <c r="T370" s="364">
        <v>45145</v>
      </c>
      <c r="U370" s="348" t="s">
        <v>4999</v>
      </c>
    </row>
    <row r="371" spans="1:21" x14ac:dyDescent="0.25">
      <c r="A371" s="359">
        <v>0</v>
      </c>
      <c r="B371" s="49" t="s">
        <v>6182</v>
      </c>
      <c r="C371" s="49" t="s">
        <v>5874</v>
      </c>
      <c r="D371" s="49">
        <v>182853</v>
      </c>
      <c r="E371" s="49" t="s">
        <v>6183</v>
      </c>
      <c r="F371" s="49" t="s">
        <v>4998</v>
      </c>
      <c r="G371" s="49" t="s">
        <v>6184</v>
      </c>
      <c r="H371" s="49" t="s">
        <v>6185</v>
      </c>
      <c r="I371" s="49" t="s">
        <v>6186</v>
      </c>
      <c r="J371" s="316">
        <v>45135</v>
      </c>
      <c r="K371" s="360">
        <v>45139</v>
      </c>
      <c r="L371" s="363" t="s">
        <v>28</v>
      </c>
      <c r="M371" s="317" t="s">
        <v>28</v>
      </c>
      <c r="N371" s="322">
        <v>45174</v>
      </c>
      <c r="O371" s="317" t="s">
        <v>6187</v>
      </c>
      <c r="P371" s="317">
        <v>10</v>
      </c>
      <c r="Q371" s="366">
        <v>45180</v>
      </c>
      <c r="R371" s="365" t="s">
        <v>264</v>
      </c>
      <c r="S371" s="364">
        <v>45181</v>
      </c>
      <c r="T371" s="364">
        <v>45181</v>
      </c>
      <c r="U371" s="348" t="s">
        <v>4999</v>
      </c>
    </row>
    <row r="372" spans="1:21" ht="25.5" x14ac:dyDescent="0.25">
      <c r="A372" s="359">
        <v>0</v>
      </c>
      <c r="B372" s="49" t="s">
        <v>6188</v>
      </c>
      <c r="C372" s="49" t="s">
        <v>132</v>
      </c>
      <c r="D372" s="49">
        <v>182866</v>
      </c>
      <c r="E372" s="49" t="s">
        <v>6189</v>
      </c>
      <c r="F372" s="49" t="s">
        <v>4998</v>
      </c>
      <c r="G372" s="49" t="s">
        <v>2717</v>
      </c>
      <c r="H372" s="49" t="s">
        <v>6190</v>
      </c>
      <c r="I372" s="49" t="s">
        <v>6191</v>
      </c>
      <c r="J372" s="316">
        <v>45145</v>
      </c>
      <c r="K372" s="360">
        <v>45146</v>
      </c>
      <c r="L372" s="363" t="s">
        <v>28</v>
      </c>
      <c r="M372" s="317" t="s">
        <v>28</v>
      </c>
      <c r="N372" s="322">
        <v>45146</v>
      </c>
      <c r="O372" s="317" t="s">
        <v>6192</v>
      </c>
      <c r="P372" s="317">
        <v>2</v>
      </c>
      <c r="Q372" s="366">
        <v>45161</v>
      </c>
      <c r="R372" s="365" t="s">
        <v>264</v>
      </c>
      <c r="S372" s="364">
        <v>45161</v>
      </c>
      <c r="T372" s="364">
        <v>45161</v>
      </c>
      <c r="U372" s="348" t="s">
        <v>4999</v>
      </c>
    </row>
    <row r="373" spans="1:21" ht="25.5" x14ac:dyDescent="0.25">
      <c r="A373" s="369">
        <v>0</v>
      </c>
      <c r="B373" s="370" t="s">
        <v>6193</v>
      </c>
      <c r="C373" s="49" t="s">
        <v>132</v>
      </c>
      <c r="D373" s="49">
        <v>182867</v>
      </c>
      <c r="E373" s="49" t="s">
        <v>6194</v>
      </c>
      <c r="F373" s="49" t="s">
        <v>4998</v>
      </c>
      <c r="G373" s="49" t="s">
        <v>2717</v>
      </c>
      <c r="H373" s="49" t="s">
        <v>6195</v>
      </c>
      <c r="I373" s="49" t="s">
        <v>6196</v>
      </c>
      <c r="J373" s="316">
        <v>45145</v>
      </c>
      <c r="K373" s="360">
        <v>45146</v>
      </c>
      <c r="L373" s="363" t="s">
        <v>28</v>
      </c>
      <c r="M373" s="317" t="s">
        <v>28</v>
      </c>
      <c r="N373" s="390">
        <v>45146</v>
      </c>
      <c r="O373" s="371" t="s">
        <v>6197</v>
      </c>
      <c r="P373" s="371">
        <v>1</v>
      </c>
      <c r="Q373" s="366">
        <v>45161</v>
      </c>
      <c r="R373" s="365" t="s">
        <v>264</v>
      </c>
      <c r="S373" s="364">
        <v>45161</v>
      </c>
      <c r="T373" s="364">
        <v>45161</v>
      </c>
      <c r="U373" s="348" t="s">
        <v>4999</v>
      </c>
    </row>
    <row r="374" spans="1:21" ht="25.5" x14ac:dyDescent="0.25">
      <c r="A374" s="49">
        <v>0</v>
      </c>
      <c r="B374" s="49" t="s">
        <v>6198</v>
      </c>
      <c r="C374" s="49" t="s">
        <v>132</v>
      </c>
      <c r="D374" s="49">
        <v>182868</v>
      </c>
      <c r="E374" s="49" t="s">
        <v>6199</v>
      </c>
      <c r="F374" s="49" t="s">
        <v>4998</v>
      </c>
      <c r="G374" s="49" t="s">
        <v>6200</v>
      </c>
      <c r="H374" s="49" t="s">
        <v>6201</v>
      </c>
      <c r="I374" s="49" t="s">
        <v>5638</v>
      </c>
      <c r="J374" s="316">
        <v>45145</v>
      </c>
      <c r="K374" s="360">
        <v>45146</v>
      </c>
      <c r="L374" s="363" t="s">
        <v>28</v>
      </c>
      <c r="M374" s="317" t="s">
        <v>28</v>
      </c>
      <c r="N374" s="322">
        <v>45147</v>
      </c>
      <c r="O374" s="317" t="s">
        <v>3324</v>
      </c>
      <c r="P374" s="317">
        <v>1</v>
      </c>
      <c r="Q374" s="366">
        <v>45161</v>
      </c>
      <c r="R374" s="365" t="s">
        <v>264</v>
      </c>
      <c r="S374" s="364">
        <v>45161</v>
      </c>
      <c r="T374" s="364">
        <v>45161</v>
      </c>
      <c r="U374" s="348" t="s">
        <v>4999</v>
      </c>
    </row>
    <row r="375" spans="1:21" ht="25.5" x14ac:dyDescent="0.25">
      <c r="A375" s="49">
        <v>0</v>
      </c>
      <c r="B375" s="49" t="s">
        <v>6202</v>
      </c>
      <c r="C375" s="49" t="s">
        <v>132</v>
      </c>
      <c r="D375" s="49">
        <v>182869</v>
      </c>
      <c r="E375" s="49" t="s">
        <v>6203</v>
      </c>
      <c r="F375" s="49" t="s">
        <v>4998</v>
      </c>
      <c r="G375" s="49" t="s">
        <v>633</v>
      </c>
      <c r="H375" s="49" t="s">
        <v>6204</v>
      </c>
      <c r="I375" s="49" t="s">
        <v>1890</v>
      </c>
      <c r="J375" s="316">
        <v>45145</v>
      </c>
      <c r="K375" s="360">
        <v>45146</v>
      </c>
      <c r="L375" s="363" t="s">
        <v>28</v>
      </c>
      <c r="M375" s="317" t="s">
        <v>28</v>
      </c>
      <c r="N375" s="322">
        <v>45147</v>
      </c>
      <c r="O375" s="317" t="s">
        <v>1891</v>
      </c>
      <c r="P375" s="317">
        <v>3</v>
      </c>
      <c r="Q375" s="366">
        <v>45161</v>
      </c>
      <c r="R375" s="365" t="s">
        <v>264</v>
      </c>
      <c r="S375" s="364">
        <v>45161</v>
      </c>
      <c r="T375" s="364">
        <v>45161</v>
      </c>
      <c r="U375" s="348" t="s">
        <v>4999</v>
      </c>
    </row>
    <row r="376" spans="1:21" x14ac:dyDescent="0.25">
      <c r="A376" s="49">
        <v>0</v>
      </c>
      <c r="B376" s="49" t="s">
        <v>6205</v>
      </c>
      <c r="C376" s="49" t="s">
        <v>6206</v>
      </c>
      <c r="D376" s="49">
        <v>182870</v>
      </c>
      <c r="E376" s="49" t="s">
        <v>6207</v>
      </c>
      <c r="F376" s="49" t="s">
        <v>4998</v>
      </c>
      <c r="G376" s="49" t="s">
        <v>1874</v>
      </c>
      <c r="H376" s="49" t="s">
        <v>6208</v>
      </c>
      <c r="I376" s="49" t="s">
        <v>60</v>
      </c>
      <c r="J376" s="316">
        <v>45146</v>
      </c>
      <c r="K376" s="360">
        <v>45147</v>
      </c>
      <c r="L376" s="363" t="s">
        <v>28</v>
      </c>
      <c r="M376" s="317" t="s">
        <v>28</v>
      </c>
      <c r="N376" s="322">
        <v>45147</v>
      </c>
      <c r="O376" s="317">
        <v>3018521</v>
      </c>
      <c r="P376" s="317">
        <v>1</v>
      </c>
      <c r="Q376" s="322">
        <v>45148</v>
      </c>
      <c r="R376" s="365" t="s">
        <v>264</v>
      </c>
      <c r="S376" s="364">
        <v>45149</v>
      </c>
      <c r="T376" s="364">
        <v>45149</v>
      </c>
      <c r="U376" s="348" t="s">
        <v>4999</v>
      </c>
    </row>
    <row r="377" spans="1:21" ht="25.5" x14ac:dyDescent="0.25">
      <c r="A377" s="49">
        <v>0</v>
      </c>
      <c r="B377" s="49" t="s">
        <v>6209</v>
      </c>
      <c r="C377" s="49" t="s">
        <v>1691</v>
      </c>
      <c r="D377" s="49">
        <v>182864</v>
      </c>
      <c r="E377" s="49" t="s">
        <v>6210</v>
      </c>
      <c r="F377" s="49" t="s">
        <v>4998</v>
      </c>
      <c r="G377" s="49" t="s">
        <v>5686</v>
      </c>
      <c r="H377" s="49" t="s">
        <v>5687</v>
      </c>
      <c r="I377" s="49" t="s">
        <v>5529</v>
      </c>
      <c r="J377" s="316">
        <v>45115</v>
      </c>
      <c r="K377" s="360">
        <v>45155</v>
      </c>
      <c r="L377" s="363" t="s">
        <v>47</v>
      </c>
      <c r="M377" s="317" t="s">
        <v>47</v>
      </c>
      <c r="N377" s="322">
        <v>45146</v>
      </c>
      <c r="O377" s="317" t="s">
        <v>5688</v>
      </c>
      <c r="P377" s="317">
        <v>5</v>
      </c>
      <c r="Q377" s="322">
        <v>45160</v>
      </c>
      <c r="R377" s="365" t="s">
        <v>264</v>
      </c>
      <c r="S377" s="364">
        <v>45160</v>
      </c>
      <c r="T377" s="364">
        <v>45160</v>
      </c>
      <c r="U377" s="348" t="s">
        <v>4999</v>
      </c>
    </row>
    <row r="378" spans="1:21" ht="25.5" x14ac:dyDescent="0.25">
      <c r="A378" s="49">
        <v>0</v>
      </c>
      <c r="B378" s="49" t="s">
        <v>6211</v>
      </c>
      <c r="C378" s="49" t="s">
        <v>132</v>
      </c>
      <c r="D378" s="49">
        <v>182874</v>
      </c>
      <c r="E378" s="49" t="s">
        <v>6212</v>
      </c>
      <c r="F378" s="49" t="s">
        <v>4998</v>
      </c>
      <c r="G378" s="49" t="s">
        <v>6213</v>
      </c>
      <c r="H378" s="49" t="s">
        <v>6214</v>
      </c>
      <c r="I378" s="49" t="s">
        <v>6215</v>
      </c>
      <c r="J378" s="316">
        <v>45146</v>
      </c>
      <c r="K378" s="360">
        <v>45147</v>
      </c>
      <c r="L378" s="363" t="s">
        <v>28</v>
      </c>
      <c r="M378" s="317" t="s">
        <v>28</v>
      </c>
      <c r="N378" s="322">
        <v>45149</v>
      </c>
      <c r="O378" s="317" t="s">
        <v>6216</v>
      </c>
      <c r="P378" s="317">
        <v>1</v>
      </c>
      <c r="Q378" s="322">
        <v>45161</v>
      </c>
      <c r="R378" s="365" t="s">
        <v>264</v>
      </c>
      <c r="S378" s="364">
        <v>45161</v>
      </c>
      <c r="T378" s="364">
        <v>45161</v>
      </c>
      <c r="U378" s="348" t="s">
        <v>4999</v>
      </c>
    </row>
    <row r="379" spans="1:21" ht="25.5" x14ac:dyDescent="0.25">
      <c r="A379" s="49">
        <v>0</v>
      </c>
      <c r="B379" s="49" t="s">
        <v>6217</v>
      </c>
      <c r="C379" s="49" t="s">
        <v>5874</v>
      </c>
      <c r="D379" s="49">
        <v>182871</v>
      </c>
      <c r="E379" s="49" t="s">
        <v>6218</v>
      </c>
      <c r="F379" s="49" t="s">
        <v>4998</v>
      </c>
      <c r="G379" s="49" t="s">
        <v>6219</v>
      </c>
      <c r="H379" s="49" t="s">
        <v>6220</v>
      </c>
      <c r="I379" s="49" t="s">
        <v>1715</v>
      </c>
      <c r="J379" s="316">
        <v>45135</v>
      </c>
      <c r="K379" s="360">
        <v>45145</v>
      </c>
      <c r="L379" s="363" t="s">
        <v>47</v>
      </c>
      <c r="M379" s="317" t="s">
        <v>47</v>
      </c>
      <c r="N379" s="322">
        <v>45154</v>
      </c>
      <c r="O379" s="317" t="s">
        <v>6221</v>
      </c>
      <c r="P379" s="317">
        <v>2</v>
      </c>
      <c r="Q379" s="322">
        <v>45154</v>
      </c>
      <c r="R379" s="365" t="s">
        <v>264</v>
      </c>
      <c r="S379" s="364">
        <v>45155</v>
      </c>
      <c r="T379" s="364">
        <v>45155</v>
      </c>
      <c r="U379" s="348" t="s">
        <v>4999</v>
      </c>
    </row>
    <row r="380" spans="1:21" ht="25.5" x14ac:dyDescent="0.25">
      <c r="A380" s="49">
        <v>0</v>
      </c>
      <c r="B380" s="49" t="s">
        <v>6222</v>
      </c>
      <c r="C380" s="49" t="s">
        <v>6223</v>
      </c>
      <c r="D380" s="49">
        <v>182876</v>
      </c>
      <c r="E380" s="49" t="s">
        <v>6224</v>
      </c>
      <c r="F380" s="49" t="s">
        <v>4998</v>
      </c>
      <c r="G380" s="49" t="s">
        <v>6225</v>
      </c>
      <c r="H380" s="49" t="s">
        <v>6226</v>
      </c>
      <c r="I380" s="49" t="s">
        <v>5529</v>
      </c>
      <c r="J380" s="316">
        <v>45187</v>
      </c>
      <c r="K380" s="360">
        <v>45187</v>
      </c>
      <c r="L380" s="363" t="s">
        <v>47</v>
      </c>
      <c r="M380" s="317" t="s">
        <v>47</v>
      </c>
      <c r="N380" s="322">
        <v>45190</v>
      </c>
      <c r="O380" s="317" t="s">
        <v>6227</v>
      </c>
      <c r="P380" s="317">
        <v>5</v>
      </c>
      <c r="Q380" s="322">
        <v>45191</v>
      </c>
      <c r="R380" s="365" t="s">
        <v>264</v>
      </c>
      <c r="S380" s="364">
        <v>45191</v>
      </c>
      <c r="T380" s="364">
        <v>45191</v>
      </c>
      <c r="U380" s="348" t="s">
        <v>4999</v>
      </c>
    </row>
    <row r="381" spans="1:21" ht="25.5" x14ac:dyDescent="0.25">
      <c r="A381" s="49">
        <v>0</v>
      </c>
      <c r="B381" s="49" t="s">
        <v>6228</v>
      </c>
      <c r="C381" s="49" t="s">
        <v>132</v>
      </c>
      <c r="D381" s="49">
        <v>182878</v>
      </c>
      <c r="E381" s="49" t="s">
        <v>6229</v>
      </c>
      <c r="F381" s="49" t="s">
        <v>4998</v>
      </c>
      <c r="G381" s="49" t="s">
        <v>6230</v>
      </c>
      <c r="H381" s="49" t="s">
        <v>6231</v>
      </c>
      <c r="I381" s="49" t="s">
        <v>6232</v>
      </c>
      <c r="J381" s="316">
        <v>45147</v>
      </c>
      <c r="K381" s="360">
        <v>45148</v>
      </c>
      <c r="L381" s="363" t="s">
        <v>28</v>
      </c>
      <c r="M381" s="317" t="s">
        <v>28</v>
      </c>
      <c r="N381" s="322">
        <v>45161</v>
      </c>
      <c r="O381" s="317" t="s">
        <v>137</v>
      </c>
      <c r="P381" s="317">
        <v>3</v>
      </c>
      <c r="Q381" s="322">
        <v>45161</v>
      </c>
      <c r="R381" s="365" t="s">
        <v>264</v>
      </c>
      <c r="S381" s="364">
        <v>45161</v>
      </c>
      <c r="T381" s="364">
        <v>45161</v>
      </c>
      <c r="U381" s="348" t="s">
        <v>4999</v>
      </c>
    </row>
    <row r="382" spans="1:21" ht="25.5" x14ac:dyDescent="0.25">
      <c r="A382" s="49">
        <v>0</v>
      </c>
      <c r="B382" s="49" t="s">
        <v>6233</v>
      </c>
      <c r="C382" s="49" t="s">
        <v>6234</v>
      </c>
      <c r="D382" s="49">
        <v>182865</v>
      </c>
      <c r="E382" s="49" t="s">
        <v>6235</v>
      </c>
      <c r="F382" s="49" t="s">
        <v>4998</v>
      </c>
      <c r="G382" s="49" t="s">
        <v>6236</v>
      </c>
      <c r="H382" s="49" t="s">
        <v>6237</v>
      </c>
      <c r="I382" s="49" t="s">
        <v>6238</v>
      </c>
      <c r="J382" s="316">
        <v>45145</v>
      </c>
      <c r="K382" s="360">
        <v>45146</v>
      </c>
      <c r="L382" s="363" t="s">
        <v>28</v>
      </c>
      <c r="M382" s="317" t="s">
        <v>28</v>
      </c>
      <c r="N382" s="322">
        <v>45147</v>
      </c>
      <c r="O382" s="317" t="s">
        <v>6192</v>
      </c>
      <c r="P382" s="317">
        <v>3</v>
      </c>
      <c r="Q382" s="322">
        <v>45154</v>
      </c>
      <c r="R382" s="365" t="s">
        <v>264</v>
      </c>
      <c r="S382" s="364">
        <v>45154</v>
      </c>
      <c r="T382" s="364">
        <v>45154</v>
      </c>
      <c r="U382" s="348" t="s">
        <v>4999</v>
      </c>
    </row>
    <row r="383" spans="1:21" ht="25.5" x14ac:dyDescent="0.25">
      <c r="A383" s="49">
        <v>0</v>
      </c>
      <c r="B383" s="49" t="s">
        <v>6239</v>
      </c>
      <c r="C383" s="49" t="s">
        <v>1854</v>
      </c>
      <c r="D383" s="49">
        <v>182911</v>
      </c>
      <c r="E383" s="49" t="s">
        <v>6240</v>
      </c>
      <c r="F383" s="49" t="s">
        <v>4998</v>
      </c>
      <c r="G383" s="49" t="s">
        <v>1856</v>
      </c>
      <c r="H383" s="49" t="s">
        <v>1857</v>
      </c>
      <c r="I383" s="49" t="s">
        <v>149</v>
      </c>
      <c r="J383" s="316">
        <v>45134</v>
      </c>
      <c r="K383" s="360">
        <v>45135</v>
      </c>
      <c r="L383" s="363" t="s">
        <v>28</v>
      </c>
      <c r="M383" s="317" t="s">
        <v>28</v>
      </c>
      <c r="N383" s="322">
        <v>45152</v>
      </c>
      <c r="O383" s="317" t="s">
        <v>5539</v>
      </c>
      <c r="P383" s="317">
        <v>1</v>
      </c>
      <c r="Q383" s="322">
        <v>45161</v>
      </c>
      <c r="R383" s="365" t="s">
        <v>264</v>
      </c>
      <c r="S383" s="364">
        <v>45161</v>
      </c>
      <c r="T383" s="364">
        <v>45161</v>
      </c>
      <c r="U383" s="348" t="s">
        <v>4999</v>
      </c>
    </row>
    <row r="384" spans="1:21" ht="25.5" x14ac:dyDescent="0.25">
      <c r="A384" s="49">
        <v>0</v>
      </c>
      <c r="B384" s="49" t="s">
        <v>6241</v>
      </c>
      <c r="C384" s="49" t="s">
        <v>1854</v>
      </c>
      <c r="D384" s="49">
        <v>182932</v>
      </c>
      <c r="E384" s="49" t="s">
        <v>6242</v>
      </c>
      <c r="F384" s="49" t="s">
        <v>4998</v>
      </c>
      <c r="G384" s="49" t="s">
        <v>1874</v>
      </c>
      <c r="H384" s="49" t="s">
        <v>5723</v>
      </c>
      <c r="I384" s="49" t="s">
        <v>1869</v>
      </c>
      <c r="J384" s="316">
        <v>45147</v>
      </c>
      <c r="K384" s="360">
        <v>45152</v>
      </c>
      <c r="L384" s="363" t="s">
        <v>28</v>
      </c>
      <c r="M384" s="317" t="s">
        <v>28</v>
      </c>
      <c r="N384" s="322">
        <v>45154</v>
      </c>
      <c r="O384" s="317" t="s">
        <v>5724</v>
      </c>
      <c r="P384" s="317">
        <v>11</v>
      </c>
      <c r="Q384" s="322">
        <v>45161</v>
      </c>
      <c r="R384" s="365" t="s">
        <v>264</v>
      </c>
      <c r="S384" s="364">
        <v>45161</v>
      </c>
      <c r="T384" s="364">
        <v>45161</v>
      </c>
      <c r="U384" s="348" t="s">
        <v>4999</v>
      </c>
    </row>
    <row r="385" spans="1:21" ht="25.5" x14ac:dyDescent="0.25">
      <c r="A385" s="49">
        <v>0</v>
      </c>
      <c r="B385" s="49" t="s">
        <v>6243</v>
      </c>
      <c r="C385" s="49" t="s">
        <v>5472</v>
      </c>
      <c r="D385" s="49">
        <v>182886</v>
      </c>
      <c r="E385" s="49" t="s">
        <v>6244</v>
      </c>
      <c r="F385" s="49" t="s">
        <v>4998</v>
      </c>
      <c r="G385" s="49" t="s">
        <v>6245</v>
      </c>
      <c r="H385" s="49" t="s">
        <v>6246</v>
      </c>
      <c r="I385" s="49" t="s">
        <v>566</v>
      </c>
      <c r="J385" s="316">
        <v>45156</v>
      </c>
      <c r="K385" s="360">
        <v>45156</v>
      </c>
      <c r="L385" s="363" t="s">
        <v>28</v>
      </c>
      <c r="M385" s="317" t="s">
        <v>28</v>
      </c>
      <c r="N385" s="322">
        <v>45156</v>
      </c>
      <c r="O385" s="317" t="s">
        <v>567</v>
      </c>
      <c r="P385" s="317">
        <v>8</v>
      </c>
      <c r="Q385" s="322">
        <v>45160</v>
      </c>
      <c r="R385" s="365" t="s">
        <v>264</v>
      </c>
      <c r="S385" s="364">
        <v>45161</v>
      </c>
      <c r="T385" s="364">
        <v>45161</v>
      </c>
      <c r="U385" s="348" t="s">
        <v>4999</v>
      </c>
    </row>
    <row r="386" spans="1:21" ht="38.25" x14ac:dyDescent="0.25">
      <c r="A386" s="49">
        <v>0</v>
      </c>
      <c r="B386" s="49" t="s">
        <v>6247</v>
      </c>
      <c r="C386" s="49" t="s">
        <v>5067</v>
      </c>
      <c r="D386" s="49">
        <v>182889</v>
      </c>
      <c r="E386" s="49" t="s">
        <v>6248</v>
      </c>
      <c r="F386" s="49" t="s">
        <v>4998</v>
      </c>
      <c r="G386" s="49" t="s">
        <v>3701</v>
      </c>
      <c r="H386" s="49" t="s">
        <v>6249</v>
      </c>
      <c r="I386" s="49" t="s">
        <v>3460</v>
      </c>
      <c r="J386" s="316">
        <v>45156</v>
      </c>
      <c r="K386" s="360">
        <v>45160</v>
      </c>
      <c r="L386" s="363" t="s">
        <v>28</v>
      </c>
      <c r="M386" s="317" t="s">
        <v>28</v>
      </c>
      <c r="N386" s="322">
        <v>45162</v>
      </c>
      <c r="O386" s="317" t="s">
        <v>3130</v>
      </c>
      <c r="P386" s="317">
        <v>12</v>
      </c>
      <c r="Q386" s="322">
        <v>45191</v>
      </c>
      <c r="R386" s="365" t="s">
        <v>264</v>
      </c>
      <c r="S386" s="364">
        <v>45191</v>
      </c>
      <c r="T386" s="364">
        <v>45191</v>
      </c>
      <c r="U386" s="348" t="s">
        <v>4999</v>
      </c>
    </row>
    <row r="387" spans="1:21" ht="38.25" x14ac:dyDescent="0.25">
      <c r="A387" s="49">
        <v>0</v>
      </c>
      <c r="B387" s="49" t="s">
        <v>6250</v>
      </c>
      <c r="C387" s="49" t="s">
        <v>5067</v>
      </c>
      <c r="D387" s="49">
        <v>182890</v>
      </c>
      <c r="E387" s="49" t="s">
        <v>6251</v>
      </c>
      <c r="F387" s="49" t="s">
        <v>4998</v>
      </c>
      <c r="G387" s="49" t="s">
        <v>6252</v>
      </c>
      <c r="H387" s="49" t="s">
        <v>6253</v>
      </c>
      <c r="I387" s="49" t="s">
        <v>3460</v>
      </c>
      <c r="J387" s="316">
        <v>45156</v>
      </c>
      <c r="K387" s="360">
        <v>45160</v>
      </c>
      <c r="L387" s="363" t="s">
        <v>28</v>
      </c>
      <c r="M387" s="317" t="s">
        <v>28</v>
      </c>
      <c r="N387" s="322">
        <v>45162</v>
      </c>
      <c r="O387" s="317" t="s">
        <v>6254</v>
      </c>
      <c r="P387" s="317">
        <v>3</v>
      </c>
      <c r="Q387" s="322">
        <v>45191</v>
      </c>
      <c r="R387" s="365" t="s">
        <v>264</v>
      </c>
      <c r="S387" s="364">
        <v>45191</v>
      </c>
      <c r="T387" s="364">
        <v>45191</v>
      </c>
      <c r="U387" s="348" t="s">
        <v>4999</v>
      </c>
    </row>
    <row r="388" spans="1:21" ht="25.5" x14ac:dyDescent="0.25">
      <c r="A388" s="49">
        <v>0</v>
      </c>
      <c r="B388" s="49" t="s">
        <v>6255</v>
      </c>
      <c r="C388" s="49" t="s">
        <v>5732</v>
      </c>
      <c r="D388" s="49">
        <v>182892</v>
      </c>
      <c r="E388" s="49" t="s">
        <v>6256</v>
      </c>
      <c r="F388" s="49" t="s">
        <v>4998</v>
      </c>
      <c r="G388" s="49" t="s">
        <v>3748</v>
      </c>
      <c r="H388" s="49" t="s">
        <v>6257</v>
      </c>
      <c r="I388" s="49" t="s">
        <v>6258</v>
      </c>
      <c r="J388" s="316">
        <v>45160</v>
      </c>
      <c r="K388" s="360">
        <v>45160</v>
      </c>
      <c r="L388" s="363" t="s">
        <v>47</v>
      </c>
      <c r="M388" s="317" t="s">
        <v>47</v>
      </c>
      <c r="N388" s="322">
        <v>45160</v>
      </c>
      <c r="O388" s="317" t="s">
        <v>3751</v>
      </c>
      <c r="P388" s="317">
        <v>4</v>
      </c>
      <c r="Q388" s="322">
        <v>45161</v>
      </c>
      <c r="R388" s="365" t="s">
        <v>264</v>
      </c>
      <c r="S388" s="364">
        <v>45161</v>
      </c>
      <c r="T388" s="364">
        <v>45161</v>
      </c>
      <c r="U388" s="348" t="s">
        <v>4999</v>
      </c>
    </row>
    <row r="389" spans="1:21" x14ac:dyDescent="0.25">
      <c r="A389" s="49">
        <v>0</v>
      </c>
      <c r="B389" s="49" t="s">
        <v>6259</v>
      </c>
      <c r="C389" s="49" t="s">
        <v>5732</v>
      </c>
      <c r="D389" s="49">
        <v>182893</v>
      </c>
      <c r="E389" s="49" t="s">
        <v>6260</v>
      </c>
      <c r="F389" s="49" t="s">
        <v>4998</v>
      </c>
      <c r="G389" s="49" t="s">
        <v>6261</v>
      </c>
      <c r="H389" s="49" t="s">
        <v>171</v>
      </c>
      <c r="I389" s="49" t="s">
        <v>173</v>
      </c>
      <c r="J389" s="316">
        <v>45160</v>
      </c>
      <c r="K389" s="360">
        <v>45160</v>
      </c>
      <c r="L389" s="363" t="s">
        <v>47</v>
      </c>
      <c r="M389" s="317" t="s">
        <v>47</v>
      </c>
      <c r="N389" s="322">
        <v>45160</v>
      </c>
      <c r="O389" s="317" t="s">
        <v>174</v>
      </c>
      <c r="P389" s="317">
        <v>2</v>
      </c>
      <c r="Q389" s="322">
        <v>45161</v>
      </c>
      <c r="R389" s="365" t="s">
        <v>264</v>
      </c>
      <c r="S389" s="364">
        <v>45161</v>
      </c>
      <c r="T389" s="364">
        <v>45161</v>
      </c>
      <c r="U389" s="348" t="s">
        <v>4999</v>
      </c>
    </row>
    <row r="390" spans="1:21" x14ac:dyDescent="0.25">
      <c r="A390" s="49">
        <v>0</v>
      </c>
      <c r="B390" s="49" t="s">
        <v>6262</v>
      </c>
      <c r="C390" s="49" t="s">
        <v>5732</v>
      </c>
      <c r="D390" s="49">
        <v>182894</v>
      </c>
      <c r="E390" s="49" t="s">
        <v>6263</v>
      </c>
      <c r="F390" s="49" t="s">
        <v>4998</v>
      </c>
      <c r="G390" s="49" t="s">
        <v>6264</v>
      </c>
      <c r="H390" s="49" t="s">
        <v>6265</v>
      </c>
      <c r="I390" s="49" t="s">
        <v>173</v>
      </c>
      <c r="J390" s="316">
        <v>45161</v>
      </c>
      <c r="K390" s="360">
        <v>45161</v>
      </c>
      <c r="L390" s="363" t="s">
        <v>47</v>
      </c>
      <c r="M390" s="317" t="s">
        <v>47</v>
      </c>
      <c r="N390" s="322">
        <v>45161</v>
      </c>
      <c r="O390" s="317" t="s">
        <v>6266</v>
      </c>
      <c r="P390" s="317">
        <v>1</v>
      </c>
      <c r="Q390" s="322">
        <v>45161</v>
      </c>
      <c r="R390" s="365" t="s">
        <v>264</v>
      </c>
      <c r="S390" s="364">
        <v>45161</v>
      </c>
      <c r="T390" s="364">
        <v>45161</v>
      </c>
      <c r="U390" s="348" t="s">
        <v>4999</v>
      </c>
    </row>
    <row r="391" spans="1:21" ht="25.5" x14ac:dyDescent="0.25">
      <c r="A391" s="49">
        <v>0</v>
      </c>
      <c r="B391" s="49" t="s">
        <v>6267</v>
      </c>
      <c r="C391" s="49" t="s">
        <v>253</v>
      </c>
      <c r="D391" s="49">
        <v>182927</v>
      </c>
      <c r="E391" s="49" t="s">
        <v>6268</v>
      </c>
      <c r="F391" s="49" t="s">
        <v>4998</v>
      </c>
      <c r="G391" s="49" t="s">
        <v>261</v>
      </c>
      <c r="H391" s="49" t="s">
        <v>2080</v>
      </c>
      <c r="I391" s="49" t="s">
        <v>257</v>
      </c>
      <c r="J391" s="316">
        <v>45146</v>
      </c>
      <c r="K391" s="360">
        <v>45147</v>
      </c>
      <c r="L391" s="363" t="s">
        <v>28</v>
      </c>
      <c r="M391" s="317" t="s">
        <v>28</v>
      </c>
      <c r="N391" s="322">
        <v>45161</v>
      </c>
      <c r="O391" s="317" t="s">
        <v>258</v>
      </c>
      <c r="P391" s="317">
        <v>20</v>
      </c>
      <c r="Q391" s="322">
        <v>45161</v>
      </c>
      <c r="R391" s="365" t="s">
        <v>264</v>
      </c>
      <c r="S391" s="364">
        <v>45167</v>
      </c>
      <c r="T391" s="364">
        <v>45167</v>
      </c>
      <c r="U391" s="348" t="s">
        <v>4999</v>
      </c>
    </row>
    <row r="392" spans="1:21" ht="25.5" x14ac:dyDescent="0.25">
      <c r="A392" s="49">
        <v>0</v>
      </c>
      <c r="B392" s="49" t="s">
        <v>6269</v>
      </c>
      <c r="C392" s="49" t="s">
        <v>529</v>
      </c>
      <c r="D392" s="49">
        <v>182861</v>
      </c>
      <c r="E392" s="49" t="s">
        <v>6270</v>
      </c>
      <c r="F392" s="49" t="s">
        <v>4998</v>
      </c>
      <c r="G392" s="49" t="s">
        <v>6271</v>
      </c>
      <c r="H392" s="49" t="s">
        <v>6272</v>
      </c>
      <c r="I392" s="49" t="s">
        <v>6273</v>
      </c>
      <c r="J392" s="316">
        <v>45140</v>
      </c>
      <c r="K392" s="360">
        <v>45147</v>
      </c>
      <c r="L392" s="363" t="s">
        <v>28</v>
      </c>
      <c r="M392" s="317" t="s">
        <v>28</v>
      </c>
      <c r="N392" s="322">
        <v>45163</v>
      </c>
      <c r="O392" s="317" t="s">
        <v>6274</v>
      </c>
      <c r="P392" s="317">
        <v>2</v>
      </c>
      <c r="Q392" s="322">
        <v>45166</v>
      </c>
      <c r="R392" s="365" t="s">
        <v>264</v>
      </c>
      <c r="S392" s="364">
        <v>45168</v>
      </c>
      <c r="T392" s="364">
        <v>45168</v>
      </c>
      <c r="U392" s="348" t="s">
        <v>4999</v>
      </c>
    </row>
    <row r="393" spans="1:21" ht="25.5" x14ac:dyDescent="0.25">
      <c r="A393" s="49">
        <v>0</v>
      </c>
      <c r="B393" s="49" t="s">
        <v>6275</v>
      </c>
      <c r="C393" s="49" t="s">
        <v>132</v>
      </c>
      <c r="D393" s="49">
        <v>182895</v>
      </c>
      <c r="E393" s="49" t="s">
        <v>6276</v>
      </c>
      <c r="F393" s="49" t="s">
        <v>4998</v>
      </c>
      <c r="G393" s="49" t="s">
        <v>6277</v>
      </c>
      <c r="H393" s="49" t="s">
        <v>2516</v>
      </c>
      <c r="I393" s="49" t="s">
        <v>2517</v>
      </c>
      <c r="J393" s="316">
        <v>45161</v>
      </c>
      <c r="K393" s="360">
        <v>45162</v>
      </c>
      <c r="L393" s="363" t="s">
        <v>28</v>
      </c>
      <c r="M393" s="317" t="s">
        <v>28</v>
      </c>
      <c r="N393" s="322">
        <v>45162</v>
      </c>
      <c r="O393" s="317" t="s">
        <v>2518</v>
      </c>
      <c r="P393" s="317">
        <v>1</v>
      </c>
      <c r="Q393" s="322">
        <v>45162</v>
      </c>
      <c r="R393" s="365" t="s">
        <v>264</v>
      </c>
      <c r="S393" s="364">
        <v>45169</v>
      </c>
      <c r="T393" s="364">
        <v>45169</v>
      </c>
      <c r="U393" s="348" t="s">
        <v>4999</v>
      </c>
    </row>
    <row r="394" spans="1:21" ht="25.5" x14ac:dyDescent="0.25">
      <c r="A394" s="49">
        <v>0</v>
      </c>
      <c r="B394" s="49" t="s">
        <v>6278</v>
      </c>
      <c r="C394" s="49" t="s">
        <v>6279</v>
      </c>
      <c r="D394" s="49">
        <v>182896</v>
      </c>
      <c r="E394" s="49" t="s">
        <v>6280</v>
      </c>
      <c r="F394" s="49" t="s">
        <v>4998</v>
      </c>
      <c r="G394" s="49" t="s">
        <v>519</v>
      </c>
      <c r="H394" s="49" t="s">
        <v>6281</v>
      </c>
      <c r="I394" s="49" t="s">
        <v>2937</v>
      </c>
      <c r="J394" s="316">
        <v>45131</v>
      </c>
      <c r="K394" s="360">
        <v>45166</v>
      </c>
      <c r="L394" s="363" t="s">
        <v>28</v>
      </c>
      <c r="M394" s="317" t="s">
        <v>28</v>
      </c>
      <c r="N394" s="322">
        <v>45168</v>
      </c>
      <c r="O394" s="317" t="s">
        <v>6282</v>
      </c>
      <c r="P394" s="317">
        <v>1</v>
      </c>
      <c r="Q394" s="322">
        <v>45168</v>
      </c>
      <c r="R394" s="365" t="s">
        <v>264</v>
      </c>
      <c r="S394" s="364">
        <v>45168</v>
      </c>
      <c r="T394" s="364">
        <v>45168</v>
      </c>
      <c r="U394" s="348" t="s">
        <v>4999</v>
      </c>
    </row>
    <row r="395" spans="1:21" ht="25.5" x14ac:dyDescent="0.25">
      <c r="A395" s="49">
        <v>0</v>
      </c>
      <c r="B395" s="49" t="s">
        <v>6283</v>
      </c>
      <c r="C395" s="49" t="s">
        <v>1691</v>
      </c>
      <c r="D395" s="49">
        <v>182875</v>
      </c>
      <c r="E395" s="49" t="s">
        <v>6284</v>
      </c>
      <c r="F395" s="49" t="s">
        <v>4998</v>
      </c>
      <c r="G395" s="49" t="s">
        <v>6285</v>
      </c>
      <c r="H395" s="49" t="s">
        <v>6286</v>
      </c>
      <c r="I395" s="49" t="s">
        <v>5529</v>
      </c>
      <c r="J395" s="316">
        <v>45146</v>
      </c>
      <c r="K395" s="360">
        <v>45166</v>
      </c>
      <c r="L395" s="363" t="s">
        <v>28</v>
      </c>
      <c r="M395" s="317" t="s">
        <v>28</v>
      </c>
      <c r="N395" s="322">
        <v>45170</v>
      </c>
      <c r="O395" s="317" t="s">
        <v>6287</v>
      </c>
      <c r="P395" s="317">
        <v>5</v>
      </c>
      <c r="Q395" s="322">
        <v>45170</v>
      </c>
      <c r="R395" s="365" t="s">
        <v>264</v>
      </c>
      <c r="S395" s="364">
        <v>45170</v>
      </c>
      <c r="T395" s="364">
        <v>45170</v>
      </c>
      <c r="U395" s="348" t="s">
        <v>4999</v>
      </c>
    </row>
    <row r="396" spans="1:21" ht="25.5" x14ac:dyDescent="0.25">
      <c r="A396" s="49">
        <v>0</v>
      </c>
      <c r="B396" s="49" t="s">
        <v>6288</v>
      </c>
      <c r="C396" s="49" t="s">
        <v>132</v>
      </c>
      <c r="D396" s="49">
        <v>182903</v>
      </c>
      <c r="E396" s="49" t="s">
        <v>6289</v>
      </c>
      <c r="F396" s="49" t="s">
        <v>4998</v>
      </c>
      <c r="G396" s="49" t="s">
        <v>6290</v>
      </c>
      <c r="H396" s="49" t="s">
        <v>6291</v>
      </c>
      <c r="I396" s="49" t="s">
        <v>6292</v>
      </c>
      <c r="J396" s="316">
        <v>45169</v>
      </c>
      <c r="K396" s="360">
        <v>45169</v>
      </c>
      <c r="L396" s="363" t="s">
        <v>47</v>
      </c>
      <c r="M396" s="317" t="s">
        <v>47</v>
      </c>
      <c r="N396" s="322">
        <v>45173</v>
      </c>
      <c r="O396" s="317" t="s">
        <v>6293</v>
      </c>
      <c r="P396" s="317">
        <v>1</v>
      </c>
      <c r="Q396" s="322">
        <v>45183</v>
      </c>
      <c r="R396" s="365" t="s">
        <v>264</v>
      </c>
      <c r="S396" s="364">
        <v>45183</v>
      </c>
      <c r="T396" s="364">
        <v>45183</v>
      </c>
      <c r="U396" s="348" t="s">
        <v>4999</v>
      </c>
    </row>
    <row r="397" spans="1:21" ht="25.5" x14ac:dyDescent="0.25">
      <c r="A397" s="49">
        <v>0</v>
      </c>
      <c r="B397" s="49" t="s">
        <v>6294</v>
      </c>
      <c r="C397" s="49" t="s">
        <v>132</v>
      </c>
      <c r="D397" s="49">
        <v>182904</v>
      </c>
      <c r="E397" s="49" t="s">
        <v>6295</v>
      </c>
      <c r="F397" s="49" t="s">
        <v>4998</v>
      </c>
      <c r="G397" s="49" t="s">
        <v>6296</v>
      </c>
      <c r="H397" s="49" t="s">
        <v>2012</v>
      </c>
      <c r="I397" s="49" t="s">
        <v>6297</v>
      </c>
      <c r="J397" s="316">
        <v>45170</v>
      </c>
      <c r="K397" s="360">
        <v>45170</v>
      </c>
      <c r="L397" s="363" t="s">
        <v>28</v>
      </c>
      <c r="M397" s="317" t="s">
        <v>28</v>
      </c>
      <c r="N397" s="322">
        <v>45173</v>
      </c>
      <c r="O397" s="317" t="s">
        <v>6298</v>
      </c>
      <c r="P397" s="317">
        <v>1</v>
      </c>
      <c r="Q397" s="322">
        <v>45180</v>
      </c>
      <c r="R397" s="365" t="s">
        <v>264</v>
      </c>
      <c r="S397" s="364">
        <v>45181</v>
      </c>
      <c r="T397" s="364">
        <v>45181</v>
      </c>
      <c r="U397" s="348" t="s">
        <v>4999</v>
      </c>
    </row>
    <row r="398" spans="1:21" ht="25.5" x14ac:dyDescent="0.25">
      <c r="A398" s="49">
        <v>0</v>
      </c>
      <c r="B398" s="49" t="s">
        <v>6299</v>
      </c>
      <c r="C398" s="49" t="s">
        <v>5874</v>
      </c>
      <c r="D398" s="49">
        <v>182910</v>
      </c>
      <c r="E398" s="49" t="s">
        <v>6300</v>
      </c>
      <c r="F398" s="49" t="s">
        <v>4998</v>
      </c>
      <c r="G398" s="49" t="s">
        <v>6301</v>
      </c>
      <c r="H398" s="49" t="s">
        <v>6302</v>
      </c>
      <c r="I398" s="49" t="s">
        <v>6303</v>
      </c>
      <c r="J398" s="316">
        <v>45174</v>
      </c>
      <c r="K398" s="360">
        <v>45174</v>
      </c>
      <c r="L398" s="363" t="s">
        <v>28</v>
      </c>
      <c r="M398" s="317" t="s">
        <v>28</v>
      </c>
      <c r="N398" s="322">
        <v>45180</v>
      </c>
      <c r="O398" s="317" t="s">
        <v>6304</v>
      </c>
      <c r="P398" s="317">
        <v>1</v>
      </c>
      <c r="Q398" s="322">
        <v>45190</v>
      </c>
      <c r="R398" s="365" t="s">
        <v>264</v>
      </c>
      <c r="S398" s="364">
        <v>45191</v>
      </c>
      <c r="T398" s="364">
        <v>45191</v>
      </c>
      <c r="U398" s="348" t="s">
        <v>4999</v>
      </c>
    </row>
    <row r="399" spans="1:21" x14ac:dyDescent="0.25">
      <c r="A399" s="49">
        <v>0</v>
      </c>
      <c r="B399" s="49" t="s">
        <v>6305</v>
      </c>
      <c r="C399" s="49" t="s">
        <v>5874</v>
      </c>
      <c r="D399" s="49">
        <v>182909</v>
      </c>
      <c r="E399" s="49" t="s">
        <v>6306</v>
      </c>
      <c r="F399" s="49" t="s">
        <v>4998</v>
      </c>
      <c r="G399" s="49"/>
      <c r="H399" s="49"/>
      <c r="I399" s="49"/>
      <c r="J399" s="316">
        <v>45174</v>
      </c>
      <c r="K399" s="360">
        <v>45174</v>
      </c>
      <c r="L399" s="363"/>
      <c r="M399" s="317"/>
      <c r="N399" s="317"/>
      <c r="O399" s="317"/>
      <c r="P399" s="317"/>
      <c r="Q399" s="317"/>
      <c r="R399" s="365"/>
      <c r="S399" s="365"/>
      <c r="T399" s="365"/>
      <c r="U399" s="348"/>
    </row>
    <row r="400" spans="1:21" ht="25.5" x14ac:dyDescent="0.25">
      <c r="A400" s="49">
        <v>0</v>
      </c>
      <c r="B400" s="49" t="s">
        <v>6307</v>
      </c>
      <c r="C400" s="49" t="s">
        <v>1904</v>
      </c>
      <c r="D400" s="49">
        <v>182961</v>
      </c>
      <c r="E400" s="49" t="s">
        <v>6308</v>
      </c>
      <c r="F400" s="49" t="s">
        <v>4998</v>
      </c>
      <c r="G400" s="49" t="s">
        <v>1900</v>
      </c>
      <c r="H400" s="49" t="s">
        <v>6309</v>
      </c>
      <c r="I400" s="49" t="s">
        <v>1902</v>
      </c>
      <c r="J400" s="316">
        <v>45175</v>
      </c>
      <c r="K400" s="360">
        <v>45182</v>
      </c>
      <c r="L400" s="363" t="s">
        <v>47</v>
      </c>
      <c r="M400" s="317" t="s">
        <v>47</v>
      </c>
      <c r="N400" s="322">
        <v>45201</v>
      </c>
      <c r="O400" s="317" t="s">
        <v>231</v>
      </c>
      <c r="P400" s="317">
        <v>11</v>
      </c>
      <c r="Q400" s="322">
        <v>45208</v>
      </c>
      <c r="R400" s="365" t="s">
        <v>264</v>
      </c>
      <c r="S400" s="364">
        <v>45208</v>
      </c>
      <c r="T400" s="364">
        <v>45208</v>
      </c>
      <c r="U400" s="348" t="s">
        <v>4999</v>
      </c>
    </row>
    <row r="401" spans="1:21" ht="38.25" x14ac:dyDescent="0.25">
      <c r="A401" s="49">
        <v>0</v>
      </c>
      <c r="B401" s="49" t="s">
        <v>6310</v>
      </c>
      <c r="C401" s="49" t="s">
        <v>5067</v>
      </c>
      <c r="D401" s="49">
        <v>182965</v>
      </c>
      <c r="E401" s="49" t="s">
        <v>6311</v>
      </c>
      <c r="F401" s="49" t="s">
        <v>4998</v>
      </c>
      <c r="G401" s="49" t="s">
        <v>3017</v>
      </c>
      <c r="H401" s="49" t="s">
        <v>6312</v>
      </c>
      <c r="I401" s="49" t="s">
        <v>1715</v>
      </c>
      <c r="J401" s="316">
        <v>45181</v>
      </c>
      <c r="K401" s="360">
        <v>45184</v>
      </c>
      <c r="L401" s="363" t="s">
        <v>47</v>
      </c>
      <c r="M401" s="317" t="s">
        <v>47</v>
      </c>
      <c r="N401" s="322">
        <v>44953</v>
      </c>
      <c r="O401" s="317" t="s">
        <v>6313</v>
      </c>
      <c r="P401" s="317">
        <v>2</v>
      </c>
      <c r="Q401" s="322">
        <v>45236</v>
      </c>
      <c r="R401" s="365" t="s">
        <v>1686</v>
      </c>
      <c r="S401" s="364">
        <v>45236</v>
      </c>
      <c r="T401" s="364">
        <v>45236</v>
      </c>
      <c r="U401" s="348" t="s">
        <v>4999</v>
      </c>
    </row>
    <row r="402" spans="1:21" ht="25.5" x14ac:dyDescent="0.25">
      <c r="A402" s="49">
        <v>0</v>
      </c>
      <c r="B402" s="49" t="s">
        <v>6314</v>
      </c>
      <c r="C402" s="49" t="s">
        <v>5889</v>
      </c>
      <c r="D402" s="49">
        <v>182968</v>
      </c>
      <c r="E402" s="49" t="s">
        <v>6315</v>
      </c>
      <c r="F402" s="49" t="s">
        <v>4998</v>
      </c>
      <c r="G402" s="49" t="s">
        <v>6018</v>
      </c>
      <c r="H402" s="49" t="s">
        <v>6316</v>
      </c>
      <c r="I402" s="49" t="s">
        <v>6317</v>
      </c>
      <c r="J402" s="316">
        <v>45190</v>
      </c>
      <c r="K402" s="360">
        <v>45191</v>
      </c>
      <c r="L402" s="363" t="s">
        <v>47</v>
      </c>
      <c r="M402" s="317" t="s">
        <v>47</v>
      </c>
      <c r="N402" s="322">
        <v>45184</v>
      </c>
      <c r="O402" s="317" t="s">
        <v>6318</v>
      </c>
      <c r="P402" s="317">
        <v>7</v>
      </c>
      <c r="Q402" s="322">
        <v>45243</v>
      </c>
      <c r="R402" s="365" t="s">
        <v>1686</v>
      </c>
      <c r="S402" s="364">
        <v>45243</v>
      </c>
      <c r="T402" s="364">
        <v>45243</v>
      </c>
      <c r="U402" s="348" t="s">
        <v>4999</v>
      </c>
    </row>
    <row r="403" spans="1:21" ht="25.5" x14ac:dyDescent="0.25">
      <c r="A403" s="49">
        <v>0</v>
      </c>
      <c r="B403" s="49" t="s">
        <v>6319</v>
      </c>
      <c r="C403" s="49" t="s">
        <v>5889</v>
      </c>
      <c r="D403" s="49">
        <v>182968</v>
      </c>
      <c r="E403" s="49" t="s">
        <v>6320</v>
      </c>
      <c r="F403" s="49" t="s">
        <v>4998</v>
      </c>
      <c r="G403" s="49" t="s">
        <v>2721</v>
      </c>
      <c r="H403" s="49" t="s">
        <v>2497</v>
      </c>
      <c r="I403" s="49" t="s">
        <v>6317</v>
      </c>
      <c r="J403" s="316">
        <v>45190</v>
      </c>
      <c r="K403" s="360">
        <v>45191</v>
      </c>
      <c r="L403" s="363" t="s">
        <v>47</v>
      </c>
      <c r="M403" s="317" t="s">
        <v>47</v>
      </c>
      <c r="N403" s="322">
        <v>45184</v>
      </c>
      <c r="O403" s="317" t="s">
        <v>2499</v>
      </c>
      <c r="P403" s="317">
        <v>7</v>
      </c>
      <c r="Q403" s="322">
        <v>45243</v>
      </c>
      <c r="R403" s="365" t="s">
        <v>1686</v>
      </c>
      <c r="S403" s="364">
        <v>45243</v>
      </c>
      <c r="T403" s="364">
        <v>45243</v>
      </c>
      <c r="U403" s="348" t="s">
        <v>4999</v>
      </c>
    </row>
    <row r="404" spans="1:21" ht="25.5" x14ac:dyDescent="0.25">
      <c r="A404" s="49">
        <v>0</v>
      </c>
      <c r="B404" s="49" t="s">
        <v>6321</v>
      </c>
      <c r="C404" s="49" t="s">
        <v>6322</v>
      </c>
      <c r="D404" s="49">
        <v>182897</v>
      </c>
      <c r="E404" s="49" t="s">
        <v>6323</v>
      </c>
      <c r="F404" s="49" t="s">
        <v>4998</v>
      </c>
      <c r="G404" s="49" t="s">
        <v>6324</v>
      </c>
      <c r="H404" s="49" t="s">
        <v>6325</v>
      </c>
      <c r="I404" s="49" t="s">
        <v>6326</v>
      </c>
      <c r="J404" s="316">
        <v>45162</v>
      </c>
      <c r="K404" s="360">
        <v>45183</v>
      </c>
      <c r="L404" s="363" t="s">
        <v>47</v>
      </c>
      <c r="M404" s="317" t="s">
        <v>47</v>
      </c>
      <c r="N404" s="322">
        <v>45190</v>
      </c>
      <c r="O404" s="317" t="s">
        <v>6327</v>
      </c>
      <c r="P404" s="317">
        <v>4</v>
      </c>
      <c r="Q404" s="322">
        <v>45190</v>
      </c>
      <c r="R404" s="365" t="s">
        <v>264</v>
      </c>
      <c r="S404" s="364">
        <v>45191</v>
      </c>
      <c r="T404" s="364">
        <v>45191</v>
      </c>
      <c r="U404" s="348" t="s">
        <v>4999</v>
      </c>
    </row>
    <row r="405" spans="1:21" ht="25.5" x14ac:dyDescent="0.25">
      <c r="A405" s="49">
        <v>0</v>
      </c>
      <c r="B405" s="49" t="s">
        <v>6328</v>
      </c>
      <c r="C405" s="49" t="s">
        <v>6234</v>
      </c>
      <c r="D405" s="49">
        <v>182973</v>
      </c>
      <c r="E405" s="49" t="s">
        <v>6329</v>
      </c>
      <c r="F405" s="49" t="s">
        <v>4998</v>
      </c>
      <c r="G405" s="49" t="s">
        <v>1502</v>
      </c>
      <c r="H405" s="49" t="s">
        <v>6330</v>
      </c>
      <c r="I405" s="49" t="s">
        <v>1864</v>
      </c>
      <c r="J405" s="316">
        <v>45183</v>
      </c>
      <c r="K405" s="360">
        <v>45183</v>
      </c>
      <c r="L405" s="363" t="s">
        <v>28</v>
      </c>
      <c r="M405" s="317" t="s">
        <v>28</v>
      </c>
      <c r="N405" s="322">
        <v>45188</v>
      </c>
      <c r="O405" s="317" t="s">
        <v>1865</v>
      </c>
      <c r="P405" s="317">
        <v>6</v>
      </c>
      <c r="Q405" s="322">
        <v>45188</v>
      </c>
      <c r="R405" s="365" t="s">
        <v>264</v>
      </c>
      <c r="S405" s="364">
        <v>45189</v>
      </c>
      <c r="T405" s="364">
        <v>45189</v>
      </c>
      <c r="U405" s="348" t="s">
        <v>4999</v>
      </c>
    </row>
    <row r="406" spans="1:21" ht="25.5" x14ac:dyDescent="0.25">
      <c r="A406" s="49">
        <v>0</v>
      </c>
      <c r="B406" s="49" t="s">
        <v>6331</v>
      </c>
      <c r="C406" s="49" t="s">
        <v>6234</v>
      </c>
      <c r="D406" s="49">
        <v>182973</v>
      </c>
      <c r="E406" s="49" t="s">
        <v>6332</v>
      </c>
      <c r="F406" s="49" t="s">
        <v>4998</v>
      </c>
      <c r="G406" s="49" t="s">
        <v>3057</v>
      </c>
      <c r="H406" s="49" t="s">
        <v>6333</v>
      </c>
      <c r="I406" s="49" t="s">
        <v>6334</v>
      </c>
      <c r="J406" s="316">
        <v>45183</v>
      </c>
      <c r="K406" s="360">
        <v>45183</v>
      </c>
      <c r="L406" s="363" t="s">
        <v>28</v>
      </c>
      <c r="M406" s="317" t="s">
        <v>28</v>
      </c>
      <c r="N406" s="322">
        <v>45188</v>
      </c>
      <c r="O406" s="317" t="s">
        <v>6335</v>
      </c>
      <c r="P406" s="317">
        <v>1</v>
      </c>
      <c r="Q406" s="322">
        <v>45188</v>
      </c>
      <c r="R406" s="365" t="s">
        <v>264</v>
      </c>
      <c r="S406" s="364">
        <v>45189</v>
      </c>
      <c r="T406" s="364">
        <v>45189</v>
      </c>
      <c r="U406" s="348" t="s">
        <v>4999</v>
      </c>
    </row>
    <row r="407" spans="1:21" ht="25.5" x14ac:dyDescent="0.25">
      <c r="A407" s="49">
        <v>0</v>
      </c>
      <c r="B407" s="49" t="s">
        <v>6336</v>
      </c>
      <c r="C407" s="49" t="s">
        <v>6234</v>
      </c>
      <c r="D407" s="75">
        <v>182973</v>
      </c>
      <c r="E407" s="49" t="s">
        <v>6337</v>
      </c>
      <c r="F407" s="49" t="s">
        <v>4998</v>
      </c>
      <c r="G407" s="49" t="s">
        <v>633</v>
      </c>
      <c r="H407" s="49"/>
      <c r="I407" s="49" t="s">
        <v>6338</v>
      </c>
      <c r="J407" s="49"/>
      <c r="K407" s="361"/>
      <c r="L407" s="363"/>
      <c r="M407" s="317"/>
      <c r="N407" s="317"/>
      <c r="O407" s="317"/>
      <c r="P407" s="317"/>
      <c r="Q407" s="317"/>
      <c r="R407" s="365"/>
      <c r="S407" s="365"/>
      <c r="T407" s="365"/>
      <c r="U407" s="348"/>
    </row>
    <row r="408" spans="1:21" ht="25.5" x14ac:dyDescent="0.25">
      <c r="A408" s="49">
        <v>0</v>
      </c>
      <c r="B408" s="49" t="s">
        <v>6339</v>
      </c>
      <c r="C408" s="49" t="s">
        <v>6340</v>
      </c>
      <c r="D408" s="49">
        <v>182978</v>
      </c>
      <c r="E408" s="49" t="s">
        <v>6341</v>
      </c>
      <c r="F408" s="49" t="s">
        <v>4998</v>
      </c>
      <c r="G408" s="49" t="s">
        <v>6342</v>
      </c>
      <c r="H408" s="49" t="s">
        <v>6343</v>
      </c>
      <c r="I408" s="49" t="s">
        <v>6344</v>
      </c>
      <c r="J408" s="316">
        <v>45184</v>
      </c>
      <c r="K408" s="360">
        <v>45191</v>
      </c>
      <c r="L408" s="363" t="s">
        <v>47</v>
      </c>
      <c r="M408" s="317" t="s">
        <v>47</v>
      </c>
      <c r="N408" s="322">
        <v>45194</v>
      </c>
      <c r="O408" s="317" t="s">
        <v>6345</v>
      </c>
      <c r="P408" s="317">
        <v>3</v>
      </c>
      <c r="Q408" s="322">
        <v>45202</v>
      </c>
      <c r="R408" s="365" t="s">
        <v>264</v>
      </c>
      <c r="S408" s="364">
        <v>45202</v>
      </c>
      <c r="T408" s="364">
        <v>45202</v>
      </c>
      <c r="U408" s="348" t="s">
        <v>4999</v>
      </c>
    </row>
    <row r="409" spans="1:21" x14ac:dyDescent="0.25">
      <c r="A409" s="49">
        <v>0</v>
      </c>
      <c r="B409" s="49" t="s">
        <v>6346</v>
      </c>
      <c r="C409" s="49" t="s">
        <v>6347</v>
      </c>
      <c r="D409" s="75">
        <v>182976</v>
      </c>
      <c r="E409" s="49" t="s">
        <v>6348</v>
      </c>
      <c r="F409" s="49" t="s">
        <v>4998</v>
      </c>
      <c r="G409" s="49"/>
      <c r="H409" s="49"/>
      <c r="I409" s="49" t="s">
        <v>6349</v>
      </c>
      <c r="J409" s="49"/>
      <c r="K409" s="361"/>
      <c r="L409" s="363"/>
      <c r="M409" s="317"/>
      <c r="N409" s="317"/>
      <c r="O409" s="317" t="s">
        <v>6350</v>
      </c>
      <c r="P409" s="317"/>
      <c r="Q409" s="317"/>
      <c r="R409" s="365"/>
      <c r="S409" s="365"/>
      <c r="T409" s="365"/>
      <c r="U409" s="348"/>
    </row>
    <row r="410" spans="1:21" ht="38.25" x14ac:dyDescent="0.25">
      <c r="A410" s="49">
        <v>0</v>
      </c>
      <c r="B410" s="49" t="s">
        <v>6351</v>
      </c>
      <c r="C410" s="49" t="s">
        <v>5466</v>
      </c>
      <c r="D410" s="49">
        <v>182980</v>
      </c>
      <c r="E410" s="49" t="s">
        <v>6352</v>
      </c>
      <c r="F410" s="49" t="s">
        <v>4998</v>
      </c>
      <c r="G410" s="49" t="s">
        <v>519</v>
      </c>
      <c r="H410" s="49" t="s">
        <v>6353</v>
      </c>
      <c r="I410" s="49" t="s">
        <v>6354</v>
      </c>
      <c r="J410" s="316">
        <v>45189</v>
      </c>
      <c r="K410" s="360">
        <v>45190</v>
      </c>
      <c r="L410" s="363" t="s">
        <v>47</v>
      </c>
      <c r="M410" s="317" t="s">
        <v>47</v>
      </c>
      <c r="N410" s="322">
        <v>45194</v>
      </c>
      <c r="O410" s="317" t="s">
        <v>6355</v>
      </c>
      <c r="P410" s="317">
        <v>1</v>
      </c>
      <c r="Q410" s="322">
        <v>45198</v>
      </c>
      <c r="R410" s="365" t="s">
        <v>264</v>
      </c>
      <c r="S410" s="364">
        <v>45198</v>
      </c>
      <c r="T410" s="364">
        <v>45198</v>
      </c>
      <c r="U410" s="348" t="s">
        <v>4999</v>
      </c>
    </row>
    <row r="411" spans="1:21" ht="25.5" x14ac:dyDescent="0.25">
      <c r="A411" s="49">
        <v>0</v>
      </c>
      <c r="B411" s="49" t="s">
        <v>6356</v>
      </c>
      <c r="C411" s="49" t="s">
        <v>6357</v>
      </c>
      <c r="D411" s="49">
        <v>182981</v>
      </c>
      <c r="E411" s="49" t="s">
        <v>6358</v>
      </c>
      <c r="F411" s="49" t="s">
        <v>4998</v>
      </c>
      <c r="G411" s="49" t="s">
        <v>6359</v>
      </c>
      <c r="H411" s="49" t="s">
        <v>6360</v>
      </c>
      <c r="I411" s="49" t="s">
        <v>6361</v>
      </c>
      <c r="J411" s="316">
        <v>45189</v>
      </c>
      <c r="K411" s="360">
        <v>45190</v>
      </c>
      <c r="L411" s="363" t="s">
        <v>47</v>
      </c>
      <c r="M411" s="317" t="s">
        <v>47</v>
      </c>
      <c r="N411" s="322">
        <v>45195</v>
      </c>
      <c r="O411" s="317" t="s">
        <v>6362</v>
      </c>
      <c r="P411" s="317">
        <v>9</v>
      </c>
      <c r="Q411" s="322">
        <v>45196</v>
      </c>
      <c r="R411" s="365" t="s">
        <v>264</v>
      </c>
      <c r="S411" s="364">
        <v>45196</v>
      </c>
      <c r="T411" s="364">
        <v>45196</v>
      </c>
      <c r="U411" s="348" t="s">
        <v>4999</v>
      </c>
    </row>
    <row r="412" spans="1:21" ht="25.5" x14ac:dyDescent="0.25">
      <c r="A412" s="49">
        <v>0</v>
      </c>
      <c r="B412" s="49" t="s">
        <v>6363</v>
      </c>
      <c r="C412" s="49" t="s">
        <v>6364</v>
      </c>
      <c r="D412" s="49">
        <v>182982</v>
      </c>
      <c r="E412" s="49" t="s">
        <v>6365</v>
      </c>
      <c r="F412" s="49" t="s">
        <v>4998</v>
      </c>
      <c r="G412" s="49" t="s">
        <v>6359</v>
      </c>
      <c r="H412" s="49" t="s">
        <v>6360</v>
      </c>
      <c r="I412" s="49" t="s">
        <v>6361</v>
      </c>
      <c r="J412" s="316">
        <v>45189</v>
      </c>
      <c r="K412" s="360">
        <v>45190</v>
      </c>
      <c r="L412" s="363" t="s">
        <v>47</v>
      </c>
      <c r="M412" s="317" t="s">
        <v>47</v>
      </c>
      <c r="N412" s="322">
        <v>45195</v>
      </c>
      <c r="O412" s="317" t="s">
        <v>6362</v>
      </c>
      <c r="P412" s="317">
        <v>11</v>
      </c>
      <c r="Q412" s="322">
        <v>45196</v>
      </c>
      <c r="R412" s="365" t="s">
        <v>264</v>
      </c>
      <c r="S412" s="364">
        <v>45196</v>
      </c>
      <c r="T412" s="364">
        <v>45196</v>
      </c>
      <c r="U412" s="348" t="s">
        <v>4999</v>
      </c>
    </row>
    <row r="413" spans="1:21" ht="25.5" x14ac:dyDescent="0.25">
      <c r="A413" s="49">
        <v>0</v>
      </c>
      <c r="B413" s="49" t="s">
        <v>6366</v>
      </c>
      <c r="C413" s="49" t="s">
        <v>1691</v>
      </c>
      <c r="D413" s="49">
        <v>182876</v>
      </c>
      <c r="E413" s="49" t="s">
        <v>6224</v>
      </c>
      <c r="F413" s="49" t="s">
        <v>4998</v>
      </c>
      <c r="G413" s="49" t="s">
        <v>6225</v>
      </c>
      <c r="H413" s="49" t="s">
        <v>6226</v>
      </c>
      <c r="I413" s="49" t="s">
        <v>5529</v>
      </c>
      <c r="J413" s="316">
        <v>45115</v>
      </c>
      <c r="K413" s="360">
        <v>45187</v>
      </c>
      <c r="L413" s="363" t="s">
        <v>47</v>
      </c>
      <c r="M413" s="317" t="s">
        <v>47</v>
      </c>
      <c r="N413" s="322">
        <v>45190</v>
      </c>
      <c r="O413" s="317" t="s">
        <v>6227</v>
      </c>
      <c r="P413" s="317">
        <v>5</v>
      </c>
      <c r="Q413" s="322">
        <v>45191</v>
      </c>
      <c r="R413" s="365" t="s">
        <v>264</v>
      </c>
      <c r="S413" s="364">
        <v>45191</v>
      </c>
      <c r="T413" s="364">
        <v>45191</v>
      </c>
      <c r="U413" s="348" t="s">
        <v>4999</v>
      </c>
    </row>
    <row r="414" spans="1:21" ht="25.5" x14ac:dyDescent="0.25">
      <c r="A414" s="49">
        <v>0</v>
      </c>
      <c r="B414" s="49" t="s">
        <v>6367</v>
      </c>
      <c r="C414" s="49" t="s">
        <v>6368</v>
      </c>
      <c r="D414" s="49">
        <v>182899</v>
      </c>
      <c r="E414" s="49" t="s">
        <v>6369</v>
      </c>
      <c r="F414" s="49" t="s">
        <v>4998</v>
      </c>
      <c r="G414" s="49" t="s">
        <v>1707</v>
      </c>
      <c r="H414" s="49" t="s">
        <v>6370</v>
      </c>
      <c r="I414" s="49" t="s">
        <v>36</v>
      </c>
      <c r="J414" s="316">
        <v>45167</v>
      </c>
      <c r="K414" s="360">
        <v>45191</v>
      </c>
      <c r="L414" s="363" t="s">
        <v>47</v>
      </c>
      <c r="M414" s="317" t="s">
        <v>47</v>
      </c>
      <c r="N414" s="322">
        <v>45195</v>
      </c>
      <c r="O414" s="317" t="s">
        <v>1709</v>
      </c>
      <c r="P414" s="317">
        <v>5</v>
      </c>
      <c r="Q414" s="322">
        <v>45196</v>
      </c>
      <c r="R414" s="365" t="s">
        <v>264</v>
      </c>
      <c r="S414" s="364">
        <v>45196</v>
      </c>
      <c r="T414" s="364">
        <v>45196</v>
      </c>
      <c r="U414" s="348" t="s">
        <v>1687</v>
      </c>
    </row>
    <row r="415" spans="1:21" ht="25.5" x14ac:dyDescent="0.25">
      <c r="A415" s="49">
        <v>0</v>
      </c>
      <c r="B415" s="49" t="s">
        <v>6371</v>
      </c>
      <c r="C415" s="49" t="s">
        <v>6372</v>
      </c>
      <c r="D415" s="49">
        <v>182900</v>
      </c>
      <c r="E415" s="49" t="s">
        <v>6373</v>
      </c>
      <c r="F415" s="49" t="s">
        <v>4998</v>
      </c>
      <c r="G415" s="49" t="s">
        <v>1707</v>
      </c>
      <c r="H415" s="49" t="s">
        <v>6374</v>
      </c>
      <c r="I415" s="49" t="s">
        <v>36</v>
      </c>
      <c r="J415" s="316">
        <v>45167</v>
      </c>
      <c r="K415" s="360">
        <v>45191</v>
      </c>
      <c r="L415" s="363" t="s">
        <v>47</v>
      </c>
      <c r="M415" s="317" t="s">
        <v>47</v>
      </c>
      <c r="N415" s="322">
        <v>45195</v>
      </c>
      <c r="O415" s="317" t="s">
        <v>1709</v>
      </c>
      <c r="P415" s="317">
        <v>20</v>
      </c>
      <c r="Q415" s="322">
        <v>45196</v>
      </c>
      <c r="R415" s="365" t="s">
        <v>264</v>
      </c>
      <c r="S415" s="364">
        <v>45196</v>
      </c>
      <c r="T415" s="364">
        <v>45196</v>
      </c>
      <c r="U415" s="348" t="s">
        <v>4999</v>
      </c>
    </row>
    <row r="416" spans="1:21" ht="25.5" x14ac:dyDescent="0.25">
      <c r="A416" s="49">
        <v>0</v>
      </c>
      <c r="B416" s="49" t="s">
        <v>6375</v>
      </c>
      <c r="C416" s="49" t="s">
        <v>1820</v>
      </c>
      <c r="D416" s="49">
        <v>182984</v>
      </c>
      <c r="E416" s="49" t="s">
        <v>6376</v>
      </c>
      <c r="F416" s="49" t="s">
        <v>4998</v>
      </c>
      <c r="G416" s="49" t="s">
        <v>427</v>
      </c>
      <c r="H416" s="49" t="s">
        <v>6377</v>
      </c>
      <c r="I416" s="49" t="s">
        <v>588</v>
      </c>
      <c r="J416" s="316">
        <v>45190</v>
      </c>
      <c r="K416" s="360">
        <v>45191</v>
      </c>
      <c r="L416" s="363" t="s">
        <v>47</v>
      </c>
      <c r="M416" s="317" t="s">
        <v>47</v>
      </c>
      <c r="N416" s="322">
        <v>45194</v>
      </c>
      <c r="O416" s="317" t="s">
        <v>1823</v>
      </c>
      <c r="P416" s="317">
        <v>1</v>
      </c>
      <c r="Q416" s="322">
        <v>45198</v>
      </c>
      <c r="R416" s="365" t="s">
        <v>264</v>
      </c>
      <c r="S416" s="364">
        <v>45198</v>
      </c>
      <c r="T416" s="364">
        <v>45198</v>
      </c>
      <c r="U416" s="348" t="s">
        <v>4999</v>
      </c>
    </row>
    <row r="417" spans="1:21" ht="25.5" x14ac:dyDescent="0.25">
      <c r="A417" s="49">
        <v>0</v>
      </c>
      <c r="B417" s="49" t="s">
        <v>6378</v>
      </c>
      <c r="C417" s="49" t="s">
        <v>1820</v>
      </c>
      <c r="D417" s="49">
        <v>182985</v>
      </c>
      <c r="E417" s="49" t="s">
        <v>6379</v>
      </c>
      <c r="F417" s="49" t="s">
        <v>4998</v>
      </c>
      <c r="G417" s="49" t="s">
        <v>427</v>
      </c>
      <c r="H417" s="49" t="s">
        <v>6380</v>
      </c>
      <c r="I417" s="49" t="s">
        <v>588</v>
      </c>
      <c r="J417" s="316">
        <v>45190</v>
      </c>
      <c r="K417" s="360">
        <v>45191</v>
      </c>
      <c r="L417" s="363" t="s">
        <v>47</v>
      </c>
      <c r="M417" s="317" t="s">
        <v>47</v>
      </c>
      <c r="N417" s="322">
        <v>45194</v>
      </c>
      <c r="O417" s="317" t="s">
        <v>430</v>
      </c>
      <c r="P417" s="317">
        <v>1</v>
      </c>
      <c r="Q417" s="322">
        <v>45195</v>
      </c>
      <c r="R417" s="365" t="s">
        <v>264</v>
      </c>
      <c r="S417" s="364">
        <v>45195</v>
      </c>
      <c r="T417" s="364">
        <v>45195</v>
      </c>
      <c r="U417" s="348" t="s">
        <v>4999</v>
      </c>
    </row>
    <row r="418" spans="1:21" ht="25.5" x14ac:dyDescent="0.25">
      <c r="A418" s="49">
        <v>0</v>
      </c>
      <c r="B418" s="49" t="s">
        <v>6381</v>
      </c>
      <c r="C418" s="49" t="s">
        <v>1820</v>
      </c>
      <c r="D418" s="49">
        <v>182986</v>
      </c>
      <c r="E418" s="49" t="s">
        <v>6382</v>
      </c>
      <c r="F418" s="49" t="s">
        <v>4998</v>
      </c>
      <c r="G418" s="49" t="s">
        <v>427</v>
      </c>
      <c r="H418" s="49" t="s">
        <v>6383</v>
      </c>
      <c r="I418" s="49" t="s">
        <v>588</v>
      </c>
      <c r="J418" s="316">
        <v>45190</v>
      </c>
      <c r="K418" s="360">
        <v>45191</v>
      </c>
      <c r="L418" s="363" t="s">
        <v>47</v>
      </c>
      <c r="M418" s="317" t="s">
        <v>47</v>
      </c>
      <c r="N418" s="322">
        <v>45194</v>
      </c>
      <c r="O418" s="317" t="s">
        <v>430</v>
      </c>
      <c r="P418" s="317">
        <v>1</v>
      </c>
      <c r="Q418" s="322">
        <v>45198</v>
      </c>
      <c r="R418" s="365" t="s">
        <v>264</v>
      </c>
      <c r="S418" s="364">
        <v>45198</v>
      </c>
      <c r="T418" s="364">
        <v>45198</v>
      </c>
      <c r="U418" s="348" t="s">
        <v>4999</v>
      </c>
    </row>
    <row r="419" spans="1:21" ht="25.5" x14ac:dyDescent="0.25">
      <c r="A419" s="49">
        <v>0</v>
      </c>
      <c r="B419" s="49" t="s">
        <v>6384</v>
      </c>
      <c r="C419" s="49" t="s">
        <v>132</v>
      </c>
      <c r="D419" s="49">
        <v>183009</v>
      </c>
      <c r="E419" s="49" t="s">
        <v>6385</v>
      </c>
      <c r="F419" s="49" t="s">
        <v>4998</v>
      </c>
      <c r="G419" s="49" t="s">
        <v>6386</v>
      </c>
      <c r="H419" s="332" t="s">
        <v>6387</v>
      </c>
      <c r="I419" s="49" t="s">
        <v>5638</v>
      </c>
      <c r="J419" s="316">
        <v>45195</v>
      </c>
      <c r="K419" s="360">
        <v>45195</v>
      </c>
      <c r="L419" s="363" t="s">
        <v>28</v>
      </c>
      <c r="M419" s="317" t="s">
        <v>28</v>
      </c>
      <c r="N419" s="322">
        <v>45196</v>
      </c>
      <c r="O419" s="317" t="s">
        <v>3324</v>
      </c>
      <c r="P419" s="317">
        <v>8</v>
      </c>
      <c r="Q419" s="322">
        <v>45197</v>
      </c>
      <c r="R419" s="365" t="s">
        <v>264</v>
      </c>
      <c r="S419" s="364">
        <v>45198</v>
      </c>
      <c r="T419" s="364">
        <v>45198</v>
      </c>
      <c r="U419" s="348" t="s">
        <v>4999</v>
      </c>
    </row>
    <row r="420" spans="1:21" ht="25.5" x14ac:dyDescent="0.25">
      <c r="A420" s="49">
        <v>0</v>
      </c>
      <c r="B420" s="49" t="s">
        <v>6388</v>
      </c>
      <c r="C420" s="49" t="s">
        <v>132</v>
      </c>
      <c r="D420" s="49">
        <v>183010</v>
      </c>
      <c r="E420" s="49" t="s">
        <v>6389</v>
      </c>
      <c r="F420" s="49" t="s">
        <v>4998</v>
      </c>
      <c r="G420" s="49" t="s">
        <v>6390</v>
      </c>
      <c r="H420" s="49" t="s">
        <v>6391</v>
      </c>
      <c r="I420" s="49" t="s">
        <v>6297</v>
      </c>
      <c r="J420" s="316">
        <v>45195</v>
      </c>
      <c r="K420" s="360">
        <v>45195</v>
      </c>
      <c r="L420" s="363" t="s">
        <v>28</v>
      </c>
      <c r="M420" s="317" t="s">
        <v>28</v>
      </c>
      <c r="N420" s="322">
        <v>45196</v>
      </c>
      <c r="O420" s="317" t="s">
        <v>6298</v>
      </c>
      <c r="P420" s="317">
        <v>3</v>
      </c>
      <c r="Q420" s="322">
        <v>45197</v>
      </c>
      <c r="R420" s="365" t="s">
        <v>264</v>
      </c>
      <c r="S420" s="364">
        <v>45198</v>
      </c>
      <c r="T420" s="364">
        <v>45198</v>
      </c>
      <c r="U420" s="348" t="s">
        <v>4999</v>
      </c>
    </row>
    <row r="421" spans="1:21" ht="38.25" x14ac:dyDescent="0.25">
      <c r="A421" s="49">
        <v>0</v>
      </c>
      <c r="B421" s="49" t="s">
        <v>6392</v>
      </c>
      <c r="C421" s="49" t="s">
        <v>1791</v>
      </c>
      <c r="D421" s="49">
        <v>183016</v>
      </c>
      <c r="E421" s="49" t="s">
        <v>6393</v>
      </c>
      <c r="F421" s="49" t="s">
        <v>4998</v>
      </c>
      <c r="G421" s="29" t="s">
        <v>6394</v>
      </c>
      <c r="H421" s="49" t="s">
        <v>2838</v>
      </c>
      <c r="I421" s="49" t="s">
        <v>2618</v>
      </c>
      <c r="J421" s="316">
        <v>45196</v>
      </c>
      <c r="K421" s="360">
        <v>45196</v>
      </c>
      <c r="L421" s="363" t="s">
        <v>47</v>
      </c>
      <c r="M421" s="317" t="s">
        <v>47</v>
      </c>
      <c r="N421" s="322">
        <v>45196</v>
      </c>
      <c r="O421" s="317" t="s">
        <v>6395</v>
      </c>
      <c r="P421" s="317">
        <v>4</v>
      </c>
      <c r="Q421" s="322">
        <v>45197</v>
      </c>
      <c r="R421" s="365" t="s">
        <v>264</v>
      </c>
      <c r="S421" s="364">
        <v>45197</v>
      </c>
      <c r="T421" s="364">
        <v>45197</v>
      </c>
      <c r="U421" s="348" t="s">
        <v>4999</v>
      </c>
    </row>
    <row r="422" spans="1:21" ht="38.25" x14ac:dyDescent="0.25">
      <c r="A422" s="49">
        <v>0</v>
      </c>
      <c r="B422" s="49" t="s">
        <v>6396</v>
      </c>
      <c r="C422" s="49" t="s">
        <v>5067</v>
      </c>
      <c r="D422" s="49">
        <v>183012</v>
      </c>
      <c r="E422" s="49" t="s">
        <v>6397</v>
      </c>
      <c r="F422" s="49" t="s">
        <v>4998</v>
      </c>
      <c r="G422" s="49" t="s">
        <v>6398</v>
      </c>
      <c r="H422" s="49" t="s">
        <v>6399</v>
      </c>
      <c r="I422" s="49" t="s">
        <v>1715</v>
      </c>
      <c r="J422" s="316">
        <v>45196</v>
      </c>
      <c r="K422" s="360">
        <v>45204</v>
      </c>
      <c r="L422" s="363" t="s">
        <v>47</v>
      </c>
      <c r="M422" s="317" t="s">
        <v>47</v>
      </c>
      <c r="N422" s="322">
        <v>45229</v>
      </c>
      <c r="O422" s="317" t="s">
        <v>6400</v>
      </c>
      <c r="P422" s="317">
        <v>2</v>
      </c>
      <c r="Q422" s="322">
        <v>45247</v>
      </c>
      <c r="R422" s="365" t="s">
        <v>1686</v>
      </c>
      <c r="S422" s="364">
        <v>45247</v>
      </c>
      <c r="T422" s="364">
        <v>45247</v>
      </c>
      <c r="U422" s="348" t="s">
        <v>4999</v>
      </c>
    </row>
    <row r="423" spans="1:21" ht="38.25" x14ac:dyDescent="0.25">
      <c r="A423" s="49">
        <v>0</v>
      </c>
      <c r="B423" s="49" t="s">
        <v>6401</v>
      </c>
      <c r="C423" s="49" t="s">
        <v>5067</v>
      </c>
      <c r="D423" s="49">
        <v>183017</v>
      </c>
      <c r="E423" s="49" t="s">
        <v>6402</v>
      </c>
      <c r="F423" s="49" t="s">
        <v>4998</v>
      </c>
      <c r="G423" s="49" t="s">
        <v>6403</v>
      </c>
      <c r="H423" s="49" t="s">
        <v>6404</v>
      </c>
      <c r="I423" s="49" t="s">
        <v>1715</v>
      </c>
      <c r="J423" s="316">
        <v>45196</v>
      </c>
      <c r="K423" s="360">
        <v>45204</v>
      </c>
      <c r="L423" s="363" t="s">
        <v>47</v>
      </c>
      <c r="M423" s="317" t="s">
        <v>47</v>
      </c>
      <c r="N423" s="322">
        <v>45229</v>
      </c>
      <c r="O423" s="317" t="s">
        <v>6405</v>
      </c>
      <c r="P423" s="317">
        <v>2</v>
      </c>
      <c r="Q423" s="322">
        <v>45247</v>
      </c>
      <c r="R423" s="365" t="s">
        <v>1686</v>
      </c>
      <c r="S423" s="364">
        <v>45247</v>
      </c>
      <c r="T423" s="364">
        <v>45247</v>
      </c>
      <c r="U423" s="348" t="s">
        <v>4999</v>
      </c>
    </row>
    <row r="424" spans="1:21" ht="25.5" x14ac:dyDescent="0.25">
      <c r="A424" s="49">
        <v>0</v>
      </c>
      <c r="B424" s="49" t="s">
        <v>6406</v>
      </c>
      <c r="C424" s="49" t="s">
        <v>2086</v>
      </c>
      <c r="D424" s="49">
        <v>182911</v>
      </c>
      <c r="E424" s="49" t="s">
        <v>6407</v>
      </c>
      <c r="F424" s="49" t="s">
        <v>4998</v>
      </c>
      <c r="G424" s="49" t="s">
        <v>6408</v>
      </c>
      <c r="H424" s="49"/>
      <c r="I424" s="49"/>
      <c r="J424" s="316">
        <v>45182</v>
      </c>
      <c r="K424" s="360">
        <v>45189</v>
      </c>
      <c r="L424" s="363"/>
      <c r="M424" s="317"/>
      <c r="N424" s="317"/>
      <c r="O424" s="317"/>
      <c r="P424" s="317"/>
      <c r="Q424" s="317"/>
      <c r="R424" s="365"/>
      <c r="S424" s="365"/>
      <c r="T424" s="365"/>
      <c r="U424" s="348"/>
    </row>
    <row r="425" spans="1:21" ht="25.5" x14ac:dyDescent="0.25">
      <c r="A425" s="49">
        <v>0</v>
      </c>
      <c r="B425" s="49" t="s">
        <v>6409</v>
      </c>
      <c r="C425" s="49" t="s">
        <v>5874</v>
      </c>
      <c r="D425" s="49">
        <v>183011</v>
      </c>
      <c r="E425" s="49" t="s">
        <v>6410</v>
      </c>
      <c r="F425" s="49" t="s">
        <v>4998</v>
      </c>
      <c r="G425" s="49" t="s">
        <v>6301</v>
      </c>
      <c r="H425" s="49" t="s">
        <v>6302</v>
      </c>
      <c r="I425" s="49" t="s">
        <v>6303</v>
      </c>
      <c r="J425" s="316">
        <v>45195</v>
      </c>
      <c r="K425" s="360">
        <v>45195</v>
      </c>
      <c r="L425" s="363" t="s">
        <v>47</v>
      </c>
      <c r="M425" s="317" t="s">
        <v>47</v>
      </c>
      <c r="N425" s="322">
        <v>45208</v>
      </c>
      <c r="O425" s="317" t="s">
        <v>6304</v>
      </c>
      <c r="P425" s="317">
        <v>4</v>
      </c>
      <c r="Q425" s="322">
        <v>45215</v>
      </c>
      <c r="R425" s="365" t="s">
        <v>1686</v>
      </c>
      <c r="S425" s="364">
        <v>45216</v>
      </c>
      <c r="T425" s="364">
        <v>45216</v>
      </c>
      <c r="U425" s="348" t="s">
        <v>4999</v>
      </c>
    </row>
    <row r="426" spans="1:21" ht="25.5" x14ac:dyDescent="0.25">
      <c r="A426" s="49">
        <v>0</v>
      </c>
      <c r="B426" s="49" t="s">
        <v>6411</v>
      </c>
      <c r="C426" s="49" t="s">
        <v>3215</v>
      </c>
      <c r="D426" s="49">
        <v>182608</v>
      </c>
      <c r="E426" s="49" t="s">
        <v>6412</v>
      </c>
      <c r="F426" s="49" t="s">
        <v>4998</v>
      </c>
      <c r="G426" s="49" t="s">
        <v>494</v>
      </c>
      <c r="H426" s="49" t="s">
        <v>495</v>
      </c>
      <c r="I426" s="49" t="s">
        <v>489</v>
      </c>
      <c r="J426" s="316">
        <v>45026</v>
      </c>
      <c r="K426" s="360">
        <v>45194</v>
      </c>
      <c r="L426" s="363" t="s">
        <v>47</v>
      </c>
      <c r="M426" s="317" t="s">
        <v>47</v>
      </c>
      <c r="N426" s="322">
        <v>45230</v>
      </c>
      <c r="O426" s="317" t="s">
        <v>490</v>
      </c>
      <c r="P426" s="317">
        <v>20</v>
      </c>
      <c r="Q426" s="322">
        <v>45231</v>
      </c>
      <c r="R426" s="365" t="s">
        <v>1686</v>
      </c>
      <c r="S426" s="364">
        <v>45231</v>
      </c>
      <c r="T426" s="364">
        <v>45231</v>
      </c>
      <c r="U426" s="348" t="s">
        <v>4999</v>
      </c>
    </row>
    <row r="427" spans="1:21" ht="25.5" x14ac:dyDescent="0.25">
      <c r="A427" s="49">
        <v>0</v>
      </c>
      <c r="B427" s="49" t="s">
        <v>6413</v>
      </c>
      <c r="C427" s="49" t="s">
        <v>3217</v>
      </c>
      <c r="D427" s="49">
        <v>182609</v>
      </c>
      <c r="E427" s="49" t="s">
        <v>6414</v>
      </c>
      <c r="F427" s="49" t="s">
        <v>4998</v>
      </c>
      <c r="G427" s="49" t="s">
        <v>494</v>
      </c>
      <c r="H427" s="49" t="s">
        <v>495</v>
      </c>
      <c r="I427" s="49" t="s">
        <v>489</v>
      </c>
      <c r="J427" s="316">
        <v>45026</v>
      </c>
      <c r="K427" s="360">
        <v>45194</v>
      </c>
      <c r="L427" s="363" t="s">
        <v>47</v>
      </c>
      <c r="M427" s="317" t="s">
        <v>47</v>
      </c>
      <c r="N427" s="322">
        <v>45230</v>
      </c>
      <c r="O427" s="317" t="s">
        <v>490</v>
      </c>
      <c r="P427" s="317">
        <v>20</v>
      </c>
      <c r="Q427" s="322">
        <v>45231</v>
      </c>
      <c r="R427" s="365" t="s">
        <v>1686</v>
      </c>
      <c r="S427" s="364">
        <v>45231</v>
      </c>
      <c r="T427" s="364">
        <v>45231</v>
      </c>
      <c r="U427" s="348" t="s">
        <v>4999</v>
      </c>
    </row>
    <row r="428" spans="1:21" ht="25.5" x14ac:dyDescent="0.25">
      <c r="A428" s="49">
        <v>0</v>
      </c>
      <c r="B428" s="49" t="s">
        <v>6415</v>
      </c>
      <c r="C428" s="49" t="s">
        <v>5543</v>
      </c>
      <c r="D428" s="49">
        <v>183031</v>
      </c>
      <c r="E428" s="49" t="s">
        <v>6416</v>
      </c>
      <c r="F428" s="49" t="s">
        <v>4998</v>
      </c>
      <c r="G428" s="49" t="s">
        <v>6417</v>
      </c>
      <c r="H428" s="49" t="s">
        <v>6418</v>
      </c>
      <c r="I428" s="49" t="s">
        <v>6419</v>
      </c>
      <c r="J428" s="316">
        <v>45202</v>
      </c>
      <c r="K428" s="360">
        <v>45202</v>
      </c>
      <c r="L428" s="363" t="s">
        <v>47</v>
      </c>
      <c r="M428" s="317" t="s">
        <v>47</v>
      </c>
      <c r="N428" s="322">
        <v>45205</v>
      </c>
      <c r="O428" s="317" t="s">
        <v>6420</v>
      </c>
      <c r="P428" s="317">
        <v>1</v>
      </c>
      <c r="Q428" s="322">
        <v>45216</v>
      </c>
      <c r="R428" s="365" t="s">
        <v>1686</v>
      </c>
      <c r="S428" s="364">
        <v>45216</v>
      </c>
      <c r="T428" s="364">
        <v>45216</v>
      </c>
      <c r="U428" s="348" t="s">
        <v>4999</v>
      </c>
    </row>
    <row r="429" spans="1:21" x14ac:dyDescent="0.25">
      <c r="A429" s="49">
        <v>0</v>
      </c>
      <c r="B429" s="49" t="s">
        <v>6421</v>
      </c>
      <c r="C429" s="49" t="s">
        <v>1680</v>
      </c>
      <c r="D429" s="49">
        <v>183033</v>
      </c>
      <c r="E429" s="49" t="s">
        <v>6422</v>
      </c>
      <c r="F429" s="49" t="s">
        <v>4998</v>
      </c>
      <c r="G429" s="49" t="s">
        <v>1682</v>
      </c>
      <c r="H429" s="49" t="s">
        <v>1683</v>
      </c>
      <c r="I429" s="49" t="s">
        <v>1684</v>
      </c>
      <c r="J429" s="316">
        <v>45203</v>
      </c>
      <c r="K429" s="360">
        <v>45219</v>
      </c>
      <c r="L429" s="363" t="s">
        <v>28</v>
      </c>
      <c r="M429" s="317" t="s">
        <v>28</v>
      </c>
      <c r="N429" s="322">
        <v>45218</v>
      </c>
      <c r="O429" s="317" t="s">
        <v>1685</v>
      </c>
      <c r="P429" s="317">
        <v>12</v>
      </c>
      <c r="Q429" s="322">
        <v>45237</v>
      </c>
      <c r="R429" s="365" t="s">
        <v>1686</v>
      </c>
      <c r="S429" s="364">
        <v>45238</v>
      </c>
      <c r="T429" s="364">
        <v>45238</v>
      </c>
      <c r="U429" s="348" t="s">
        <v>4999</v>
      </c>
    </row>
    <row r="430" spans="1:21" x14ac:dyDescent="0.25">
      <c r="A430" s="49">
        <v>0</v>
      </c>
      <c r="B430" s="49" t="s">
        <v>6423</v>
      </c>
      <c r="C430" s="49" t="s">
        <v>5732</v>
      </c>
      <c r="D430" s="49">
        <v>183034</v>
      </c>
      <c r="E430" s="49" t="s">
        <v>6424</v>
      </c>
      <c r="F430" s="49" t="s">
        <v>4998</v>
      </c>
      <c r="G430" s="49" t="s">
        <v>171</v>
      </c>
      <c r="H430" s="49" t="s">
        <v>6425</v>
      </c>
      <c r="I430" s="49" t="s">
        <v>173</v>
      </c>
      <c r="J430" s="316">
        <v>45203</v>
      </c>
      <c r="K430" s="360">
        <v>45204</v>
      </c>
      <c r="L430" s="363" t="s">
        <v>47</v>
      </c>
      <c r="M430" s="317" t="s">
        <v>47</v>
      </c>
      <c r="N430" s="322">
        <v>45203</v>
      </c>
      <c r="O430" s="317" t="s">
        <v>174</v>
      </c>
      <c r="P430" s="317">
        <v>1</v>
      </c>
      <c r="Q430" s="322">
        <v>45204</v>
      </c>
      <c r="R430" s="365" t="s">
        <v>1686</v>
      </c>
      <c r="S430" s="364">
        <v>45204</v>
      </c>
      <c r="T430" s="364">
        <v>45204</v>
      </c>
      <c r="U430" s="348" t="s">
        <v>4999</v>
      </c>
    </row>
    <row r="431" spans="1:21" ht="76.5" x14ac:dyDescent="0.25">
      <c r="A431" s="49">
        <v>0</v>
      </c>
      <c r="B431" s="49" t="s">
        <v>6426</v>
      </c>
      <c r="C431" s="49" t="s">
        <v>5867</v>
      </c>
      <c r="D431" s="49">
        <v>183035</v>
      </c>
      <c r="E431" s="49" t="s">
        <v>6427</v>
      </c>
      <c r="F431" s="49" t="s">
        <v>4998</v>
      </c>
      <c r="G431" s="49" t="s">
        <v>1147</v>
      </c>
      <c r="H431" s="49" t="s">
        <v>6428</v>
      </c>
      <c r="I431" s="49" t="s">
        <v>2937</v>
      </c>
      <c r="J431" s="316">
        <v>45204</v>
      </c>
      <c r="K431" s="360">
        <v>45205</v>
      </c>
      <c r="L431" s="363" t="s">
        <v>47</v>
      </c>
      <c r="M431" s="317" t="s">
        <v>47</v>
      </c>
      <c r="N431" s="322">
        <v>45205</v>
      </c>
      <c r="O431" s="317" t="s">
        <v>5970</v>
      </c>
      <c r="P431" s="317">
        <v>4</v>
      </c>
      <c r="Q431" s="322">
        <v>45210</v>
      </c>
      <c r="R431" s="365" t="s">
        <v>1686</v>
      </c>
      <c r="S431" s="364">
        <v>45210</v>
      </c>
      <c r="T431" s="364">
        <v>45210</v>
      </c>
      <c r="U431" s="348" t="s">
        <v>4999</v>
      </c>
    </row>
    <row r="432" spans="1:21" x14ac:dyDescent="0.25">
      <c r="A432" s="49">
        <v>0</v>
      </c>
      <c r="B432" s="49" t="s">
        <v>6429</v>
      </c>
      <c r="C432" s="49" t="s">
        <v>5732</v>
      </c>
      <c r="D432" s="49">
        <v>183042</v>
      </c>
      <c r="E432" s="49" t="s">
        <v>6430</v>
      </c>
      <c r="F432" s="49" t="s">
        <v>4998</v>
      </c>
      <c r="G432" s="49" t="s">
        <v>3074</v>
      </c>
      <c r="H432" s="49" t="s">
        <v>6431</v>
      </c>
      <c r="I432" s="49" t="s">
        <v>6258</v>
      </c>
      <c r="J432" s="316">
        <v>45209</v>
      </c>
      <c r="K432" s="360">
        <v>45209</v>
      </c>
      <c r="L432" s="363" t="s">
        <v>47</v>
      </c>
      <c r="M432" s="317" t="s">
        <v>47</v>
      </c>
      <c r="N432" s="322">
        <v>45210</v>
      </c>
      <c r="O432" s="317" t="s">
        <v>6432</v>
      </c>
      <c r="P432" s="317">
        <v>2</v>
      </c>
      <c r="Q432" s="322">
        <v>45215</v>
      </c>
      <c r="R432" s="365" t="s">
        <v>1686</v>
      </c>
      <c r="S432" s="364">
        <v>45215</v>
      </c>
      <c r="T432" s="364">
        <v>45215</v>
      </c>
      <c r="U432" s="348" t="s">
        <v>4999</v>
      </c>
    </row>
    <row r="433" spans="1:21" ht="25.5" x14ac:dyDescent="0.25">
      <c r="A433" s="49">
        <v>0</v>
      </c>
      <c r="B433" s="49" t="s">
        <v>6433</v>
      </c>
      <c r="C433" s="49" t="s">
        <v>6434</v>
      </c>
      <c r="D433" s="49">
        <v>183043</v>
      </c>
      <c r="E433" s="49" t="s">
        <v>6435</v>
      </c>
      <c r="F433" s="49" t="s">
        <v>4998</v>
      </c>
      <c r="G433" s="49" t="s">
        <v>6436</v>
      </c>
      <c r="H433" s="49" t="s">
        <v>6437</v>
      </c>
      <c r="I433" s="49" t="s">
        <v>6438</v>
      </c>
      <c r="J433" s="316">
        <v>45196</v>
      </c>
      <c r="K433" s="360">
        <v>45215</v>
      </c>
      <c r="L433" s="363" t="s">
        <v>28</v>
      </c>
      <c r="M433" s="317" t="s">
        <v>28</v>
      </c>
      <c r="N433" s="322">
        <v>45219</v>
      </c>
      <c r="O433" s="317" t="s">
        <v>6439</v>
      </c>
      <c r="P433" s="317">
        <v>20</v>
      </c>
      <c r="Q433" s="322">
        <v>45219</v>
      </c>
      <c r="R433" s="365" t="s">
        <v>1686</v>
      </c>
      <c r="S433" s="364">
        <v>45219</v>
      </c>
      <c r="T433" s="364">
        <v>45219</v>
      </c>
      <c r="U433" s="348" t="s">
        <v>4999</v>
      </c>
    </row>
    <row r="434" spans="1:21" ht="25.5" x14ac:dyDescent="0.25">
      <c r="A434" s="49">
        <v>0</v>
      </c>
      <c r="B434" s="49" t="s">
        <v>6440</v>
      </c>
      <c r="C434" s="49" t="s">
        <v>5874</v>
      </c>
      <c r="D434" s="49">
        <v>183048</v>
      </c>
      <c r="E434" s="49" t="s">
        <v>6441</v>
      </c>
      <c r="F434" s="49" t="s">
        <v>4998</v>
      </c>
      <c r="G434" s="49" t="s">
        <v>1874</v>
      </c>
      <c r="H434" s="49" t="s">
        <v>6442</v>
      </c>
      <c r="I434" s="49" t="s">
        <v>6443</v>
      </c>
      <c r="J434" s="316">
        <v>45210</v>
      </c>
      <c r="K434" s="360">
        <v>45217</v>
      </c>
      <c r="L434" s="363" t="s">
        <v>28</v>
      </c>
      <c r="M434" s="317" t="s">
        <v>28</v>
      </c>
      <c r="N434" s="322">
        <v>45219</v>
      </c>
      <c r="O434" s="317" t="s">
        <v>6444</v>
      </c>
      <c r="P434" s="317">
        <v>1</v>
      </c>
      <c r="Q434" s="322">
        <v>45219</v>
      </c>
      <c r="R434" s="365" t="s">
        <v>1686</v>
      </c>
      <c r="S434" s="364">
        <v>45222</v>
      </c>
      <c r="T434" s="364">
        <v>45222</v>
      </c>
      <c r="U434" s="348" t="s">
        <v>4999</v>
      </c>
    </row>
    <row r="435" spans="1:21" ht="25.5" x14ac:dyDescent="0.25">
      <c r="A435" s="49">
        <v>0</v>
      </c>
      <c r="B435" s="49" t="s">
        <v>6445</v>
      </c>
      <c r="C435" s="49" t="s">
        <v>219</v>
      </c>
      <c r="D435" s="49">
        <v>183052</v>
      </c>
      <c r="E435" s="49" t="s">
        <v>6446</v>
      </c>
      <c r="F435" s="49" t="s">
        <v>4998</v>
      </c>
      <c r="G435" s="49" t="s">
        <v>6447</v>
      </c>
      <c r="H435" s="49" t="s">
        <v>3523</v>
      </c>
      <c r="I435" s="49" t="s">
        <v>160</v>
      </c>
      <c r="J435" s="316">
        <v>45215</v>
      </c>
      <c r="K435" s="360">
        <v>45217</v>
      </c>
      <c r="L435" s="363" t="s">
        <v>47</v>
      </c>
      <c r="M435" s="317" t="s">
        <v>47</v>
      </c>
      <c r="N435" s="322">
        <v>45236</v>
      </c>
      <c r="O435" s="317" t="s">
        <v>5621</v>
      </c>
      <c r="P435" s="317">
        <v>5</v>
      </c>
      <c r="Q435" s="322">
        <v>45247</v>
      </c>
      <c r="R435" s="365" t="s">
        <v>1686</v>
      </c>
      <c r="S435" s="364">
        <v>45247</v>
      </c>
      <c r="T435" s="364">
        <v>45247</v>
      </c>
      <c r="U435" s="348" t="s">
        <v>4999</v>
      </c>
    </row>
    <row r="436" spans="1:21" ht="38.25" x14ac:dyDescent="0.25">
      <c r="A436" s="49">
        <v>0</v>
      </c>
      <c r="B436" s="49" t="s">
        <v>6448</v>
      </c>
      <c r="C436" s="49" t="s">
        <v>5490</v>
      </c>
      <c r="D436" s="49">
        <v>183041</v>
      </c>
      <c r="E436" s="49" t="s">
        <v>6449</v>
      </c>
      <c r="F436" s="49" t="s">
        <v>4998</v>
      </c>
      <c r="G436" s="49" t="s">
        <v>5492</v>
      </c>
      <c r="H436" s="49" t="s">
        <v>5493</v>
      </c>
      <c r="I436" s="49" t="s">
        <v>5494</v>
      </c>
      <c r="J436" s="316">
        <v>45208</v>
      </c>
      <c r="K436" s="360">
        <v>45212</v>
      </c>
      <c r="L436" s="363" t="s">
        <v>47</v>
      </c>
      <c r="M436" s="317" t="s">
        <v>47</v>
      </c>
      <c r="N436" s="322">
        <v>45217</v>
      </c>
      <c r="O436" s="317" t="s">
        <v>3348</v>
      </c>
      <c r="P436" s="317">
        <v>1</v>
      </c>
      <c r="Q436" s="322">
        <v>45222</v>
      </c>
      <c r="R436" s="365" t="s">
        <v>1686</v>
      </c>
      <c r="S436" s="364">
        <v>45222</v>
      </c>
      <c r="T436" s="364">
        <v>45222</v>
      </c>
      <c r="U436" s="348" t="s">
        <v>4999</v>
      </c>
    </row>
    <row r="437" spans="1:21" ht="25.5" x14ac:dyDescent="0.25">
      <c r="A437" s="49">
        <v>0</v>
      </c>
      <c r="B437" s="49" t="s">
        <v>6450</v>
      </c>
      <c r="C437" s="49" t="s">
        <v>6451</v>
      </c>
      <c r="D437" s="49">
        <v>183057</v>
      </c>
      <c r="E437" s="49" t="s">
        <v>6452</v>
      </c>
      <c r="F437" s="49" t="s">
        <v>4998</v>
      </c>
      <c r="G437" s="49" t="s">
        <v>6453</v>
      </c>
      <c r="H437" s="49" t="s">
        <v>6454</v>
      </c>
      <c r="I437" s="49" t="s">
        <v>1715</v>
      </c>
      <c r="J437" s="316">
        <v>45218</v>
      </c>
      <c r="K437" s="360">
        <v>45265</v>
      </c>
      <c r="L437" s="363" t="s">
        <v>47</v>
      </c>
      <c r="M437" s="317" t="s">
        <v>47</v>
      </c>
      <c r="N437" s="322">
        <v>45265</v>
      </c>
      <c r="O437" s="317" t="s">
        <v>6455</v>
      </c>
      <c r="P437" s="317">
        <v>12</v>
      </c>
      <c r="Q437" s="322">
        <v>45266</v>
      </c>
      <c r="R437" s="365" t="s">
        <v>1686</v>
      </c>
      <c r="S437" s="364">
        <v>45266</v>
      </c>
      <c r="T437" s="364">
        <v>45266</v>
      </c>
      <c r="U437" s="348" t="s">
        <v>4999</v>
      </c>
    </row>
    <row r="438" spans="1:21" ht="25.5" x14ac:dyDescent="0.25">
      <c r="A438" s="49">
        <v>0</v>
      </c>
      <c r="B438" s="49" t="s">
        <v>6456</v>
      </c>
      <c r="C438" s="49" t="s">
        <v>529</v>
      </c>
      <c r="D438" s="75">
        <v>183058</v>
      </c>
      <c r="E438" s="49" t="s">
        <v>6457</v>
      </c>
      <c r="F438" s="49" t="s">
        <v>4998</v>
      </c>
      <c r="G438" s="49"/>
      <c r="H438" s="49"/>
      <c r="I438" s="49"/>
      <c r="J438" s="316">
        <v>45219</v>
      </c>
      <c r="K438" s="361"/>
      <c r="L438" s="363"/>
      <c r="M438" s="317"/>
      <c r="N438" s="317"/>
      <c r="O438" s="317"/>
      <c r="P438" s="317"/>
      <c r="Q438" s="317"/>
      <c r="R438" s="365"/>
      <c r="S438" s="365"/>
      <c r="T438" s="365"/>
      <c r="U438" s="348"/>
    </row>
    <row r="439" spans="1:21" ht="25.5" x14ac:dyDescent="0.25">
      <c r="A439" s="49">
        <v>0</v>
      </c>
      <c r="B439" s="49" t="s">
        <v>6458</v>
      </c>
      <c r="C439" s="49" t="s">
        <v>1820</v>
      </c>
      <c r="D439" s="49">
        <v>183059</v>
      </c>
      <c r="E439" s="49" t="s">
        <v>6459</v>
      </c>
      <c r="F439" s="49" t="s">
        <v>4998</v>
      </c>
      <c r="G439" s="49" t="s">
        <v>427</v>
      </c>
      <c r="H439" s="49" t="s">
        <v>6460</v>
      </c>
      <c r="I439" s="49" t="s">
        <v>588</v>
      </c>
      <c r="J439" s="316">
        <v>45219</v>
      </c>
      <c r="K439" s="360">
        <v>45222</v>
      </c>
      <c r="L439" s="363" t="s">
        <v>47</v>
      </c>
      <c r="M439" s="317" t="s">
        <v>47</v>
      </c>
      <c r="N439" s="322">
        <v>45222</v>
      </c>
      <c r="O439" s="317" t="s">
        <v>430</v>
      </c>
      <c r="P439" s="317">
        <v>2</v>
      </c>
      <c r="Q439" s="322">
        <v>45222</v>
      </c>
      <c r="R439" s="365" t="s">
        <v>1686</v>
      </c>
      <c r="S439" s="364">
        <v>45222</v>
      </c>
      <c r="T439" s="364">
        <v>45222</v>
      </c>
      <c r="U439" s="348" t="s">
        <v>4999</v>
      </c>
    </row>
    <row r="440" spans="1:21" ht="25.5" x14ac:dyDescent="0.25">
      <c r="A440" s="49">
        <v>0</v>
      </c>
      <c r="B440" s="49" t="s">
        <v>6461</v>
      </c>
      <c r="C440" s="49" t="s">
        <v>5472</v>
      </c>
      <c r="D440" s="49">
        <v>183062</v>
      </c>
      <c r="E440" s="49" t="s">
        <v>6462</v>
      </c>
      <c r="F440" s="49" t="s">
        <v>4998</v>
      </c>
      <c r="G440" s="49" t="s">
        <v>6463</v>
      </c>
      <c r="H440" s="49">
        <v>5650</v>
      </c>
      <c r="I440" s="49" t="s">
        <v>3314</v>
      </c>
      <c r="J440" s="316">
        <v>45219</v>
      </c>
      <c r="K440" s="360">
        <v>45222</v>
      </c>
      <c r="L440" s="363" t="s">
        <v>47</v>
      </c>
      <c r="M440" s="317" t="s">
        <v>47</v>
      </c>
      <c r="N440" s="322">
        <v>45222</v>
      </c>
      <c r="O440" s="317" t="s">
        <v>6464</v>
      </c>
      <c r="P440" s="317">
        <v>1</v>
      </c>
      <c r="Q440" s="322">
        <v>45222</v>
      </c>
      <c r="R440" s="365" t="s">
        <v>1686</v>
      </c>
      <c r="S440" s="364">
        <v>45222</v>
      </c>
      <c r="T440" s="364">
        <v>45222</v>
      </c>
      <c r="U440" s="348" t="s">
        <v>4999</v>
      </c>
    </row>
    <row r="441" spans="1:21" ht="25.5" x14ac:dyDescent="0.25">
      <c r="A441" s="49">
        <v>0</v>
      </c>
      <c r="B441" s="49" t="s">
        <v>6465</v>
      </c>
      <c r="C441" s="49" t="s">
        <v>1854</v>
      </c>
      <c r="D441" s="49">
        <v>183063</v>
      </c>
      <c r="E441" s="49" t="s">
        <v>6466</v>
      </c>
      <c r="F441" s="49" t="s">
        <v>4998</v>
      </c>
      <c r="G441" s="49" t="s">
        <v>586</v>
      </c>
      <c r="H441" s="49" t="s">
        <v>6467</v>
      </c>
      <c r="I441" s="49" t="s">
        <v>1869</v>
      </c>
      <c r="J441" s="316">
        <v>45222</v>
      </c>
      <c r="K441" s="360">
        <v>45223</v>
      </c>
      <c r="L441" s="363" t="s">
        <v>47</v>
      </c>
      <c r="M441" s="317" t="s">
        <v>47</v>
      </c>
      <c r="N441" s="322">
        <v>45225</v>
      </c>
      <c r="O441" s="317" t="s">
        <v>2731</v>
      </c>
      <c r="P441" s="317">
        <v>9</v>
      </c>
      <c r="Q441" s="322">
        <v>45229</v>
      </c>
      <c r="R441" s="365" t="s">
        <v>1686</v>
      </c>
      <c r="S441" s="364">
        <v>45230</v>
      </c>
      <c r="T441" s="364">
        <v>45230</v>
      </c>
      <c r="U441" s="348" t="s">
        <v>4999</v>
      </c>
    </row>
    <row r="442" spans="1:21" ht="25.5" x14ac:dyDescent="0.25">
      <c r="A442" s="49">
        <v>0</v>
      </c>
      <c r="B442" s="49" t="s">
        <v>6468</v>
      </c>
      <c r="C442" s="49" t="s">
        <v>1854</v>
      </c>
      <c r="D442" s="49">
        <v>183064</v>
      </c>
      <c r="E442" s="49" t="s">
        <v>6469</v>
      </c>
      <c r="F442" s="49" t="s">
        <v>4998</v>
      </c>
      <c r="G442" s="49" t="s">
        <v>44</v>
      </c>
      <c r="H442" s="49" t="s">
        <v>6470</v>
      </c>
      <c r="I442" s="49" t="s">
        <v>5898</v>
      </c>
      <c r="J442" s="316">
        <v>45222</v>
      </c>
      <c r="K442" s="360">
        <v>45223</v>
      </c>
      <c r="L442" s="363" t="s">
        <v>47</v>
      </c>
      <c r="M442" s="317" t="s">
        <v>47</v>
      </c>
      <c r="N442" s="322">
        <v>45237</v>
      </c>
      <c r="O442" s="317" t="s">
        <v>5925</v>
      </c>
      <c r="P442" s="317">
        <v>4</v>
      </c>
      <c r="Q442" s="322">
        <v>45243</v>
      </c>
      <c r="R442" s="365" t="s">
        <v>1686</v>
      </c>
      <c r="S442" s="364">
        <v>45243</v>
      </c>
      <c r="T442" s="364">
        <v>45243</v>
      </c>
      <c r="U442" s="348" t="s">
        <v>4999</v>
      </c>
    </row>
    <row r="443" spans="1:21" ht="38.25" x14ac:dyDescent="0.25">
      <c r="A443" s="49">
        <v>0</v>
      </c>
      <c r="B443" s="49" t="s">
        <v>6471</v>
      </c>
      <c r="C443" s="49" t="s">
        <v>1854</v>
      </c>
      <c r="D443" s="49">
        <v>183065</v>
      </c>
      <c r="E443" s="49" t="s">
        <v>6472</v>
      </c>
      <c r="F443" s="49" t="s">
        <v>4998</v>
      </c>
      <c r="G443" s="49" t="s">
        <v>5351</v>
      </c>
      <c r="H443" s="49" t="s">
        <v>6473</v>
      </c>
      <c r="I443" s="49" t="s">
        <v>6474</v>
      </c>
      <c r="J443" s="316">
        <v>45222</v>
      </c>
      <c r="K443" s="360">
        <v>45223</v>
      </c>
      <c r="L443" s="363" t="s">
        <v>47</v>
      </c>
      <c r="M443" s="317" t="s">
        <v>47</v>
      </c>
      <c r="N443" s="322">
        <v>45237</v>
      </c>
      <c r="O443" s="317" t="s">
        <v>6475</v>
      </c>
      <c r="P443" s="317">
        <v>1</v>
      </c>
      <c r="Q443" s="322">
        <v>45243</v>
      </c>
      <c r="R443" s="365" t="s">
        <v>1686</v>
      </c>
      <c r="S443" s="364">
        <v>45243</v>
      </c>
      <c r="T443" s="364">
        <v>45243</v>
      </c>
      <c r="U443" s="348" t="s">
        <v>4999</v>
      </c>
    </row>
    <row r="444" spans="1:21" ht="38.25" x14ac:dyDescent="0.25">
      <c r="A444" s="49">
        <v>0</v>
      </c>
      <c r="B444" s="49" t="s">
        <v>6476</v>
      </c>
      <c r="C444" s="49" t="s">
        <v>1791</v>
      </c>
      <c r="D444" s="49">
        <v>183066</v>
      </c>
      <c r="E444" s="49" t="s">
        <v>6477</v>
      </c>
      <c r="F444" s="49" t="s">
        <v>4998</v>
      </c>
      <c r="G444" s="49" t="s">
        <v>6478</v>
      </c>
      <c r="H444" s="49" t="s">
        <v>6479</v>
      </c>
      <c r="I444" s="49" t="s">
        <v>2618</v>
      </c>
      <c r="J444" s="316">
        <v>45222</v>
      </c>
      <c r="K444" s="360">
        <v>45223</v>
      </c>
      <c r="L444" s="363" t="s">
        <v>47</v>
      </c>
      <c r="M444" s="317" t="s">
        <v>47</v>
      </c>
      <c r="N444" s="322">
        <v>45225</v>
      </c>
      <c r="O444" s="317" t="s">
        <v>3901</v>
      </c>
      <c r="P444" s="317">
        <v>3</v>
      </c>
      <c r="Q444" s="322">
        <v>45230</v>
      </c>
      <c r="R444" s="365" t="s">
        <v>1686</v>
      </c>
      <c r="S444" s="364">
        <v>45230</v>
      </c>
      <c r="T444" s="364">
        <v>45230</v>
      </c>
      <c r="U444" s="348" t="s">
        <v>4999</v>
      </c>
    </row>
    <row r="445" spans="1:21" ht="25.5" x14ac:dyDescent="0.25">
      <c r="A445" s="49">
        <v>0</v>
      </c>
      <c r="B445" s="49" t="s">
        <v>6480</v>
      </c>
      <c r="C445" s="49" t="s">
        <v>2187</v>
      </c>
      <c r="D445" s="49">
        <v>183068</v>
      </c>
      <c r="E445" s="49" t="s">
        <v>6481</v>
      </c>
      <c r="F445" s="49" t="s">
        <v>4998</v>
      </c>
      <c r="G445" s="49" t="s">
        <v>6482</v>
      </c>
      <c r="H445" s="49" t="s">
        <v>6483</v>
      </c>
      <c r="I445" s="49" t="s">
        <v>3756</v>
      </c>
      <c r="J445" s="316">
        <v>45223</v>
      </c>
      <c r="K445" s="360">
        <v>45233</v>
      </c>
      <c r="L445" s="363" t="s">
        <v>47</v>
      </c>
      <c r="M445" s="317" t="s">
        <v>47</v>
      </c>
      <c r="N445" s="322">
        <v>45404</v>
      </c>
      <c r="O445" s="317" t="s">
        <v>6484</v>
      </c>
      <c r="P445" s="317">
        <v>1</v>
      </c>
      <c r="Q445" s="322">
        <v>45405</v>
      </c>
      <c r="R445" s="365" t="s">
        <v>264</v>
      </c>
      <c r="S445" s="364">
        <v>45405</v>
      </c>
      <c r="T445" s="364">
        <v>45405</v>
      </c>
      <c r="U445" s="348"/>
    </row>
    <row r="446" spans="1:21" ht="25.5" x14ac:dyDescent="0.25">
      <c r="A446" s="49">
        <v>0</v>
      </c>
      <c r="B446" s="49" t="s">
        <v>6485</v>
      </c>
      <c r="C446" s="49" t="s">
        <v>2187</v>
      </c>
      <c r="D446" s="49">
        <v>183068</v>
      </c>
      <c r="E446" s="49" t="s">
        <v>6486</v>
      </c>
      <c r="F446" s="49" t="s">
        <v>4998</v>
      </c>
      <c r="G446" s="49" t="s">
        <v>6487</v>
      </c>
      <c r="H446" s="49" t="s">
        <v>6488</v>
      </c>
      <c r="I446" s="49" t="s">
        <v>6489</v>
      </c>
      <c r="J446" s="49"/>
      <c r="K446" s="361"/>
      <c r="L446" s="363"/>
      <c r="M446" s="317"/>
      <c r="N446" s="317"/>
      <c r="O446" s="317"/>
      <c r="P446" s="317"/>
      <c r="Q446" s="317"/>
      <c r="R446" s="365"/>
      <c r="S446" s="365"/>
      <c r="T446" s="365"/>
      <c r="U446" s="348"/>
    </row>
    <row r="447" spans="1:21" ht="25.5" x14ac:dyDescent="0.25">
      <c r="A447" s="49">
        <v>0</v>
      </c>
      <c r="B447" s="49" t="s">
        <v>6490</v>
      </c>
      <c r="C447" s="49" t="s">
        <v>1691</v>
      </c>
      <c r="D447" s="49">
        <v>183053</v>
      </c>
      <c r="E447" s="49" t="s">
        <v>6491</v>
      </c>
      <c r="F447" s="49" t="s">
        <v>4998</v>
      </c>
      <c r="G447" s="49" t="s">
        <v>5641</v>
      </c>
      <c r="H447" s="49" t="s">
        <v>1788</v>
      </c>
      <c r="I447" s="49" t="s">
        <v>5642</v>
      </c>
      <c r="J447" s="316">
        <v>45217</v>
      </c>
      <c r="K447" s="360">
        <v>45225</v>
      </c>
      <c r="L447" s="363" t="s">
        <v>47</v>
      </c>
      <c r="M447" s="317" t="s">
        <v>47</v>
      </c>
      <c r="N447" s="322">
        <v>45224</v>
      </c>
      <c r="O447" s="317" t="s">
        <v>1789</v>
      </c>
      <c r="P447" s="317">
        <v>2</v>
      </c>
      <c r="Q447" s="322">
        <v>45225</v>
      </c>
      <c r="R447" s="365" t="s">
        <v>1686</v>
      </c>
      <c r="S447" s="364">
        <v>45225</v>
      </c>
      <c r="T447" s="364">
        <v>45225</v>
      </c>
      <c r="U447" s="348" t="s">
        <v>4999</v>
      </c>
    </row>
    <row r="448" spans="1:21" ht="25.5" x14ac:dyDescent="0.25">
      <c r="A448" s="49">
        <v>0</v>
      </c>
      <c r="B448" s="49" t="s">
        <v>6492</v>
      </c>
      <c r="C448" s="49" t="s">
        <v>1691</v>
      </c>
      <c r="D448" s="49">
        <v>183054</v>
      </c>
      <c r="E448" s="49" t="s">
        <v>6493</v>
      </c>
      <c r="F448" s="49" t="s">
        <v>4998</v>
      </c>
      <c r="G448" s="49" t="s">
        <v>5645</v>
      </c>
      <c r="H448" s="49" t="s">
        <v>1694</v>
      </c>
      <c r="I448" s="49" t="s">
        <v>1695</v>
      </c>
      <c r="J448" s="316">
        <v>45217</v>
      </c>
      <c r="K448" s="360">
        <v>45225</v>
      </c>
      <c r="L448" s="363" t="s">
        <v>47</v>
      </c>
      <c r="M448" s="317" t="s">
        <v>47</v>
      </c>
      <c r="N448" s="322">
        <v>45224</v>
      </c>
      <c r="O448" s="317" t="s">
        <v>5646</v>
      </c>
      <c r="P448" s="317">
        <v>2</v>
      </c>
      <c r="Q448" s="322">
        <v>45225</v>
      </c>
      <c r="R448" s="365" t="s">
        <v>1686</v>
      </c>
      <c r="S448" s="364">
        <v>45225</v>
      </c>
      <c r="T448" s="364">
        <v>45225</v>
      </c>
      <c r="U448" s="348" t="s">
        <v>4999</v>
      </c>
    </row>
    <row r="449" spans="1:21" ht="25.5" x14ac:dyDescent="0.25">
      <c r="A449" s="49">
        <v>0</v>
      </c>
      <c r="B449" s="49" t="s">
        <v>6494</v>
      </c>
      <c r="C449" s="49" t="s">
        <v>5472</v>
      </c>
      <c r="D449" s="49">
        <v>183075</v>
      </c>
      <c r="E449" s="49" t="s">
        <v>6495</v>
      </c>
      <c r="F449" s="49" t="s">
        <v>4998</v>
      </c>
      <c r="G449" s="49" t="s">
        <v>3312</v>
      </c>
      <c r="H449" s="49" t="s">
        <v>3313</v>
      </c>
      <c r="I449" s="49" t="s">
        <v>3314</v>
      </c>
      <c r="J449" s="316">
        <v>45226</v>
      </c>
      <c r="K449" s="360">
        <v>45226</v>
      </c>
      <c r="L449" s="363" t="s">
        <v>47</v>
      </c>
      <c r="M449" s="317" t="s">
        <v>47</v>
      </c>
      <c r="N449" s="317"/>
      <c r="O449" s="317" t="s">
        <v>3315</v>
      </c>
      <c r="P449" s="317">
        <v>1</v>
      </c>
      <c r="Q449" s="317"/>
      <c r="R449" s="365"/>
      <c r="S449" s="365"/>
      <c r="T449" s="365"/>
      <c r="U449" s="348"/>
    </row>
    <row r="450" spans="1:21" ht="25.5" customHeight="1" x14ac:dyDescent="0.25">
      <c r="A450" s="49">
        <v>0</v>
      </c>
      <c r="B450" s="49" t="s">
        <v>6496</v>
      </c>
      <c r="C450" s="49" t="s">
        <v>6497</v>
      </c>
      <c r="D450" s="49">
        <v>183067</v>
      </c>
      <c r="E450" s="49" t="s">
        <v>6498</v>
      </c>
      <c r="F450" s="49" t="s">
        <v>4998</v>
      </c>
      <c r="G450" s="49" t="s">
        <v>1707</v>
      </c>
      <c r="H450" s="49" t="s">
        <v>6499</v>
      </c>
      <c r="I450" s="49" t="s">
        <v>36</v>
      </c>
      <c r="J450" s="316">
        <v>45223</v>
      </c>
      <c r="K450" s="360">
        <v>45224</v>
      </c>
      <c r="L450" s="363" t="s">
        <v>47</v>
      </c>
      <c r="M450" s="317" t="s">
        <v>47</v>
      </c>
      <c r="N450" s="322">
        <v>45230</v>
      </c>
      <c r="O450" s="317" t="s">
        <v>1709</v>
      </c>
      <c r="P450" s="317">
        <v>20</v>
      </c>
      <c r="Q450" s="322">
        <v>45230</v>
      </c>
      <c r="R450" s="365" t="s">
        <v>1686</v>
      </c>
      <c r="S450" s="364">
        <v>45230</v>
      </c>
      <c r="T450" s="364">
        <v>45230</v>
      </c>
      <c r="U450" s="348" t="s">
        <v>4999</v>
      </c>
    </row>
    <row r="451" spans="1:21" x14ac:dyDescent="0.25">
      <c r="A451" s="49">
        <v>0</v>
      </c>
      <c r="B451" s="49" t="s">
        <v>6500</v>
      </c>
      <c r="C451" s="49" t="s">
        <v>1680</v>
      </c>
      <c r="D451" s="49">
        <v>183050</v>
      </c>
      <c r="E451" s="49" t="s">
        <v>6501</v>
      </c>
      <c r="F451" s="49" t="s">
        <v>4998</v>
      </c>
      <c r="G451" s="49" t="s">
        <v>1682</v>
      </c>
      <c r="H451" s="49" t="s">
        <v>1683</v>
      </c>
      <c r="I451" s="49" t="s">
        <v>1684</v>
      </c>
      <c r="J451" s="316">
        <v>45212</v>
      </c>
      <c r="K451" s="360">
        <v>45219</v>
      </c>
      <c r="L451" s="363" t="s">
        <v>28</v>
      </c>
      <c r="M451" s="317" t="s">
        <v>28</v>
      </c>
      <c r="N451" s="322">
        <v>45218</v>
      </c>
      <c r="O451" s="317" t="s">
        <v>1685</v>
      </c>
      <c r="P451" s="317">
        <v>1</v>
      </c>
      <c r="Q451" s="322">
        <v>45222</v>
      </c>
      <c r="R451" s="365" t="s">
        <v>264</v>
      </c>
      <c r="S451" s="364">
        <v>45222</v>
      </c>
      <c r="T451" s="364">
        <v>45222</v>
      </c>
      <c r="U451" s="348" t="s">
        <v>4999</v>
      </c>
    </row>
    <row r="452" spans="1:21" ht="25.5" x14ac:dyDescent="0.25">
      <c r="A452" s="49">
        <v>0</v>
      </c>
      <c r="B452" s="49" t="s">
        <v>6502</v>
      </c>
      <c r="C452" s="49" t="s">
        <v>1854</v>
      </c>
      <c r="D452" s="49">
        <v>183078</v>
      </c>
      <c r="E452" s="49" t="s">
        <v>6503</v>
      </c>
      <c r="F452" s="49" t="s">
        <v>4998</v>
      </c>
      <c r="G452" s="49" t="s">
        <v>6504</v>
      </c>
      <c r="H452" s="49" t="s">
        <v>6505</v>
      </c>
      <c r="I452" s="49" t="s">
        <v>6506</v>
      </c>
      <c r="J452" s="316">
        <v>45229</v>
      </c>
      <c r="K452" s="360">
        <v>45219</v>
      </c>
      <c r="L452" s="363" t="s">
        <v>6507</v>
      </c>
      <c r="M452" s="317" t="s">
        <v>47</v>
      </c>
      <c r="N452" s="322">
        <v>45253</v>
      </c>
      <c r="O452" s="317" t="s">
        <v>6508</v>
      </c>
      <c r="P452" s="317">
        <v>5</v>
      </c>
      <c r="Q452" s="322">
        <v>45253</v>
      </c>
      <c r="R452" s="365" t="s">
        <v>1686</v>
      </c>
      <c r="S452" s="364">
        <v>45254</v>
      </c>
      <c r="T452" s="364">
        <v>45254</v>
      </c>
      <c r="U452" s="348" t="s">
        <v>4999</v>
      </c>
    </row>
    <row r="453" spans="1:21" ht="25.5" x14ac:dyDescent="0.25">
      <c r="A453" s="49">
        <v>0</v>
      </c>
      <c r="B453" s="49" t="s">
        <v>6509</v>
      </c>
      <c r="C453" s="49" t="s">
        <v>1854</v>
      </c>
      <c r="D453" s="49">
        <v>183080</v>
      </c>
      <c r="E453" s="49" t="s">
        <v>6510</v>
      </c>
      <c r="F453" s="49" t="s">
        <v>4998</v>
      </c>
      <c r="G453" s="49" t="s">
        <v>1856</v>
      </c>
      <c r="H453" s="49" t="s">
        <v>1857</v>
      </c>
      <c r="I453" s="49" t="s">
        <v>5898</v>
      </c>
      <c r="J453" s="316">
        <v>45229</v>
      </c>
      <c r="K453" s="360">
        <v>45236</v>
      </c>
      <c r="L453" s="363" t="s">
        <v>47</v>
      </c>
      <c r="M453" s="317" t="s">
        <v>47</v>
      </c>
      <c r="N453" s="322">
        <v>45244</v>
      </c>
      <c r="O453" s="317" t="s">
        <v>5539</v>
      </c>
      <c r="P453" s="317">
        <v>1</v>
      </c>
      <c r="Q453" s="322">
        <v>45247</v>
      </c>
      <c r="R453" s="365" t="s">
        <v>1686</v>
      </c>
      <c r="S453" s="364">
        <v>45247</v>
      </c>
      <c r="T453" s="364">
        <v>45247</v>
      </c>
      <c r="U453" s="348" t="s">
        <v>4999</v>
      </c>
    </row>
    <row r="454" spans="1:21" ht="25.5" x14ac:dyDescent="0.25">
      <c r="A454" s="49">
        <v>0</v>
      </c>
      <c r="B454" s="49" t="s">
        <v>6511</v>
      </c>
      <c r="C454" s="49" t="s">
        <v>1854</v>
      </c>
      <c r="D454" s="49">
        <v>183081</v>
      </c>
      <c r="E454" s="49" t="s">
        <v>6512</v>
      </c>
      <c r="F454" s="49" t="s">
        <v>4998</v>
      </c>
      <c r="G454" s="49" t="s">
        <v>44</v>
      </c>
      <c r="H454" s="49" t="s">
        <v>6470</v>
      </c>
      <c r="I454" s="49" t="s">
        <v>5898</v>
      </c>
      <c r="J454" s="316">
        <v>45229</v>
      </c>
      <c r="K454" s="360">
        <v>45236</v>
      </c>
      <c r="L454" s="363" t="s">
        <v>47</v>
      </c>
      <c r="M454" s="317" t="s">
        <v>47</v>
      </c>
      <c r="N454" s="322">
        <v>45280</v>
      </c>
      <c r="O454" s="317" t="s">
        <v>6513</v>
      </c>
      <c r="P454" s="317">
        <v>3</v>
      </c>
      <c r="Q454" s="322">
        <v>45280</v>
      </c>
      <c r="R454" s="365" t="s">
        <v>1686</v>
      </c>
      <c r="S454" s="364">
        <v>45280</v>
      </c>
      <c r="T454" s="364">
        <v>45280</v>
      </c>
      <c r="U454" s="348" t="s">
        <v>4999</v>
      </c>
    </row>
    <row r="455" spans="1:21" ht="25.5" x14ac:dyDescent="0.25">
      <c r="A455" s="49">
        <v>0</v>
      </c>
      <c r="B455" s="49" t="s">
        <v>6514</v>
      </c>
      <c r="C455" s="49" t="s">
        <v>1854</v>
      </c>
      <c r="D455" s="49">
        <v>183083</v>
      </c>
      <c r="E455" s="49" t="s">
        <v>6515</v>
      </c>
      <c r="F455" s="49" t="s">
        <v>4998</v>
      </c>
      <c r="G455" s="49" t="s">
        <v>6504</v>
      </c>
      <c r="H455" s="49" t="s">
        <v>6505</v>
      </c>
      <c r="I455" s="49" t="s">
        <v>6506</v>
      </c>
      <c r="J455" s="316">
        <v>45230</v>
      </c>
      <c r="K455" s="360">
        <v>45236</v>
      </c>
      <c r="L455" s="363" t="s">
        <v>47</v>
      </c>
      <c r="M455" s="317" t="s">
        <v>47</v>
      </c>
      <c r="N455" s="322">
        <v>45309</v>
      </c>
      <c r="O455" s="317" t="s">
        <v>6508</v>
      </c>
      <c r="P455" s="317">
        <v>4</v>
      </c>
      <c r="Q455" s="322">
        <v>45309</v>
      </c>
      <c r="R455" s="365" t="s">
        <v>1686</v>
      </c>
      <c r="S455" s="364">
        <v>45309</v>
      </c>
      <c r="T455" s="364">
        <v>45309</v>
      </c>
      <c r="U455" s="348" t="s">
        <v>4999</v>
      </c>
    </row>
    <row r="456" spans="1:21" ht="25.5" x14ac:dyDescent="0.25">
      <c r="A456" s="49">
        <v>0</v>
      </c>
      <c r="B456" s="49" t="s">
        <v>6516</v>
      </c>
      <c r="C456" s="49" t="s">
        <v>1854</v>
      </c>
      <c r="D456" s="49">
        <v>183084</v>
      </c>
      <c r="E456" s="49" t="s">
        <v>6517</v>
      </c>
      <c r="F456" s="49" t="s">
        <v>4998</v>
      </c>
      <c r="G456" s="49" t="s">
        <v>5502</v>
      </c>
      <c r="H456" s="49" t="s">
        <v>6518</v>
      </c>
      <c r="I456" s="49" t="s">
        <v>149</v>
      </c>
      <c r="J456" s="316">
        <v>45230</v>
      </c>
      <c r="K456" s="360">
        <v>45236</v>
      </c>
      <c r="L456" s="363" t="s">
        <v>47</v>
      </c>
      <c r="M456" s="317" t="s">
        <v>47</v>
      </c>
      <c r="N456" s="322">
        <v>45345</v>
      </c>
      <c r="O456" s="317" t="s">
        <v>384</v>
      </c>
      <c r="P456" s="317">
        <v>1</v>
      </c>
      <c r="Q456" s="322">
        <v>45345</v>
      </c>
      <c r="R456" s="365" t="s">
        <v>264</v>
      </c>
      <c r="S456" s="364">
        <v>45348</v>
      </c>
      <c r="T456" s="364">
        <v>45348</v>
      </c>
      <c r="U456" s="348" t="s">
        <v>4999</v>
      </c>
    </row>
    <row r="457" spans="1:21" ht="25.5" x14ac:dyDescent="0.25">
      <c r="A457" s="49">
        <v>0</v>
      </c>
      <c r="B457" s="49" t="s">
        <v>6519</v>
      </c>
      <c r="C457" s="49" t="s">
        <v>5867</v>
      </c>
      <c r="D457" s="49">
        <v>183089</v>
      </c>
      <c r="E457" s="49" t="s">
        <v>6520</v>
      </c>
      <c r="F457" s="49" t="s">
        <v>4998</v>
      </c>
      <c r="G457" s="49" t="s">
        <v>1147</v>
      </c>
      <c r="H457" s="49" t="s">
        <v>6521</v>
      </c>
      <c r="I457" s="49" t="s">
        <v>2937</v>
      </c>
      <c r="J457" s="316">
        <v>45231</v>
      </c>
      <c r="K457" s="360">
        <v>45231</v>
      </c>
      <c r="L457" s="363" t="s">
        <v>47</v>
      </c>
      <c r="M457" s="317" t="s">
        <v>47</v>
      </c>
      <c r="N457" s="322">
        <v>45226</v>
      </c>
      <c r="O457" s="317" t="s">
        <v>5970</v>
      </c>
      <c r="P457" s="317">
        <v>1</v>
      </c>
      <c r="Q457" s="322">
        <v>45238</v>
      </c>
      <c r="R457" s="365" t="s">
        <v>1686</v>
      </c>
      <c r="S457" s="364">
        <v>45238</v>
      </c>
      <c r="T457" s="364">
        <v>45238</v>
      </c>
      <c r="U457" s="348" t="s">
        <v>4999</v>
      </c>
    </row>
    <row r="458" spans="1:21" ht="25.5" x14ac:dyDescent="0.25">
      <c r="A458" s="49">
        <v>0</v>
      </c>
      <c r="B458" s="49" t="s">
        <v>6522</v>
      </c>
      <c r="C458" s="49" t="s">
        <v>6523</v>
      </c>
      <c r="D458" s="49">
        <v>183071</v>
      </c>
      <c r="E458" s="49" t="s">
        <v>6524</v>
      </c>
      <c r="F458" s="49" t="s">
        <v>4998</v>
      </c>
      <c r="G458" s="49" t="s">
        <v>1900</v>
      </c>
      <c r="H458" s="49" t="s">
        <v>6525</v>
      </c>
      <c r="I458" s="49" t="s">
        <v>1902</v>
      </c>
      <c r="J458" s="316">
        <v>45225</v>
      </c>
      <c r="K458" s="360">
        <v>45261</v>
      </c>
      <c r="L458" s="363" t="s">
        <v>47</v>
      </c>
      <c r="M458" s="317" t="s">
        <v>47</v>
      </c>
      <c r="N458" s="322">
        <v>45274</v>
      </c>
      <c r="O458" s="317" t="s">
        <v>235</v>
      </c>
      <c r="P458" s="317">
        <v>16</v>
      </c>
      <c r="Q458" s="322">
        <v>45275</v>
      </c>
      <c r="R458" s="365" t="s">
        <v>1686</v>
      </c>
      <c r="S458" s="364">
        <v>45275</v>
      </c>
      <c r="T458" s="364">
        <v>45275</v>
      </c>
      <c r="U458" s="348" t="s">
        <v>4999</v>
      </c>
    </row>
    <row r="459" spans="1:21" ht="25.5" x14ac:dyDescent="0.25">
      <c r="A459" s="49">
        <v>0</v>
      </c>
      <c r="B459" s="49" t="s">
        <v>6526</v>
      </c>
      <c r="C459" s="49" t="s">
        <v>6523</v>
      </c>
      <c r="D459" s="49">
        <v>183072</v>
      </c>
      <c r="E459" s="49" t="s">
        <v>6527</v>
      </c>
      <c r="F459" s="49" t="s">
        <v>4998</v>
      </c>
      <c r="G459" s="49" t="s">
        <v>1900</v>
      </c>
      <c r="H459" s="49" t="s">
        <v>6528</v>
      </c>
      <c r="I459" s="49" t="s">
        <v>1902</v>
      </c>
      <c r="J459" s="316">
        <v>45225</v>
      </c>
      <c r="K459" s="360">
        <v>45261</v>
      </c>
      <c r="L459" s="363" t="s">
        <v>47</v>
      </c>
      <c r="M459" s="317" t="s">
        <v>47</v>
      </c>
      <c r="N459" s="322">
        <v>45274</v>
      </c>
      <c r="O459" s="317" t="s">
        <v>235</v>
      </c>
      <c r="P459" s="317">
        <v>8</v>
      </c>
      <c r="Q459" s="322">
        <v>45275</v>
      </c>
      <c r="R459" s="365" t="s">
        <v>1686</v>
      </c>
      <c r="S459" s="364">
        <v>45275</v>
      </c>
      <c r="T459" s="364">
        <v>45275</v>
      </c>
      <c r="U459" s="348" t="s">
        <v>4999</v>
      </c>
    </row>
    <row r="460" spans="1:21" ht="25.5" x14ac:dyDescent="0.25">
      <c r="A460" s="49">
        <v>0</v>
      </c>
      <c r="B460" s="49" t="s">
        <v>6529</v>
      </c>
      <c r="C460" s="49" t="s">
        <v>1854</v>
      </c>
      <c r="D460" s="49">
        <v>183092</v>
      </c>
      <c r="E460" s="49" t="s">
        <v>6530</v>
      </c>
      <c r="F460" s="49" t="s">
        <v>4998</v>
      </c>
      <c r="G460" s="49" t="s">
        <v>3818</v>
      </c>
      <c r="H460" s="49" t="s">
        <v>5723</v>
      </c>
      <c r="I460" s="49" t="s">
        <v>1869</v>
      </c>
      <c r="J460" s="316">
        <v>45237</v>
      </c>
      <c r="K460" s="360">
        <v>45251</v>
      </c>
      <c r="L460" s="363" t="s">
        <v>47</v>
      </c>
      <c r="M460" s="317" t="s">
        <v>47</v>
      </c>
      <c r="N460" s="322">
        <v>45245</v>
      </c>
      <c r="O460" s="317" t="s">
        <v>1876</v>
      </c>
      <c r="P460" s="317">
        <v>2</v>
      </c>
      <c r="Q460" s="322">
        <v>45266</v>
      </c>
      <c r="R460" s="365" t="s">
        <v>1686</v>
      </c>
      <c r="S460" s="364">
        <v>45266</v>
      </c>
      <c r="T460" s="364">
        <v>45266</v>
      </c>
      <c r="U460" s="348" t="s">
        <v>4999</v>
      </c>
    </row>
    <row r="461" spans="1:21" x14ac:dyDescent="0.25">
      <c r="A461" s="49">
        <v>0</v>
      </c>
      <c r="B461" s="49" t="s">
        <v>6531</v>
      </c>
      <c r="C461" s="49" t="s">
        <v>6206</v>
      </c>
      <c r="D461" s="75">
        <v>183073</v>
      </c>
      <c r="E461" s="49" t="s">
        <v>6532</v>
      </c>
      <c r="F461" s="49" t="s">
        <v>4998</v>
      </c>
      <c r="G461" s="49" t="s">
        <v>6533</v>
      </c>
      <c r="H461" s="49" t="s">
        <v>6534</v>
      </c>
      <c r="I461" s="49" t="s">
        <v>6535</v>
      </c>
      <c r="J461" s="316">
        <v>45239</v>
      </c>
      <c r="K461" s="360">
        <v>45240</v>
      </c>
      <c r="L461" s="363" t="s">
        <v>47</v>
      </c>
      <c r="M461" s="317" t="s">
        <v>47</v>
      </c>
      <c r="N461" s="317"/>
      <c r="O461" s="317"/>
      <c r="P461" s="317">
        <v>1</v>
      </c>
      <c r="Q461" s="317"/>
      <c r="R461" s="365"/>
      <c r="S461" s="365"/>
      <c r="T461" s="365"/>
      <c r="U461" s="348"/>
    </row>
    <row r="462" spans="1:21" x14ac:dyDescent="0.25">
      <c r="A462" s="49">
        <v>0</v>
      </c>
      <c r="B462" s="49" t="s">
        <v>6536</v>
      </c>
      <c r="C462" s="49" t="s">
        <v>6206</v>
      </c>
      <c r="D462" s="49">
        <v>183074</v>
      </c>
      <c r="E462" s="49" t="s">
        <v>6537</v>
      </c>
      <c r="F462" s="49" t="s">
        <v>4998</v>
      </c>
      <c r="G462" s="49" t="s">
        <v>6538</v>
      </c>
      <c r="H462" s="49" t="s">
        <v>6539</v>
      </c>
      <c r="I462" s="49" t="s">
        <v>6535</v>
      </c>
      <c r="J462" s="316">
        <v>45239</v>
      </c>
      <c r="K462" s="360">
        <v>45240</v>
      </c>
      <c r="L462" s="363" t="s">
        <v>47</v>
      </c>
      <c r="M462" s="317" t="s">
        <v>47</v>
      </c>
      <c r="N462" s="322">
        <v>45240</v>
      </c>
      <c r="O462" s="317" t="s">
        <v>6540</v>
      </c>
      <c r="P462" s="317">
        <v>9</v>
      </c>
      <c r="Q462" s="322">
        <v>45243</v>
      </c>
      <c r="R462" s="365" t="s">
        <v>1686</v>
      </c>
      <c r="S462" s="364">
        <v>45243</v>
      </c>
      <c r="T462" s="364">
        <v>45243</v>
      </c>
      <c r="U462" s="348" t="s">
        <v>4999</v>
      </c>
    </row>
    <row r="463" spans="1:21" ht="25.5" x14ac:dyDescent="0.25">
      <c r="A463" s="49">
        <v>0</v>
      </c>
      <c r="B463" s="49" t="s">
        <v>6541</v>
      </c>
      <c r="C463" s="49" t="s">
        <v>5472</v>
      </c>
      <c r="D463" s="49">
        <v>183099</v>
      </c>
      <c r="E463" s="49" t="s">
        <v>6542</v>
      </c>
      <c r="F463" s="49" t="s">
        <v>4998</v>
      </c>
      <c r="G463" s="49" t="s">
        <v>2711</v>
      </c>
      <c r="H463" s="49" t="s">
        <v>2503</v>
      </c>
      <c r="I463" s="49" t="s">
        <v>2504</v>
      </c>
      <c r="J463" s="316">
        <v>45239</v>
      </c>
      <c r="K463" s="360">
        <v>45254</v>
      </c>
      <c r="L463" s="363" t="s">
        <v>47</v>
      </c>
      <c r="M463" s="317" t="s">
        <v>47</v>
      </c>
      <c r="N463" s="322">
        <v>45240</v>
      </c>
      <c r="O463" s="317" t="s">
        <v>2505</v>
      </c>
      <c r="P463" s="317">
        <v>2</v>
      </c>
      <c r="Q463" s="322">
        <v>45253</v>
      </c>
      <c r="R463" s="365" t="s">
        <v>1686</v>
      </c>
      <c r="S463" s="364">
        <v>45253</v>
      </c>
      <c r="T463" s="364">
        <v>45254</v>
      </c>
      <c r="U463" s="348" t="s">
        <v>4999</v>
      </c>
    </row>
    <row r="464" spans="1:21" ht="25.5" x14ac:dyDescent="0.25">
      <c r="A464" s="49">
        <v>0</v>
      </c>
      <c r="B464" s="49" t="s">
        <v>6543</v>
      </c>
      <c r="C464" s="49" t="s">
        <v>5472</v>
      </c>
      <c r="D464" s="49">
        <v>183100</v>
      </c>
      <c r="E464" s="49" t="s">
        <v>6544</v>
      </c>
      <c r="F464" s="49" t="s">
        <v>4998</v>
      </c>
      <c r="G464" s="49" t="s">
        <v>3312</v>
      </c>
      <c r="H464" s="49" t="s">
        <v>2503</v>
      </c>
      <c r="I464" s="49" t="s">
        <v>2504</v>
      </c>
      <c r="J464" s="316">
        <v>45239</v>
      </c>
      <c r="K464" s="360">
        <v>45254</v>
      </c>
      <c r="L464" s="363" t="s">
        <v>47</v>
      </c>
      <c r="M464" s="317" t="s">
        <v>47</v>
      </c>
      <c r="N464" s="322">
        <v>45240</v>
      </c>
      <c r="O464" s="317" t="s">
        <v>2505</v>
      </c>
      <c r="P464" s="317">
        <v>2</v>
      </c>
      <c r="Q464" s="322">
        <v>45253</v>
      </c>
      <c r="R464" s="365" t="s">
        <v>1686</v>
      </c>
      <c r="S464" s="364">
        <v>45253</v>
      </c>
      <c r="T464" s="364">
        <v>45254</v>
      </c>
      <c r="U464" s="348" t="s">
        <v>4999</v>
      </c>
    </row>
    <row r="465" spans="1:21" ht="25.5" x14ac:dyDescent="0.25">
      <c r="A465" s="49">
        <v>0</v>
      </c>
      <c r="B465" s="49" t="s">
        <v>6545</v>
      </c>
      <c r="C465" s="49" t="s">
        <v>5472</v>
      </c>
      <c r="D465" s="49">
        <v>183101</v>
      </c>
      <c r="E465" s="49" t="s">
        <v>6546</v>
      </c>
      <c r="F465" s="49" t="s">
        <v>4998</v>
      </c>
      <c r="G465" s="49" t="s">
        <v>6547</v>
      </c>
      <c r="H465" s="49" t="s">
        <v>6548</v>
      </c>
      <c r="I465" s="49" t="s">
        <v>2504</v>
      </c>
      <c r="J465" s="316">
        <v>45239</v>
      </c>
      <c r="K465" s="360">
        <v>45254</v>
      </c>
      <c r="L465" s="363" t="s">
        <v>47</v>
      </c>
      <c r="M465" s="317" t="s">
        <v>47</v>
      </c>
      <c r="N465" s="322">
        <v>45240</v>
      </c>
      <c r="O465" s="317" t="s">
        <v>2505</v>
      </c>
      <c r="P465" s="317">
        <v>1</v>
      </c>
      <c r="Q465" s="322">
        <v>45253</v>
      </c>
      <c r="R465" s="365" t="s">
        <v>1686</v>
      </c>
      <c r="S465" s="364">
        <v>45253</v>
      </c>
      <c r="T465" s="364">
        <v>45254</v>
      </c>
      <c r="U465" s="348" t="s">
        <v>4999</v>
      </c>
    </row>
    <row r="466" spans="1:21" x14ac:dyDescent="0.25">
      <c r="A466" s="49">
        <v>0</v>
      </c>
      <c r="B466" s="49" t="s">
        <v>6549</v>
      </c>
      <c r="C466" s="49" t="s">
        <v>6451</v>
      </c>
      <c r="D466" s="49">
        <v>183102</v>
      </c>
      <c r="E466" s="49" t="s">
        <v>6550</v>
      </c>
      <c r="F466" s="49" t="s">
        <v>4998</v>
      </c>
      <c r="G466" s="49" t="s">
        <v>6551</v>
      </c>
      <c r="H466" s="49"/>
      <c r="I466" s="49" t="s">
        <v>6552</v>
      </c>
      <c r="J466" s="49"/>
      <c r="K466" s="361"/>
      <c r="L466" s="363"/>
      <c r="M466" s="317"/>
      <c r="N466" s="317"/>
      <c r="O466" s="317" t="s">
        <v>356</v>
      </c>
      <c r="P466" s="317">
        <v>1</v>
      </c>
      <c r="Q466" s="317"/>
      <c r="R466" s="365"/>
      <c r="S466" s="365"/>
      <c r="T466" s="365"/>
      <c r="U466" s="348"/>
    </row>
    <row r="467" spans="1:21" ht="38.25" x14ac:dyDescent="0.25">
      <c r="A467" s="49">
        <v>0</v>
      </c>
      <c r="B467" s="49" t="s">
        <v>6553</v>
      </c>
      <c r="C467" s="49" t="s">
        <v>1791</v>
      </c>
      <c r="D467" s="49">
        <v>183016</v>
      </c>
      <c r="E467" s="49" t="s">
        <v>6393</v>
      </c>
      <c r="F467" s="49" t="s">
        <v>4998</v>
      </c>
      <c r="G467" s="29" t="s">
        <v>6394</v>
      </c>
      <c r="H467" s="49" t="s">
        <v>2838</v>
      </c>
      <c r="I467" s="49" t="s">
        <v>2618</v>
      </c>
      <c r="J467" s="316">
        <v>45196</v>
      </c>
      <c r="K467" s="360">
        <v>45238</v>
      </c>
      <c r="L467" s="363" t="s">
        <v>47</v>
      </c>
      <c r="M467" s="317" t="s">
        <v>47</v>
      </c>
      <c r="N467" s="322">
        <v>45243</v>
      </c>
      <c r="O467" s="317" t="s">
        <v>6395</v>
      </c>
      <c r="P467" s="317">
        <v>6</v>
      </c>
      <c r="Q467" s="322">
        <v>45244</v>
      </c>
      <c r="R467" s="365" t="s">
        <v>1686</v>
      </c>
      <c r="S467" s="364">
        <v>45244</v>
      </c>
      <c r="T467" s="364">
        <v>45246</v>
      </c>
      <c r="U467" s="348" t="s">
        <v>4999</v>
      </c>
    </row>
    <row r="468" spans="1:21" ht="25.5" x14ac:dyDescent="0.25">
      <c r="A468" s="49">
        <v>0</v>
      </c>
      <c r="B468" s="49" t="s">
        <v>6554</v>
      </c>
      <c r="C468" s="49" t="s">
        <v>6555</v>
      </c>
      <c r="D468" s="400">
        <v>183104</v>
      </c>
      <c r="E468" s="49" t="s">
        <v>6556</v>
      </c>
      <c r="F468" s="49" t="s">
        <v>4998</v>
      </c>
      <c r="G468" s="49" t="s">
        <v>6184</v>
      </c>
      <c r="H468" s="49" t="s">
        <v>6557</v>
      </c>
      <c r="I468" s="49" t="s">
        <v>6558</v>
      </c>
      <c r="J468" s="49"/>
      <c r="K468" s="361"/>
      <c r="L468" s="363" t="s">
        <v>47</v>
      </c>
      <c r="M468" s="317" t="s">
        <v>47</v>
      </c>
      <c r="N468" s="317"/>
      <c r="O468" s="317" t="s">
        <v>6559</v>
      </c>
      <c r="P468" s="317">
        <v>1</v>
      </c>
      <c r="Q468" s="317"/>
      <c r="R468" s="365"/>
      <c r="S468" s="365"/>
      <c r="T468" s="365"/>
      <c r="U468" s="348"/>
    </row>
    <row r="469" spans="1:21" ht="25.5" x14ac:dyDescent="0.25">
      <c r="A469" s="49">
        <v>0</v>
      </c>
      <c r="B469" s="49" t="s">
        <v>6560</v>
      </c>
      <c r="C469" s="49" t="s">
        <v>6555</v>
      </c>
      <c r="D469" s="400">
        <v>183104</v>
      </c>
      <c r="E469" s="49" t="s">
        <v>6561</v>
      </c>
      <c r="F469" s="49" t="s">
        <v>4998</v>
      </c>
      <c r="G469" s="49" t="s">
        <v>6184</v>
      </c>
      <c r="H469" s="49" t="s">
        <v>6562</v>
      </c>
      <c r="I469" s="49" t="s">
        <v>6558</v>
      </c>
      <c r="J469" s="49"/>
      <c r="K469" s="361"/>
      <c r="L469" s="363" t="s">
        <v>47</v>
      </c>
      <c r="M469" s="317" t="s">
        <v>47</v>
      </c>
      <c r="N469" s="317"/>
      <c r="O469" s="317" t="s">
        <v>6563</v>
      </c>
      <c r="P469" s="317">
        <v>1</v>
      </c>
      <c r="Q469" s="317"/>
      <c r="R469" s="365"/>
      <c r="S469" s="365"/>
      <c r="T469" s="365"/>
      <c r="U469" s="348"/>
    </row>
    <row r="470" spans="1:21" ht="25.5" x14ac:dyDescent="0.25">
      <c r="A470" s="49">
        <v>0</v>
      </c>
      <c r="B470" s="49" t="s">
        <v>6564</v>
      </c>
      <c r="C470" s="49" t="s">
        <v>6565</v>
      </c>
      <c r="D470" s="49">
        <v>183106</v>
      </c>
      <c r="E470" s="49" t="s">
        <v>6566</v>
      </c>
      <c r="F470" s="49" t="s">
        <v>4998</v>
      </c>
      <c r="G470" s="49" t="s">
        <v>6567</v>
      </c>
      <c r="H470" s="49" t="s">
        <v>6568</v>
      </c>
      <c r="I470" s="49" t="s">
        <v>6569</v>
      </c>
      <c r="J470" s="316">
        <v>45243</v>
      </c>
      <c r="K470" s="360">
        <v>45243</v>
      </c>
      <c r="L470" s="363" t="s">
        <v>47</v>
      </c>
      <c r="M470" s="317" t="s">
        <v>47</v>
      </c>
      <c r="N470" s="322">
        <v>45244</v>
      </c>
      <c r="O470" s="317" t="s">
        <v>274</v>
      </c>
      <c r="P470" s="317">
        <v>10</v>
      </c>
      <c r="Q470" s="322">
        <v>45251</v>
      </c>
      <c r="R470" s="365" t="s">
        <v>1686</v>
      </c>
      <c r="S470" s="364">
        <v>45251</v>
      </c>
      <c r="T470" s="364">
        <v>45251</v>
      </c>
      <c r="U470" s="348" t="s">
        <v>4999</v>
      </c>
    </row>
    <row r="471" spans="1:21" ht="25.5" x14ac:dyDescent="0.25">
      <c r="A471" s="49">
        <v>0</v>
      </c>
      <c r="B471" s="49" t="s">
        <v>6570</v>
      </c>
      <c r="C471" s="49" t="s">
        <v>2187</v>
      </c>
      <c r="D471" s="49">
        <v>183108</v>
      </c>
      <c r="E471" s="49" t="s">
        <v>6571</v>
      </c>
      <c r="F471" s="49" t="s">
        <v>4998</v>
      </c>
      <c r="G471" s="49"/>
      <c r="H471" s="49" t="s">
        <v>6572</v>
      </c>
      <c r="I471" s="49"/>
      <c r="J471" s="316">
        <v>45243</v>
      </c>
      <c r="K471" s="360">
        <v>45243</v>
      </c>
      <c r="L471" s="363" t="s">
        <v>47</v>
      </c>
      <c r="M471" s="317" t="s">
        <v>47</v>
      </c>
      <c r="N471" s="317"/>
      <c r="O471" s="317" t="s">
        <v>6573</v>
      </c>
      <c r="P471" s="317">
        <v>1</v>
      </c>
      <c r="Q471" s="317"/>
      <c r="R471" s="365"/>
      <c r="S471" s="365"/>
      <c r="T471" s="365"/>
      <c r="U471" s="348"/>
    </row>
    <row r="472" spans="1:21" ht="25.5" x14ac:dyDescent="0.25">
      <c r="A472" s="49">
        <v>0</v>
      </c>
      <c r="B472" s="49" t="s">
        <v>6574</v>
      </c>
      <c r="C472" s="49" t="s">
        <v>6575</v>
      </c>
      <c r="D472" s="49">
        <v>183115</v>
      </c>
      <c r="E472" s="49" t="s">
        <v>6576</v>
      </c>
      <c r="F472" s="49" t="s">
        <v>4998</v>
      </c>
      <c r="G472" s="49" t="s">
        <v>6577</v>
      </c>
      <c r="H472" s="49" t="s">
        <v>6578</v>
      </c>
      <c r="I472" s="49" t="s">
        <v>6579</v>
      </c>
      <c r="J472" s="316">
        <v>45246</v>
      </c>
      <c r="K472" s="360">
        <v>45247</v>
      </c>
      <c r="L472" s="363" t="s">
        <v>47</v>
      </c>
      <c r="M472" s="317" t="s">
        <v>47</v>
      </c>
      <c r="N472" s="322">
        <v>45247</v>
      </c>
      <c r="O472" s="317" t="s">
        <v>3416</v>
      </c>
      <c r="P472" s="317">
        <v>2</v>
      </c>
      <c r="Q472" s="322">
        <v>45251</v>
      </c>
      <c r="R472" s="365" t="s">
        <v>1686</v>
      </c>
      <c r="S472" s="364">
        <v>45251</v>
      </c>
      <c r="T472" s="364">
        <v>45251</v>
      </c>
      <c r="U472" s="348" t="s">
        <v>4999</v>
      </c>
    </row>
    <row r="473" spans="1:21" x14ac:dyDescent="0.25">
      <c r="A473" s="49">
        <v>0</v>
      </c>
      <c r="B473" s="49" t="s">
        <v>6580</v>
      </c>
      <c r="C473" s="49" t="s">
        <v>1680</v>
      </c>
      <c r="D473" s="49">
        <v>183130</v>
      </c>
      <c r="E473" s="49" t="s">
        <v>6581</v>
      </c>
      <c r="F473" s="49" t="s">
        <v>4998</v>
      </c>
      <c r="G473" s="49" t="s">
        <v>141</v>
      </c>
      <c r="H473" s="49" t="s">
        <v>3934</v>
      </c>
      <c r="I473" s="49" t="s">
        <v>143</v>
      </c>
      <c r="J473" s="316">
        <v>45253</v>
      </c>
      <c r="K473" s="360">
        <v>45254</v>
      </c>
      <c r="L473" s="363" t="s">
        <v>28</v>
      </c>
      <c r="M473" s="317" t="s">
        <v>28</v>
      </c>
      <c r="N473" s="317"/>
      <c r="O473" s="317" t="s">
        <v>269</v>
      </c>
      <c r="P473" s="317">
        <v>7</v>
      </c>
      <c r="Q473" s="317"/>
      <c r="R473" s="365"/>
      <c r="S473" s="365"/>
      <c r="T473" s="365"/>
      <c r="U473" s="348"/>
    </row>
    <row r="474" spans="1:21" ht="38.25" x14ac:dyDescent="0.25">
      <c r="A474" s="49">
        <v>0</v>
      </c>
      <c r="B474" s="49" t="s">
        <v>6582</v>
      </c>
      <c r="C474" s="49" t="s">
        <v>5543</v>
      </c>
      <c r="D474" s="49">
        <v>183109</v>
      </c>
      <c r="E474" s="49" t="s">
        <v>6583</v>
      </c>
      <c r="F474" s="49" t="s">
        <v>4998</v>
      </c>
      <c r="G474" s="49" t="s">
        <v>2856</v>
      </c>
      <c r="H474" s="49" t="s">
        <v>6584</v>
      </c>
      <c r="I474" s="49" t="s">
        <v>2858</v>
      </c>
      <c r="J474" s="316">
        <v>45244</v>
      </c>
      <c r="K474" s="360">
        <v>45244</v>
      </c>
      <c r="L474" s="363" t="s">
        <v>47</v>
      </c>
      <c r="M474" s="317" t="s">
        <v>47</v>
      </c>
      <c r="N474" s="322">
        <v>45258</v>
      </c>
      <c r="O474" s="317" t="s">
        <v>2859</v>
      </c>
      <c r="P474" s="317">
        <v>1</v>
      </c>
      <c r="Q474" s="322">
        <v>45303</v>
      </c>
      <c r="R474" s="365" t="s">
        <v>1686</v>
      </c>
      <c r="S474" s="364">
        <v>45303</v>
      </c>
      <c r="T474" s="364">
        <v>45303</v>
      </c>
      <c r="U474" s="348" t="s">
        <v>4999</v>
      </c>
    </row>
    <row r="475" spans="1:21" ht="38.25" x14ac:dyDescent="0.25">
      <c r="A475" s="49">
        <v>0</v>
      </c>
      <c r="B475" s="49" t="s">
        <v>6585</v>
      </c>
      <c r="C475" s="49" t="s">
        <v>5543</v>
      </c>
      <c r="D475" s="49">
        <v>183110</v>
      </c>
      <c r="E475" s="49" t="s">
        <v>6586</v>
      </c>
      <c r="F475" s="49" t="s">
        <v>4998</v>
      </c>
      <c r="G475" s="49" t="s">
        <v>6587</v>
      </c>
      <c r="H475" s="49" t="s">
        <v>6588</v>
      </c>
      <c r="I475" s="49" t="s">
        <v>6419</v>
      </c>
      <c r="J475" s="316">
        <v>45244</v>
      </c>
      <c r="K475" s="360">
        <v>45244</v>
      </c>
      <c r="L475" s="363" t="s">
        <v>47</v>
      </c>
      <c r="M475" s="317" t="s">
        <v>47</v>
      </c>
      <c r="N475" s="322">
        <v>45258</v>
      </c>
      <c r="O475" s="317" t="s">
        <v>6420</v>
      </c>
      <c r="P475" s="317">
        <v>1</v>
      </c>
      <c r="Q475" s="322">
        <v>45303</v>
      </c>
      <c r="R475" s="365" t="s">
        <v>1686</v>
      </c>
      <c r="S475" s="364">
        <v>45303</v>
      </c>
      <c r="T475" s="364">
        <v>45303</v>
      </c>
      <c r="U475" s="348" t="s">
        <v>4999</v>
      </c>
    </row>
    <row r="476" spans="1:21" ht="38.25" x14ac:dyDescent="0.25">
      <c r="A476" s="49">
        <v>0</v>
      </c>
      <c r="B476" s="49" t="s">
        <v>6589</v>
      </c>
      <c r="C476" s="49" t="s">
        <v>5543</v>
      </c>
      <c r="D476" s="49">
        <v>183111</v>
      </c>
      <c r="E476" s="49" t="s">
        <v>6590</v>
      </c>
      <c r="F476" s="49" t="s">
        <v>4998</v>
      </c>
      <c r="G476" s="49" t="s">
        <v>2856</v>
      </c>
      <c r="H476" s="49" t="s">
        <v>6591</v>
      </c>
      <c r="I476" s="49" t="s">
        <v>2858</v>
      </c>
      <c r="J476" s="316">
        <v>45244</v>
      </c>
      <c r="K476" s="360">
        <v>45244</v>
      </c>
      <c r="L476" s="363" t="s">
        <v>47</v>
      </c>
      <c r="M476" s="317" t="s">
        <v>47</v>
      </c>
      <c r="N476" s="322">
        <v>45258</v>
      </c>
      <c r="O476" s="317" t="s">
        <v>2859</v>
      </c>
      <c r="P476" s="317">
        <v>1</v>
      </c>
      <c r="Q476" s="322">
        <v>45303</v>
      </c>
      <c r="R476" s="365" t="s">
        <v>1686</v>
      </c>
      <c r="S476" s="364">
        <v>45303</v>
      </c>
      <c r="T476" s="364">
        <v>45303</v>
      </c>
      <c r="U476" s="348" t="s">
        <v>4999</v>
      </c>
    </row>
    <row r="477" spans="1:21" ht="25.5" x14ac:dyDescent="0.25">
      <c r="A477" s="49">
        <v>0</v>
      </c>
      <c r="B477" s="49" t="s">
        <v>6592</v>
      </c>
      <c r="C477" s="49" t="s">
        <v>2187</v>
      </c>
      <c r="D477" s="49">
        <v>183117</v>
      </c>
      <c r="E477" s="49" t="s">
        <v>6593</v>
      </c>
      <c r="F477" s="49" t="s">
        <v>4998</v>
      </c>
      <c r="G477" s="49" t="s">
        <v>6594</v>
      </c>
      <c r="H477" s="49"/>
      <c r="I477" s="49" t="s">
        <v>6595</v>
      </c>
      <c r="J477" s="49"/>
      <c r="K477" s="361"/>
      <c r="L477" s="363"/>
      <c r="M477" s="317"/>
      <c r="N477" s="317"/>
      <c r="O477" s="317" t="s">
        <v>6596</v>
      </c>
      <c r="P477" s="317"/>
      <c r="Q477" s="317"/>
      <c r="R477" s="365"/>
      <c r="S477" s="365"/>
      <c r="T477" s="365"/>
      <c r="U477" s="348"/>
    </row>
    <row r="478" spans="1:21" ht="25.5" x14ac:dyDescent="0.25">
      <c r="A478" s="49">
        <v>0</v>
      </c>
      <c r="B478" s="49" t="s">
        <v>6597</v>
      </c>
      <c r="C478" s="49" t="s">
        <v>5472</v>
      </c>
      <c r="D478" s="49">
        <v>183119</v>
      </c>
      <c r="E478" s="49" t="s">
        <v>6598</v>
      </c>
      <c r="F478" s="49" t="s">
        <v>4998</v>
      </c>
      <c r="G478" s="49" t="s">
        <v>6599</v>
      </c>
      <c r="H478" s="49" t="s">
        <v>6600</v>
      </c>
      <c r="I478" s="49" t="s">
        <v>6601</v>
      </c>
      <c r="J478" s="316">
        <v>45251</v>
      </c>
      <c r="K478" s="360">
        <v>45254</v>
      </c>
      <c r="L478" s="363" t="s">
        <v>47</v>
      </c>
      <c r="M478" s="317" t="s">
        <v>47</v>
      </c>
      <c r="N478" s="322">
        <v>45240</v>
      </c>
      <c r="O478" s="317" t="s">
        <v>6602</v>
      </c>
      <c r="P478" s="317">
        <v>2</v>
      </c>
      <c r="Q478" s="322">
        <v>45253</v>
      </c>
      <c r="R478" s="365" t="s">
        <v>1686</v>
      </c>
      <c r="S478" s="364">
        <v>45253</v>
      </c>
      <c r="T478" s="364">
        <v>45254</v>
      </c>
      <c r="U478" s="348" t="s">
        <v>4999</v>
      </c>
    </row>
    <row r="479" spans="1:21" ht="25.5" x14ac:dyDescent="0.25">
      <c r="A479" s="49">
        <v>0</v>
      </c>
      <c r="B479" s="49" t="s">
        <v>6603</v>
      </c>
      <c r="C479" s="49" t="s">
        <v>5472</v>
      </c>
      <c r="D479" s="49">
        <v>183120</v>
      </c>
      <c r="E479" s="49" t="s">
        <v>6604</v>
      </c>
      <c r="F479" s="49" t="s">
        <v>4998</v>
      </c>
      <c r="G479" s="49" t="s">
        <v>6599</v>
      </c>
      <c r="H479" s="49" t="s">
        <v>6600</v>
      </c>
      <c r="I479" s="49" t="s">
        <v>6601</v>
      </c>
      <c r="J479" s="316">
        <v>45251</v>
      </c>
      <c r="K479" s="360">
        <v>45254</v>
      </c>
      <c r="L479" s="363" t="s">
        <v>47</v>
      </c>
      <c r="M479" s="317" t="s">
        <v>47</v>
      </c>
      <c r="N479" s="322">
        <v>45240</v>
      </c>
      <c r="O479" s="317" t="s">
        <v>6602</v>
      </c>
      <c r="P479" s="317">
        <v>2</v>
      </c>
      <c r="Q479" s="322">
        <v>45253</v>
      </c>
      <c r="R479" s="365" t="s">
        <v>1686</v>
      </c>
      <c r="S479" s="364">
        <v>45253</v>
      </c>
      <c r="T479" s="364">
        <v>45254</v>
      </c>
      <c r="U479" s="348" t="s">
        <v>4999</v>
      </c>
    </row>
    <row r="480" spans="1:21" ht="25.5" x14ac:dyDescent="0.25">
      <c r="A480" s="49">
        <v>0</v>
      </c>
      <c r="B480" s="49" t="s">
        <v>6605</v>
      </c>
      <c r="C480" s="49" t="s">
        <v>5472</v>
      </c>
      <c r="D480" s="49">
        <v>183121</v>
      </c>
      <c r="E480" s="49" t="s">
        <v>6606</v>
      </c>
      <c r="F480" s="49" t="s">
        <v>4998</v>
      </c>
      <c r="G480" s="49" t="s">
        <v>6599</v>
      </c>
      <c r="H480" s="49" t="s">
        <v>6600</v>
      </c>
      <c r="I480" s="49" t="s">
        <v>6601</v>
      </c>
      <c r="J480" s="316">
        <v>45251</v>
      </c>
      <c r="K480" s="360">
        <v>45254</v>
      </c>
      <c r="L480" s="363" t="s">
        <v>47</v>
      </c>
      <c r="M480" s="317" t="s">
        <v>47</v>
      </c>
      <c r="N480" s="322">
        <v>45240</v>
      </c>
      <c r="O480" s="317" t="s">
        <v>6602</v>
      </c>
      <c r="P480" s="317">
        <v>1</v>
      </c>
      <c r="Q480" s="322">
        <v>45253</v>
      </c>
      <c r="R480" s="365" t="s">
        <v>1686</v>
      </c>
      <c r="S480" s="364">
        <v>45253</v>
      </c>
      <c r="T480" s="364">
        <v>45254</v>
      </c>
      <c r="U480" s="348" t="s">
        <v>4999</v>
      </c>
    </row>
    <row r="481" spans="1:21" x14ac:dyDescent="0.25">
      <c r="A481" s="49">
        <v>0</v>
      </c>
      <c r="B481" s="49" t="s">
        <v>6607</v>
      </c>
      <c r="C481" s="49" t="s">
        <v>5630</v>
      </c>
      <c r="D481" s="49">
        <v>183094</v>
      </c>
      <c r="E481" s="49" t="s">
        <v>6608</v>
      </c>
      <c r="F481" s="49" t="s">
        <v>4998</v>
      </c>
      <c r="G481" s="49" t="s">
        <v>6609</v>
      </c>
      <c r="H481" s="49" t="s">
        <v>6610</v>
      </c>
      <c r="I481" s="49" t="s">
        <v>6611</v>
      </c>
      <c r="J481" s="316">
        <v>45237</v>
      </c>
      <c r="K481" s="360">
        <v>45238</v>
      </c>
      <c r="L481" s="363" t="s">
        <v>47</v>
      </c>
      <c r="M481" s="317" t="s">
        <v>47</v>
      </c>
      <c r="N481" s="322">
        <v>45251</v>
      </c>
      <c r="O481" s="317" t="s">
        <v>6612</v>
      </c>
      <c r="P481" s="317">
        <v>2</v>
      </c>
      <c r="Q481" s="322">
        <v>45258</v>
      </c>
      <c r="R481" s="365" t="s">
        <v>1686</v>
      </c>
      <c r="S481" s="364">
        <v>45258</v>
      </c>
      <c r="T481" s="364">
        <v>45258</v>
      </c>
      <c r="U481" s="348" t="s">
        <v>4999</v>
      </c>
    </row>
    <row r="482" spans="1:21" ht="25.5" x14ac:dyDescent="0.25">
      <c r="A482" s="49">
        <v>0</v>
      </c>
      <c r="B482" s="49" t="s">
        <v>6613</v>
      </c>
      <c r="C482" s="49" t="s">
        <v>1854</v>
      </c>
      <c r="D482" s="49">
        <v>183122</v>
      </c>
      <c r="E482" s="49" t="s">
        <v>6614</v>
      </c>
      <c r="F482" s="49" t="s">
        <v>4998</v>
      </c>
      <c r="G482" s="49" t="s">
        <v>1856</v>
      </c>
      <c r="H482" s="49" t="s">
        <v>6615</v>
      </c>
      <c r="I482" s="49" t="s">
        <v>149</v>
      </c>
      <c r="J482" s="316">
        <v>45251</v>
      </c>
      <c r="K482" s="360">
        <v>45257</v>
      </c>
      <c r="L482" s="363" t="s">
        <v>47</v>
      </c>
      <c r="M482" s="317" t="s">
        <v>47</v>
      </c>
      <c r="N482" s="322">
        <v>45260</v>
      </c>
      <c r="O482" s="317" t="s">
        <v>5539</v>
      </c>
      <c r="P482" s="317">
        <v>12</v>
      </c>
      <c r="Q482" s="322">
        <v>45266</v>
      </c>
      <c r="R482" s="365" t="s">
        <v>1686</v>
      </c>
      <c r="S482" s="364">
        <v>45266</v>
      </c>
      <c r="T482" s="364">
        <v>45266</v>
      </c>
      <c r="U482" s="348" t="s">
        <v>4999</v>
      </c>
    </row>
    <row r="483" spans="1:21" ht="25.5" x14ac:dyDescent="0.25">
      <c r="A483" s="49">
        <v>0</v>
      </c>
      <c r="B483" s="49" t="s">
        <v>6616</v>
      </c>
      <c r="C483" s="49" t="s">
        <v>1820</v>
      </c>
      <c r="D483" s="49">
        <v>183113</v>
      </c>
      <c r="E483" s="49" t="s">
        <v>6617</v>
      </c>
      <c r="F483" s="49" t="s">
        <v>4998</v>
      </c>
      <c r="G483" s="49" t="s">
        <v>427</v>
      </c>
      <c r="H483" s="49" t="s">
        <v>3858</v>
      </c>
      <c r="I483" s="49" t="s">
        <v>588</v>
      </c>
      <c r="J483" s="316">
        <v>45244</v>
      </c>
      <c r="K483" s="360">
        <v>45251</v>
      </c>
      <c r="L483" s="363" t="s">
        <v>28</v>
      </c>
      <c r="M483" s="317" t="s">
        <v>28</v>
      </c>
      <c r="N483" s="322">
        <v>45253</v>
      </c>
      <c r="O483" s="317" t="s">
        <v>430</v>
      </c>
      <c r="P483" s="317">
        <v>1</v>
      </c>
      <c r="Q483" s="322">
        <v>45253</v>
      </c>
      <c r="R483" s="365" t="s">
        <v>1686</v>
      </c>
      <c r="S483" s="364">
        <v>45254</v>
      </c>
      <c r="T483" s="364">
        <v>45254</v>
      </c>
      <c r="U483" s="348" t="s">
        <v>4999</v>
      </c>
    </row>
    <row r="484" spans="1:21" x14ac:dyDescent="0.25">
      <c r="A484" s="49">
        <v>0</v>
      </c>
      <c r="B484" s="49" t="s">
        <v>6618</v>
      </c>
      <c r="C484" s="49" t="s">
        <v>1680</v>
      </c>
      <c r="D484" s="49">
        <v>183051</v>
      </c>
      <c r="E484" s="49" t="s">
        <v>6619</v>
      </c>
      <c r="F484" s="49" t="s">
        <v>4998</v>
      </c>
      <c r="G484" s="49" t="s">
        <v>141</v>
      </c>
      <c r="H484" s="49" t="s">
        <v>6620</v>
      </c>
      <c r="I484" s="49" t="s">
        <v>143</v>
      </c>
      <c r="J484" s="316">
        <v>45212</v>
      </c>
      <c r="K484" s="360">
        <v>45253</v>
      </c>
      <c r="L484" s="363" t="s">
        <v>28</v>
      </c>
      <c r="M484" s="317" t="s">
        <v>28</v>
      </c>
      <c r="N484" s="322">
        <v>45257</v>
      </c>
      <c r="O484" s="317" t="s">
        <v>269</v>
      </c>
      <c r="P484" s="317">
        <v>2</v>
      </c>
      <c r="Q484" s="322">
        <v>45259</v>
      </c>
      <c r="R484" s="365" t="s">
        <v>1686</v>
      </c>
      <c r="S484" s="364">
        <v>45259</v>
      </c>
      <c r="T484" s="364">
        <v>45259</v>
      </c>
      <c r="U484" s="348" t="s">
        <v>4999</v>
      </c>
    </row>
    <row r="485" spans="1:21" x14ac:dyDescent="0.25">
      <c r="A485" s="49">
        <v>0</v>
      </c>
      <c r="B485" s="49" t="s">
        <v>6621</v>
      </c>
      <c r="C485" s="49" t="s">
        <v>5732</v>
      </c>
      <c r="D485" s="49">
        <v>183134</v>
      </c>
      <c r="E485" s="49" t="s">
        <v>6622</v>
      </c>
      <c r="F485" s="49" t="s">
        <v>4998</v>
      </c>
      <c r="G485" s="49" t="s">
        <v>6623</v>
      </c>
      <c r="H485" s="49" t="s">
        <v>6624</v>
      </c>
      <c r="I485" s="49" t="s">
        <v>6258</v>
      </c>
      <c r="J485" s="316">
        <v>45258</v>
      </c>
      <c r="K485" s="360">
        <v>45258</v>
      </c>
      <c r="L485" s="363" t="s">
        <v>47</v>
      </c>
      <c r="M485" s="317" t="s">
        <v>47</v>
      </c>
      <c r="N485" s="322">
        <v>45258</v>
      </c>
      <c r="O485" s="317" t="s">
        <v>6625</v>
      </c>
      <c r="P485" s="317">
        <v>2</v>
      </c>
      <c r="Q485" s="322">
        <v>45265</v>
      </c>
      <c r="R485" s="365" t="s">
        <v>1686</v>
      </c>
      <c r="S485" s="364">
        <v>45265</v>
      </c>
      <c r="T485" s="364">
        <v>45265</v>
      </c>
      <c r="U485" s="348" t="s">
        <v>4999</v>
      </c>
    </row>
    <row r="486" spans="1:21" ht="25.5" x14ac:dyDescent="0.25">
      <c r="A486" s="49">
        <v>0</v>
      </c>
      <c r="B486" s="49" t="s">
        <v>6626</v>
      </c>
      <c r="C486" s="49" t="s">
        <v>5732</v>
      </c>
      <c r="D486" s="49">
        <v>183135</v>
      </c>
      <c r="E486" s="49" t="s">
        <v>6627</v>
      </c>
      <c r="F486" s="49" t="s">
        <v>4998</v>
      </c>
      <c r="G486" s="49" t="s">
        <v>3748</v>
      </c>
      <c r="H486" s="49" t="s">
        <v>6257</v>
      </c>
      <c r="I486" s="49" t="s">
        <v>6258</v>
      </c>
      <c r="J486" s="316">
        <v>45258</v>
      </c>
      <c r="K486" s="360">
        <v>45258</v>
      </c>
      <c r="L486" s="363" t="s">
        <v>47</v>
      </c>
      <c r="M486" s="317" t="s">
        <v>47</v>
      </c>
      <c r="N486" s="322">
        <v>45258</v>
      </c>
      <c r="O486" s="317" t="s">
        <v>3751</v>
      </c>
      <c r="P486" s="317">
        <v>1</v>
      </c>
      <c r="Q486" s="322">
        <v>45260</v>
      </c>
      <c r="R486" s="365" t="s">
        <v>1686</v>
      </c>
      <c r="S486" s="364">
        <v>45260</v>
      </c>
      <c r="T486" s="364">
        <v>45260</v>
      </c>
      <c r="U486" s="348" t="s">
        <v>4999</v>
      </c>
    </row>
    <row r="487" spans="1:21" ht="25.5" x14ac:dyDescent="0.25">
      <c r="A487" s="49">
        <v>0</v>
      </c>
      <c r="B487" s="49" t="s">
        <v>6628</v>
      </c>
      <c r="C487" s="49" t="s">
        <v>1904</v>
      </c>
      <c r="D487" s="49">
        <v>183133</v>
      </c>
      <c r="E487" s="49" t="s">
        <v>6629</v>
      </c>
      <c r="F487" s="49" t="s">
        <v>4998</v>
      </c>
      <c r="G487" s="49" t="s">
        <v>6630</v>
      </c>
      <c r="H487" s="49" t="s">
        <v>6631</v>
      </c>
      <c r="I487" s="49" t="s">
        <v>1902</v>
      </c>
      <c r="J487" s="316">
        <v>45259</v>
      </c>
      <c r="K487" s="360">
        <v>45261</v>
      </c>
      <c r="L487" s="363" t="s">
        <v>28</v>
      </c>
      <c r="M487" s="317" t="s">
        <v>28</v>
      </c>
      <c r="N487" s="322">
        <v>45274</v>
      </c>
      <c r="O487" s="317" t="s">
        <v>6632</v>
      </c>
      <c r="P487" s="317">
        <v>3</v>
      </c>
      <c r="Q487" s="322">
        <v>45274</v>
      </c>
      <c r="R487" s="365" t="s">
        <v>1686</v>
      </c>
      <c r="S487" s="364">
        <v>45274</v>
      </c>
      <c r="T487" s="364">
        <v>45275</v>
      </c>
      <c r="U487" s="348" t="s">
        <v>4999</v>
      </c>
    </row>
    <row r="488" spans="1:21" ht="25.5" x14ac:dyDescent="0.25">
      <c r="A488" s="49">
        <v>0</v>
      </c>
      <c r="B488" s="49" t="s">
        <v>6633</v>
      </c>
      <c r="C488" s="49" t="s">
        <v>6523</v>
      </c>
      <c r="D488" s="49">
        <v>183136</v>
      </c>
      <c r="E488" s="49" t="s">
        <v>6634</v>
      </c>
      <c r="F488" s="49" t="s">
        <v>4998</v>
      </c>
      <c r="G488" s="49" t="s">
        <v>1909</v>
      </c>
      <c r="H488" s="49" t="s">
        <v>1910</v>
      </c>
      <c r="I488" s="49" t="s">
        <v>1902</v>
      </c>
      <c r="J488" s="316">
        <v>45259</v>
      </c>
      <c r="K488" s="360">
        <v>45261</v>
      </c>
      <c r="L488" s="363" t="s">
        <v>28</v>
      </c>
      <c r="M488" s="317" t="s">
        <v>28</v>
      </c>
      <c r="N488" s="322">
        <v>45274</v>
      </c>
      <c r="O488" s="317" t="s">
        <v>1911</v>
      </c>
      <c r="P488" s="317">
        <v>20</v>
      </c>
      <c r="Q488" s="322">
        <v>45274</v>
      </c>
      <c r="R488" s="365" t="s">
        <v>1686</v>
      </c>
      <c r="S488" s="364">
        <v>45274</v>
      </c>
      <c r="T488" s="364">
        <v>45275</v>
      </c>
      <c r="U488" s="348" t="s">
        <v>4999</v>
      </c>
    </row>
    <row r="489" spans="1:21" x14ac:dyDescent="0.25">
      <c r="A489" s="49">
        <v>0</v>
      </c>
      <c r="B489" s="49" t="s">
        <v>6635</v>
      </c>
      <c r="C489" s="49" t="s">
        <v>6636</v>
      </c>
      <c r="D489" s="49">
        <v>183137</v>
      </c>
      <c r="E489" s="49" t="s">
        <v>6637</v>
      </c>
      <c r="F489" s="49" t="s">
        <v>4998</v>
      </c>
      <c r="G489" s="49" t="s">
        <v>2119</v>
      </c>
      <c r="H489" s="49" t="s">
        <v>6638</v>
      </c>
      <c r="I489" s="49" t="s">
        <v>6639</v>
      </c>
      <c r="J489" s="316">
        <v>45254</v>
      </c>
      <c r="K489" s="360">
        <v>45265</v>
      </c>
      <c r="L489" s="363" t="s">
        <v>28</v>
      </c>
      <c r="M489" s="317" t="s">
        <v>28</v>
      </c>
      <c r="N489" s="322">
        <v>45274</v>
      </c>
      <c r="O489" s="317" t="s">
        <v>2122</v>
      </c>
      <c r="P489" s="317">
        <v>2</v>
      </c>
      <c r="Q489" s="322">
        <v>45281</v>
      </c>
      <c r="R489" s="365" t="s">
        <v>1686</v>
      </c>
      <c r="S489" s="364">
        <v>45282</v>
      </c>
      <c r="T489" s="364">
        <v>45286</v>
      </c>
      <c r="U489" s="348" t="s">
        <v>4999</v>
      </c>
    </row>
    <row r="490" spans="1:21" ht="25.5" x14ac:dyDescent="0.25">
      <c r="A490" s="49">
        <v>0</v>
      </c>
      <c r="B490" s="49" t="s">
        <v>6640</v>
      </c>
      <c r="C490" s="49" t="s">
        <v>1904</v>
      </c>
      <c r="D490" s="49">
        <v>183138</v>
      </c>
      <c r="E490" s="49" t="s">
        <v>6641</v>
      </c>
      <c r="F490" s="49" t="s">
        <v>4998</v>
      </c>
      <c r="G490" s="49" t="s">
        <v>1909</v>
      </c>
      <c r="H490" s="49" t="s">
        <v>1910</v>
      </c>
      <c r="I490" s="49" t="s">
        <v>1902</v>
      </c>
      <c r="J490" s="316">
        <v>45259</v>
      </c>
      <c r="K490" s="360">
        <v>45261</v>
      </c>
      <c r="L490" s="363" t="s">
        <v>28</v>
      </c>
      <c r="M490" s="317" t="s">
        <v>28</v>
      </c>
      <c r="N490" s="322">
        <v>45274</v>
      </c>
      <c r="O490" s="317" t="s">
        <v>1911</v>
      </c>
      <c r="P490" s="317">
        <v>20</v>
      </c>
      <c r="Q490" s="322">
        <v>45274</v>
      </c>
      <c r="R490" s="365" t="s">
        <v>1686</v>
      </c>
      <c r="S490" s="364">
        <v>45274</v>
      </c>
      <c r="T490" s="364">
        <v>45275</v>
      </c>
      <c r="U490" s="348" t="s">
        <v>4999</v>
      </c>
    </row>
    <row r="491" spans="1:21" x14ac:dyDescent="0.25">
      <c r="A491" s="49">
        <v>0</v>
      </c>
      <c r="B491" s="49" t="s">
        <v>6642</v>
      </c>
      <c r="C491" s="49" t="s">
        <v>6636</v>
      </c>
      <c r="D491" s="49">
        <v>183145</v>
      </c>
      <c r="E491" s="49" t="s">
        <v>6643</v>
      </c>
      <c r="F491" s="49" t="s">
        <v>4998</v>
      </c>
      <c r="G491" s="49" t="s">
        <v>2119</v>
      </c>
      <c r="H491" s="49" t="s">
        <v>6644</v>
      </c>
      <c r="I491" s="49" t="s">
        <v>6639</v>
      </c>
      <c r="J491" s="316">
        <v>45273</v>
      </c>
      <c r="K491" s="360">
        <v>45289</v>
      </c>
      <c r="L491" s="363" t="s">
        <v>28</v>
      </c>
      <c r="M491" s="317" t="s">
        <v>28</v>
      </c>
      <c r="N491" s="322">
        <v>45278</v>
      </c>
      <c r="O491" s="317" t="s">
        <v>2122</v>
      </c>
      <c r="P491" s="317">
        <v>20</v>
      </c>
      <c r="Q491" s="322">
        <v>45294</v>
      </c>
      <c r="R491" s="365" t="s">
        <v>1686</v>
      </c>
      <c r="S491" s="364">
        <v>45294</v>
      </c>
      <c r="T491" s="364">
        <v>45294</v>
      </c>
      <c r="U491" s="348" t="s">
        <v>4999</v>
      </c>
    </row>
    <row r="492" spans="1:21" x14ac:dyDescent="0.25">
      <c r="A492" s="49">
        <v>0</v>
      </c>
      <c r="B492" s="49" t="s">
        <v>6645</v>
      </c>
      <c r="C492" s="49" t="s">
        <v>1680</v>
      </c>
      <c r="D492" s="49">
        <v>183146</v>
      </c>
      <c r="E492" s="49" t="s">
        <v>6646</v>
      </c>
      <c r="F492" s="49" t="s">
        <v>4998</v>
      </c>
      <c r="G492" s="49" t="s">
        <v>1682</v>
      </c>
      <c r="H492" s="49" t="s">
        <v>1683</v>
      </c>
      <c r="I492" s="49" t="s">
        <v>1684</v>
      </c>
      <c r="J492" s="316">
        <v>45264</v>
      </c>
      <c r="K492" s="360">
        <v>45271</v>
      </c>
      <c r="L492" s="363" t="s">
        <v>28</v>
      </c>
      <c r="M492" s="317" t="s">
        <v>28</v>
      </c>
      <c r="N492" s="322">
        <v>45296</v>
      </c>
      <c r="O492" s="317" t="s">
        <v>6647</v>
      </c>
      <c r="P492" s="317">
        <v>5</v>
      </c>
      <c r="Q492" s="322">
        <v>45299</v>
      </c>
      <c r="R492" s="365" t="s">
        <v>1686</v>
      </c>
      <c r="S492" s="364">
        <v>45299</v>
      </c>
      <c r="T492" s="364">
        <v>45299</v>
      </c>
      <c r="U492" s="348" t="s">
        <v>4999</v>
      </c>
    </row>
    <row r="493" spans="1:21" ht="25.5" x14ac:dyDescent="0.25">
      <c r="A493" s="49">
        <v>0</v>
      </c>
      <c r="B493" s="49" t="s">
        <v>6648</v>
      </c>
      <c r="C493" s="49" t="s">
        <v>5001</v>
      </c>
      <c r="D493" s="49">
        <v>183112</v>
      </c>
      <c r="E493" s="49" t="s">
        <v>6649</v>
      </c>
      <c r="F493" s="49" t="s">
        <v>4998</v>
      </c>
      <c r="G493" s="49" t="s">
        <v>5698</v>
      </c>
      <c r="H493" s="49" t="s">
        <v>6650</v>
      </c>
      <c r="I493" s="49" t="s">
        <v>160</v>
      </c>
      <c r="J493" s="316">
        <v>45244</v>
      </c>
      <c r="K493" s="360">
        <v>45244</v>
      </c>
      <c r="L493" s="363" t="s">
        <v>47</v>
      </c>
      <c r="M493" s="317" t="s">
        <v>47</v>
      </c>
      <c r="N493" s="322">
        <v>45301</v>
      </c>
      <c r="O493" s="366" t="s">
        <v>274</v>
      </c>
      <c r="P493" s="317">
        <v>10</v>
      </c>
      <c r="Q493" s="322">
        <v>45302</v>
      </c>
      <c r="R493" s="365" t="s">
        <v>1686</v>
      </c>
      <c r="S493" s="364">
        <v>45302</v>
      </c>
      <c r="T493" s="364">
        <v>45302</v>
      </c>
      <c r="U493" s="348" t="s">
        <v>4999</v>
      </c>
    </row>
    <row r="494" spans="1:21" x14ac:dyDescent="0.25">
      <c r="A494" s="49">
        <v>0</v>
      </c>
      <c r="B494" s="49" t="s">
        <v>6651</v>
      </c>
      <c r="C494" s="49" t="s">
        <v>6652</v>
      </c>
      <c r="D494" s="49">
        <v>183266</v>
      </c>
      <c r="E494" s="49" t="s">
        <v>6653</v>
      </c>
      <c r="F494" s="49" t="s">
        <v>4998</v>
      </c>
      <c r="G494" s="49" t="s">
        <v>6654</v>
      </c>
      <c r="H494" s="49" t="s">
        <v>6655</v>
      </c>
      <c r="I494" s="49" t="s">
        <v>555</v>
      </c>
      <c r="J494" s="316">
        <v>45266</v>
      </c>
      <c r="K494" s="360">
        <v>45271</v>
      </c>
      <c r="L494" s="363" t="s">
        <v>28</v>
      </c>
      <c r="M494" s="317" t="s">
        <v>28</v>
      </c>
      <c r="N494" s="322">
        <v>45272</v>
      </c>
      <c r="O494" s="317" t="s">
        <v>6656</v>
      </c>
      <c r="P494" s="317">
        <v>10</v>
      </c>
      <c r="Q494" s="322">
        <v>45272</v>
      </c>
      <c r="R494" s="365" t="s">
        <v>1686</v>
      </c>
      <c r="S494" s="364">
        <v>45273</v>
      </c>
      <c r="T494" s="364">
        <v>45273</v>
      </c>
      <c r="U494" s="348" t="s">
        <v>4999</v>
      </c>
    </row>
    <row r="495" spans="1:21" ht="25.5" x14ac:dyDescent="0.25">
      <c r="A495" s="49">
        <v>0</v>
      </c>
      <c r="B495" s="49" t="s">
        <v>6657</v>
      </c>
      <c r="C495" s="49" t="s">
        <v>2187</v>
      </c>
      <c r="D495" s="49">
        <v>183267</v>
      </c>
      <c r="E495" s="49" t="s">
        <v>6658</v>
      </c>
      <c r="F495" s="49" t="s">
        <v>4998</v>
      </c>
      <c r="G495" s="49" t="s">
        <v>3382</v>
      </c>
      <c r="H495" s="49" t="s">
        <v>3403</v>
      </c>
      <c r="I495" s="49" t="s">
        <v>6659</v>
      </c>
      <c r="J495" s="49"/>
      <c r="K495" s="361"/>
      <c r="L495" s="363" t="s">
        <v>47</v>
      </c>
      <c r="M495" s="317" t="s">
        <v>47</v>
      </c>
      <c r="N495" s="317"/>
      <c r="O495" s="317" t="s">
        <v>6660</v>
      </c>
      <c r="P495" s="317">
        <v>1</v>
      </c>
      <c r="Q495" s="322">
        <v>45362</v>
      </c>
      <c r="R495" s="365" t="s">
        <v>264</v>
      </c>
      <c r="S495" s="364">
        <v>45363</v>
      </c>
      <c r="T495" s="364">
        <v>45363</v>
      </c>
      <c r="U495" s="348"/>
    </row>
    <row r="496" spans="1:21" x14ac:dyDescent="0.25">
      <c r="A496" s="49">
        <v>0</v>
      </c>
      <c r="B496" s="49" t="s">
        <v>6661</v>
      </c>
      <c r="C496" s="400" t="s">
        <v>6662</v>
      </c>
      <c r="D496" s="49">
        <v>183272</v>
      </c>
      <c r="E496" s="49" t="s">
        <v>6663</v>
      </c>
      <c r="F496" s="49" t="s">
        <v>4998</v>
      </c>
      <c r="G496" s="49" t="s">
        <v>6184</v>
      </c>
      <c r="H496" s="49" t="s">
        <v>6664</v>
      </c>
      <c r="I496" s="49" t="s">
        <v>6665</v>
      </c>
      <c r="J496" s="49"/>
      <c r="K496" s="361"/>
      <c r="L496" s="363"/>
      <c r="M496" s="317"/>
      <c r="N496" s="317"/>
      <c r="O496" s="317"/>
      <c r="P496" s="317"/>
      <c r="Q496" s="317"/>
      <c r="R496" s="365"/>
      <c r="S496" s="365"/>
      <c r="T496" s="365"/>
      <c r="U496" s="348"/>
    </row>
    <row r="497" spans="1:21" x14ac:dyDescent="0.25">
      <c r="A497" s="49">
        <v>0</v>
      </c>
      <c r="B497" s="49" t="s">
        <v>6666</v>
      </c>
      <c r="C497" s="400" t="s">
        <v>6662</v>
      </c>
      <c r="D497" s="49">
        <v>183273</v>
      </c>
      <c r="E497" s="49" t="s">
        <v>6667</v>
      </c>
      <c r="F497" s="49" t="s">
        <v>4998</v>
      </c>
      <c r="G497" s="49" t="s">
        <v>6184</v>
      </c>
      <c r="H497" s="49" t="s">
        <v>6664</v>
      </c>
      <c r="I497" s="49" t="s">
        <v>6665</v>
      </c>
      <c r="J497" s="49"/>
      <c r="K497" s="361"/>
      <c r="L497" s="363"/>
      <c r="M497" s="317"/>
      <c r="N497" s="317"/>
      <c r="O497" s="317"/>
      <c r="P497" s="317"/>
      <c r="Q497" s="317"/>
      <c r="R497" s="365"/>
      <c r="S497" s="365"/>
      <c r="T497" s="365"/>
      <c r="U497" s="348"/>
    </row>
    <row r="498" spans="1:21" x14ac:dyDescent="0.25">
      <c r="A498" s="49">
        <v>0</v>
      </c>
      <c r="B498" s="49" t="s">
        <v>6668</v>
      </c>
      <c r="C498" s="400" t="s">
        <v>6669</v>
      </c>
      <c r="D498" s="49">
        <v>183274</v>
      </c>
      <c r="E498" s="49" t="s">
        <v>6670</v>
      </c>
      <c r="F498" s="49" t="s">
        <v>4998</v>
      </c>
      <c r="G498" s="49" t="s">
        <v>6184</v>
      </c>
      <c r="H498" s="49" t="s">
        <v>6664</v>
      </c>
      <c r="I498" s="49" t="s">
        <v>6665</v>
      </c>
      <c r="J498" s="49"/>
      <c r="K498" s="361"/>
      <c r="L498" s="363"/>
      <c r="M498" s="317"/>
      <c r="N498" s="317"/>
      <c r="O498" s="317"/>
      <c r="P498" s="317"/>
      <c r="Q498" s="317"/>
      <c r="R498" s="365"/>
      <c r="S498" s="365"/>
      <c r="T498" s="365"/>
      <c r="U498" s="348"/>
    </row>
    <row r="499" spans="1:21" ht="25.5" x14ac:dyDescent="0.25">
      <c r="A499" s="49">
        <v>0</v>
      </c>
      <c r="B499" s="49" t="s">
        <v>6671</v>
      </c>
      <c r="C499" s="49" t="s">
        <v>6368</v>
      </c>
      <c r="D499" s="49">
        <v>183275</v>
      </c>
      <c r="E499" s="49" t="s">
        <v>6672</v>
      </c>
      <c r="F499" s="49" t="s">
        <v>4998</v>
      </c>
      <c r="G499" s="49" t="s">
        <v>547</v>
      </c>
      <c r="H499" s="49" t="s">
        <v>6673</v>
      </c>
      <c r="I499" s="49" t="s">
        <v>120</v>
      </c>
      <c r="J499" s="316">
        <v>45267</v>
      </c>
      <c r="K499" s="360">
        <v>45272</v>
      </c>
      <c r="L499" s="363" t="s">
        <v>28</v>
      </c>
      <c r="M499" s="317" t="s">
        <v>28</v>
      </c>
      <c r="N499" s="322">
        <v>45272</v>
      </c>
      <c r="O499" s="317" t="s">
        <v>549</v>
      </c>
      <c r="P499" s="317">
        <v>6</v>
      </c>
      <c r="Q499" s="322">
        <v>45273</v>
      </c>
      <c r="R499" s="365" t="s">
        <v>1686</v>
      </c>
      <c r="S499" s="364">
        <v>45273</v>
      </c>
      <c r="T499" s="364">
        <v>45273</v>
      </c>
      <c r="U499" s="348" t="s">
        <v>4999</v>
      </c>
    </row>
    <row r="500" spans="1:21" x14ac:dyDescent="0.25">
      <c r="A500" s="49">
        <v>0</v>
      </c>
      <c r="B500" s="49" t="s">
        <v>6674</v>
      </c>
      <c r="C500" s="49" t="s">
        <v>1680</v>
      </c>
      <c r="D500" s="49">
        <v>183277</v>
      </c>
      <c r="E500" s="49" t="s">
        <v>6675</v>
      </c>
      <c r="F500" s="49" t="s">
        <v>4998</v>
      </c>
      <c r="G500" s="49" t="s">
        <v>6676</v>
      </c>
      <c r="H500" s="49">
        <v>7200</v>
      </c>
      <c r="I500" s="49" t="s">
        <v>1684</v>
      </c>
      <c r="J500" s="316">
        <v>45268</v>
      </c>
      <c r="K500" s="360">
        <v>45275</v>
      </c>
      <c r="L500" s="363" t="s">
        <v>47</v>
      </c>
      <c r="M500" s="317" t="s">
        <v>47</v>
      </c>
      <c r="N500" s="322">
        <v>45302</v>
      </c>
      <c r="O500" s="317" t="s">
        <v>6677</v>
      </c>
      <c r="P500" s="317">
        <v>2</v>
      </c>
      <c r="Q500" s="322">
        <v>45303</v>
      </c>
      <c r="R500" s="365" t="s">
        <v>1686</v>
      </c>
      <c r="S500" s="364">
        <v>45303</v>
      </c>
      <c r="T500" s="364">
        <v>45303</v>
      </c>
      <c r="U500" s="348" t="s">
        <v>4999</v>
      </c>
    </row>
    <row r="501" spans="1:21" ht="38.25" x14ac:dyDescent="0.25">
      <c r="A501" s="49">
        <v>0</v>
      </c>
      <c r="B501" s="49" t="s">
        <v>6678</v>
      </c>
      <c r="C501" s="49" t="s">
        <v>1680</v>
      </c>
      <c r="D501" s="49">
        <v>183278</v>
      </c>
      <c r="E501" s="49" t="s">
        <v>6679</v>
      </c>
      <c r="F501" s="49" t="s">
        <v>4998</v>
      </c>
      <c r="G501" s="49" t="s">
        <v>6680</v>
      </c>
      <c r="H501" s="49" t="s">
        <v>6681</v>
      </c>
      <c r="I501" s="49" t="s">
        <v>240</v>
      </c>
      <c r="J501" s="316">
        <v>45268</v>
      </c>
      <c r="K501" s="360">
        <v>45271</v>
      </c>
      <c r="L501" s="363" t="s">
        <v>28</v>
      </c>
      <c r="M501" s="317" t="s">
        <v>28</v>
      </c>
      <c r="N501" s="322">
        <v>45274</v>
      </c>
      <c r="O501" s="317" t="s">
        <v>6682</v>
      </c>
      <c r="P501" s="317">
        <v>1</v>
      </c>
      <c r="Q501" s="322">
        <v>45275</v>
      </c>
      <c r="R501" s="365" t="s">
        <v>1686</v>
      </c>
      <c r="S501" s="364">
        <v>45278</v>
      </c>
      <c r="T501" s="364">
        <v>45278</v>
      </c>
      <c r="U501" s="348" t="s">
        <v>4999</v>
      </c>
    </row>
    <row r="502" spans="1:21" x14ac:dyDescent="0.25">
      <c r="A502" s="49">
        <v>0</v>
      </c>
      <c r="B502" s="49" t="s">
        <v>6683</v>
      </c>
      <c r="C502" s="49" t="s">
        <v>1680</v>
      </c>
      <c r="D502" s="49">
        <v>183279</v>
      </c>
      <c r="E502" s="49" t="s">
        <v>6684</v>
      </c>
      <c r="F502" s="49" t="s">
        <v>4998</v>
      </c>
      <c r="G502" s="49" t="s">
        <v>6630</v>
      </c>
      <c r="H502" s="49" t="s">
        <v>6685</v>
      </c>
      <c r="I502" s="49" t="s">
        <v>127</v>
      </c>
      <c r="J502" s="316">
        <v>45268</v>
      </c>
      <c r="K502" s="360">
        <v>45271</v>
      </c>
      <c r="L502" s="363" t="s">
        <v>28</v>
      </c>
      <c r="M502" s="317" t="s">
        <v>28</v>
      </c>
      <c r="N502" s="322">
        <v>45278</v>
      </c>
      <c r="O502" s="317" t="s">
        <v>6686</v>
      </c>
      <c r="P502" s="317">
        <v>3</v>
      </c>
      <c r="Q502" s="322">
        <v>45278</v>
      </c>
      <c r="R502" s="365" t="s">
        <v>1686</v>
      </c>
      <c r="S502" s="364">
        <v>45278</v>
      </c>
      <c r="T502" s="364">
        <v>45279</v>
      </c>
      <c r="U502" s="348" t="s">
        <v>4999</v>
      </c>
    </row>
    <row r="503" spans="1:21" x14ac:dyDescent="0.25">
      <c r="A503" s="49">
        <v>0</v>
      </c>
      <c r="B503" s="49" t="s">
        <v>6687</v>
      </c>
      <c r="C503" s="400" t="s">
        <v>5901</v>
      </c>
      <c r="D503" s="49">
        <v>183282</v>
      </c>
      <c r="E503" s="49" t="s">
        <v>6688</v>
      </c>
      <c r="F503" s="49" t="s">
        <v>4998</v>
      </c>
      <c r="G503" s="49" t="s">
        <v>6689</v>
      </c>
      <c r="H503" s="49" t="s">
        <v>6690</v>
      </c>
      <c r="I503" s="49" t="s">
        <v>6691</v>
      </c>
      <c r="J503" s="316">
        <v>45268</v>
      </c>
      <c r="K503" s="361"/>
      <c r="L503" s="363"/>
      <c r="M503" s="317"/>
      <c r="N503" s="317"/>
      <c r="O503" s="317" t="s">
        <v>6692</v>
      </c>
      <c r="P503" s="317">
        <v>3</v>
      </c>
      <c r="Q503" s="317"/>
      <c r="R503" s="365"/>
      <c r="S503" s="365"/>
      <c r="T503" s="365"/>
      <c r="U503" s="348"/>
    </row>
    <row r="504" spans="1:21" x14ac:dyDescent="0.25">
      <c r="A504" s="49">
        <v>0</v>
      </c>
      <c r="B504" s="49" t="s">
        <v>6693</v>
      </c>
      <c r="C504" s="49" t="s">
        <v>1680</v>
      </c>
      <c r="D504" s="49">
        <v>183283</v>
      </c>
      <c r="E504" s="49" t="s">
        <v>6694</v>
      </c>
      <c r="F504" s="49" t="s">
        <v>4998</v>
      </c>
      <c r="G504" s="49" t="s">
        <v>141</v>
      </c>
      <c r="H504" s="49" t="s">
        <v>3934</v>
      </c>
      <c r="I504" s="49" t="s">
        <v>143</v>
      </c>
      <c r="J504" s="316">
        <v>45268</v>
      </c>
      <c r="K504" s="360">
        <v>45317</v>
      </c>
      <c r="L504" s="363" t="s">
        <v>47</v>
      </c>
      <c r="M504" s="317" t="s">
        <v>47</v>
      </c>
      <c r="N504" s="322">
        <v>45322</v>
      </c>
      <c r="O504" s="317" t="s">
        <v>269</v>
      </c>
      <c r="P504" s="317">
        <v>2</v>
      </c>
      <c r="Q504" s="322">
        <v>45327</v>
      </c>
      <c r="R504" s="365" t="s">
        <v>264</v>
      </c>
      <c r="S504" s="364">
        <v>45327</v>
      </c>
      <c r="T504" s="364">
        <v>45327</v>
      </c>
      <c r="U504" s="348" t="s">
        <v>4999</v>
      </c>
    </row>
    <row r="505" spans="1:21" ht="25.5" x14ac:dyDescent="0.25">
      <c r="A505" s="49">
        <v>0</v>
      </c>
      <c r="B505" s="49" t="s">
        <v>6695</v>
      </c>
      <c r="C505" s="49" t="s">
        <v>6652</v>
      </c>
      <c r="D505" s="49">
        <v>183284</v>
      </c>
      <c r="E505" s="49" t="s">
        <v>6696</v>
      </c>
      <c r="F505" s="49" t="s">
        <v>4998</v>
      </c>
      <c r="G505" s="49" t="s">
        <v>2766</v>
      </c>
      <c r="H505" s="49" t="s">
        <v>6697</v>
      </c>
      <c r="I505" s="49" t="s">
        <v>555</v>
      </c>
      <c r="J505" s="316">
        <v>45271</v>
      </c>
      <c r="K505" s="360">
        <v>45273</v>
      </c>
      <c r="L505" s="363" t="s">
        <v>28</v>
      </c>
      <c r="M505" s="317" t="s">
        <v>28</v>
      </c>
      <c r="N505" s="322">
        <v>45272</v>
      </c>
      <c r="O505" s="317" t="s">
        <v>556</v>
      </c>
      <c r="P505" s="317">
        <v>14</v>
      </c>
      <c r="Q505" s="322">
        <v>45273</v>
      </c>
      <c r="R505" s="365" t="s">
        <v>1686</v>
      </c>
      <c r="S505" s="364">
        <v>45274</v>
      </c>
      <c r="T505" s="364">
        <v>45274</v>
      </c>
      <c r="U505" s="348" t="s">
        <v>4999</v>
      </c>
    </row>
    <row r="506" spans="1:21" x14ac:dyDescent="0.25">
      <c r="A506" s="49">
        <v>0</v>
      </c>
      <c r="B506" s="49" t="s">
        <v>6698</v>
      </c>
      <c r="C506" s="49" t="s">
        <v>5867</v>
      </c>
      <c r="D506" s="49">
        <v>183287</v>
      </c>
      <c r="E506" s="49" t="s">
        <v>6699</v>
      </c>
      <c r="F506" s="49" t="s">
        <v>4998</v>
      </c>
      <c r="G506" s="49" t="s">
        <v>2032</v>
      </c>
      <c r="H506" s="49" t="s">
        <v>6700</v>
      </c>
      <c r="I506" s="49" t="s">
        <v>6701</v>
      </c>
      <c r="J506" s="316">
        <v>45272</v>
      </c>
      <c r="K506" s="360">
        <v>45273</v>
      </c>
      <c r="L506" s="363" t="s">
        <v>28</v>
      </c>
      <c r="M506" s="317" t="s">
        <v>28</v>
      </c>
      <c r="N506" s="322">
        <v>45273</v>
      </c>
      <c r="O506" s="317" t="s">
        <v>6702</v>
      </c>
      <c r="P506" s="317">
        <v>1</v>
      </c>
      <c r="Q506" s="317"/>
      <c r="R506" s="365"/>
      <c r="S506" s="365"/>
      <c r="T506" s="365"/>
      <c r="U506" s="348"/>
    </row>
    <row r="507" spans="1:21" ht="25.5" x14ac:dyDescent="0.25">
      <c r="A507" s="49">
        <v>0</v>
      </c>
      <c r="B507" s="49" t="s">
        <v>6703</v>
      </c>
      <c r="C507" s="49" t="s">
        <v>6704</v>
      </c>
      <c r="D507" s="49">
        <v>183289</v>
      </c>
      <c r="E507" s="49" t="s">
        <v>6705</v>
      </c>
      <c r="F507" s="49" t="s">
        <v>4998</v>
      </c>
      <c r="G507" s="49" t="s">
        <v>6706</v>
      </c>
      <c r="H507" s="49">
        <v>2690</v>
      </c>
      <c r="I507" s="49" t="s">
        <v>3232</v>
      </c>
      <c r="J507" s="316">
        <v>45273</v>
      </c>
      <c r="K507" s="316">
        <v>45273</v>
      </c>
      <c r="L507" s="363" t="s">
        <v>28</v>
      </c>
      <c r="M507" s="317" t="s">
        <v>28</v>
      </c>
      <c r="N507" s="322">
        <v>45280</v>
      </c>
      <c r="O507" s="317" t="s">
        <v>6707</v>
      </c>
      <c r="P507" s="317">
        <v>20</v>
      </c>
      <c r="Q507" s="317" t="s">
        <v>6708</v>
      </c>
      <c r="R507" s="365" t="s">
        <v>1686</v>
      </c>
      <c r="S507" s="364">
        <v>45281</v>
      </c>
      <c r="T507" s="364">
        <v>45281</v>
      </c>
      <c r="U507" s="348" t="s">
        <v>4999</v>
      </c>
    </row>
    <row r="508" spans="1:21" x14ac:dyDescent="0.25">
      <c r="A508" s="49">
        <v>0</v>
      </c>
      <c r="B508" s="49" t="s">
        <v>6709</v>
      </c>
      <c r="C508" s="49" t="s">
        <v>6710</v>
      </c>
      <c r="D508" s="49">
        <v>183290</v>
      </c>
      <c r="E508" s="49" t="s">
        <v>6711</v>
      </c>
      <c r="F508" s="49" t="s">
        <v>4998</v>
      </c>
      <c r="G508" s="49" t="s">
        <v>6706</v>
      </c>
      <c r="H508" s="49">
        <v>2690</v>
      </c>
      <c r="I508" s="49" t="s">
        <v>3232</v>
      </c>
      <c r="J508" s="316">
        <v>45273</v>
      </c>
      <c r="K508" s="316">
        <v>45273</v>
      </c>
      <c r="L508" s="363" t="s">
        <v>28</v>
      </c>
      <c r="M508" s="317" t="s">
        <v>28</v>
      </c>
      <c r="N508" s="322">
        <v>45280</v>
      </c>
      <c r="O508" s="317" t="s">
        <v>6707</v>
      </c>
      <c r="P508" s="317">
        <v>20</v>
      </c>
      <c r="Q508" s="322">
        <v>45280</v>
      </c>
      <c r="R508" s="365" t="s">
        <v>1686</v>
      </c>
      <c r="S508" s="364">
        <v>45281</v>
      </c>
      <c r="T508" s="364">
        <v>45281</v>
      </c>
      <c r="U508" s="348" t="s">
        <v>4999</v>
      </c>
    </row>
    <row r="509" spans="1:21" x14ac:dyDescent="0.25">
      <c r="A509" s="49">
        <v>0</v>
      </c>
      <c r="B509" s="49" t="s">
        <v>6712</v>
      </c>
      <c r="C509" s="49" t="s">
        <v>6636</v>
      </c>
      <c r="D509" s="49">
        <v>183294</v>
      </c>
      <c r="E509" s="49" t="s">
        <v>6713</v>
      </c>
      <c r="F509" s="49" t="s">
        <v>4998</v>
      </c>
      <c r="G509" s="49" t="s">
        <v>2119</v>
      </c>
      <c r="H509" s="49" t="s">
        <v>6714</v>
      </c>
      <c r="I509" s="49" t="s">
        <v>6639</v>
      </c>
      <c r="J509" s="316">
        <v>45273</v>
      </c>
      <c r="K509" s="360">
        <v>45289</v>
      </c>
      <c r="L509" s="363" t="s">
        <v>28</v>
      </c>
      <c r="M509" s="317" t="s">
        <v>28</v>
      </c>
      <c r="N509" s="322">
        <v>45287</v>
      </c>
      <c r="O509" s="317" t="s">
        <v>2122</v>
      </c>
      <c r="P509" s="317">
        <v>4</v>
      </c>
      <c r="Q509" s="322">
        <v>45309</v>
      </c>
      <c r="R509" s="365" t="s">
        <v>1686</v>
      </c>
      <c r="S509" s="364">
        <v>45309</v>
      </c>
      <c r="T509" s="364">
        <v>45309</v>
      </c>
      <c r="U509" s="348"/>
    </row>
    <row r="510" spans="1:21" x14ac:dyDescent="0.25">
      <c r="A510" s="49">
        <v>0</v>
      </c>
      <c r="B510" s="49" t="s">
        <v>6715</v>
      </c>
      <c r="C510" s="49" t="s">
        <v>6206</v>
      </c>
      <c r="D510" s="49">
        <v>183295</v>
      </c>
      <c r="E510" s="49" t="s">
        <v>6716</v>
      </c>
      <c r="F510" s="49" t="s">
        <v>4998</v>
      </c>
      <c r="G510" s="49" t="s">
        <v>633</v>
      </c>
      <c r="H510" s="49" t="s">
        <v>1990</v>
      </c>
      <c r="I510" s="49" t="s">
        <v>1991</v>
      </c>
      <c r="J510" s="316">
        <v>45273</v>
      </c>
      <c r="K510" s="360">
        <v>45274</v>
      </c>
      <c r="L510" s="363" t="s">
        <v>47</v>
      </c>
      <c r="M510" s="317" t="s">
        <v>47</v>
      </c>
      <c r="N510" s="322">
        <v>45278</v>
      </c>
      <c r="O510" s="317" t="s">
        <v>1992</v>
      </c>
      <c r="P510" s="317">
        <v>2</v>
      </c>
      <c r="Q510" s="322">
        <v>45279</v>
      </c>
      <c r="R510" s="365" t="s">
        <v>1686</v>
      </c>
      <c r="S510" s="364">
        <v>45279</v>
      </c>
      <c r="T510" s="364">
        <v>45279</v>
      </c>
      <c r="U510" s="348" t="s">
        <v>4999</v>
      </c>
    </row>
    <row r="511" spans="1:21" ht="25.5" x14ac:dyDescent="0.25">
      <c r="A511" s="49">
        <v>0</v>
      </c>
      <c r="B511" s="49" t="s">
        <v>6717</v>
      </c>
      <c r="C511" s="49" t="s">
        <v>6704</v>
      </c>
      <c r="D511" s="49">
        <v>183292</v>
      </c>
      <c r="E511" s="49" t="s">
        <v>6718</v>
      </c>
      <c r="F511" s="49" t="s">
        <v>4998</v>
      </c>
      <c r="G511" s="49" t="s">
        <v>6719</v>
      </c>
      <c r="H511" s="49" t="s">
        <v>6720</v>
      </c>
      <c r="I511" s="49" t="s">
        <v>3232</v>
      </c>
      <c r="J511" s="316">
        <v>45273</v>
      </c>
      <c r="K511" s="360">
        <v>45293</v>
      </c>
      <c r="L511" s="363" t="s">
        <v>28</v>
      </c>
      <c r="M511" s="317" t="s">
        <v>28</v>
      </c>
      <c r="N511" s="322">
        <v>45295</v>
      </c>
      <c r="O511" s="317" t="s">
        <v>6721</v>
      </c>
      <c r="P511" s="317">
        <v>20</v>
      </c>
      <c r="Q511" s="322">
        <v>45295</v>
      </c>
      <c r="R511" s="365" t="s">
        <v>1686</v>
      </c>
      <c r="S511" s="364">
        <v>45296</v>
      </c>
      <c r="T511" s="364">
        <v>45296</v>
      </c>
      <c r="U511" s="348" t="s">
        <v>4999</v>
      </c>
    </row>
    <row r="512" spans="1:21" ht="25.5" x14ac:dyDescent="0.25">
      <c r="A512" s="49">
        <v>0</v>
      </c>
      <c r="B512" s="49" t="s">
        <v>6722</v>
      </c>
      <c r="C512" s="49" t="s">
        <v>5472</v>
      </c>
      <c r="D512" s="49">
        <v>183301</v>
      </c>
      <c r="E512" s="49" t="s">
        <v>6723</v>
      </c>
      <c r="F512" s="49" t="s">
        <v>4998</v>
      </c>
      <c r="G512" s="49" t="s">
        <v>6724</v>
      </c>
      <c r="H512" s="49" t="s">
        <v>6725</v>
      </c>
      <c r="I512" s="49" t="s">
        <v>6726</v>
      </c>
      <c r="J512" s="316">
        <v>45264</v>
      </c>
      <c r="K512" s="360">
        <v>45275</v>
      </c>
      <c r="L512" s="363" t="s">
        <v>28</v>
      </c>
      <c r="M512" s="317" t="s">
        <v>28</v>
      </c>
      <c r="N512" s="322">
        <v>45308</v>
      </c>
      <c r="O512" s="317" t="s">
        <v>6727</v>
      </c>
      <c r="P512" s="317">
        <v>2</v>
      </c>
      <c r="Q512" s="322">
        <v>45323</v>
      </c>
      <c r="R512" s="365" t="s">
        <v>264</v>
      </c>
      <c r="S512" s="364">
        <v>45323</v>
      </c>
      <c r="T512" s="364">
        <v>45323</v>
      </c>
      <c r="U512" s="348"/>
    </row>
    <row r="513" spans="1:21" ht="25.5" x14ac:dyDescent="0.25">
      <c r="A513" s="49">
        <v>0</v>
      </c>
      <c r="B513" s="49" t="s">
        <v>6728</v>
      </c>
      <c r="C513" s="49" t="s">
        <v>5472</v>
      </c>
      <c r="D513" s="49">
        <v>183301</v>
      </c>
      <c r="E513" s="49" t="s">
        <v>6729</v>
      </c>
      <c r="F513" s="49" t="s">
        <v>4998</v>
      </c>
      <c r="G513" s="49" t="s">
        <v>6730</v>
      </c>
      <c r="H513" s="49" t="s">
        <v>6731</v>
      </c>
      <c r="I513" s="49" t="s">
        <v>6732</v>
      </c>
      <c r="J513" s="316">
        <v>45264</v>
      </c>
      <c r="K513" s="360">
        <v>45275</v>
      </c>
      <c r="L513" s="363" t="s">
        <v>28</v>
      </c>
      <c r="M513" s="317" t="s">
        <v>28</v>
      </c>
      <c r="N513" s="322">
        <v>45308</v>
      </c>
      <c r="O513" s="317" t="s">
        <v>6733</v>
      </c>
      <c r="P513" s="317">
        <v>2</v>
      </c>
      <c r="Q513" s="322">
        <v>45322</v>
      </c>
      <c r="R513" s="365" t="s">
        <v>264</v>
      </c>
      <c r="S513" s="364">
        <v>45323</v>
      </c>
      <c r="T513" s="364">
        <v>45323</v>
      </c>
      <c r="U513" s="348"/>
    </row>
    <row r="514" spans="1:21" ht="25.5" x14ac:dyDescent="0.25">
      <c r="A514" s="49">
        <v>0</v>
      </c>
      <c r="B514" s="49" t="s">
        <v>6734</v>
      </c>
      <c r="C514" s="49" t="s">
        <v>5490</v>
      </c>
      <c r="D514" s="49">
        <v>183299</v>
      </c>
      <c r="E514" s="49" t="s">
        <v>6735</v>
      </c>
      <c r="F514" s="49" t="s">
        <v>4998</v>
      </c>
      <c r="G514" s="49" t="s">
        <v>3334</v>
      </c>
      <c r="H514" s="49" t="s">
        <v>6736</v>
      </c>
      <c r="I514" s="49" t="s">
        <v>6737</v>
      </c>
      <c r="J514" s="316">
        <v>45274</v>
      </c>
      <c r="K514" s="360">
        <v>45274</v>
      </c>
      <c r="L514" s="363" t="s">
        <v>28</v>
      </c>
      <c r="M514" s="317" t="s">
        <v>28</v>
      </c>
      <c r="N514" s="322">
        <v>45275</v>
      </c>
      <c r="O514" s="317" t="s">
        <v>6738</v>
      </c>
      <c r="P514" s="317">
        <v>3</v>
      </c>
      <c r="Q514" s="322">
        <v>45275</v>
      </c>
      <c r="R514" s="365" t="s">
        <v>1686</v>
      </c>
      <c r="S514" s="364">
        <v>45275</v>
      </c>
      <c r="T514" s="364">
        <v>45275</v>
      </c>
      <c r="U514" s="348" t="s">
        <v>4999</v>
      </c>
    </row>
    <row r="515" spans="1:21" x14ac:dyDescent="0.25">
      <c r="A515" s="49">
        <v>0</v>
      </c>
      <c r="B515" s="49" t="s">
        <v>6739</v>
      </c>
      <c r="C515" s="49" t="s">
        <v>6206</v>
      </c>
      <c r="D515" s="49">
        <v>183304</v>
      </c>
      <c r="E515" s="49" t="s">
        <v>6740</v>
      </c>
      <c r="F515" s="49" t="s">
        <v>4998</v>
      </c>
      <c r="G515" s="49" t="s">
        <v>6741</v>
      </c>
      <c r="H515" s="49" t="s">
        <v>6742</v>
      </c>
      <c r="I515" s="49" t="s">
        <v>1991</v>
      </c>
      <c r="J515" s="316">
        <v>45278</v>
      </c>
      <c r="K515" s="360">
        <v>45278</v>
      </c>
      <c r="L515" s="363" t="s">
        <v>47</v>
      </c>
      <c r="M515" s="317" t="s">
        <v>47</v>
      </c>
      <c r="N515" s="322">
        <v>45278</v>
      </c>
      <c r="O515" s="317" t="s">
        <v>6743</v>
      </c>
      <c r="P515" s="317">
        <v>2</v>
      </c>
      <c r="Q515" s="322">
        <v>45279</v>
      </c>
      <c r="R515" s="365" t="s">
        <v>1686</v>
      </c>
      <c r="S515" s="364">
        <v>45279</v>
      </c>
      <c r="T515" s="364">
        <v>45279</v>
      </c>
      <c r="U515" s="348" t="s">
        <v>4999</v>
      </c>
    </row>
    <row r="516" spans="1:21" x14ac:dyDescent="0.25">
      <c r="A516" s="49">
        <v>0</v>
      </c>
      <c r="B516" s="49" t="s">
        <v>6744</v>
      </c>
      <c r="C516" s="49" t="s">
        <v>5732</v>
      </c>
      <c r="D516" s="49">
        <v>183305</v>
      </c>
      <c r="E516" s="49" t="s">
        <v>6745</v>
      </c>
      <c r="F516" s="49" t="s">
        <v>4998</v>
      </c>
      <c r="G516" s="49" t="s">
        <v>171</v>
      </c>
      <c r="H516" s="49" t="s">
        <v>6425</v>
      </c>
      <c r="I516" s="49" t="s">
        <v>173</v>
      </c>
      <c r="J516" s="316">
        <v>45278</v>
      </c>
      <c r="K516" s="360">
        <v>45278</v>
      </c>
      <c r="L516" s="363" t="s">
        <v>47</v>
      </c>
      <c r="M516" s="317" t="s">
        <v>47</v>
      </c>
      <c r="N516" s="322">
        <v>45279</v>
      </c>
      <c r="O516" s="317" t="s">
        <v>174</v>
      </c>
      <c r="P516" s="317">
        <v>2</v>
      </c>
      <c r="Q516" s="322">
        <v>45280</v>
      </c>
      <c r="R516" s="365" t="s">
        <v>1686</v>
      </c>
      <c r="S516" s="364">
        <v>45280</v>
      </c>
      <c r="T516" s="364">
        <v>45280</v>
      </c>
      <c r="U516" s="348" t="s">
        <v>4999</v>
      </c>
    </row>
    <row r="517" spans="1:21" x14ac:dyDescent="0.25">
      <c r="A517" s="49">
        <v>0</v>
      </c>
      <c r="B517" s="49" t="s">
        <v>6746</v>
      </c>
      <c r="C517" s="49" t="s">
        <v>5732</v>
      </c>
      <c r="D517" s="49">
        <v>183306</v>
      </c>
      <c r="E517" s="49" t="s">
        <v>6747</v>
      </c>
      <c r="F517" s="49" t="s">
        <v>4998</v>
      </c>
      <c r="G517" s="49" t="s">
        <v>3074</v>
      </c>
      <c r="H517" s="49" t="s">
        <v>6431</v>
      </c>
      <c r="I517" s="49" t="s">
        <v>6258</v>
      </c>
      <c r="J517" s="316">
        <v>45278</v>
      </c>
      <c r="K517" s="360">
        <v>45278</v>
      </c>
      <c r="L517" s="363" t="s">
        <v>47</v>
      </c>
      <c r="M517" s="317" t="s">
        <v>47</v>
      </c>
      <c r="N517" s="322">
        <v>45279</v>
      </c>
      <c r="O517" s="317" t="s">
        <v>6432</v>
      </c>
      <c r="P517" s="317">
        <v>2</v>
      </c>
      <c r="Q517" s="322">
        <v>45279</v>
      </c>
      <c r="R517" s="365" t="s">
        <v>1686</v>
      </c>
      <c r="S517" s="364">
        <v>45279</v>
      </c>
      <c r="T517" s="364">
        <v>45279</v>
      </c>
      <c r="U517" s="348" t="s">
        <v>4999</v>
      </c>
    </row>
    <row r="518" spans="1:21" ht="25.5" x14ac:dyDescent="0.25">
      <c r="A518" s="49">
        <v>0</v>
      </c>
      <c r="B518" s="49" t="s">
        <v>6748</v>
      </c>
      <c r="C518" s="49" t="s">
        <v>2187</v>
      </c>
      <c r="D518" s="49">
        <v>183143</v>
      </c>
      <c r="E518" s="49" t="s">
        <v>6749</v>
      </c>
      <c r="F518" s="49" t="s">
        <v>4998</v>
      </c>
      <c r="G518" s="49" t="s">
        <v>6750</v>
      </c>
      <c r="H518" s="49" t="s">
        <v>6751</v>
      </c>
      <c r="I518" s="49" t="s">
        <v>6752</v>
      </c>
      <c r="J518" s="316">
        <v>45261</v>
      </c>
      <c r="K518" s="360">
        <v>45268</v>
      </c>
      <c r="L518" s="363" t="s">
        <v>47</v>
      </c>
      <c r="M518" s="317" t="s">
        <v>47</v>
      </c>
      <c r="N518" s="322">
        <v>45243</v>
      </c>
      <c r="O518" s="317" t="s">
        <v>6753</v>
      </c>
      <c r="P518" s="317">
        <v>4</v>
      </c>
      <c r="Q518" s="322">
        <v>45279</v>
      </c>
      <c r="R518" s="365" t="s">
        <v>1686</v>
      </c>
      <c r="S518" s="364">
        <v>45279</v>
      </c>
      <c r="T518" s="364">
        <v>45280</v>
      </c>
      <c r="U518" s="348" t="s">
        <v>4999</v>
      </c>
    </row>
    <row r="519" spans="1:21" ht="25.5" x14ac:dyDescent="0.25">
      <c r="A519" s="49">
        <v>0</v>
      </c>
      <c r="B519" s="49" t="s">
        <v>6754</v>
      </c>
      <c r="C519" s="49" t="s">
        <v>2187</v>
      </c>
      <c r="D519" s="49">
        <v>183144</v>
      </c>
      <c r="E519" s="49" t="s">
        <v>6755</v>
      </c>
      <c r="F519" s="49" t="s">
        <v>4998</v>
      </c>
      <c r="G519" s="49" t="s">
        <v>6756</v>
      </c>
      <c r="H519" s="49" t="s">
        <v>6757</v>
      </c>
      <c r="I519" s="49" t="s">
        <v>6758</v>
      </c>
      <c r="J519" s="316">
        <v>45261</v>
      </c>
      <c r="K519" s="360">
        <v>45268</v>
      </c>
      <c r="L519" s="363" t="s">
        <v>47</v>
      </c>
      <c r="M519" s="317" t="s">
        <v>47</v>
      </c>
      <c r="N519" s="322">
        <v>45261</v>
      </c>
      <c r="O519" s="317" t="s">
        <v>6759</v>
      </c>
      <c r="P519" s="317">
        <v>1</v>
      </c>
      <c r="Q519" s="322">
        <v>45314</v>
      </c>
      <c r="R519" s="365" t="s">
        <v>1686</v>
      </c>
      <c r="S519" s="364">
        <v>45314</v>
      </c>
      <c r="T519" s="364">
        <v>45314</v>
      </c>
      <c r="U519" s="348" t="s">
        <v>4999</v>
      </c>
    </row>
    <row r="520" spans="1:21" ht="25.5" x14ac:dyDescent="0.25">
      <c r="A520" s="49">
        <v>0</v>
      </c>
      <c r="B520" s="49" t="s">
        <v>6760</v>
      </c>
      <c r="C520" s="49" t="s">
        <v>6279</v>
      </c>
      <c r="D520" s="49">
        <v>183309</v>
      </c>
      <c r="E520" s="49" t="s">
        <v>6761</v>
      </c>
      <c r="F520" s="49" t="s">
        <v>4998</v>
      </c>
      <c r="G520" s="49" t="s">
        <v>519</v>
      </c>
      <c r="H520" s="49" t="s">
        <v>6762</v>
      </c>
      <c r="I520" s="49" t="s">
        <v>2937</v>
      </c>
      <c r="J520" s="316">
        <v>45278</v>
      </c>
      <c r="K520" s="360">
        <v>45280</v>
      </c>
      <c r="L520" s="363" t="s">
        <v>28</v>
      </c>
      <c r="M520" s="317" t="s">
        <v>28</v>
      </c>
      <c r="N520" s="322">
        <v>44934</v>
      </c>
      <c r="O520" s="317" t="s">
        <v>3053</v>
      </c>
      <c r="P520" s="317">
        <v>1</v>
      </c>
      <c r="Q520" s="317"/>
      <c r="R520" s="365"/>
      <c r="S520" s="365"/>
      <c r="T520" s="365"/>
      <c r="U520" s="348"/>
    </row>
    <row r="521" spans="1:21" ht="25.5" x14ac:dyDescent="0.25">
      <c r="A521" s="49">
        <v>0</v>
      </c>
      <c r="B521" s="49" t="s">
        <v>6763</v>
      </c>
      <c r="C521" s="49" t="s">
        <v>6368</v>
      </c>
      <c r="D521" s="49">
        <v>183300</v>
      </c>
      <c r="E521" s="49" t="s">
        <v>6764</v>
      </c>
      <c r="F521" s="49" t="s">
        <v>4998</v>
      </c>
      <c r="G521" s="49" t="s">
        <v>1783</v>
      </c>
      <c r="H521" s="49" t="s">
        <v>6765</v>
      </c>
      <c r="I521" s="49" t="s">
        <v>120</v>
      </c>
      <c r="J521" s="316">
        <v>45274</v>
      </c>
      <c r="K521" s="360">
        <v>45275</v>
      </c>
      <c r="L521" s="363" t="s">
        <v>47</v>
      </c>
      <c r="M521" s="317" t="s">
        <v>47</v>
      </c>
      <c r="N521" s="322">
        <v>45279</v>
      </c>
      <c r="O521" s="317" t="s">
        <v>549</v>
      </c>
      <c r="P521" s="317">
        <v>1</v>
      </c>
      <c r="Q521" s="322">
        <v>45280</v>
      </c>
      <c r="R521" s="365" t="s">
        <v>1686</v>
      </c>
      <c r="S521" s="364">
        <v>45280</v>
      </c>
      <c r="T521" s="364">
        <v>45280</v>
      </c>
      <c r="U521" s="348" t="s">
        <v>4999</v>
      </c>
    </row>
    <row r="522" spans="1:21" ht="25.5" x14ac:dyDescent="0.25">
      <c r="A522" s="49">
        <v>0</v>
      </c>
      <c r="B522" s="49" t="s">
        <v>6766</v>
      </c>
      <c r="C522" s="49" t="s">
        <v>5472</v>
      </c>
      <c r="D522" s="49">
        <v>183319</v>
      </c>
      <c r="E522" s="49" t="s">
        <v>6767</v>
      </c>
      <c r="F522" s="49" t="s">
        <v>4998</v>
      </c>
      <c r="G522" s="49" t="s">
        <v>2103</v>
      </c>
      <c r="H522" s="49" t="s">
        <v>6768</v>
      </c>
      <c r="I522" s="49" t="s">
        <v>2504</v>
      </c>
      <c r="J522" s="316">
        <v>45280</v>
      </c>
      <c r="K522" s="360">
        <v>45287</v>
      </c>
      <c r="L522" s="363" t="s">
        <v>28</v>
      </c>
      <c r="M522" s="317" t="s">
        <v>28</v>
      </c>
      <c r="N522" s="322">
        <v>45287</v>
      </c>
      <c r="O522" s="317" t="s">
        <v>3315</v>
      </c>
      <c r="P522" s="317">
        <v>1</v>
      </c>
      <c r="Q522" s="322">
        <v>45287</v>
      </c>
      <c r="R522" s="365" t="s">
        <v>1686</v>
      </c>
      <c r="S522" s="364">
        <v>45287</v>
      </c>
      <c r="T522" s="364">
        <v>45288</v>
      </c>
      <c r="U522" s="348" t="s">
        <v>4999</v>
      </c>
    </row>
    <row r="523" spans="1:21" ht="25.5" x14ac:dyDescent="0.25">
      <c r="A523" s="49">
        <v>0</v>
      </c>
      <c r="B523" s="49" t="s">
        <v>6769</v>
      </c>
      <c r="C523" s="49" t="s">
        <v>5001</v>
      </c>
      <c r="D523" s="49">
        <v>183296</v>
      </c>
      <c r="E523" s="49" t="s">
        <v>6770</v>
      </c>
      <c r="F523" s="49" t="s">
        <v>4998</v>
      </c>
      <c r="G523" s="49" t="s">
        <v>6771</v>
      </c>
      <c r="H523" s="49" t="s">
        <v>6772</v>
      </c>
      <c r="I523" s="49" t="s">
        <v>6773</v>
      </c>
      <c r="J523" s="316">
        <v>45273</v>
      </c>
      <c r="K523" s="360">
        <v>45281</v>
      </c>
      <c r="L523" s="363" t="s">
        <v>28</v>
      </c>
      <c r="M523" s="317" t="s">
        <v>28</v>
      </c>
      <c r="N523" s="322">
        <v>45287</v>
      </c>
      <c r="O523" s="317" t="s">
        <v>6774</v>
      </c>
      <c r="P523" s="317">
        <v>1</v>
      </c>
      <c r="Q523" s="317"/>
      <c r="R523" s="365"/>
      <c r="S523" s="365"/>
      <c r="T523" s="365"/>
      <c r="U523" s="348"/>
    </row>
    <row r="524" spans="1:21" ht="25.5" x14ac:dyDescent="0.25">
      <c r="A524" s="49">
        <v>0</v>
      </c>
      <c r="B524" s="49" t="s">
        <v>6775</v>
      </c>
      <c r="C524" s="49" t="s">
        <v>5001</v>
      </c>
      <c r="D524" s="49">
        <v>183320</v>
      </c>
      <c r="E524" s="49" t="s">
        <v>6776</v>
      </c>
      <c r="F524" s="49" t="s">
        <v>4998</v>
      </c>
      <c r="G524" s="49" t="s">
        <v>5619</v>
      </c>
      <c r="H524" s="49" t="s">
        <v>3523</v>
      </c>
      <c r="I524" s="49" t="s">
        <v>160</v>
      </c>
      <c r="J524" s="316">
        <v>45273</v>
      </c>
      <c r="K524" s="360">
        <v>45281</v>
      </c>
      <c r="L524" s="363" t="s">
        <v>28</v>
      </c>
      <c r="M524" s="317" t="s">
        <v>28</v>
      </c>
      <c r="N524" s="322">
        <v>45287</v>
      </c>
      <c r="O524" s="317" t="s">
        <v>5621</v>
      </c>
      <c r="P524" s="317">
        <v>1</v>
      </c>
      <c r="Q524" s="317"/>
      <c r="R524" s="365"/>
      <c r="S524" s="365"/>
      <c r="T524" s="365"/>
      <c r="U524" s="348"/>
    </row>
    <row r="525" spans="1:21" ht="25.5" x14ac:dyDescent="0.25">
      <c r="A525" s="49">
        <v>0</v>
      </c>
      <c r="B525" s="49" t="s">
        <v>6777</v>
      </c>
      <c r="C525" s="49" t="s">
        <v>5732</v>
      </c>
      <c r="D525" s="49">
        <v>183322</v>
      </c>
      <c r="E525" s="49" t="s">
        <v>6778</v>
      </c>
      <c r="F525" s="49" t="s">
        <v>4998</v>
      </c>
      <c r="G525" s="49" t="s">
        <v>3748</v>
      </c>
      <c r="H525" s="49" t="s">
        <v>6257</v>
      </c>
      <c r="I525" s="49" t="s">
        <v>6258</v>
      </c>
      <c r="J525" s="316">
        <v>45281</v>
      </c>
      <c r="K525" s="360">
        <v>45281</v>
      </c>
      <c r="L525" s="363" t="s">
        <v>47</v>
      </c>
      <c r="M525" s="317" t="s">
        <v>47</v>
      </c>
      <c r="N525" s="322">
        <v>45300</v>
      </c>
      <c r="O525" s="317" t="s">
        <v>3751</v>
      </c>
      <c r="P525" s="317">
        <v>7</v>
      </c>
      <c r="Q525" s="322">
        <v>45300</v>
      </c>
      <c r="R525" s="364" t="s">
        <v>1686</v>
      </c>
      <c r="S525" s="364">
        <v>45300</v>
      </c>
      <c r="T525" s="364">
        <v>45300</v>
      </c>
      <c r="U525" s="348" t="s">
        <v>4999</v>
      </c>
    </row>
    <row r="526" spans="1:21" ht="25.5" x14ac:dyDescent="0.25">
      <c r="A526" s="49">
        <v>0</v>
      </c>
      <c r="B526" s="49" t="s">
        <v>6779</v>
      </c>
      <c r="C526" s="49" t="s">
        <v>1872</v>
      </c>
      <c r="D526" s="49">
        <v>183323</v>
      </c>
      <c r="E526" s="49" t="s">
        <v>6780</v>
      </c>
      <c r="F526" s="49" t="s">
        <v>4998</v>
      </c>
      <c r="G526" s="49" t="s">
        <v>1406</v>
      </c>
      <c r="H526" s="49" t="s">
        <v>6781</v>
      </c>
      <c r="I526" s="49" t="s">
        <v>149</v>
      </c>
      <c r="J526" s="316">
        <v>45281</v>
      </c>
      <c r="K526" s="360">
        <v>45299</v>
      </c>
      <c r="L526" s="363" t="s">
        <v>28</v>
      </c>
      <c r="M526" s="317" t="s">
        <v>28</v>
      </c>
      <c r="N526" s="322">
        <v>45383</v>
      </c>
      <c r="O526" s="317" t="s">
        <v>6782</v>
      </c>
      <c r="P526" s="317">
        <v>1</v>
      </c>
      <c r="Q526" s="322">
        <v>45383</v>
      </c>
      <c r="R526" s="365" t="s">
        <v>264</v>
      </c>
      <c r="S526" s="364">
        <v>45383</v>
      </c>
      <c r="T526" s="364">
        <v>45383</v>
      </c>
      <c r="U526" s="348"/>
    </row>
    <row r="527" spans="1:21" ht="25.5" x14ac:dyDescent="0.25">
      <c r="A527" s="49">
        <v>0</v>
      </c>
      <c r="B527" s="49" t="s">
        <v>6783</v>
      </c>
      <c r="C527" s="49" t="s">
        <v>1854</v>
      </c>
      <c r="D527" s="49">
        <v>183324</v>
      </c>
      <c r="E527" s="49" t="s">
        <v>6784</v>
      </c>
      <c r="F527" s="49" t="s">
        <v>4998</v>
      </c>
      <c r="G527" s="49" t="s">
        <v>44</v>
      </c>
      <c r="H527" s="49" t="s">
        <v>5924</v>
      </c>
      <c r="I527" s="49" t="s">
        <v>5898</v>
      </c>
      <c r="J527" s="316">
        <v>45281</v>
      </c>
      <c r="K527" s="360">
        <v>45299</v>
      </c>
      <c r="L527" s="363" t="s">
        <v>47</v>
      </c>
      <c r="M527" s="317" t="s">
        <v>47</v>
      </c>
      <c r="N527" s="322">
        <v>45345</v>
      </c>
      <c r="O527" s="317" t="s">
        <v>6513</v>
      </c>
      <c r="P527" s="317">
        <v>1</v>
      </c>
      <c r="Q527" s="322">
        <v>45345</v>
      </c>
      <c r="R527" s="365" t="s">
        <v>264</v>
      </c>
      <c r="S527" s="364">
        <v>45348</v>
      </c>
      <c r="T527" s="364">
        <v>45348</v>
      </c>
      <c r="U527" s="348" t="s">
        <v>4999</v>
      </c>
    </row>
    <row r="528" spans="1:21" x14ac:dyDescent="0.25">
      <c r="A528" s="49">
        <v>0</v>
      </c>
      <c r="B528" s="49" t="s">
        <v>6785</v>
      </c>
      <c r="C528" s="49" t="s">
        <v>6636</v>
      </c>
      <c r="D528" s="49">
        <v>183326</v>
      </c>
      <c r="E528" s="49" t="s">
        <v>6786</v>
      </c>
      <c r="F528" s="49" t="s">
        <v>4998</v>
      </c>
      <c r="G528" s="49" t="s">
        <v>6787</v>
      </c>
      <c r="H528" s="49" t="s">
        <v>6788</v>
      </c>
      <c r="I528" s="49" t="s">
        <v>6789</v>
      </c>
      <c r="J528" s="316">
        <v>45279</v>
      </c>
      <c r="K528" s="360"/>
      <c r="L528" s="363" t="s">
        <v>28</v>
      </c>
      <c r="M528" s="317" t="s">
        <v>28</v>
      </c>
      <c r="N528" s="322">
        <v>45294</v>
      </c>
      <c r="O528" s="317" t="s">
        <v>6790</v>
      </c>
      <c r="P528" s="317">
        <v>20</v>
      </c>
      <c r="Q528" s="317"/>
      <c r="R528" s="365"/>
      <c r="S528" s="365"/>
      <c r="T528" s="365"/>
      <c r="U528" s="348"/>
    </row>
    <row r="529" spans="1:21" ht="25.5" x14ac:dyDescent="0.25">
      <c r="A529" s="49">
        <v>0</v>
      </c>
      <c r="B529" s="49" t="s">
        <v>6791</v>
      </c>
      <c r="C529" s="49" t="s">
        <v>6792</v>
      </c>
      <c r="D529" s="75">
        <v>183330</v>
      </c>
      <c r="E529" s="49" t="s">
        <v>6793</v>
      </c>
      <c r="F529" s="49" t="s">
        <v>4998</v>
      </c>
      <c r="G529" s="49" t="s">
        <v>6794</v>
      </c>
      <c r="H529" s="49"/>
      <c r="I529" s="49" t="s">
        <v>6795</v>
      </c>
      <c r="J529" s="316">
        <v>45288</v>
      </c>
      <c r="K529" s="361"/>
      <c r="L529" s="363"/>
      <c r="M529" s="317"/>
      <c r="N529" s="317"/>
      <c r="O529" s="317" t="s">
        <v>6796</v>
      </c>
      <c r="P529" s="317">
        <v>1</v>
      </c>
      <c r="Q529" s="317"/>
      <c r="R529" s="365"/>
      <c r="S529" s="365"/>
      <c r="T529" s="365"/>
      <c r="U529" s="348"/>
    </row>
    <row r="530" spans="1:21" ht="25.5" x14ac:dyDescent="0.25">
      <c r="A530" s="49">
        <v>0</v>
      </c>
      <c r="B530" s="49" t="s">
        <v>6797</v>
      </c>
      <c r="C530" s="49" t="s">
        <v>529</v>
      </c>
      <c r="D530" s="49">
        <v>183331</v>
      </c>
      <c r="E530" s="49" t="s">
        <v>6798</v>
      </c>
      <c r="F530" s="49" t="s">
        <v>4998</v>
      </c>
      <c r="G530" s="49" t="s">
        <v>6799</v>
      </c>
      <c r="H530" s="49" t="s">
        <v>6800</v>
      </c>
      <c r="I530" s="49" t="s">
        <v>6801</v>
      </c>
      <c r="J530" s="316">
        <v>45289</v>
      </c>
      <c r="K530" s="361"/>
      <c r="L530" s="363" t="s">
        <v>47</v>
      </c>
      <c r="M530" s="317" t="s">
        <v>47</v>
      </c>
      <c r="N530" s="322">
        <v>45310</v>
      </c>
      <c r="O530" s="317" t="s">
        <v>6802</v>
      </c>
      <c r="P530" s="317">
        <v>2</v>
      </c>
      <c r="Q530" s="322">
        <v>45315</v>
      </c>
      <c r="R530" s="365" t="s">
        <v>1686</v>
      </c>
      <c r="S530" s="364">
        <v>45316</v>
      </c>
      <c r="T530" s="364">
        <v>45316</v>
      </c>
      <c r="U530" s="348" t="s">
        <v>4999</v>
      </c>
    </row>
    <row r="531" spans="1:21" ht="25.5" x14ac:dyDescent="0.25">
      <c r="A531" s="49">
        <v>0</v>
      </c>
      <c r="B531" s="49" t="s">
        <v>6803</v>
      </c>
      <c r="C531" s="49" t="s">
        <v>1854</v>
      </c>
      <c r="D531" s="49">
        <v>183332</v>
      </c>
      <c r="E531" s="49" t="s">
        <v>6804</v>
      </c>
      <c r="F531" s="49" t="s">
        <v>4998</v>
      </c>
      <c r="G531" s="49" t="s">
        <v>1874</v>
      </c>
      <c r="H531" s="49" t="s">
        <v>5723</v>
      </c>
      <c r="I531" s="49" t="s">
        <v>1869</v>
      </c>
      <c r="J531" s="316">
        <v>45293</v>
      </c>
      <c r="K531" s="360">
        <v>45299</v>
      </c>
      <c r="L531" s="363" t="s">
        <v>47</v>
      </c>
      <c r="M531" s="317" t="s">
        <v>47</v>
      </c>
      <c r="N531" s="322">
        <v>45321</v>
      </c>
      <c r="O531" s="317" t="s">
        <v>1876</v>
      </c>
      <c r="P531" s="317">
        <v>1</v>
      </c>
      <c r="Q531" s="322">
        <v>45321</v>
      </c>
      <c r="R531" s="365" t="s">
        <v>264</v>
      </c>
      <c r="S531" s="364">
        <v>45321</v>
      </c>
      <c r="T531" s="364">
        <v>45321</v>
      </c>
      <c r="U531" s="348" t="s">
        <v>4999</v>
      </c>
    </row>
  </sheetData>
  <autoFilter ref="A5:U531" xr:uid="{8E032F47-4A95-4C5B-A0A9-28FE91796821}"/>
  <mergeCells count="3">
    <mergeCell ref="A4:K4"/>
    <mergeCell ref="L4:Q4"/>
    <mergeCell ref="R4:T4"/>
  </mergeCells>
  <phoneticPr fontId="6" type="noConversion"/>
  <dataValidations count="3">
    <dataValidation type="list" allowBlank="1" showInputMessage="1" showErrorMessage="1" sqref="M356:M366 L351:L366" xr:uid="{4106979C-A7FE-4E27-BD3F-9FFB0EFDE6D1}">
      <formula1>"FM,FR,LO,RB,MP"</formula1>
    </dataValidation>
    <dataValidation type="list" allowBlank="1" showInputMessage="1" showErrorMessage="1" sqref="R352:R366" xr:uid="{6DFF3171-084A-4FF1-B85D-05B7E878E26B}">
      <formula1>"MP,US"</formula1>
    </dataValidation>
    <dataValidation type="list" allowBlank="1" showInputMessage="1" showErrorMessage="1" sqref="L460:M460 L462:M462 L466:M531" xr:uid="{B4F72B80-5E45-4A54-A470-6382FF16CE8B}">
      <formula1>"FR,FM,LO,RB,MP"</formula1>
    </dataValidation>
  </dataValidations>
  <pageMargins left="0.511811024" right="0.511811024" top="0.78740157499999996" bottom="0.78740157499999996" header="0.31496062000000002" footer="0.31496062000000002"/>
  <pageSetup paperSize="9" scale="25" fitToHeight="0" orientation="portrait" r:id="rId1"/>
  <ignoredErrors>
    <ignoredError sqref="E85:E88 E82"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B9784-2448-4E5E-B457-3EB1B78683D6}">
  <dimension ref="A1:XFD421"/>
  <sheetViews>
    <sheetView showGridLines="0" zoomScale="80" zoomScaleNormal="80" workbookViewId="0">
      <pane ySplit="5" topLeftCell="A8" activePane="bottomLeft" state="frozen"/>
      <selection pane="bottomLeft" activeCell="K8" sqref="K8"/>
    </sheetView>
  </sheetViews>
  <sheetFormatPr defaultColWidth="0" defaultRowHeight="12.75" x14ac:dyDescent="0.25"/>
  <cols>
    <col min="1" max="2" width="6.5703125" style="315" customWidth="1"/>
    <col min="3" max="4" width="8.5703125" style="315" customWidth="1"/>
    <col min="5" max="5" width="19.42578125" style="315" customWidth="1"/>
    <col min="6" max="6" width="36.42578125" style="315" customWidth="1"/>
    <col min="7" max="7" width="10" style="315" customWidth="1"/>
    <col min="8" max="8" width="13.42578125" style="315" customWidth="1"/>
    <col min="9" max="9" width="8.5703125" style="315" customWidth="1"/>
    <col min="10" max="10" width="12.5703125" style="315" customWidth="1"/>
    <col min="11" max="11" width="32.5703125" style="315" customWidth="1"/>
    <col min="12" max="12" width="30.5703125" style="315" customWidth="1"/>
    <col min="13" max="13" width="33" style="315" customWidth="1"/>
    <col min="14" max="14" width="14" style="315" customWidth="1"/>
    <col min="15" max="15" width="15.42578125" style="315" customWidth="1"/>
    <col min="16" max="16" width="14" style="315" customWidth="1"/>
    <col min="17" max="18" width="12.5703125" style="315" bestFit="1" customWidth="1"/>
    <col min="19" max="19" width="19.5703125" style="315" customWidth="1"/>
    <col min="20" max="20" width="8.5703125" style="315" customWidth="1"/>
    <col min="21" max="21" width="12.5703125" style="315" bestFit="1" customWidth="1"/>
    <col min="22" max="22" width="26.42578125" style="315" bestFit="1" customWidth="1"/>
    <col min="23" max="23" width="8.5703125" style="315" customWidth="1"/>
    <col min="24" max="25" width="14.5703125" style="315" customWidth="1"/>
    <col min="26" max="26" width="15.42578125" style="315" customWidth="1"/>
    <col min="27" max="27" width="12.42578125" style="315" bestFit="1" customWidth="1"/>
    <col min="28" max="28" width="14.42578125" style="315" customWidth="1"/>
    <col min="29" max="30" width="8.5703125" style="315" customWidth="1"/>
    <col min="31" max="33" width="0" style="315" hidden="1" customWidth="1"/>
    <col min="34" max="16383" width="8.5703125" style="315" hidden="1"/>
    <col min="16384" max="16384" width="13.5703125" style="315" customWidth="1"/>
  </cols>
  <sheetData>
    <row r="1" spans="1:29" ht="15" customHeight="1" x14ac:dyDescent="0.25">
      <c r="A1" s="441" t="s">
        <v>6805</v>
      </c>
      <c r="B1" s="442"/>
      <c r="C1" s="442"/>
      <c r="D1" s="442"/>
      <c r="E1" s="442"/>
      <c r="F1" s="442"/>
      <c r="G1" s="442"/>
      <c r="H1" s="442"/>
      <c r="I1" s="442"/>
      <c r="J1" s="442"/>
      <c r="K1" s="442"/>
      <c r="L1" s="442"/>
      <c r="M1" s="442"/>
      <c r="N1" s="442"/>
      <c r="O1" s="442"/>
      <c r="P1" s="442"/>
      <c r="Q1" s="442"/>
      <c r="R1" s="442"/>
      <c r="S1" s="442"/>
      <c r="T1" s="442"/>
      <c r="U1" s="442"/>
      <c r="V1" s="442"/>
      <c r="W1" s="442"/>
      <c r="X1" s="442"/>
      <c r="Y1" s="442"/>
      <c r="Z1" s="442"/>
      <c r="AA1" s="442"/>
      <c r="AB1" s="442"/>
      <c r="AC1" s="443"/>
    </row>
    <row r="2" spans="1:29" ht="15" customHeight="1" x14ac:dyDescent="0.25">
      <c r="A2" s="444"/>
      <c r="B2" s="445"/>
      <c r="C2" s="445"/>
      <c r="D2" s="445"/>
      <c r="E2" s="445"/>
      <c r="F2" s="445"/>
      <c r="G2" s="445"/>
      <c r="H2" s="445"/>
      <c r="I2" s="445"/>
      <c r="J2" s="445"/>
      <c r="K2" s="445"/>
      <c r="L2" s="445"/>
      <c r="M2" s="445"/>
      <c r="N2" s="445"/>
      <c r="O2" s="445"/>
      <c r="P2" s="445"/>
      <c r="Q2" s="445"/>
      <c r="R2" s="445"/>
      <c r="S2" s="445"/>
      <c r="T2" s="445"/>
      <c r="U2" s="445"/>
      <c r="V2" s="445"/>
      <c r="W2" s="445"/>
      <c r="X2" s="445"/>
      <c r="Y2" s="445"/>
      <c r="Z2" s="445"/>
      <c r="AA2" s="445"/>
      <c r="AB2" s="445"/>
      <c r="AC2" s="446"/>
    </row>
    <row r="3" spans="1:29" ht="15" customHeight="1" x14ac:dyDescent="0.25">
      <c r="A3" s="447"/>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449"/>
    </row>
    <row r="4" spans="1:29" ht="12.95" x14ac:dyDescent="0.25">
      <c r="A4" s="450" t="s">
        <v>6806</v>
      </c>
      <c r="B4" s="450"/>
      <c r="C4" s="451"/>
      <c r="D4" s="433" t="s">
        <v>0</v>
      </c>
      <c r="E4" s="434"/>
      <c r="F4" s="434"/>
      <c r="G4" s="434"/>
      <c r="H4" s="434"/>
      <c r="I4" s="434"/>
      <c r="J4" s="434"/>
      <c r="K4" s="434"/>
      <c r="L4" s="434"/>
      <c r="M4" s="434"/>
      <c r="N4" s="434"/>
      <c r="O4" s="434"/>
      <c r="P4" s="434"/>
      <c r="Q4" s="434"/>
      <c r="R4" s="435"/>
      <c r="S4" s="436" t="s">
        <v>1</v>
      </c>
      <c r="T4" s="437"/>
      <c r="U4" s="437"/>
      <c r="V4" s="437"/>
      <c r="W4" s="437"/>
      <c r="X4" s="437"/>
      <c r="Y4" s="438"/>
      <c r="Z4" s="439" t="s">
        <v>2</v>
      </c>
      <c r="AA4" s="440"/>
      <c r="AB4" s="440"/>
    </row>
    <row r="5" spans="1:29" ht="39" thickBot="1" x14ac:dyDescent="0.3">
      <c r="A5" s="297" t="s">
        <v>6807</v>
      </c>
      <c r="B5" s="298" t="s">
        <v>6808</v>
      </c>
      <c r="C5" s="299" t="s">
        <v>6809</v>
      </c>
      <c r="D5" s="297" t="s">
        <v>6810</v>
      </c>
      <c r="E5" s="297" t="s">
        <v>4</v>
      </c>
      <c r="F5" s="297" t="s">
        <v>5</v>
      </c>
      <c r="G5" s="297" t="s">
        <v>7</v>
      </c>
      <c r="H5" s="297" t="s">
        <v>8</v>
      </c>
      <c r="I5" s="297" t="s">
        <v>6811</v>
      </c>
      <c r="J5" s="297" t="s">
        <v>4992</v>
      </c>
      <c r="K5" s="297" t="s">
        <v>9</v>
      </c>
      <c r="L5" s="297" t="s">
        <v>4993</v>
      </c>
      <c r="M5" s="297" t="s">
        <v>11</v>
      </c>
      <c r="N5" s="300" t="s">
        <v>12</v>
      </c>
      <c r="O5" s="300" t="s">
        <v>6812</v>
      </c>
      <c r="P5" s="300" t="s">
        <v>6813</v>
      </c>
      <c r="Q5" s="300" t="s">
        <v>6814</v>
      </c>
      <c r="R5" s="300" t="s">
        <v>13</v>
      </c>
      <c r="S5" s="301" t="s">
        <v>14</v>
      </c>
      <c r="T5" s="301" t="s">
        <v>4994</v>
      </c>
      <c r="U5" s="302" t="s">
        <v>4995</v>
      </c>
      <c r="V5" s="301" t="s">
        <v>6815</v>
      </c>
      <c r="W5" s="301" t="s">
        <v>16</v>
      </c>
      <c r="X5" s="301" t="s">
        <v>6816</v>
      </c>
      <c r="Y5" s="302" t="s">
        <v>17</v>
      </c>
      <c r="Z5" s="303" t="s">
        <v>18</v>
      </c>
      <c r="AA5" s="299" t="s">
        <v>19</v>
      </c>
      <c r="AB5" s="299" t="s">
        <v>20</v>
      </c>
      <c r="AC5" s="305" t="s">
        <v>21</v>
      </c>
    </row>
    <row r="6" spans="1:29" ht="13.5" thickBot="1" x14ac:dyDescent="0.3">
      <c r="A6" s="306" t="str">
        <f t="shared" ref="A6:A20" si="0">IF(OR(ISBLANK(D6),ISBLANK(E6),ISBLANK(F6),ISBLANK(G6),ISBLANK(H6),ISBLANK(I6),ISBLANK(J6),ISBLANK(K6),ISBLANK(L6),ISBLANK(M6),ISBLANK(N6),ISBLANK(O6),ISBLANK(P6),ISBLANK(Q6),ISBLANK(R6))=TRUE,"P","OK")</f>
        <v>OK</v>
      </c>
      <c r="B6" s="307" t="str">
        <f t="shared" ref="B6:B68" si="1">IF(OR(ISBLANK(S6),ISBLANK(T6),ISBLANK(U6),ISBLANK(V6),ISBLANK(W6),ISBLANK(X6),ISBLANK(Y6),ISBLANK(Z6))=TRUE,"P","OK")</f>
        <v>OK</v>
      </c>
      <c r="C6" s="308" t="str">
        <f>IF(OR(ISBLANK(AA6),ISBLANK(AB6),ISBLANK(#REF!))=TRUE,"P","OK")</f>
        <v>OK</v>
      </c>
      <c r="D6" s="28">
        <v>0</v>
      </c>
      <c r="E6" s="49" t="s">
        <v>6817</v>
      </c>
      <c r="F6" s="49" t="s">
        <v>6818</v>
      </c>
      <c r="G6" s="49">
        <v>182119</v>
      </c>
      <c r="H6" s="49" t="s">
        <v>6819</v>
      </c>
      <c r="I6" s="49" t="s">
        <v>6820</v>
      </c>
      <c r="J6" s="49" t="s">
        <v>4998</v>
      </c>
      <c r="K6" s="49" t="s">
        <v>6821</v>
      </c>
      <c r="L6" s="49" t="s">
        <v>6822</v>
      </c>
      <c r="M6" s="49" t="s">
        <v>6823</v>
      </c>
      <c r="N6" s="316">
        <v>44767</v>
      </c>
      <c r="O6" s="49" t="s">
        <v>264</v>
      </c>
      <c r="P6" s="316">
        <v>44771</v>
      </c>
      <c r="Q6" s="316">
        <v>44771</v>
      </c>
      <c r="R6" s="316">
        <v>44783</v>
      </c>
      <c r="S6" s="334" t="s">
        <v>28</v>
      </c>
      <c r="T6" s="334" t="s">
        <v>28</v>
      </c>
      <c r="U6" s="338">
        <v>44788</v>
      </c>
      <c r="V6" s="334" t="s">
        <v>6824</v>
      </c>
      <c r="W6" s="374">
        <v>1</v>
      </c>
      <c r="X6" s="317" t="s">
        <v>4999</v>
      </c>
      <c r="Y6" s="346">
        <v>44833</v>
      </c>
      <c r="Z6" s="343" t="s">
        <v>6825</v>
      </c>
      <c r="AA6" s="344">
        <v>44837</v>
      </c>
      <c r="AB6" s="344">
        <v>44847</v>
      </c>
      <c r="AC6" s="314" t="s">
        <v>4999</v>
      </c>
    </row>
    <row r="7" spans="1:29" ht="26.25" thickBot="1" x14ac:dyDescent="0.3">
      <c r="A7" s="306" t="str">
        <f t="shared" si="0"/>
        <v>OK</v>
      </c>
      <c r="B7" s="307" t="str">
        <f t="shared" si="1"/>
        <v>OK</v>
      </c>
      <c r="C7" s="308" t="str">
        <f>IF(OR(ISBLANK(AA7),ISBLANK(AB7),ISBLANK(#REF!))=TRUE,"P","OK")</f>
        <v>OK</v>
      </c>
      <c r="D7" s="28">
        <v>0</v>
      </c>
      <c r="E7" s="49" t="s">
        <v>6826</v>
      </c>
      <c r="F7" s="49" t="s">
        <v>6827</v>
      </c>
      <c r="G7" s="49">
        <v>181602</v>
      </c>
      <c r="H7" s="49" t="s">
        <v>6828</v>
      </c>
      <c r="I7" s="49" t="s">
        <v>6820</v>
      </c>
      <c r="J7" s="49" t="s">
        <v>6829</v>
      </c>
      <c r="K7" s="49" t="s">
        <v>6830</v>
      </c>
      <c r="L7" s="49" t="s">
        <v>495</v>
      </c>
      <c r="M7" s="49" t="s">
        <v>6831</v>
      </c>
      <c r="N7" s="316">
        <v>44432</v>
      </c>
      <c r="O7" s="49" t="s">
        <v>264</v>
      </c>
      <c r="P7" s="316">
        <v>44432</v>
      </c>
      <c r="Q7" s="316">
        <v>44432</v>
      </c>
      <c r="R7" s="309">
        <v>44435</v>
      </c>
      <c r="S7" s="333" t="s">
        <v>6832</v>
      </c>
      <c r="T7" s="333" t="s">
        <v>6832</v>
      </c>
      <c r="U7" s="338">
        <v>44623</v>
      </c>
      <c r="V7" s="334" t="s">
        <v>6833</v>
      </c>
      <c r="W7" s="374">
        <v>8</v>
      </c>
      <c r="X7" s="317" t="s">
        <v>4999</v>
      </c>
      <c r="Y7" s="346">
        <v>44628</v>
      </c>
      <c r="Z7" s="74" t="s">
        <v>6825</v>
      </c>
      <c r="AA7" s="344">
        <v>44630</v>
      </c>
      <c r="AB7" s="313">
        <v>44630</v>
      </c>
      <c r="AC7" s="314" t="s">
        <v>4999</v>
      </c>
    </row>
    <row r="8" spans="1:29" ht="39" thickBot="1" x14ac:dyDescent="0.3">
      <c r="A8" s="306" t="str">
        <f t="shared" si="0"/>
        <v>OK</v>
      </c>
      <c r="B8" s="307" t="str">
        <f t="shared" si="1"/>
        <v>OK</v>
      </c>
      <c r="C8" s="308" t="str">
        <f>IF(OR(ISBLANK(AA8),ISBLANK(AB8),ISBLANK(#REF!))=TRUE,"P","OK")</f>
        <v>OK</v>
      </c>
      <c r="D8" s="28">
        <v>0</v>
      </c>
      <c r="E8" s="49" t="s">
        <v>6834</v>
      </c>
      <c r="F8" s="49" t="s">
        <v>1345</v>
      </c>
      <c r="G8" s="49">
        <v>181825</v>
      </c>
      <c r="H8" s="49" t="s">
        <v>6835</v>
      </c>
      <c r="I8" s="49" t="s">
        <v>6820</v>
      </c>
      <c r="J8" s="49" t="s">
        <v>6829</v>
      </c>
      <c r="K8" s="49" t="s">
        <v>1540</v>
      </c>
      <c r="L8" s="49" t="s">
        <v>6836</v>
      </c>
      <c r="M8" s="49" t="s">
        <v>2419</v>
      </c>
      <c r="N8" s="316" t="s">
        <v>5683</v>
      </c>
      <c r="O8" s="316" t="s">
        <v>5683</v>
      </c>
      <c r="P8" s="316" t="s">
        <v>5683</v>
      </c>
      <c r="Q8" s="316">
        <v>44643</v>
      </c>
      <c r="R8" s="316" t="s">
        <v>5683</v>
      </c>
      <c r="S8" s="310" t="s">
        <v>6837</v>
      </c>
      <c r="T8" s="310" t="s">
        <v>6837</v>
      </c>
      <c r="U8" s="338">
        <v>44643</v>
      </c>
      <c r="V8" s="334" t="s">
        <v>5103</v>
      </c>
      <c r="W8" s="374">
        <v>10</v>
      </c>
      <c r="X8" s="317" t="s">
        <v>4999</v>
      </c>
      <c r="Y8" s="346">
        <v>44643</v>
      </c>
      <c r="Z8" s="343" t="s">
        <v>6825</v>
      </c>
      <c r="AA8" s="344">
        <v>44643</v>
      </c>
      <c r="AB8" s="313">
        <v>44643</v>
      </c>
      <c r="AC8" s="314" t="s">
        <v>4999</v>
      </c>
    </row>
    <row r="9" spans="1:29" ht="13.5" thickBot="1" x14ac:dyDescent="0.3">
      <c r="A9" s="306" t="str">
        <f t="shared" si="0"/>
        <v>OK</v>
      </c>
      <c r="B9" s="307" t="str">
        <f t="shared" si="1"/>
        <v>OK</v>
      </c>
      <c r="C9" s="308" t="str">
        <f>IF(OR(ISBLANK(AA9),ISBLANK(AB9),ISBLANK(#REF!))=TRUE,"P","OK")</f>
        <v>OK</v>
      </c>
      <c r="D9" s="28">
        <v>0</v>
      </c>
      <c r="E9" s="49" t="s">
        <v>6838</v>
      </c>
      <c r="F9" s="49" t="s">
        <v>1345</v>
      </c>
      <c r="G9" s="49">
        <v>181825</v>
      </c>
      <c r="H9" s="49" t="s">
        <v>6839</v>
      </c>
      <c r="I9" s="49" t="s">
        <v>6820</v>
      </c>
      <c r="J9" s="49" t="s">
        <v>6829</v>
      </c>
      <c r="K9" s="49" t="s">
        <v>1445</v>
      </c>
      <c r="L9" s="49" t="s">
        <v>6840</v>
      </c>
      <c r="M9" s="49" t="s">
        <v>5083</v>
      </c>
      <c r="N9" s="316" t="s">
        <v>5683</v>
      </c>
      <c r="O9" s="316" t="s">
        <v>5683</v>
      </c>
      <c r="P9" s="316" t="s">
        <v>5683</v>
      </c>
      <c r="Q9" s="316">
        <v>44643</v>
      </c>
      <c r="R9" s="316" t="s">
        <v>5683</v>
      </c>
      <c r="S9" s="310" t="s">
        <v>6837</v>
      </c>
      <c r="T9" s="310" t="s">
        <v>6837</v>
      </c>
      <c r="U9" s="338">
        <v>44650</v>
      </c>
      <c r="V9" s="334" t="s">
        <v>6841</v>
      </c>
      <c r="W9" s="374">
        <v>8</v>
      </c>
      <c r="X9" s="317" t="s">
        <v>4999</v>
      </c>
      <c r="Y9" s="346">
        <v>44650</v>
      </c>
      <c r="Z9" s="38" t="s">
        <v>6825</v>
      </c>
      <c r="AA9" s="313">
        <v>44651</v>
      </c>
      <c r="AB9" s="313">
        <v>44651</v>
      </c>
      <c r="AC9" s="314" t="s">
        <v>4999</v>
      </c>
    </row>
    <row r="10" spans="1:29" ht="13.5" thickBot="1" x14ac:dyDescent="0.3">
      <c r="A10" s="306" t="str">
        <f t="shared" si="0"/>
        <v>OK</v>
      </c>
      <c r="B10" s="307" t="str">
        <f t="shared" si="1"/>
        <v>OK</v>
      </c>
      <c r="C10" s="308" t="str">
        <f>IF(OR(ISBLANK(AA10),ISBLANK(AB10),ISBLANK(#REF!))=TRUE,"P","OK")</f>
        <v>OK</v>
      </c>
      <c r="D10" s="28">
        <v>0</v>
      </c>
      <c r="E10" s="49" t="s">
        <v>6842</v>
      </c>
      <c r="F10" s="49" t="s">
        <v>1345</v>
      </c>
      <c r="G10" s="49">
        <v>181825</v>
      </c>
      <c r="H10" s="49" t="s">
        <v>6843</v>
      </c>
      <c r="I10" s="49" t="s">
        <v>6820</v>
      </c>
      <c r="J10" s="49" t="s">
        <v>6829</v>
      </c>
      <c r="K10" s="49" t="s">
        <v>1520</v>
      </c>
      <c r="L10" s="49" t="s">
        <v>6844</v>
      </c>
      <c r="M10" s="49" t="s">
        <v>2419</v>
      </c>
      <c r="N10" s="316" t="s">
        <v>5683</v>
      </c>
      <c r="O10" s="316" t="s">
        <v>5683</v>
      </c>
      <c r="P10" s="316" t="s">
        <v>5683</v>
      </c>
      <c r="Q10" s="316">
        <v>44643</v>
      </c>
      <c r="R10" s="316" t="s">
        <v>5683</v>
      </c>
      <c r="S10" s="310" t="s">
        <v>6837</v>
      </c>
      <c r="T10" s="310" t="s">
        <v>6837</v>
      </c>
      <c r="U10" s="338">
        <v>44651</v>
      </c>
      <c r="V10" s="334" t="s">
        <v>6845</v>
      </c>
      <c r="W10" s="374">
        <v>1</v>
      </c>
      <c r="X10" s="317" t="s">
        <v>4999</v>
      </c>
      <c r="Y10" s="346">
        <v>44651</v>
      </c>
      <c r="Z10" s="74" t="s">
        <v>6825</v>
      </c>
      <c r="AA10" s="313">
        <v>44651</v>
      </c>
      <c r="AB10" s="313">
        <v>44651</v>
      </c>
      <c r="AC10" s="314" t="s">
        <v>4999</v>
      </c>
    </row>
    <row r="11" spans="1:29" ht="13.5" thickBot="1" x14ac:dyDescent="0.3">
      <c r="A11" s="306" t="str">
        <f t="shared" si="0"/>
        <v>OK</v>
      </c>
      <c r="B11" s="307" t="str">
        <f t="shared" si="1"/>
        <v>OK</v>
      </c>
      <c r="C11" s="308" t="str">
        <f>IF(OR(ISBLANK(AA11),ISBLANK(AB11),ISBLANK(#REF!))=TRUE,"P","OK")</f>
        <v>OK</v>
      </c>
      <c r="D11" s="28">
        <v>0</v>
      </c>
      <c r="E11" s="49" t="s">
        <v>6846</v>
      </c>
      <c r="F11" s="49" t="s">
        <v>1345</v>
      </c>
      <c r="G11" s="49">
        <v>181825</v>
      </c>
      <c r="H11" s="49" t="s">
        <v>6847</v>
      </c>
      <c r="I11" s="49" t="s">
        <v>6820</v>
      </c>
      <c r="J11" s="49" t="s">
        <v>6829</v>
      </c>
      <c r="K11" s="49" t="s">
        <v>6848</v>
      </c>
      <c r="L11" s="49" t="s">
        <v>6849</v>
      </c>
      <c r="M11" s="49" t="s">
        <v>2419</v>
      </c>
      <c r="N11" s="316" t="s">
        <v>5683</v>
      </c>
      <c r="O11" s="309" t="s">
        <v>5683</v>
      </c>
      <c r="P11" s="309" t="s">
        <v>5683</v>
      </c>
      <c r="Q11" s="316">
        <v>44643</v>
      </c>
      <c r="R11" s="316">
        <v>44652</v>
      </c>
      <c r="S11" s="310" t="s">
        <v>6837</v>
      </c>
      <c r="T11" s="310" t="s">
        <v>6837</v>
      </c>
      <c r="U11" s="311">
        <v>43896</v>
      </c>
      <c r="V11" s="334" t="s">
        <v>6841</v>
      </c>
      <c r="W11" s="374">
        <v>2</v>
      </c>
      <c r="X11" s="317" t="s">
        <v>4999</v>
      </c>
      <c r="Y11" s="346">
        <v>43900</v>
      </c>
      <c r="Z11" s="343" t="s">
        <v>6850</v>
      </c>
      <c r="AA11" s="313">
        <v>44661</v>
      </c>
      <c r="AB11" s="313">
        <v>44663</v>
      </c>
      <c r="AC11" s="314" t="s">
        <v>4999</v>
      </c>
    </row>
    <row r="12" spans="1:29" ht="13.5" thickBot="1" x14ac:dyDescent="0.3">
      <c r="A12" s="306" t="str">
        <f t="shared" si="0"/>
        <v>OK</v>
      </c>
      <c r="B12" s="307" t="str">
        <f t="shared" si="1"/>
        <v>OK</v>
      </c>
      <c r="C12" s="308" t="str">
        <f>IF(OR(ISBLANK(AA12),ISBLANK(AB12),ISBLANK(#REF!))=TRUE,"P","OK")</f>
        <v>OK</v>
      </c>
      <c r="D12" s="28">
        <v>0</v>
      </c>
      <c r="E12" s="49" t="s">
        <v>6851</v>
      </c>
      <c r="F12" s="49" t="s">
        <v>1345</v>
      </c>
      <c r="G12" s="49">
        <v>181825</v>
      </c>
      <c r="H12" s="49" t="s">
        <v>6852</v>
      </c>
      <c r="I12" s="49" t="s">
        <v>6820</v>
      </c>
      <c r="J12" s="49" t="s">
        <v>6829</v>
      </c>
      <c r="K12" s="49" t="s">
        <v>6853</v>
      </c>
      <c r="L12" s="49" t="s">
        <v>6854</v>
      </c>
      <c r="M12" s="49" t="s">
        <v>5083</v>
      </c>
      <c r="N12" s="316" t="s">
        <v>5683</v>
      </c>
      <c r="O12" s="309" t="s">
        <v>5683</v>
      </c>
      <c r="P12" s="309" t="s">
        <v>5683</v>
      </c>
      <c r="Q12" s="316">
        <v>44643</v>
      </c>
      <c r="R12" s="316" t="s">
        <v>5683</v>
      </c>
      <c r="S12" s="310" t="s">
        <v>6837</v>
      </c>
      <c r="T12" s="310" t="s">
        <v>6837</v>
      </c>
      <c r="U12" s="338">
        <v>44670</v>
      </c>
      <c r="V12" s="334" t="s">
        <v>5098</v>
      </c>
      <c r="W12" s="374">
        <v>2</v>
      </c>
      <c r="X12" s="317" t="s">
        <v>4999</v>
      </c>
      <c r="Y12" s="346">
        <v>44670</v>
      </c>
      <c r="Z12" s="74" t="s">
        <v>6825</v>
      </c>
      <c r="AA12" s="313">
        <v>44671</v>
      </c>
      <c r="AB12" s="313">
        <v>44671</v>
      </c>
      <c r="AC12" s="314" t="s">
        <v>4999</v>
      </c>
    </row>
    <row r="13" spans="1:29" ht="13.5" thickBot="1" x14ac:dyDescent="0.3">
      <c r="A13" s="306" t="str">
        <f t="shared" si="0"/>
        <v>OK</v>
      </c>
      <c r="B13" s="307" t="str">
        <f t="shared" si="1"/>
        <v>OK</v>
      </c>
      <c r="C13" s="308" t="str">
        <f>IF(OR(ISBLANK(AA13),ISBLANK(AB13),ISBLANK(#REF!))=TRUE,"P","OK")</f>
        <v>OK</v>
      </c>
      <c r="D13" s="28">
        <v>0</v>
      </c>
      <c r="E13" s="49" t="s">
        <v>6855</v>
      </c>
      <c r="F13" s="49" t="s">
        <v>1345</v>
      </c>
      <c r="G13" s="49">
        <v>181825</v>
      </c>
      <c r="H13" s="49" t="s">
        <v>6856</v>
      </c>
      <c r="I13" s="49" t="s">
        <v>6820</v>
      </c>
      <c r="J13" s="49" t="s">
        <v>6829</v>
      </c>
      <c r="K13" s="49" t="s">
        <v>6857</v>
      </c>
      <c r="L13" s="49" t="s">
        <v>5137</v>
      </c>
      <c r="M13" s="49" t="s">
        <v>2419</v>
      </c>
      <c r="N13" s="316" t="s">
        <v>5683</v>
      </c>
      <c r="O13" s="309" t="s">
        <v>5683</v>
      </c>
      <c r="P13" s="309" t="s">
        <v>5683</v>
      </c>
      <c r="Q13" s="316">
        <v>44643</v>
      </c>
      <c r="R13" s="316">
        <v>44652</v>
      </c>
      <c r="S13" s="310" t="s">
        <v>5683</v>
      </c>
      <c r="T13" s="310" t="s">
        <v>5683</v>
      </c>
      <c r="U13" s="311" t="s">
        <v>5683</v>
      </c>
      <c r="V13" s="334" t="s">
        <v>6858</v>
      </c>
      <c r="W13" s="374">
        <v>2</v>
      </c>
      <c r="X13" s="317" t="s">
        <v>4999</v>
      </c>
      <c r="Y13" s="346" t="s">
        <v>5683</v>
      </c>
      <c r="Z13" s="74" t="s">
        <v>6825</v>
      </c>
      <c r="AA13" s="313">
        <v>44676</v>
      </c>
      <c r="AB13" s="313">
        <v>44676</v>
      </c>
      <c r="AC13" s="314" t="s">
        <v>4999</v>
      </c>
    </row>
    <row r="14" spans="1:29" ht="26.25" thickBot="1" x14ac:dyDescent="0.3">
      <c r="A14" s="306" t="str">
        <f t="shared" si="0"/>
        <v>OK</v>
      </c>
      <c r="B14" s="307" t="str">
        <f t="shared" si="1"/>
        <v>OK</v>
      </c>
      <c r="C14" s="308" t="str">
        <f>IF(OR(ISBLANK(AA14),ISBLANK(AB14),ISBLANK(#REF!))=TRUE,"P","OK")</f>
        <v>OK</v>
      </c>
      <c r="D14" s="28">
        <v>0</v>
      </c>
      <c r="E14" s="49" t="s">
        <v>6859</v>
      </c>
      <c r="F14" s="49" t="s">
        <v>1345</v>
      </c>
      <c r="G14" s="49">
        <v>181825</v>
      </c>
      <c r="H14" s="49" t="s">
        <v>6860</v>
      </c>
      <c r="I14" s="49" t="s">
        <v>6820</v>
      </c>
      <c r="J14" s="49" t="s">
        <v>6829</v>
      </c>
      <c r="K14" s="49" t="s">
        <v>6861</v>
      </c>
      <c r="L14" s="49" t="s">
        <v>6862</v>
      </c>
      <c r="M14" s="49" t="s">
        <v>5062</v>
      </c>
      <c r="N14" s="316" t="s">
        <v>5683</v>
      </c>
      <c r="O14" s="309" t="s">
        <v>5683</v>
      </c>
      <c r="P14" s="309" t="s">
        <v>5683</v>
      </c>
      <c r="Q14" s="316">
        <v>44643</v>
      </c>
      <c r="R14" s="316" t="s">
        <v>5683</v>
      </c>
      <c r="S14" s="310" t="s">
        <v>6837</v>
      </c>
      <c r="T14" s="310" t="s">
        <v>6837</v>
      </c>
      <c r="U14" s="338">
        <v>44678</v>
      </c>
      <c r="V14" s="334" t="s">
        <v>6863</v>
      </c>
      <c r="W14" s="374">
        <v>2</v>
      </c>
      <c r="X14" s="317" t="s">
        <v>4999</v>
      </c>
      <c r="Y14" s="346">
        <v>44678</v>
      </c>
      <c r="Z14" s="74" t="s">
        <v>6825</v>
      </c>
      <c r="AA14" s="313">
        <v>44676</v>
      </c>
      <c r="AB14" s="313">
        <v>44684</v>
      </c>
      <c r="AC14" s="314" t="s">
        <v>4999</v>
      </c>
    </row>
    <row r="15" spans="1:29" ht="26.25" thickBot="1" x14ac:dyDescent="0.3">
      <c r="A15" s="306" t="str">
        <f t="shared" si="0"/>
        <v>OK</v>
      </c>
      <c r="B15" s="307" t="str">
        <f t="shared" si="1"/>
        <v>OK</v>
      </c>
      <c r="C15" s="308" t="str">
        <f>IF(OR(ISBLANK(AA15),ISBLANK(AB15),ISBLANK(#REF!))=TRUE,"P","OK")</f>
        <v>OK</v>
      </c>
      <c r="D15" s="28">
        <v>0</v>
      </c>
      <c r="E15" s="49" t="s">
        <v>6864</v>
      </c>
      <c r="F15" s="49" t="s">
        <v>1345</v>
      </c>
      <c r="G15" s="49">
        <v>181825</v>
      </c>
      <c r="H15" s="49" t="s">
        <v>6865</v>
      </c>
      <c r="I15" s="49" t="s">
        <v>6820</v>
      </c>
      <c r="J15" s="49" t="s">
        <v>6829</v>
      </c>
      <c r="K15" s="49" t="s">
        <v>6866</v>
      </c>
      <c r="L15" s="49" t="s">
        <v>6867</v>
      </c>
      <c r="M15" s="49" t="s">
        <v>5062</v>
      </c>
      <c r="N15" s="316" t="s">
        <v>5683</v>
      </c>
      <c r="O15" s="309" t="s">
        <v>5683</v>
      </c>
      <c r="P15" s="309" t="s">
        <v>5683</v>
      </c>
      <c r="Q15" s="316">
        <v>44643</v>
      </c>
      <c r="R15" s="316" t="s">
        <v>5683</v>
      </c>
      <c r="S15" s="310" t="s">
        <v>6837</v>
      </c>
      <c r="T15" s="310" t="s">
        <v>6837</v>
      </c>
      <c r="U15" s="338">
        <v>44680</v>
      </c>
      <c r="V15" s="334" t="s">
        <v>2315</v>
      </c>
      <c r="W15" s="374">
        <v>1</v>
      </c>
      <c r="X15" s="317" t="s">
        <v>4999</v>
      </c>
      <c r="Y15" s="346">
        <v>44680</v>
      </c>
      <c r="Z15" s="38" t="s">
        <v>6825</v>
      </c>
      <c r="AA15" s="313">
        <v>44680</v>
      </c>
      <c r="AB15" s="313">
        <v>44680</v>
      </c>
      <c r="AC15" s="314" t="s">
        <v>4999</v>
      </c>
    </row>
    <row r="16" spans="1:29" ht="13.5" thickBot="1" x14ac:dyDescent="0.3">
      <c r="A16" s="306" t="str">
        <f t="shared" si="0"/>
        <v>OK</v>
      </c>
      <c r="B16" s="307" t="str">
        <f t="shared" si="1"/>
        <v>OK</v>
      </c>
      <c r="C16" s="308" t="str">
        <f>IF(OR(ISBLANK(AA16),ISBLANK(AB16),ISBLANK(#REF!))=TRUE,"P","OK")</f>
        <v>OK</v>
      </c>
      <c r="D16" s="28">
        <v>0</v>
      </c>
      <c r="E16" s="49" t="s">
        <v>6868</v>
      </c>
      <c r="F16" s="49" t="s">
        <v>1345</v>
      </c>
      <c r="G16" s="49">
        <v>181825</v>
      </c>
      <c r="H16" s="49" t="s">
        <v>6869</v>
      </c>
      <c r="I16" s="49" t="s">
        <v>6820</v>
      </c>
      <c r="J16" s="49" t="s">
        <v>6829</v>
      </c>
      <c r="K16" s="49" t="s">
        <v>6870</v>
      </c>
      <c r="L16" s="49" t="s">
        <v>6871</v>
      </c>
      <c r="M16" s="49" t="s">
        <v>5062</v>
      </c>
      <c r="N16" s="309">
        <v>44643</v>
      </c>
      <c r="O16" s="309" t="s">
        <v>5683</v>
      </c>
      <c r="P16" s="309" t="s">
        <v>5683</v>
      </c>
      <c r="Q16" s="316">
        <v>44643</v>
      </c>
      <c r="R16" s="309">
        <v>44682</v>
      </c>
      <c r="S16" s="310" t="s">
        <v>6837</v>
      </c>
      <c r="T16" s="310" t="s">
        <v>6837</v>
      </c>
      <c r="U16" s="338">
        <v>44680</v>
      </c>
      <c r="V16" s="334" t="s">
        <v>6841</v>
      </c>
      <c r="W16" s="374">
        <v>1</v>
      </c>
      <c r="X16" s="317" t="s">
        <v>4999</v>
      </c>
      <c r="Y16" s="346">
        <v>44680</v>
      </c>
      <c r="Z16" s="38" t="s">
        <v>6825</v>
      </c>
      <c r="AA16" s="313">
        <v>44680</v>
      </c>
      <c r="AB16" s="345">
        <v>44680</v>
      </c>
      <c r="AC16" s="314" t="s">
        <v>4999</v>
      </c>
    </row>
    <row r="17" spans="1:29" ht="13.5" thickBot="1" x14ac:dyDescent="0.3">
      <c r="A17" s="306" t="str">
        <f t="shared" si="0"/>
        <v>OK</v>
      </c>
      <c r="B17" s="307" t="str">
        <f t="shared" si="1"/>
        <v>OK</v>
      </c>
      <c r="C17" s="308" t="str">
        <f>IF(OR(ISBLANK(AA17),ISBLANK(AB17),ISBLANK(#REF!))=TRUE,"P","OK")</f>
        <v>OK</v>
      </c>
      <c r="D17" s="28">
        <v>0</v>
      </c>
      <c r="E17" s="49" t="s">
        <v>6872</v>
      </c>
      <c r="F17" s="49" t="s">
        <v>1345</v>
      </c>
      <c r="G17" s="49">
        <v>181825</v>
      </c>
      <c r="H17" s="49" t="s">
        <v>6873</v>
      </c>
      <c r="I17" s="49" t="s">
        <v>6820</v>
      </c>
      <c r="J17" s="49" t="s">
        <v>6829</v>
      </c>
      <c r="K17" s="49" t="s">
        <v>1445</v>
      </c>
      <c r="L17" s="49" t="s">
        <v>2253</v>
      </c>
      <c r="M17" s="49" t="s">
        <v>5062</v>
      </c>
      <c r="N17" s="316" t="s">
        <v>5683</v>
      </c>
      <c r="O17" s="316" t="s">
        <v>5683</v>
      </c>
      <c r="P17" s="316" t="s">
        <v>5683</v>
      </c>
      <c r="Q17" s="316">
        <v>44643</v>
      </c>
      <c r="R17" s="316" t="s">
        <v>5683</v>
      </c>
      <c r="S17" s="310" t="s">
        <v>6837</v>
      </c>
      <c r="T17" s="310" t="s">
        <v>6837</v>
      </c>
      <c r="U17" s="338">
        <v>44683</v>
      </c>
      <c r="V17" s="334" t="s">
        <v>6874</v>
      </c>
      <c r="W17" s="374">
        <v>2</v>
      </c>
      <c r="X17" s="317" t="s">
        <v>4999</v>
      </c>
      <c r="Y17" s="346">
        <v>44683</v>
      </c>
      <c r="Z17" s="74" t="s">
        <v>6825</v>
      </c>
      <c r="AA17" s="313">
        <v>44683</v>
      </c>
      <c r="AB17" s="313">
        <v>44683</v>
      </c>
      <c r="AC17" s="314" t="s">
        <v>4999</v>
      </c>
    </row>
    <row r="18" spans="1:29" ht="13.5" thickBot="1" x14ac:dyDescent="0.3">
      <c r="A18" s="306" t="str">
        <f t="shared" si="0"/>
        <v>OK</v>
      </c>
      <c r="B18" s="307" t="str">
        <f t="shared" si="1"/>
        <v>OK</v>
      </c>
      <c r="C18" s="308" t="str">
        <f>IF(OR(ISBLANK(AA18),ISBLANK(AB18),ISBLANK(#REF!))=TRUE,"P","OK")</f>
        <v>OK</v>
      </c>
      <c r="D18" s="28">
        <v>0</v>
      </c>
      <c r="E18" s="49" t="s">
        <v>6875</v>
      </c>
      <c r="F18" s="49" t="s">
        <v>1345</v>
      </c>
      <c r="G18" s="49">
        <v>181825</v>
      </c>
      <c r="H18" s="49" t="s">
        <v>6876</v>
      </c>
      <c r="I18" s="49" t="s">
        <v>6820</v>
      </c>
      <c r="J18" s="49" t="s">
        <v>4998</v>
      </c>
      <c r="K18" s="49" t="s">
        <v>547</v>
      </c>
      <c r="L18" s="49" t="s">
        <v>6877</v>
      </c>
      <c r="M18" s="49" t="s">
        <v>6878</v>
      </c>
      <c r="N18" s="49" t="s">
        <v>5683</v>
      </c>
      <c r="O18" s="49" t="s">
        <v>5683</v>
      </c>
      <c r="P18" s="49" t="s">
        <v>5683</v>
      </c>
      <c r="Q18" s="316">
        <v>44643</v>
      </c>
      <c r="R18" s="49" t="s">
        <v>5683</v>
      </c>
      <c r="S18" s="310" t="s">
        <v>28</v>
      </c>
      <c r="T18" s="310" t="s">
        <v>6879</v>
      </c>
      <c r="U18" s="338">
        <v>44757</v>
      </c>
      <c r="V18" s="334" t="s">
        <v>2227</v>
      </c>
      <c r="W18" s="374">
        <v>2</v>
      </c>
      <c r="X18" s="317" t="s">
        <v>4999</v>
      </c>
      <c r="Y18" s="346">
        <v>44761</v>
      </c>
      <c r="Z18" s="343" t="s">
        <v>6825</v>
      </c>
      <c r="AA18" s="313">
        <v>44761</v>
      </c>
      <c r="AB18" s="313">
        <v>44761</v>
      </c>
      <c r="AC18" s="314" t="s">
        <v>4999</v>
      </c>
    </row>
    <row r="19" spans="1:29" ht="13.5" thickBot="1" x14ac:dyDescent="0.3">
      <c r="A19" s="306" t="str">
        <f t="shared" si="0"/>
        <v>OK</v>
      </c>
      <c r="B19" s="307" t="str">
        <f t="shared" si="1"/>
        <v>OK</v>
      </c>
      <c r="C19" s="308" t="str">
        <f>IF(OR(ISBLANK(AA19),ISBLANK(AB19),ISBLANK(#REF!))=TRUE,"P","OK")</f>
        <v>OK</v>
      </c>
      <c r="D19" s="28">
        <v>0</v>
      </c>
      <c r="E19" s="49" t="s">
        <v>6880</v>
      </c>
      <c r="F19" s="49" t="s">
        <v>1345</v>
      </c>
      <c r="G19" s="49">
        <v>181825</v>
      </c>
      <c r="H19" s="49" t="s">
        <v>6881</v>
      </c>
      <c r="I19" s="49" t="s">
        <v>6820</v>
      </c>
      <c r="J19" s="49" t="s">
        <v>4998</v>
      </c>
      <c r="K19" s="49" t="s">
        <v>547</v>
      </c>
      <c r="L19" s="49" t="s">
        <v>6882</v>
      </c>
      <c r="M19" s="49" t="s">
        <v>5083</v>
      </c>
      <c r="N19" s="49" t="s">
        <v>5683</v>
      </c>
      <c r="O19" s="49" t="s">
        <v>5683</v>
      </c>
      <c r="P19" s="49" t="s">
        <v>5683</v>
      </c>
      <c r="Q19" s="316">
        <v>44643</v>
      </c>
      <c r="R19" s="49" t="s">
        <v>5683</v>
      </c>
      <c r="S19" s="310" t="s">
        <v>28</v>
      </c>
      <c r="T19" s="310" t="s">
        <v>6879</v>
      </c>
      <c r="U19" s="338">
        <v>44761</v>
      </c>
      <c r="V19" s="334" t="s">
        <v>2227</v>
      </c>
      <c r="W19" s="374">
        <v>1</v>
      </c>
      <c r="X19" s="317" t="s">
        <v>4999</v>
      </c>
      <c r="Y19" s="346">
        <v>44762</v>
      </c>
      <c r="Z19" s="343" t="s">
        <v>264</v>
      </c>
      <c r="AA19" s="313">
        <v>44762</v>
      </c>
      <c r="AB19" s="313">
        <v>44762</v>
      </c>
      <c r="AC19" s="314" t="s">
        <v>4999</v>
      </c>
    </row>
    <row r="20" spans="1:29" ht="13.5" thickBot="1" x14ac:dyDescent="0.3">
      <c r="A20" s="306" t="str">
        <f t="shared" si="0"/>
        <v>OK</v>
      </c>
      <c r="B20" s="307" t="str">
        <f t="shared" si="1"/>
        <v>OK</v>
      </c>
      <c r="C20" s="308" t="str">
        <f>IF(OR(ISBLANK(AA20),ISBLANK(AB20),ISBLANK(#REF!))=TRUE,"P","OK")</f>
        <v>OK</v>
      </c>
      <c r="D20" s="28">
        <v>0</v>
      </c>
      <c r="E20" s="49" t="s">
        <v>6883</v>
      </c>
      <c r="F20" s="49" t="s">
        <v>1345</v>
      </c>
      <c r="G20" s="49">
        <v>181825</v>
      </c>
      <c r="H20" s="49" t="s">
        <v>6884</v>
      </c>
      <c r="I20" s="49" t="s">
        <v>6820</v>
      </c>
      <c r="J20" s="49" t="s">
        <v>4998</v>
      </c>
      <c r="K20" s="49" t="s">
        <v>147</v>
      </c>
      <c r="L20" s="49" t="s">
        <v>6885</v>
      </c>
      <c r="M20" s="49" t="s">
        <v>5083</v>
      </c>
      <c r="N20" s="49" t="s">
        <v>5683</v>
      </c>
      <c r="O20" s="49" t="s">
        <v>5683</v>
      </c>
      <c r="P20" s="49" t="s">
        <v>5683</v>
      </c>
      <c r="Q20" s="316">
        <v>44643</v>
      </c>
      <c r="R20" s="49" t="s">
        <v>5683</v>
      </c>
      <c r="S20" s="310" t="s">
        <v>28</v>
      </c>
      <c r="T20" s="310" t="s">
        <v>6879</v>
      </c>
      <c r="U20" s="338">
        <v>44762</v>
      </c>
      <c r="V20" s="334" t="s">
        <v>5132</v>
      </c>
      <c r="W20" s="374">
        <v>2</v>
      </c>
      <c r="X20" s="317" t="s">
        <v>4999</v>
      </c>
      <c r="Y20" s="346">
        <v>44769</v>
      </c>
      <c r="Z20" s="343" t="s">
        <v>264</v>
      </c>
      <c r="AA20" s="313">
        <v>44769</v>
      </c>
      <c r="AB20" s="313">
        <v>44769</v>
      </c>
      <c r="AC20" s="314" t="s">
        <v>4999</v>
      </c>
    </row>
    <row r="21" spans="1:29" ht="13.5" thickBot="1" x14ac:dyDescent="0.3">
      <c r="A21" s="306" t="str">
        <f>IF(OR(ISBLANK(D21),ISBLANK(E17),ISBLANK(F21),ISBLANK(G21),ISBLANK(H21),ISBLANK(I21),ISBLANK(J21),ISBLANK(K21),ISBLANK(L21),ISBLANK(M21),ISBLANK(N21),ISBLANK(O21),ISBLANK(P21),ISBLANK(Q21),ISBLANK(R21))=TRUE,"P","OK")</f>
        <v>OK</v>
      </c>
      <c r="B21" s="307" t="str">
        <f t="shared" si="1"/>
        <v>OK</v>
      </c>
      <c r="C21" s="308" t="str">
        <f>IF(OR(ISBLANK(AA21),ISBLANK(AB21),ISBLANK(#REF!))=TRUE,"P","OK")</f>
        <v>OK</v>
      </c>
      <c r="D21" s="28">
        <v>0</v>
      </c>
      <c r="E21" s="49" t="s">
        <v>6886</v>
      </c>
      <c r="F21" s="49" t="s">
        <v>1345</v>
      </c>
      <c r="G21" s="49">
        <v>181825</v>
      </c>
      <c r="H21" s="49" t="s">
        <v>6887</v>
      </c>
      <c r="I21" s="49" t="s">
        <v>6820</v>
      </c>
      <c r="J21" s="49" t="s">
        <v>4998</v>
      </c>
      <c r="K21" s="49" t="s">
        <v>547</v>
      </c>
      <c r="L21" s="49" t="s">
        <v>6888</v>
      </c>
      <c r="M21" s="49" t="s">
        <v>5083</v>
      </c>
      <c r="N21" s="49" t="s">
        <v>5683</v>
      </c>
      <c r="O21" s="49" t="s">
        <v>5683</v>
      </c>
      <c r="P21" s="49" t="s">
        <v>5683</v>
      </c>
      <c r="Q21" s="316">
        <v>44643</v>
      </c>
      <c r="R21" s="49" t="s">
        <v>5683</v>
      </c>
      <c r="S21" s="333" t="s">
        <v>6832</v>
      </c>
      <c r="T21" s="333" t="s">
        <v>6832</v>
      </c>
      <c r="U21" s="338">
        <v>44775</v>
      </c>
      <c r="V21" s="334" t="s">
        <v>6889</v>
      </c>
      <c r="W21" s="374">
        <v>11</v>
      </c>
      <c r="X21" s="317" t="s">
        <v>4999</v>
      </c>
      <c r="Y21" s="346">
        <v>44776</v>
      </c>
      <c r="Z21" s="343" t="s">
        <v>264</v>
      </c>
      <c r="AA21" s="313">
        <v>44776</v>
      </c>
      <c r="AB21" s="313">
        <v>44776</v>
      </c>
      <c r="AC21" s="314" t="s">
        <v>4999</v>
      </c>
    </row>
    <row r="22" spans="1:29" ht="26.25" thickBot="1" x14ac:dyDescent="0.3">
      <c r="A22" s="306" t="str">
        <f t="shared" ref="A22:A46" si="2">IF(OR(ISBLANK(D22),ISBLANK(E22),ISBLANK(F22),ISBLANK(G22),ISBLANK(H22),ISBLANK(I22),ISBLANK(J22),ISBLANK(K22),ISBLANK(L22),ISBLANK(M22),ISBLANK(N22),ISBLANK(O22),ISBLANK(P22),ISBLANK(Q22),ISBLANK(R22))=TRUE,"P","OK")</f>
        <v>OK</v>
      </c>
      <c r="B22" s="307" t="str">
        <f t="shared" si="1"/>
        <v>OK</v>
      </c>
      <c r="C22" s="308" t="str">
        <f>IF(OR(ISBLANK(AA22),ISBLANK(AB22),ISBLANK(#REF!))=TRUE,"P","OK")</f>
        <v>OK</v>
      </c>
      <c r="D22" s="28">
        <v>0</v>
      </c>
      <c r="E22" s="49" t="s">
        <v>6890</v>
      </c>
      <c r="F22" s="49" t="s">
        <v>1345</v>
      </c>
      <c r="G22" s="49">
        <v>181825</v>
      </c>
      <c r="H22" s="49" t="s">
        <v>6891</v>
      </c>
      <c r="I22" s="49" t="s">
        <v>6820</v>
      </c>
      <c r="J22" s="49" t="s">
        <v>4998</v>
      </c>
      <c r="K22" s="49" t="s">
        <v>1406</v>
      </c>
      <c r="L22" s="49" t="s">
        <v>6892</v>
      </c>
      <c r="M22" s="49" t="s">
        <v>5062</v>
      </c>
      <c r="N22" s="316" t="s">
        <v>5683</v>
      </c>
      <c r="O22" s="316" t="s">
        <v>5683</v>
      </c>
      <c r="P22" s="316" t="s">
        <v>5683</v>
      </c>
      <c r="Q22" s="316" t="s">
        <v>5683</v>
      </c>
      <c r="R22" s="316" t="s">
        <v>5683</v>
      </c>
      <c r="S22" s="310" t="s">
        <v>28</v>
      </c>
      <c r="T22" s="310" t="s">
        <v>6879</v>
      </c>
      <c r="U22" s="338">
        <v>44784</v>
      </c>
      <c r="V22" s="334" t="s">
        <v>1466</v>
      </c>
      <c r="W22" s="374">
        <v>2</v>
      </c>
      <c r="X22" s="317" t="s">
        <v>4999</v>
      </c>
      <c r="Y22" s="346">
        <v>44788</v>
      </c>
      <c r="Z22" s="343" t="s">
        <v>264</v>
      </c>
      <c r="AA22" s="313">
        <v>44776</v>
      </c>
      <c r="AB22" s="313">
        <v>44789</v>
      </c>
      <c r="AC22" s="314" t="s">
        <v>4999</v>
      </c>
    </row>
    <row r="23" spans="1:29" ht="26.25" customHeight="1" thickBot="1" x14ac:dyDescent="0.3">
      <c r="A23" s="306" t="str">
        <f t="shared" si="2"/>
        <v>OK</v>
      </c>
      <c r="B23" s="307" t="str">
        <f t="shared" si="1"/>
        <v>OK</v>
      </c>
      <c r="C23" s="308" t="str">
        <f>IF(OR(ISBLANK(AA23),ISBLANK(AB23),ISBLANK(#REF!))=TRUE,"P","OK")</f>
        <v>OK</v>
      </c>
      <c r="D23" s="28">
        <v>0</v>
      </c>
      <c r="E23" s="49" t="s">
        <v>6893</v>
      </c>
      <c r="F23" s="49" t="s">
        <v>1345</v>
      </c>
      <c r="G23" s="49">
        <v>181825</v>
      </c>
      <c r="H23" s="49" t="s">
        <v>6894</v>
      </c>
      <c r="I23" s="49" t="s">
        <v>6820</v>
      </c>
      <c r="J23" s="49" t="s">
        <v>4998</v>
      </c>
      <c r="K23" s="49" t="s">
        <v>6895</v>
      </c>
      <c r="L23" s="49" t="s">
        <v>6896</v>
      </c>
      <c r="M23" s="49" t="s">
        <v>1517</v>
      </c>
      <c r="N23" s="316" t="s">
        <v>5683</v>
      </c>
      <c r="O23" s="316" t="s">
        <v>5683</v>
      </c>
      <c r="P23" s="316" t="s">
        <v>5683</v>
      </c>
      <c r="Q23" s="316" t="s">
        <v>5683</v>
      </c>
      <c r="R23" s="316" t="s">
        <v>5683</v>
      </c>
      <c r="S23" s="334" t="s">
        <v>28</v>
      </c>
      <c r="T23" s="334" t="s">
        <v>28</v>
      </c>
      <c r="U23" s="338">
        <v>44797</v>
      </c>
      <c r="V23" s="334" t="s">
        <v>6897</v>
      </c>
      <c r="W23" s="374">
        <v>1</v>
      </c>
      <c r="X23" s="317" t="s">
        <v>6898</v>
      </c>
      <c r="Y23" s="373" t="s">
        <v>5683</v>
      </c>
      <c r="Z23" s="343" t="s">
        <v>6898</v>
      </c>
      <c r="AA23" s="313" t="s">
        <v>6898</v>
      </c>
      <c r="AB23" s="313">
        <v>44797</v>
      </c>
      <c r="AC23" s="314" t="s">
        <v>4999</v>
      </c>
    </row>
    <row r="24" spans="1:29" ht="26.25" customHeight="1" thickBot="1" x14ac:dyDescent="0.3">
      <c r="A24" s="306" t="str">
        <f t="shared" si="2"/>
        <v>OK</v>
      </c>
      <c r="B24" s="307" t="str">
        <f t="shared" si="1"/>
        <v>OK</v>
      </c>
      <c r="C24" s="308" t="str">
        <f>IF(OR(ISBLANK(AA24),ISBLANK(AB24),ISBLANK(#REF!))=TRUE,"P","OK")</f>
        <v>OK</v>
      </c>
      <c r="D24" s="28">
        <v>0</v>
      </c>
      <c r="E24" s="49" t="s">
        <v>6899</v>
      </c>
      <c r="F24" s="49" t="s">
        <v>1345</v>
      </c>
      <c r="G24" s="49">
        <v>181825</v>
      </c>
      <c r="H24" s="49" t="s">
        <v>6900</v>
      </c>
      <c r="I24" s="49" t="s">
        <v>6820</v>
      </c>
      <c r="J24" s="49" t="s">
        <v>6829</v>
      </c>
      <c r="K24" s="49" t="s">
        <v>6901</v>
      </c>
      <c r="L24" s="49" t="s">
        <v>6902</v>
      </c>
      <c r="M24" s="49" t="s">
        <v>6903</v>
      </c>
      <c r="N24" s="316" t="s">
        <v>5683</v>
      </c>
      <c r="O24" s="316" t="s">
        <v>5683</v>
      </c>
      <c r="P24" s="316" t="s">
        <v>5683</v>
      </c>
      <c r="Q24" s="316">
        <v>44643</v>
      </c>
      <c r="R24" s="316" t="s">
        <v>5683</v>
      </c>
      <c r="S24" s="310" t="s">
        <v>6837</v>
      </c>
      <c r="T24" s="310" t="s">
        <v>6837</v>
      </c>
      <c r="U24" s="338">
        <v>44643</v>
      </c>
      <c r="V24" s="342" t="s">
        <v>6841</v>
      </c>
      <c r="W24" s="375">
        <v>1</v>
      </c>
      <c r="X24" s="330" t="s">
        <v>4999</v>
      </c>
      <c r="Y24" s="346">
        <v>44643</v>
      </c>
      <c r="Z24" s="312" t="s">
        <v>6825</v>
      </c>
      <c r="AA24" s="313">
        <v>44643</v>
      </c>
      <c r="AB24" s="313">
        <v>44643</v>
      </c>
      <c r="AC24" s="314" t="s">
        <v>4999</v>
      </c>
    </row>
    <row r="25" spans="1:29" ht="13.5" thickBot="1" x14ac:dyDescent="0.3">
      <c r="A25" s="306" t="str">
        <f t="shared" si="2"/>
        <v>OK</v>
      </c>
      <c r="B25" s="307" t="str">
        <f t="shared" si="1"/>
        <v>OK</v>
      </c>
      <c r="C25" s="308" t="str">
        <f>IF(OR(ISBLANK(AA25),ISBLANK(AB25),ISBLANK(#REF!))=TRUE,"P","OK")</f>
        <v>OK</v>
      </c>
      <c r="D25" s="28">
        <v>0</v>
      </c>
      <c r="E25" s="49" t="s">
        <v>6904</v>
      </c>
      <c r="F25" s="49" t="s">
        <v>1345</v>
      </c>
      <c r="G25" s="49">
        <v>181825</v>
      </c>
      <c r="H25" s="49" t="s">
        <v>6905</v>
      </c>
      <c r="I25" s="49" t="s">
        <v>6820</v>
      </c>
      <c r="J25" s="49" t="s">
        <v>6829</v>
      </c>
      <c r="K25" s="49" t="s">
        <v>1445</v>
      </c>
      <c r="L25" s="49" t="s">
        <v>6906</v>
      </c>
      <c r="M25" s="49" t="s">
        <v>2419</v>
      </c>
      <c r="N25" s="316" t="s">
        <v>5683</v>
      </c>
      <c r="O25" s="316" t="s">
        <v>5683</v>
      </c>
      <c r="P25" s="316" t="s">
        <v>5683</v>
      </c>
      <c r="Q25" s="316">
        <v>44643</v>
      </c>
      <c r="R25" s="316" t="s">
        <v>5683</v>
      </c>
      <c r="S25" s="310" t="s">
        <v>6837</v>
      </c>
      <c r="T25" s="310" t="s">
        <v>6837</v>
      </c>
      <c r="U25" s="339">
        <v>44655</v>
      </c>
      <c r="V25" s="342" t="s">
        <v>6841</v>
      </c>
      <c r="W25" s="375">
        <v>13</v>
      </c>
      <c r="X25" s="330" t="s">
        <v>4999</v>
      </c>
      <c r="Y25" s="376">
        <v>44655</v>
      </c>
      <c r="Z25" s="74" t="s">
        <v>6825</v>
      </c>
      <c r="AA25" s="313">
        <v>44655</v>
      </c>
      <c r="AB25" s="313">
        <v>44655</v>
      </c>
      <c r="AC25" s="314" t="s">
        <v>4999</v>
      </c>
    </row>
    <row r="26" spans="1:29" ht="13.5" thickBot="1" x14ac:dyDescent="0.3">
      <c r="A26" s="306" t="str">
        <f t="shared" si="2"/>
        <v>OK</v>
      </c>
      <c r="B26" s="307" t="str">
        <f t="shared" si="1"/>
        <v>OK</v>
      </c>
      <c r="C26" s="308" t="str">
        <f>IF(OR(ISBLANK(AA26),ISBLANK(AB26),ISBLANK(#REF!))=TRUE,"P","OK")</f>
        <v>OK</v>
      </c>
      <c r="D26" s="28">
        <v>0</v>
      </c>
      <c r="E26" s="49" t="s">
        <v>6907</v>
      </c>
      <c r="F26" s="49" t="s">
        <v>1345</v>
      </c>
      <c r="G26" s="49">
        <v>181825</v>
      </c>
      <c r="H26" s="49" t="s">
        <v>6908</v>
      </c>
      <c r="I26" s="49" t="s">
        <v>6820</v>
      </c>
      <c r="J26" s="49" t="s">
        <v>6829</v>
      </c>
      <c r="K26" s="49" t="s">
        <v>6909</v>
      </c>
      <c r="L26" s="49" t="s">
        <v>6910</v>
      </c>
      <c r="M26" s="49" t="s">
        <v>2419</v>
      </c>
      <c r="N26" s="316" t="s">
        <v>5683</v>
      </c>
      <c r="O26" s="316" t="s">
        <v>5683</v>
      </c>
      <c r="P26" s="316" t="s">
        <v>5683</v>
      </c>
      <c r="Q26" s="316">
        <v>44643</v>
      </c>
      <c r="R26" s="316">
        <v>44652</v>
      </c>
      <c r="S26" s="310" t="s">
        <v>6911</v>
      </c>
      <c r="T26" s="310" t="s">
        <v>6912</v>
      </c>
      <c r="U26" s="311">
        <v>44193</v>
      </c>
      <c r="V26" s="334" t="s">
        <v>6913</v>
      </c>
      <c r="W26" s="374">
        <v>1</v>
      </c>
      <c r="X26" s="317" t="s">
        <v>4999</v>
      </c>
      <c r="Y26" s="346">
        <v>44194</v>
      </c>
      <c r="Z26" s="343" t="s">
        <v>6850</v>
      </c>
      <c r="AA26" s="313">
        <v>44662</v>
      </c>
      <c r="AB26" s="313">
        <v>44663</v>
      </c>
      <c r="AC26" s="314" t="s">
        <v>4999</v>
      </c>
    </row>
    <row r="27" spans="1:29" ht="26.25" thickBot="1" x14ac:dyDescent="0.3">
      <c r="A27" s="306" t="str">
        <f t="shared" si="2"/>
        <v>OK</v>
      </c>
      <c r="B27" s="307" t="str">
        <f t="shared" si="1"/>
        <v>OK</v>
      </c>
      <c r="C27" s="308" t="str">
        <f>IF(OR(ISBLANK(AA27),ISBLANK(AB27),ISBLANK(#REF!))=TRUE,"P","OK")</f>
        <v>OK</v>
      </c>
      <c r="D27" s="28">
        <v>0</v>
      </c>
      <c r="E27" s="49" t="s">
        <v>6914</v>
      </c>
      <c r="F27" s="49" t="s">
        <v>1345</v>
      </c>
      <c r="G27" s="49">
        <v>181825</v>
      </c>
      <c r="H27" s="49" t="s">
        <v>6915</v>
      </c>
      <c r="I27" s="49" t="s">
        <v>6820</v>
      </c>
      <c r="J27" s="49" t="s">
        <v>6829</v>
      </c>
      <c r="K27" s="49" t="s">
        <v>6916</v>
      </c>
      <c r="L27" s="49" t="s">
        <v>6917</v>
      </c>
      <c r="M27" s="49" t="s">
        <v>5083</v>
      </c>
      <c r="N27" s="316" t="s">
        <v>5683</v>
      </c>
      <c r="O27" s="316" t="s">
        <v>5683</v>
      </c>
      <c r="P27" s="316" t="s">
        <v>5683</v>
      </c>
      <c r="Q27" s="316">
        <v>44643</v>
      </c>
      <c r="R27" s="316" t="s">
        <v>5683</v>
      </c>
      <c r="S27" s="310" t="s">
        <v>6837</v>
      </c>
      <c r="T27" s="310" t="s">
        <v>6837</v>
      </c>
      <c r="U27" s="338">
        <v>44663</v>
      </c>
      <c r="V27" s="334" t="s">
        <v>2315</v>
      </c>
      <c r="W27" s="374">
        <v>2</v>
      </c>
      <c r="X27" s="317" t="s">
        <v>4999</v>
      </c>
      <c r="Y27" s="346">
        <v>44664</v>
      </c>
      <c r="Z27" s="74" t="s">
        <v>6825</v>
      </c>
      <c r="AA27" s="313">
        <v>44664</v>
      </c>
      <c r="AB27" s="313">
        <v>44664</v>
      </c>
      <c r="AC27" s="314" t="s">
        <v>4999</v>
      </c>
    </row>
    <row r="28" spans="1:29" ht="24.75" customHeight="1" thickBot="1" x14ac:dyDescent="0.3">
      <c r="A28" s="306" t="str">
        <f t="shared" si="2"/>
        <v>OK</v>
      </c>
      <c r="B28" s="307" t="str">
        <f t="shared" si="1"/>
        <v>OK</v>
      </c>
      <c r="C28" s="308" t="str">
        <f>IF(OR(ISBLANK(AA28),ISBLANK(AB28),ISBLANK(#REF!))=TRUE,"P","OK")</f>
        <v>OK</v>
      </c>
      <c r="D28" s="28">
        <v>0</v>
      </c>
      <c r="E28" s="49" t="s">
        <v>6918</v>
      </c>
      <c r="F28" s="49" t="s">
        <v>1345</v>
      </c>
      <c r="G28" s="49">
        <v>181825</v>
      </c>
      <c r="H28" s="49" t="s">
        <v>6919</v>
      </c>
      <c r="I28" s="49" t="s">
        <v>6820</v>
      </c>
      <c r="J28" s="49" t="s">
        <v>6829</v>
      </c>
      <c r="K28" s="49" t="s">
        <v>6920</v>
      </c>
      <c r="L28" s="49" t="s">
        <v>6921</v>
      </c>
      <c r="M28" s="49" t="s">
        <v>5083</v>
      </c>
      <c r="N28" s="316">
        <v>44643</v>
      </c>
      <c r="O28" s="316" t="s">
        <v>264</v>
      </c>
      <c r="P28" s="316">
        <v>44643</v>
      </c>
      <c r="Q28" s="316">
        <v>44643</v>
      </c>
      <c r="R28" s="316">
        <v>44682</v>
      </c>
      <c r="S28" s="310" t="s">
        <v>6837</v>
      </c>
      <c r="T28" s="310" t="s">
        <v>6837</v>
      </c>
      <c r="U28" s="338">
        <v>44698</v>
      </c>
      <c r="V28" s="334" t="s">
        <v>2209</v>
      </c>
      <c r="W28" s="374">
        <v>3</v>
      </c>
      <c r="X28" s="317" t="s">
        <v>4999</v>
      </c>
      <c r="Y28" s="346">
        <v>44694</v>
      </c>
      <c r="Z28" s="74" t="s">
        <v>6825</v>
      </c>
      <c r="AA28" s="313">
        <v>44694</v>
      </c>
      <c r="AB28" s="313">
        <v>44694</v>
      </c>
      <c r="AC28" s="314" t="s">
        <v>4999</v>
      </c>
    </row>
    <row r="29" spans="1:29" ht="13.5" thickBot="1" x14ac:dyDescent="0.3">
      <c r="A29" s="306" t="str">
        <f t="shared" si="2"/>
        <v>OK</v>
      </c>
      <c r="B29" s="307" t="str">
        <f t="shared" si="1"/>
        <v>OK</v>
      </c>
      <c r="C29" s="308" t="str">
        <f>IF(OR(ISBLANK(AA29),ISBLANK(AB29),ISBLANK(#REF!))=TRUE,"P","OK")</f>
        <v>OK</v>
      </c>
      <c r="D29" s="28">
        <v>0</v>
      </c>
      <c r="E29" s="49" t="s">
        <v>6922</v>
      </c>
      <c r="F29" s="49" t="s">
        <v>1345</v>
      </c>
      <c r="G29" s="49">
        <v>181825</v>
      </c>
      <c r="H29" s="49" t="s">
        <v>6923</v>
      </c>
      <c r="I29" s="49" t="s">
        <v>6820</v>
      </c>
      <c r="J29" s="49" t="s">
        <v>6829</v>
      </c>
      <c r="K29" s="49" t="s">
        <v>5242</v>
      </c>
      <c r="L29" s="49" t="s">
        <v>6924</v>
      </c>
      <c r="M29" s="49" t="s">
        <v>5083</v>
      </c>
      <c r="N29" s="316" t="s">
        <v>5683</v>
      </c>
      <c r="O29" s="316" t="s">
        <v>5683</v>
      </c>
      <c r="P29" s="316" t="s">
        <v>5683</v>
      </c>
      <c r="Q29" s="316">
        <v>44643</v>
      </c>
      <c r="R29" s="316" t="s">
        <v>5683</v>
      </c>
      <c r="S29" s="310" t="s">
        <v>6837</v>
      </c>
      <c r="T29" s="310" t="s">
        <v>6837</v>
      </c>
      <c r="U29" s="338">
        <v>44694</v>
      </c>
      <c r="V29" s="334" t="s">
        <v>6913</v>
      </c>
      <c r="W29" s="374">
        <v>2</v>
      </c>
      <c r="X29" s="317" t="s">
        <v>4999</v>
      </c>
      <c r="Y29" s="346">
        <v>44694</v>
      </c>
      <c r="Z29" s="38" t="s">
        <v>6825</v>
      </c>
      <c r="AA29" s="313">
        <v>44694</v>
      </c>
      <c r="AB29" s="313">
        <v>44694</v>
      </c>
      <c r="AC29" s="314" t="s">
        <v>4999</v>
      </c>
    </row>
    <row r="30" spans="1:29" ht="13.5" thickBot="1" x14ac:dyDescent="0.3">
      <c r="A30" s="306" t="str">
        <f t="shared" si="2"/>
        <v>OK</v>
      </c>
      <c r="B30" s="307" t="str">
        <f t="shared" si="1"/>
        <v>OK</v>
      </c>
      <c r="C30" s="308" t="str">
        <f>IF(OR(ISBLANK(AA30),ISBLANK(AB30),ISBLANK(#REF!))=TRUE,"P","OK")</f>
        <v>OK</v>
      </c>
      <c r="D30" s="28">
        <v>0</v>
      </c>
      <c r="E30" s="49" t="s">
        <v>6925</v>
      </c>
      <c r="F30" s="49" t="s">
        <v>1345</v>
      </c>
      <c r="G30" s="49">
        <v>181825</v>
      </c>
      <c r="H30" s="49" t="s">
        <v>6926</v>
      </c>
      <c r="I30" s="49" t="s">
        <v>6820</v>
      </c>
      <c r="J30" s="49" t="s">
        <v>6829</v>
      </c>
      <c r="K30" s="49" t="s">
        <v>1520</v>
      </c>
      <c r="L30" s="49" t="s">
        <v>6927</v>
      </c>
      <c r="M30" s="49" t="s">
        <v>5083</v>
      </c>
      <c r="N30" s="316" t="s">
        <v>5683</v>
      </c>
      <c r="O30" s="316" t="s">
        <v>5683</v>
      </c>
      <c r="P30" s="316" t="s">
        <v>5683</v>
      </c>
      <c r="Q30" s="316">
        <v>44643</v>
      </c>
      <c r="R30" s="316" t="s">
        <v>5683</v>
      </c>
      <c r="S30" s="310" t="s">
        <v>6837</v>
      </c>
      <c r="T30" s="310" t="s">
        <v>6837</v>
      </c>
      <c r="U30" s="338">
        <v>44698</v>
      </c>
      <c r="V30" s="334" t="s">
        <v>6845</v>
      </c>
      <c r="W30" s="374">
        <v>1</v>
      </c>
      <c r="X30" s="317" t="s">
        <v>4999</v>
      </c>
      <c r="Y30" s="346">
        <v>44698</v>
      </c>
      <c r="Z30" s="38" t="s">
        <v>6825</v>
      </c>
      <c r="AA30" s="313">
        <v>44701</v>
      </c>
      <c r="AB30" s="313">
        <v>44701</v>
      </c>
      <c r="AC30" s="314" t="s">
        <v>4999</v>
      </c>
    </row>
    <row r="31" spans="1:29" ht="24.75" customHeight="1" thickBot="1" x14ac:dyDescent="0.3">
      <c r="A31" s="306" t="str">
        <f t="shared" si="2"/>
        <v>OK</v>
      </c>
      <c r="B31" s="307" t="str">
        <f t="shared" si="1"/>
        <v>OK</v>
      </c>
      <c r="C31" s="308" t="str">
        <f>IF(OR(ISBLANK(AA31),ISBLANK(AB31),ISBLANK(#REF!))=TRUE,"P","OK")</f>
        <v>OK</v>
      </c>
      <c r="D31" s="28">
        <v>0</v>
      </c>
      <c r="E31" s="49" t="s">
        <v>6928</v>
      </c>
      <c r="F31" s="49" t="s">
        <v>1345</v>
      </c>
      <c r="G31" s="49">
        <v>181825</v>
      </c>
      <c r="H31" s="49" t="s">
        <v>6929</v>
      </c>
      <c r="I31" s="49" t="s">
        <v>6820</v>
      </c>
      <c r="J31" s="49" t="s">
        <v>6829</v>
      </c>
      <c r="K31" s="49" t="s">
        <v>6930</v>
      </c>
      <c r="L31" s="49" t="s">
        <v>6931</v>
      </c>
      <c r="M31" s="49" t="s">
        <v>1426</v>
      </c>
      <c r="N31" s="316" t="s">
        <v>5683</v>
      </c>
      <c r="O31" s="316" t="s">
        <v>5683</v>
      </c>
      <c r="P31" s="316" t="s">
        <v>5683</v>
      </c>
      <c r="Q31" s="316">
        <v>44643</v>
      </c>
      <c r="R31" s="316" t="s">
        <v>5683</v>
      </c>
      <c r="S31" s="310" t="s">
        <v>6837</v>
      </c>
      <c r="T31" s="310" t="s">
        <v>6837</v>
      </c>
      <c r="U31" s="338">
        <v>44698</v>
      </c>
      <c r="V31" s="334">
        <v>1123122</v>
      </c>
      <c r="W31" s="374">
        <v>1</v>
      </c>
      <c r="X31" s="317" t="s">
        <v>4999</v>
      </c>
      <c r="Y31" s="346">
        <v>44698</v>
      </c>
      <c r="Z31" s="74" t="s">
        <v>6825</v>
      </c>
      <c r="AA31" s="313">
        <v>44701</v>
      </c>
      <c r="AB31" s="313">
        <v>44701</v>
      </c>
      <c r="AC31" s="314" t="s">
        <v>4999</v>
      </c>
    </row>
    <row r="32" spans="1:29" ht="13.5" thickBot="1" x14ac:dyDescent="0.3">
      <c r="A32" s="306" t="str">
        <f t="shared" si="2"/>
        <v>OK</v>
      </c>
      <c r="B32" s="307" t="str">
        <f t="shared" si="1"/>
        <v>OK</v>
      </c>
      <c r="C32" s="308" t="str">
        <f>IF(OR(ISBLANK(AA32),ISBLANK(AB32),ISBLANK(#REF!))=TRUE,"P","OK")</f>
        <v>OK</v>
      </c>
      <c r="D32" s="28">
        <v>0</v>
      </c>
      <c r="E32" s="49" t="s">
        <v>6932</v>
      </c>
      <c r="F32" s="49" t="s">
        <v>1345</v>
      </c>
      <c r="G32" s="49">
        <v>181825</v>
      </c>
      <c r="H32" s="49" t="s">
        <v>6933</v>
      </c>
      <c r="I32" s="49" t="s">
        <v>6820</v>
      </c>
      <c r="J32" s="49" t="s">
        <v>6829</v>
      </c>
      <c r="K32" s="49" t="s">
        <v>1445</v>
      </c>
      <c r="L32" s="49" t="s">
        <v>6127</v>
      </c>
      <c r="M32" s="49" t="s">
        <v>5083</v>
      </c>
      <c r="N32" s="316" t="s">
        <v>5683</v>
      </c>
      <c r="O32" s="316" t="s">
        <v>5683</v>
      </c>
      <c r="P32" s="316" t="s">
        <v>5683</v>
      </c>
      <c r="Q32" s="316">
        <v>44643</v>
      </c>
      <c r="R32" s="316" t="s">
        <v>5683</v>
      </c>
      <c r="S32" s="310" t="s">
        <v>6837</v>
      </c>
      <c r="T32" s="310" t="s">
        <v>6837</v>
      </c>
      <c r="U32" s="338">
        <v>44704</v>
      </c>
      <c r="V32" s="334">
        <v>2357666</v>
      </c>
      <c r="W32" s="374">
        <v>1</v>
      </c>
      <c r="X32" s="317" t="s">
        <v>4999</v>
      </c>
      <c r="Y32" s="346">
        <v>44704</v>
      </c>
      <c r="Z32" s="38" t="s">
        <v>6825</v>
      </c>
      <c r="AA32" s="313">
        <v>44705</v>
      </c>
      <c r="AB32" s="313">
        <v>44705</v>
      </c>
      <c r="AC32" s="314" t="s">
        <v>4999</v>
      </c>
    </row>
    <row r="33" spans="1:29" ht="26.25" thickBot="1" x14ac:dyDescent="0.3">
      <c r="A33" s="306" t="str">
        <f t="shared" si="2"/>
        <v>OK</v>
      </c>
      <c r="B33" s="307" t="str">
        <f t="shared" si="1"/>
        <v>OK</v>
      </c>
      <c r="C33" s="308" t="str">
        <f>IF(OR(ISBLANK(AA33),ISBLANK(AB33),ISBLANK(#REF!))=TRUE,"P","OK")</f>
        <v>OK</v>
      </c>
      <c r="D33" s="28">
        <v>0</v>
      </c>
      <c r="E33" s="49" t="s">
        <v>6934</v>
      </c>
      <c r="F33" s="49" t="s">
        <v>1345</v>
      </c>
      <c r="G33" s="49">
        <v>181825</v>
      </c>
      <c r="H33" s="49" t="s">
        <v>6935</v>
      </c>
      <c r="I33" s="49" t="s">
        <v>6820</v>
      </c>
      <c r="J33" s="49" t="s">
        <v>6829</v>
      </c>
      <c r="K33" s="49" t="s">
        <v>6936</v>
      </c>
      <c r="L33" s="49" t="s">
        <v>6937</v>
      </c>
      <c r="M33" s="49" t="s">
        <v>5083</v>
      </c>
      <c r="N33" s="316" t="s">
        <v>5683</v>
      </c>
      <c r="O33" s="316" t="s">
        <v>5683</v>
      </c>
      <c r="P33" s="316" t="s">
        <v>5683</v>
      </c>
      <c r="Q33" s="316">
        <v>44643</v>
      </c>
      <c r="R33" s="316" t="s">
        <v>5683</v>
      </c>
      <c r="S33" s="310" t="s">
        <v>6837</v>
      </c>
      <c r="T33" s="310" t="s">
        <v>6837</v>
      </c>
      <c r="U33" s="338">
        <v>44701</v>
      </c>
      <c r="V33" s="334" t="s">
        <v>2209</v>
      </c>
      <c r="W33" s="374">
        <v>1</v>
      </c>
      <c r="X33" s="317" t="s">
        <v>4999</v>
      </c>
      <c r="Y33" s="346">
        <v>44701</v>
      </c>
      <c r="Z33" s="38" t="s">
        <v>6825</v>
      </c>
      <c r="AA33" s="313">
        <v>44694</v>
      </c>
      <c r="AB33" s="313">
        <v>44701</v>
      </c>
      <c r="AC33" s="314" t="s">
        <v>4999</v>
      </c>
    </row>
    <row r="34" spans="1:29" ht="13.5" thickBot="1" x14ac:dyDescent="0.3">
      <c r="A34" s="306" t="str">
        <f t="shared" si="2"/>
        <v>OK</v>
      </c>
      <c r="B34" s="307" t="str">
        <f t="shared" si="1"/>
        <v>OK</v>
      </c>
      <c r="C34" s="308" t="str">
        <f>IF(OR(ISBLANK(AA34),ISBLANK(AB34),ISBLANK(#REF!))=TRUE,"P","OK")</f>
        <v>OK</v>
      </c>
      <c r="D34" s="28">
        <v>0</v>
      </c>
      <c r="E34" s="49" t="s">
        <v>6938</v>
      </c>
      <c r="F34" s="49" t="s">
        <v>1345</v>
      </c>
      <c r="G34" s="49">
        <v>181825</v>
      </c>
      <c r="H34" s="49" t="s">
        <v>6939</v>
      </c>
      <c r="I34" s="49" t="s">
        <v>6820</v>
      </c>
      <c r="J34" s="49" t="s">
        <v>6829</v>
      </c>
      <c r="K34" s="49" t="s">
        <v>6940</v>
      </c>
      <c r="L34" s="49" t="s">
        <v>6882</v>
      </c>
      <c r="M34" s="49" t="s">
        <v>5083</v>
      </c>
      <c r="N34" s="316" t="s">
        <v>5683</v>
      </c>
      <c r="O34" s="316" t="s">
        <v>5683</v>
      </c>
      <c r="P34" s="316" t="s">
        <v>5683</v>
      </c>
      <c r="Q34" s="316">
        <v>44643</v>
      </c>
      <c r="R34" s="316" t="s">
        <v>5683</v>
      </c>
      <c r="S34" s="310" t="s">
        <v>6837</v>
      </c>
      <c r="T34" s="310" t="s">
        <v>6837</v>
      </c>
      <c r="U34" s="338">
        <v>44700</v>
      </c>
      <c r="V34" s="334" t="s">
        <v>6841</v>
      </c>
      <c r="W34" s="374">
        <v>1</v>
      </c>
      <c r="X34" s="317" t="s">
        <v>4999</v>
      </c>
      <c r="Y34" s="346">
        <v>44700</v>
      </c>
      <c r="Z34" s="74" t="s">
        <v>6825</v>
      </c>
      <c r="AA34" s="313">
        <v>44701</v>
      </c>
      <c r="AB34" s="313">
        <v>44701</v>
      </c>
      <c r="AC34" s="314" t="s">
        <v>4999</v>
      </c>
    </row>
    <row r="35" spans="1:29" ht="26.25" thickBot="1" x14ac:dyDescent="0.3">
      <c r="A35" s="306" t="str">
        <f t="shared" si="2"/>
        <v>OK</v>
      </c>
      <c r="B35" s="307" t="str">
        <f t="shared" si="1"/>
        <v>OK</v>
      </c>
      <c r="C35" s="308" t="str">
        <f>IF(OR(ISBLANK(AA35),ISBLANK(AB35),ISBLANK(#REF!))=TRUE,"P","OK")</f>
        <v>OK</v>
      </c>
      <c r="D35" s="28">
        <v>0</v>
      </c>
      <c r="E35" s="49" t="s">
        <v>6941</v>
      </c>
      <c r="F35" s="49" t="s">
        <v>1345</v>
      </c>
      <c r="G35" s="49">
        <v>181825</v>
      </c>
      <c r="H35" s="49" t="s">
        <v>6942</v>
      </c>
      <c r="I35" s="49" t="s">
        <v>6820</v>
      </c>
      <c r="J35" s="49" t="s">
        <v>6829</v>
      </c>
      <c r="K35" s="49" t="s">
        <v>44</v>
      </c>
      <c r="L35" s="49" t="s">
        <v>6943</v>
      </c>
      <c r="M35" s="49" t="s">
        <v>6944</v>
      </c>
      <c r="N35" s="316">
        <v>44643</v>
      </c>
      <c r="O35" s="316" t="s">
        <v>5683</v>
      </c>
      <c r="P35" s="316" t="s">
        <v>5683</v>
      </c>
      <c r="Q35" s="316">
        <v>44643</v>
      </c>
      <c r="R35" s="316">
        <v>44713</v>
      </c>
      <c r="S35" s="310" t="s">
        <v>6837</v>
      </c>
      <c r="T35" s="310" t="s">
        <v>6837</v>
      </c>
      <c r="U35" s="338">
        <v>44727</v>
      </c>
      <c r="V35" s="334" t="s">
        <v>6845</v>
      </c>
      <c r="W35" s="374">
        <v>3</v>
      </c>
      <c r="X35" s="317" t="s">
        <v>4999</v>
      </c>
      <c r="Y35" s="346">
        <v>44727</v>
      </c>
      <c r="Z35" s="74" t="s">
        <v>6825</v>
      </c>
      <c r="AA35" s="313">
        <v>44732</v>
      </c>
      <c r="AB35" s="313">
        <v>44732</v>
      </c>
      <c r="AC35" s="314" t="s">
        <v>4999</v>
      </c>
    </row>
    <row r="36" spans="1:29" ht="13.5" thickBot="1" x14ac:dyDescent="0.3">
      <c r="A36" s="306" t="str">
        <f t="shared" si="2"/>
        <v>OK</v>
      </c>
      <c r="B36" s="307" t="str">
        <f t="shared" si="1"/>
        <v>OK</v>
      </c>
      <c r="C36" s="308" t="str">
        <f>IF(OR(ISBLANK(AA36),ISBLANK(AB36),ISBLANK(#REF!))=TRUE,"P","OK")</f>
        <v>OK</v>
      </c>
      <c r="D36" s="28">
        <v>0</v>
      </c>
      <c r="E36" s="49" t="s">
        <v>6945</v>
      </c>
      <c r="F36" s="49" t="s">
        <v>1345</v>
      </c>
      <c r="G36" s="49">
        <v>181825</v>
      </c>
      <c r="H36" s="49" t="s">
        <v>6946</v>
      </c>
      <c r="I36" s="49" t="s">
        <v>6820</v>
      </c>
      <c r="J36" s="49" t="s">
        <v>6829</v>
      </c>
      <c r="K36" s="49" t="s">
        <v>1520</v>
      </c>
      <c r="L36" s="49" t="s">
        <v>6947</v>
      </c>
      <c r="M36" s="49" t="s">
        <v>6944</v>
      </c>
      <c r="N36" s="316">
        <v>44643</v>
      </c>
      <c r="O36" s="316" t="s">
        <v>5683</v>
      </c>
      <c r="P36" s="316" t="s">
        <v>5683</v>
      </c>
      <c r="Q36" s="316">
        <v>44643</v>
      </c>
      <c r="R36" s="316">
        <v>44713</v>
      </c>
      <c r="S36" s="310" t="s">
        <v>6837</v>
      </c>
      <c r="T36" s="310" t="s">
        <v>6837</v>
      </c>
      <c r="U36" s="322">
        <v>44727</v>
      </c>
      <c r="V36" s="317" t="s">
        <v>6845</v>
      </c>
      <c r="W36" s="367">
        <v>1</v>
      </c>
      <c r="X36" s="317" t="s">
        <v>4999</v>
      </c>
      <c r="Y36" s="346">
        <v>44698</v>
      </c>
      <c r="Z36" s="38" t="s">
        <v>6825</v>
      </c>
      <c r="AA36" s="313">
        <v>44701</v>
      </c>
      <c r="AB36" s="313">
        <v>44701</v>
      </c>
      <c r="AC36" s="314" t="s">
        <v>4999</v>
      </c>
    </row>
    <row r="37" spans="1:29" ht="13.5" thickBot="1" x14ac:dyDescent="0.3">
      <c r="A37" s="306" t="str">
        <f t="shared" si="2"/>
        <v>OK</v>
      </c>
      <c r="B37" s="307" t="str">
        <f t="shared" si="1"/>
        <v>OK</v>
      </c>
      <c r="C37" s="308" t="str">
        <f>IF(OR(ISBLANK(AA37),ISBLANK(AB37),ISBLANK(#REF!))=TRUE,"P","OK")</f>
        <v>OK</v>
      </c>
      <c r="D37" s="28">
        <v>0</v>
      </c>
      <c r="E37" s="49" t="s">
        <v>6948</v>
      </c>
      <c r="F37" s="49" t="s">
        <v>1345</v>
      </c>
      <c r="G37" s="49">
        <v>181825</v>
      </c>
      <c r="H37" s="49" t="s">
        <v>6949</v>
      </c>
      <c r="I37" s="49" t="s">
        <v>6820</v>
      </c>
      <c r="J37" s="49" t="s">
        <v>6829</v>
      </c>
      <c r="K37" s="49" t="s">
        <v>6950</v>
      </c>
      <c r="L37" s="49" t="s">
        <v>5137</v>
      </c>
      <c r="M37" s="49" t="s">
        <v>5083</v>
      </c>
      <c r="N37" s="316" t="s">
        <v>5683</v>
      </c>
      <c r="O37" s="316" t="s">
        <v>5683</v>
      </c>
      <c r="P37" s="316" t="s">
        <v>5683</v>
      </c>
      <c r="Q37" s="316">
        <v>44643</v>
      </c>
      <c r="R37" s="316" t="s">
        <v>5683</v>
      </c>
      <c r="S37" s="310" t="s">
        <v>6837</v>
      </c>
      <c r="T37" s="310" t="s">
        <v>6837</v>
      </c>
      <c r="U37" s="322">
        <v>44718</v>
      </c>
      <c r="V37" s="317" t="s">
        <v>1380</v>
      </c>
      <c r="W37" s="367">
        <v>1</v>
      </c>
      <c r="X37" s="317" t="s">
        <v>4999</v>
      </c>
      <c r="Y37" s="346">
        <v>44719</v>
      </c>
      <c r="Z37" s="38" t="s">
        <v>6825</v>
      </c>
      <c r="AA37" s="313">
        <v>44719</v>
      </c>
      <c r="AB37" s="313">
        <v>44719</v>
      </c>
      <c r="AC37" s="314" t="s">
        <v>4999</v>
      </c>
    </row>
    <row r="38" spans="1:29" ht="13.5" thickBot="1" x14ac:dyDescent="0.3">
      <c r="A38" s="306" t="str">
        <f t="shared" si="2"/>
        <v>OK</v>
      </c>
      <c r="B38" s="307" t="str">
        <f t="shared" si="1"/>
        <v>OK</v>
      </c>
      <c r="C38" s="308" t="str">
        <f>IF(OR(ISBLANK(AA38),ISBLANK(AB38),ISBLANK(#REF!))=TRUE,"P","OK")</f>
        <v>OK</v>
      </c>
      <c r="D38" s="28">
        <v>0</v>
      </c>
      <c r="E38" s="49" t="s">
        <v>6951</v>
      </c>
      <c r="F38" s="49" t="s">
        <v>1345</v>
      </c>
      <c r="G38" s="49">
        <v>181825</v>
      </c>
      <c r="H38" s="49" t="s">
        <v>6952</v>
      </c>
      <c r="I38" s="49" t="s">
        <v>6820</v>
      </c>
      <c r="J38" s="49" t="s">
        <v>6829</v>
      </c>
      <c r="K38" s="49" t="s">
        <v>6870</v>
      </c>
      <c r="L38" s="49" t="s">
        <v>2318</v>
      </c>
      <c r="M38" s="49" t="s">
        <v>5083</v>
      </c>
      <c r="N38" s="316">
        <v>44643</v>
      </c>
      <c r="O38" s="316" t="s">
        <v>264</v>
      </c>
      <c r="P38" s="316">
        <v>44643</v>
      </c>
      <c r="Q38" s="316">
        <v>44643</v>
      </c>
      <c r="R38" s="316">
        <v>44713</v>
      </c>
      <c r="S38" s="310" t="s">
        <v>6837</v>
      </c>
      <c r="T38" s="310" t="s">
        <v>6837</v>
      </c>
      <c r="U38" s="338">
        <v>44720</v>
      </c>
      <c r="V38" s="317" t="s">
        <v>6953</v>
      </c>
      <c r="W38" s="317">
        <v>2</v>
      </c>
      <c r="X38" s="317" t="s">
        <v>4999</v>
      </c>
      <c r="Y38" s="322">
        <v>44720</v>
      </c>
      <c r="Z38" s="74" t="s">
        <v>6825</v>
      </c>
      <c r="AA38" s="313">
        <v>44720</v>
      </c>
      <c r="AB38" s="313">
        <v>44720</v>
      </c>
      <c r="AC38" s="314" t="s">
        <v>4999</v>
      </c>
    </row>
    <row r="39" spans="1:29" ht="26.25" thickBot="1" x14ac:dyDescent="0.3">
      <c r="A39" s="306" t="str">
        <f t="shared" si="2"/>
        <v>OK</v>
      </c>
      <c r="B39" s="307" t="str">
        <f t="shared" si="1"/>
        <v>OK</v>
      </c>
      <c r="C39" s="308" t="str">
        <f>IF(OR(ISBLANK(AA39),ISBLANK(AB39),ISBLANK(#REF!))=TRUE,"P","OK")</f>
        <v>OK</v>
      </c>
      <c r="D39" s="28">
        <v>0</v>
      </c>
      <c r="E39" s="49" t="s">
        <v>6954</v>
      </c>
      <c r="F39" s="49" t="s">
        <v>1345</v>
      </c>
      <c r="G39" s="49">
        <v>181825</v>
      </c>
      <c r="H39" s="49" t="s">
        <v>6955</v>
      </c>
      <c r="I39" s="49" t="s">
        <v>6820</v>
      </c>
      <c r="J39" s="49" t="s">
        <v>4998</v>
      </c>
      <c r="K39" s="49" t="s">
        <v>6956</v>
      </c>
      <c r="L39" s="49" t="s">
        <v>6957</v>
      </c>
      <c r="M39" s="49" t="s">
        <v>5083</v>
      </c>
      <c r="N39" s="316" t="s">
        <v>5683</v>
      </c>
      <c r="O39" s="316" t="s">
        <v>5683</v>
      </c>
      <c r="P39" s="316" t="s">
        <v>5683</v>
      </c>
      <c r="Q39" s="316">
        <v>44643</v>
      </c>
      <c r="R39" s="316" t="s">
        <v>5683</v>
      </c>
      <c r="S39" s="310" t="s">
        <v>6837</v>
      </c>
      <c r="T39" s="310" t="s">
        <v>6837</v>
      </c>
      <c r="U39" s="322">
        <v>44720</v>
      </c>
      <c r="V39" s="317" t="s">
        <v>1466</v>
      </c>
      <c r="W39" s="317">
        <v>2</v>
      </c>
      <c r="X39" s="317" t="s">
        <v>4999</v>
      </c>
      <c r="Y39" s="322">
        <v>44721</v>
      </c>
      <c r="Z39" s="74" t="s">
        <v>6825</v>
      </c>
      <c r="AA39" s="313">
        <v>44721</v>
      </c>
      <c r="AB39" s="313">
        <v>44721</v>
      </c>
      <c r="AC39" s="314" t="s">
        <v>4999</v>
      </c>
    </row>
    <row r="40" spans="1:29" ht="13.5" thickBot="1" x14ac:dyDescent="0.3">
      <c r="A40" s="306" t="str">
        <f t="shared" si="2"/>
        <v>OK</v>
      </c>
      <c r="B40" s="307" t="str">
        <f t="shared" si="1"/>
        <v>OK</v>
      </c>
      <c r="C40" s="308" t="str">
        <f>IF(OR(ISBLANK(AA40),ISBLANK(AB40),ISBLANK(#REF!))=TRUE,"P","OK")</f>
        <v>OK</v>
      </c>
      <c r="D40" s="28">
        <v>0</v>
      </c>
      <c r="E40" s="49" t="s">
        <v>6958</v>
      </c>
      <c r="F40" s="49" t="s">
        <v>1345</v>
      </c>
      <c r="G40" s="49">
        <v>181825</v>
      </c>
      <c r="H40" s="49" t="s">
        <v>6959</v>
      </c>
      <c r="I40" s="49" t="s">
        <v>6820</v>
      </c>
      <c r="J40" s="49" t="s">
        <v>4998</v>
      </c>
      <c r="K40" s="49" t="s">
        <v>6960</v>
      </c>
      <c r="L40" s="49" t="s">
        <v>6961</v>
      </c>
      <c r="M40" s="49" t="s">
        <v>6878</v>
      </c>
      <c r="N40" s="316" t="s">
        <v>5683</v>
      </c>
      <c r="O40" s="316" t="s">
        <v>5683</v>
      </c>
      <c r="P40" s="316" t="s">
        <v>5683</v>
      </c>
      <c r="Q40" s="316">
        <v>44643</v>
      </c>
      <c r="R40" s="316" t="s">
        <v>5683</v>
      </c>
      <c r="S40" s="310" t="s">
        <v>6837</v>
      </c>
      <c r="T40" s="310" t="s">
        <v>6837</v>
      </c>
      <c r="U40" s="322">
        <v>44722</v>
      </c>
      <c r="V40" s="317" t="s">
        <v>5098</v>
      </c>
      <c r="W40" s="317">
        <v>1</v>
      </c>
      <c r="X40" s="317" t="s">
        <v>4999</v>
      </c>
      <c r="Y40" s="322">
        <v>44722</v>
      </c>
      <c r="Z40" s="74" t="s">
        <v>6825</v>
      </c>
      <c r="AA40" s="313">
        <v>44725</v>
      </c>
      <c r="AB40" s="313">
        <v>44725</v>
      </c>
      <c r="AC40" s="314" t="s">
        <v>4999</v>
      </c>
    </row>
    <row r="41" spans="1:29" ht="13.5" thickBot="1" x14ac:dyDescent="0.3">
      <c r="A41" s="306" t="str">
        <f t="shared" si="2"/>
        <v>OK</v>
      </c>
      <c r="B41" s="307" t="str">
        <f t="shared" si="1"/>
        <v>OK</v>
      </c>
      <c r="C41" s="308" t="str">
        <f>IF(OR(ISBLANK(AA41),ISBLANK(AB41),ISBLANK(#REF!))=TRUE,"P","OK")</f>
        <v>OK</v>
      </c>
      <c r="D41" s="28">
        <v>0</v>
      </c>
      <c r="E41" s="49" t="s">
        <v>6962</v>
      </c>
      <c r="F41" s="49" t="s">
        <v>1345</v>
      </c>
      <c r="G41" s="49">
        <v>181825</v>
      </c>
      <c r="H41" s="49" t="s">
        <v>6963</v>
      </c>
      <c r="I41" s="49" t="s">
        <v>6820</v>
      </c>
      <c r="J41" s="49" t="s">
        <v>4998</v>
      </c>
      <c r="K41" s="49" t="s">
        <v>44</v>
      </c>
      <c r="L41" s="49" t="s">
        <v>6964</v>
      </c>
      <c r="M41" s="49" t="s">
        <v>2419</v>
      </c>
      <c r="N41" s="316" t="s">
        <v>5683</v>
      </c>
      <c r="O41" s="316" t="s">
        <v>5683</v>
      </c>
      <c r="P41" s="316" t="s">
        <v>5683</v>
      </c>
      <c r="Q41" s="316">
        <v>44643</v>
      </c>
      <c r="R41" s="316" t="s">
        <v>5683</v>
      </c>
      <c r="S41" s="310" t="s">
        <v>6837</v>
      </c>
      <c r="T41" s="310" t="s">
        <v>6837</v>
      </c>
      <c r="U41" s="322">
        <v>44727</v>
      </c>
      <c r="V41" s="317" t="s">
        <v>6845</v>
      </c>
      <c r="W41" s="317">
        <v>1</v>
      </c>
      <c r="X41" s="317" t="s">
        <v>4999</v>
      </c>
      <c r="Y41" s="322">
        <v>44727</v>
      </c>
      <c r="Z41" s="74" t="s">
        <v>6825</v>
      </c>
      <c r="AA41" s="313">
        <v>44732</v>
      </c>
      <c r="AB41" s="313">
        <v>44732</v>
      </c>
      <c r="AC41" s="314" t="s">
        <v>4999</v>
      </c>
    </row>
    <row r="42" spans="1:29" ht="13.5" thickBot="1" x14ac:dyDescent="0.3">
      <c r="A42" s="306" t="str">
        <f t="shared" si="2"/>
        <v>OK</v>
      </c>
      <c r="B42" s="307" t="str">
        <f t="shared" si="1"/>
        <v>OK</v>
      </c>
      <c r="C42" s="308" t="str">
        <f>IF(OR(ISBLANK(AA42),ISBLANK(AB42),ISBLANK(#REF!))=TRUE,"P","OK")</f>
        <v>OK</v>
      </c>
      <c r="D42" s="28">
        <v>0</v>
      </c>
      <c r="E42" s="49" t="s">
        <v>6965</v>
      </c>
      <c r="F42" s="49" t="s">
        <v>1345</v>
      </c>
      <c r="G42" s="49">
        <v>181825</v>
      </c>
      <c r="H42" s="49" t="s">
        <v>6966</v>
      </c>
      <c r="I42" s="49" t="s">
        <v>6820</v>
      </c>
      <c r="J42" s="49" t="s">
        <v>4998</v>
      </c>
      <c r="K42" s="49" t="s">
        <v>1540</v>
      </c>
      <c r="L42" s="49" t="s">
        <v>6967</v>
      </c>
      <c r="M42" s="49" t="s">
        <v>5062</v>
      </c>
      <c r="N42" s="316" t="s">
        <v>5683</v>
      </c>
      <c r="O42" s="316" t="s">
        <v>5683</v>
      </c>
      <c r="P42" s="316" t="s">
        <v>5683</v>
      </c>
      <c r="Q42" s="316">
        <v>44643</v>
      </c>
      <c r="R42" s="316" t="s">
        <v>5683</v>
      </c>
      <c r="S42" s="310" t="s">
        <v>6837</v>
      </c>
      <c r="T42" s="310" t="s">
        <v>6837</v>
      </c>
      <c r="U42" s="338">
        <v>44736</v>
      </c>
      <c r="V42" s="334" t="s">
        <v>6968</v>
      </c>
      <c r="W42" s="334">
        <v>1</v>
      </c>
      <c r="X42" s="317" t="s">
        <v>4999</v>
      </c>
      <c r="Y42" s="322">
        <v>44736</v>
      </c>
      <c r="Z42" s="38" t="s">
        <v>6825</v>
      </c>
      <c r="AA42" s="313">
        <v>44736</v>
      </c>
      <c r="AB42" s="313">
        <v>44736</v>
      </c>
      <c r="AC42" s="314" t="s">
        <v>4999</v>
      </c>
    </row>
    <row r="43" spans="1:29" ht="13.5" thickBot="1" x14ac:dyDescent="0.3">
      <c r="A43" s="306" t="str">
        <f t="shared" si="2"/>
        <v>OK</v>
      </c>
      <c r="B43" s="307" t="str">
        <f t="shared" si="1"/>
        <v>OK</v>
      </c>
      <c r="C43" s="308" t="str">
        <f>IF(OR(ISBLANK(AA43),ISBLANK(AB43),ISBLANK(#REF!))=TRUE,"P","OK")</f>
        <v>OK</v>
      </c>
      <c r="D43" s="28">
        <v>0</v>
      </c>
      <c r="E43" s="49" t="s">
        <v>6969</v>
      </c>
      <c r="F43" s="49" t="s">
        <v>1345</v>
      </c>
      <c r="G43" s="49">
        <v>181825</v>
      </c>
      <c r="H43" s="49" t="s">
        <v>6970</v>
      </c>
      <c r="I43" s="49" t="s">
        <v>6820</v>
      </c>
      <c r="J43" s="49" t="s">
        <v>4998</v>
      </c>
      <c r="K43" s="49" t="s">
        <v>44</v>
      </c>
      <c r="L43" s="49" t="s">
        <v>6971</v>
      </c>
      <c r="M43" s="49" t="s">
        <v>5062</v>
      </c>
      <c r="N43" s="316" t="s">
        <v>5683</v>
      </c>
      <c r="O43" s="316" t="s">
        <v>5683</v>
      </c>
      <c r="P43" s="316" t="s">
        <v>5683</v>
      </c>
      <c r="Q43" s="316">
        <v>44643</v>
      </c>
      <c r="R43" s="316" t="s">
        <v>5683</v>
      </c>
      <c r="S43" s="310" t="s">
        <v>6837</v>
      </c>
      <c r="T43" s="310" t="s">
        <v>6837</v>
      </c>
      <c r="U43" s="322">
        <v>44736</v>
      </c>
      <c r="V43" s="317" t="s">
        <v>6972</v>
      </c>
      <c r="W43" s="317">
        <v>1</v>
      </c>
      <c r="X43" s="317" t="s">
        <v>4999</v>
      </c>
      <c r="Y43" s="322">
        <v>44736</v>
      </c>
      <c r="Z43" s="343" t="s">
        <v>6825</v>
      </c>
      <c r="AA43" s="313">
        <v>44736</v>
      </c>
      <c r="AB43" s="313">
        <v>44736</v>
      </c>
      <c r="AC43" s="314" t="s">
        <v>4999</v>
      </c>
    </row>
    <row r="44" spans="1:29" ht="13.5" thickBot="1" x14ac:dyDescent="0.3">
      <c r="A44" s="306" t="str">
        <f t="shared" si="2"/>
        <v>OK</v>
      </c>
      <c r="B44" s="307" t="str">
        <f t="shared" si="1"/>
        <v>OK</v>
      </c>
      <c r="C44" s="308" t="str">
        <f>IF(OR(ISBLANK(AA44),ISBLANK(AB44),ISBLANK(#REF!))=TRUE,"P","OK")</f>
        <v>OK</v>
      </c>
      <c r="D44" s="28">
        <v>0</v>
      </c>
      <c r="E44" s="49" t="s">
        <v>6973</v>
      </c>
      <c r="F44" s="49" t="s">
        <v>1345</v>
      </c>
      <c r="G44" s="49">
        <v>181825</v>
      </c>
      <c r="H44" s="49" t="s">
        <v>6974</v>
      </c>
      <c r="I44" s="49" t="s">
        <v>6820</v>
      </c>
      <c r="J44" s="49" t="s">
        <v>4998</v>
      </c>
      <c r="K44" s="49" t="s">
        <v>1540</v>
      </c>
      <c r="L44" s="49" t="s">
        <v>6975</v>
      </c>
      <c r="M44" s="49" t="s">
        <v>2419</v>
      </c>
      <c r="N44" s="316" t="s">
        <v>5683</v>
      </c>
      <c r="O44" s="316" t="s">
        <v>5683</v>
      </c>
      <c r="P44" s="316" t="s">
        <v>5683</v>
      </c>
      <c r="Q44" s="316">
        <v>44643</v>
      </c>
      <c r="R44" s="316" t="s">
        <v>5683</v>
      </c>
      <c r="S44" s="310" t="s">
        <v>6837</v>
      </c>
      <c r="T44" s="310" t="s">
        <v>6837</v>
      </c>
      <c r="U44" s="322">
        <v>44740</v>
      </c>
      <c r="V44" s="317" t="s">
        <v>5103</v>
      </c>
      <c r="W44" s="317">
        <v>3</v>
      </c>
      <c r="X44" s="317" t="s">
        <v>4999</v>
      </c>
      <c r="Y44" s="322">
        <v>44740</v>
      </c>
      <c r="Z44" s="343" t="s">
        <v>6825</v>
      </c>
      <c r="AA44" s="313">
        <v>44741</v>
      </c>
      <c r="AB44" s="313">
        <v>44741</v>
      </c>
      <c r="AC44" s="314" t="s">
        <v>4999</v>
      </c>
    </row>
    <row r="45" spans="1:29" ht="13.5" thickBot="1" x14ac:dyDescent="0.3">
      <c r="A45" s="306" t="str">
        <f t="shared" si="2"/>
        <v>OK</v>
      </c>
      <c r="B45" s="307" t="str">
        <f t="shared" si="1"/>
        <v>OK</v>
      </c>
      <c r="C45" s="308" t="str">
        <f>IF(OR(ISBLANK(AA45),ISBLANK(AB45),ISBLANK(#REF!))=TRUE,"P","OK")</f>
        <v>OK</v>
      </c>
      <c r="D45" s="28">
        <v>0</v>
      </c>
      <c r="E45" s="49" t="s">
        <v>6976</v>
      </c>
      <c r="F45" s="49" t="s">
        <v>1345</v>
      </c>
      <c r="G45" s="49">
        <v>181825</v>
      </c>
      <c r="H45" s="49" t="s">
        <v>6977</v>
      </c>
      <c r="I45" s="49" t="s">
        <v>6820</v>
      </c>
      <c r="J45" s="49" t="s">
        <v>4998</v>
      </c>
      <c r="K45" s="49" t="s">
        <v>1406</v>
      </c>
      <c r="L45" s="49" t="s">
        <v>6978</v>
      </c>
      <c r="M45" s="49" t="s">
        <v>6878</v>
      </c>
      <c r="N45" s="316" t="s">
        <v>5683</v>
      </c>
      <c r="O45" s="316" t="s">
        <v>5683</v>
      </c>
      <c r="P45" s="316" t="s">
        <v>5683</v>
      </c>
      <c r="Q45" s="316">
        <v>44643</v>
      </c>
      <c r="R45" s="316" t="s">
        <v>5683</v>
      </c>
      <c r="S45" s="310" t="s">
        <v>28</v>
      </c>
      <c r="T45" s="310" t="s">
        <v>6879</v>
      </c>
      <c r="U45" s="322">
        <v>44761</v>
      </c>
      <c r="V45" s="317" t="s">
        <v>2315</v>
      </c>
      <c r="W45" s="317">
        <v>2</v>
      </c>
      <c r="X45" s="317" t="s">
        <v>4999</v>
      </c>
      <c r="Y45" s="322">
        <v>44764</v>
      </c>
      <c r="Z45" s="343" t="s">
        <v>6825</v>
      </c>
      <c r="AA45" s="313">
        <v>44764</v>
      </c>
      <c r="AB45" s="313">
        <v>44764</v>
      </c>
      <c r="AC45" s="314" t="s">
        <v>4999</v>
      </c>
    </row>
    <row r="46" spans="1:29" ht="13.5" thickBot="1" x14ac:dyDescent="0.3">
      <c r="A46" s="306" t="str">
        <f t="shared" si="2"/>
        <v>OK</v>
      </c>
      <c r="B46" s="307" t="str">
        <f t="shared" si="1"/>
        <v>OK</v>
      </c>
      <c r="C46" s="308" t="str">
        <f>IF(OR(ISBLANK(AA46),ISBLANK(AB46),ISBLANK(#REF!))=TRUE,"P","OK")</f>
        <v>OK</v>
      </c>
      <c r="D46" s="28">
        <v>0</v>
      </c>
      <c r="E46" s="49" t="s">
        <v>6979</v>
      </c>
      <c r="F46" s="49" t="s">
        <v>1345</v>
      </c>
      <c r="G46" s="49">
        <v>181825</v>
      </c>
      <c r="H46" s="49" t="s">
        <v>6980</v>
      </c>
      <c r="I46" s="49" t="s">
        <v>6820</v>
      </c>
      <c r="J46" s="49" t="s">
        <v>4998</v>
      </c>
      <c r="K46" s="49" t="s">
        <v>547</v>
      </c>
      <c r="L46" s="49" t="s">
        <v>6981</v>
      </c>
      <c r="M46" s="49" t="s">
        <v>5083</v>
      </c>
      <c r="N46" s="316" t="s">
        <v>5683</v>
      </c>
      <c r="O46" s="316" t="s">
        <v>5683</v>
      </c>
      <c r="P46" s="316" t="s">
        <v>5683</v>
      </c>
      <c r="Q46" s="316">
        <v>44643</v>
      </c>
      <c r="R46" s="316" t="s">
        <v>5683</v>
      </c>
      <c r="S46" s="310" t="s">
        <v>28</v>
      </c>
      <c r="T46" s="310" t="s">
        <v>6879</v>
      </c>
      <c r="U46" s="322">
        <v>44768</v>
      </c>
      <c r="V46" s="317" t="s">
        <v>6982</v>
      </c>
      <c r="W46" s="317">
        <v>1</v>
      </c>
      <c r="X46" s="317" t="s">
        <v>4999</v>
      </c>
      <c r="Y46" s="322">
        <v>44771</v>
      </c>
      <c r="Z46" s="343" t="s">
        <v>264</v>
      </c>
      <c r="AA46" s="313">
        <v>41119</v>
      </c>
      <c r="AB46" s="313">
        <v>44771</v>
      </c>
      <c r="AC46" s="314" t="s">
        <v>4999</v>
      </c>
    </row>
    <row r="47" spans="1:29" ht="13.5" thickBot="1" x14ac:dyDescent="0.3">
      <c r="A47" s="306" t="str">
        <f>IF(OR(ISBLANK(D47),ISBLANK(#REF!),ISBLANK(F47),ISBLANK(G47),ISBLANK(H47),ISBLANK(I47),ISBLANK(J47),ISBLANK(K47),ISBLANK(L47),ISBLANK(M47),ISBLANK(N47),ISBLANK(O47),ISBLANK(P47),ISBLANK(Q47),ISBLANK(R47))=TRUE,"P","OK")</f>
        <v>OK</v>
      </c>
      <c r="B47" s="307" t="str">
        <f t="shared" si="1"/>
        <v>OK</v>
      </c>
      <c r="C47" s="308" t="str">
        <f>IF(OR(ISBLANK(AA47),ISBLANK(AB47),ISBLANK(#REF!))=TRUE,"P","OK")</f>
        <v>OK</v>
      </c>
      <c r="D47" s="28">
        <v>0</v>
      </c>
      <c r="E47" s="49" t="s">
        <v>6983</v>
      </c>
      <c r="F47" s="49" t="s">
        <v>1345</v>
      </c>
      <c r="G47" s="49">
        <v>181825</v>
      </c>
      <c r="H47" s="49" t="s">
        <v>6984</v>
      </c>
      <c r="I47" s="49" t="s">
        <v>6820</v>
      </c>
      <c r="J47" s="49" t="s">
        <v>4998</v>
      </c>
      <c r="K47" s="49" t="s">
        <v>547</v>
      </c>
      <c r="L47" s="49" t="s">
        <v>5362</v>
      </c>
      <c r="M47" s="49" t="s">
        <v>6985</v>
      </c>
      <c r="N47" s="316" t="s">
        <v>5683</v>
      </c>
      <c r="O47" s="316" t="s">
        <v>5683</v>
      </c>
      <c r="P47" s="316" t="s">
        <v>5683</v>
      </c>
      <c r="Q47" s="316">
        <v>44643</v>
      </c>
      <c r="R47" s="316" t="s">
        <v>5683</v>
      </c>
      <c r="S47" s="333" t="s">
        <v>6832</v>
      </c>
      <c r="T47" s="333" t="s">
        <v>6832</v>
      </c>
      <c r="U47" s="322">
        <v>44771</v>
      </c>
      <c r="V47" s="317" t="s">
        <v>6986</v>
      </c>
      <c r="W47" s="317">
        <v>3</v>
      </c>
      <c r="X47" s="317" t="s">
        <v>4999</v>
      </c>
      <c r="Y47" s="322">
        <v>44776</v>
      </c>
      <c r="Z47" s="343" t="s">
        <v>264</v>
      </c>
      <c r="AA47" s="313">
        <v>44776</v>
      </c>
      <c r="AB47" s="313">
        <v>44776</v>
      </c>
      <c r="AC47" s="314" t="s">
        <v>4999</v>
      </c>
    </row>
    <row r="48" spans="1:29" ht="13.5" thickBot="1" x14ac:dyDescent="0.3">
      <c r="A48" s="306" t="str">
        <f>IF(OR(ISBLANK(D48),ISBLANK(E47),ISBLANK(F48),ISBLANK(G48),ISBLANK(H48),ISBLANK(I48),ISBLANK(J48),ISBLANK(K48),ISBLANK(L48),ISBLANK(M48),ISBLANK(N48),ISBLANK(O48),ISBLANK(P48),ISBLANK(Q48),ISBLANK(R48))=TRUE,"P","OK")</f>
        <v>OK</v>
      </c>
      <c r="B48" s="307" t="str">
        <f t="shared" si="1"/>
        <v>OK</v>
      </c>
      <c r="C48" s="308" t="str">
        <f>IF(OR(ISBLANK(AA48),ISBLANK(AB48),ISBLANK(#REF!))=TRUE,"P","OK")</f>
        <v>OK</v>
      </c>
      <c r="D48" s="28">
        <v>0</v>
      </c>
      <c r="E48" s="49" t="s">
        <v>6987</v>
      </c>
      <c r="F48" s="49" t="s">
        <v>1345</v>
      </c>
      <c r="G48" s="49">
        <v>181825</v>
      </c>
      <c r="H48" s="49" t="s">
        <v>6891</v>
      </c>
      <c r="I48" s="49" t="s">
        <v>6820</v>
      </c>
      <c r="J48" s="49" t="s">
        <v>4998</v>
      </c>
      <c r="K48" s="49" t="s">
        <v>547</v>
      </c>
      <c r="L48" s="49" t="s">
        <v>6988</v>
      </c>
      <c r="M48" s="49" t="s">
        <v>6985</v>
      </c>
      <c r="N48" s="316" t="s">
        <v>5683</v>
      </c>
      <c r="O48" s="316" t="s">
        <v>5683</v>
      </c>
      <c r="P48" s="316" t="s">
        <v>5683</v>
      </c>
      <c r="Q48" s="316">
        <v>44643</v>
      </c>
      <c r="R48" s="316" t="s">
        <v>5683</v>
      </c>
      <c r="S48" s="333" t="s">
        <v>6832</v>
      </c>
      <c r="T48" s="333" t="s">
        <v>6832</v>
      </c>
      <c r="U48" s="322">
        <v>44775</v>
      </c>
      <c r="V48" s="317" t="s">
        <v>1466</v>
      </c>
      <c r="W48" s="317">
        <v>11</v>
      </c>
      <c r="X48" s="317" t="s">
        <v>4999</v>
      </c>
      <c r="Y48" s="322">
        <v>44776</v>
      </c>
      <c r="Z48" s="343" t="s">
        <v>264</v>
      </c>
      <c r="AA48" s="313">
        <v>44776</v>
      </c>
      <c r="AB48" s="313">
        <v>44776</v>
      </c>
      <c r="AC48" s="314" t="s">
        <v>4999</v>
      </c>
    </row>
    <row r="49" spans="1:29" ht="13.5" thickBot="1" x14ac:dyDescent="0.3">
      <c r="A49" s="306" t="str">
        <f t="shared" ref="A49:A78" si="3">IF(OR(ISBLANK(D49),ISBLANK(E49),ISBLANK(F49),ISBLANK(G49),ISBLANK(H49),ISBLANK(I49),ISBLANK(J49),ISBLANK(K49),ISBLANK(L49),ISBLANK(M49),ISBLANK(N49),ISBLANK(O49),ISBLANK(P49),ISBLANK(Q49),ISBLANK(R49))=TRUE,"P","OK")</f>
        <v>OK</v>
      </c>
      <c r="B49" s="307" t="str">
        <f t="shared" si="1"/>
        <v>OK</v>
      </c>
      <c r="C49" s="308" t="str">
        <f>IF(OR(ISBLANK(AA49),ISBLANK(AB49),ISBLANK(#REF!))=TRUE,"P","OK")</f>
        <v>OK</v>
      </c>
      <c r="D49" s="28">
        <v>0</v>
      </c>
      <c r="E49" s="49" t="s">
        <v>6989</v>
      </c>
      <c r="F49" s="49" t="s">
        <v>1345</v>
      </c>
      <c r="G49" s="49">
        <v>181825</v>
      </c>
      <c r="H49" s="49" t="s">
        <v>6990</v>
      </c>
      <c r="I49" s="49" t="s">
        <v>6820</v>
      </c>
      <c r="J49" s="49" t="s">
        <v>4998</v>
      </c>
      <c r="K49" s="49" t="s">
        <v>547</v>
      </c>
      <c r="L49" s="49" t="s">
        <v>6991</v>
      </c>
      <c r="M49" s="49" t="s">
        <v>2419</v>
      </c>
      <c r="N49" s="316">
        <v>44643</v>
      </c>
      <c r="O49" s="316" t="s">
        <v>264</v>
      </c>
      <c r="P49" s="316">
        <v>44643</v>
      </c>
      <c r="Q49" s="316">
        <v>44643</v>
      </c>
      <c r="R49" s="316">
        <v>44643</v>
      </c>
      <c r="S49" s="310" t="s">
        <v>28</v>
      </c>
      <c r="T49" s="335" t="s">
        <v>6879</v>
      </c>
      <c r="U49" s="322">
        <v>44796</v>
      </c>
      <c r="V49" s="317" t="s">
        <v>5111</v>
      </c>
      <c r="W49" s="317">
        <v>1</v>
      </c>
      <c r="X49" s="317" t="s">
        <v>5683</v>
      </c>
      <c r="Y49" s="317" t="s">
        <v>5683</v>
      </c>
      <c r="Z49" s="343" t="s">
        <v>264</v>
      </c>
      <c r="AA49" s="313">
        <v>44798</v>
      </c>
      <c r="AB49" s="313">
        <v>44798</v>
      </c>
      <c r="AC49" s="314" t="s">
        <v>4999</v>
      </c>
    </row>
    <row r="50" spans="1:29" ht="13.5" thickBot="1" x14ac:dyDescent="0.3">
      <c r="A50" s="306" t="str">
        <f t="shared" si="3"/>
        <v>OK</v>
      </c>
      <c r="B50" s="307" t="str">
        <f t="shared" si="1"/>
        <v>OK</v>
      </c>
      <c r="C50" s="308" t="str">
        <f>IF(OR(ISBLANK(AA50),ISBLANK(AB50),ISBLANK(#REF!))=TRUE,"P","OK")</f>
        <v>OK</v>
      </c>
      <c r="D50" s="28">
        <v>0</v>
      </c>
      <c r="E50" s="49" t="s">
        <v>6992</v>
      </c>
      <c r="F50" s="49" t="s">
        <v>1345</v>
      </c>
      <c r="G50" s="49">
        <v>181825</v>
      </c>
      <c r="H50" s="49" t="s">
        <v>6993</v>
      </c>
      <c r="I50" s="49" t="s">
        <v>6820</v>
      </c>
      <c r="J50" s="49" t="s">
        <v>4998</v>
      </c>
      <c r="K50" s="49" t="s">
        <v>547</v>
      </c>
      <c r="L50" s="49" t="s">
        <v>6994</v>
      </c>
      <c r="M50" s="49" t="s">
        <v>1379</v>
      </c>
      <c r="N50" s="316">
        <v>44643</v>
      </c>
      <c r="O50" s="316" t="s">
        <v>264</v>
      </c>
      <c r="P50" s="316">
        <v>44643</v>
      </c>
      <c r="Q50" s="316">
        <v>44643</v>
      </c>
      <c r="R50" s="316">
        <v>44643</v>
      </c>
      <c r="S50" s="310" t="s">
        <v>28</v>
      </c>
      <c r="T50" s="335" t="s">
        <v>6879</v>
      </c>
      <c r="U50" s="322">
        <v>44796</v>
      </c>
      <c r="V50" s="317" t="s">
        <v>5111</v>
      </c>
      <c r="W50" s="317">
        <v>2</v>
      </c>
      <c r="X50" s="317" t="s">
        <v>6898</v>
      </c>
      <c r="Y50" s="317" t="s">
        <v>5683</v>
      </c>
      <c r="Z50" s="343" t="s">
        <v>264</v>
      </c>
      <c r="AA50" s="313">
        <v>44798</v>
      </c>
      <c r="AB50" s="313">
        <v>44798</v>
      </c>
      <c r="AC50" s="314" t="s">
        <v>4999</v>
      </c>
    </row>
    <row r="51" spans="1:29" ht="39" customHeight="1" thickBot="1" x14ac:dyDescent="0.3">
      <c r="A51" s="306" t="str">
        <f t="shared" si="3"/>
        <v>OK</v>
      </c>
      <c r="B51" s="307" t="str">
        <f t="shared" si="1"/>
        <v>OK</v>
      </c>
      <c r="C51" s="308" t="str">
        <f>IF(OR(ISBLANK(AA51),ISBLANK(AB51),ISBLANK(#REF!))=TRUE,"P","OK")</f>
        <v>OK</v>
      </c>
      <c r="D51" s="28">
        <v>0</v>
      </c>
      <c r="E51" s="49" t="s">
        <v>6995</v>
      </c>
      <c r="F51" s="49" t="s">
        <v>1345</v>
      </c>
      <c r="G51" s="49">
        <v>181825</v>
      </c>
      <c r="H51" s="49" t="s">
        <v>6996</v>
      </c>
      <c r="I51" s="49" t="s">
        <v>6820</v>
      </c>
      <c r="J51" s="49" t="s">
        <v>4998</v>
      </c>
      <c r="K51" s="49" t="s">
        <v>547</v>
      </c>
      <c r="L51" s="49" t="s">
        <v>6997</v>
      </c>
      <c r="M51" s="49" t="s">
        <v>1379</v>
      </c>
      <c r="N51" s="316">
        <v>44643</v>
      </c>
      <c r="O51" s="316" t="s">
        <v>264</v>
      </c>
      <c r="P51" s="316">
        <v>44643</v>
      </c>
      <c r="Q51" s="316">
        <v>44643</v>
      </c>
      <c r="R51" s="316">
        <v>44643</v>
      </c>
      <c r="S51" s="310" t="s">
        <v>28</v>
      </c>
      <c r="T51" s="335" t="s">
        <v>6879</v>
      </c>
      <c r="U51" s="322">
        <v>44796</v>
      </c>
      <c r="V51" s="317" t="s">
        <v>6998</v>
      </c>
      <c r="W51" s="317">
        <v>1</v>
      </c>
      <c r="X51" s="317" t="s">
        <v>4999</v>
      </c>
      <c r="Y51" s="322">
        <v>44796</v>
      </c>
      <c r="Z51" s="343" t="s">
        <v>264</v>
      </c>
      <c r="AA51" s="313">
        <v>44797</v>
      </c>
      <c r="AB51" s="313">
        <v>44797</v>
      </c>
      <c r="AC51" s="314" t="s">
        <v>4999</v>
      </c>
    </row>
    <row r="52" spans="1:29" ht="13.5" thickBot="1" x14ac:dyDescent="0.3">
      <c r="A52" s="306" t="str">
        <f t="shared" si="3"/>
        <v>OK</v>
      </c>
      <c r="B52" s="307" t="str">
        <f t="shared" si="1"/>
        <v>OK</v>
      </c>
      <c r="C52" s="308" t="str">
        <f>IF(OR(ISBLANK(AA52),ISBLANK(AB52),ISBLANK(#REF!))=TRUE,"P","OK")</f>
        <v>OK</v>
      </c>
      <c r="D52" s="28">
        <v>0</v>
      </c>
      <c r="E52" s="49" t="s">
        <v>6999</v>
      </c>
      <c r="F52" s="49" t="s">
        <v>1345</v>
      </c>
      <c r="G52" s="49">
        <v>181825</v>
      </c>
      <c r="H52" s="49" t="s">
        <v>7000</v>
      </c>
      <c r="I52" s="49" t="s">
        <v>6820</v>
      </c>
      <c r="J52" s="49" t="s">
        <v>4998</v>
      </c>
      <c r="K52" s="49" t="s">
        <v>547</v>
      </c>
      <c r="L52" s="49" t="s">
        <v>7001</v>
      </c>
      <c r="M52" s="49" t="s">
        <v>1379</v>
      </c>
      <c r="N52" s="316">
        <v>44643</v>
      </c>
      <c r="O52" s="316" t="s">
        <v>264</v>
      </c>
      <c r="P52" s="316">
        <v>44643</v>
      </c>
      <c r="Q52" s="316">
        <v>44643</v>
      </c>
      <c r="R52" s="316">
        <v>44643</v>
      </c>
      <c r="S52" s="310" t="s">
        <v>28</v>
      </c>
      <c r="T52" s="310" t="s">
        <v>6879</v>
      </c>
      <c r="U52" s="322">
        <v>44796</v>
      </c>
      <c r="V52" s="317" t="s">
        <v>5111</v>
      </c>
      <c r="W52" s="317">
        <v>1</v>
      </c>
      <c r="X52" s="317" t="s">
        <v>6898</v>
      </c>
      <c r="Y52" s="317" t="s">
        <v>5683</v>
      </c>
      <c r="Z52" s="312" t="s">
        <v>264</v>
      </c>
      <c r="AA52" s="313">
        <v>44798</v>
      </c>
      <c r="AB52" s="313">
        <v>44798</v>
      </c>
      <c r="AC52" s="314" t="s">
        <v>4999</v>
      </c>
    </row>
    <row r="53" spans="1:29" ht="39" customHeight="1" thickBot="1" x14ac:dyDescent="0.3">
      <c r="A53" s="306" t="str">
        <f t="shared" si="3"/>
        <v>OK</v>
      </c>
      <c r="B53" s="307" t="str">
        <f t="shared" si="1"/>
        <v>OK</v>
      </c>
      <c r="C53" s="308" t="str">
        <f>IF(OR(ISBLANK(AA53),ISBLANK(AB53),ISBLANK(#REF!))=TRUE,"P","OK")</f>
        <v>OK</v>
      </c>
      <c r="D53" s="28">
        <v>0</v>
      </c>
      <c r="E53" s="49" t="s">
        <v>7002</v>
      </c>
      <c r="F53" s="49" t="s">
        <v>1345</v>
      </c>
      <c r="G53" s="49">
        <v>181825</v>
      </c>
      <c r="H53" s="49" t="s">
        <v>7003</v>
      </c>
      <c r="I53" s="49" t="s">
        <v>6820</v>
      </c>
      <c r="J53" s="49" t="s">
        <v>4998</v>
      </c>
      <c r="K53" s="49" t="s">
        <v>1406</v>
      </c>
      <c r="L53" s="49" t="s">
        <v>7004</v>
      </c>
      <c r="M53" s="49" t="s">
        <v>1379</v>
      </c>
      <c r="N53" s="316">
        <v>44643</v>
      </c>
      <c r="O53" s="316" t="s">
        <v>264</v>
      </c>
      <c r="P53" s="316">
        <v>44643</v>
      </c>
      <c r="Q53" s="316">
        <v>44643</v>
      </c>
      <c r="R53" s="316">
        <v>44643</v>
      </c>
      <c r="S53" s="310" t="s">
        <v>28</v>
      </c>
      <c r="T53" s="310" t="s">
        <v>6879</v>
      </c>
      <c r="U53" s="322">
        <v>44804</v>
      </c>
      <c r="V53" s="317" t="s">
        <v>5132</v>
      </c>
      <c r="W53" s="317">
        <v>2</v>
      </c>
      <c r="X53" s="317" t="s">
        <v>4999</v>
      </c>
      <c r="Y53" s="322">
        <v>44804</v>
      </c>
      <c r="Z53" s="312" t="s">
        <v>264</v>
      </c>
      <c r="AA53" s="313">
        <v>44809</v>
      </c>
      <c r="AB53" s="313">
        <v>44809</v>
      </c>
      <c r="AC53" s="314" t="s">
        <v>4999</v>
      </c>
    </row>
    <row r="54" spans="1:29" ht="21.75" customHeight="1" thickBot="1" x14ac:dyDescent="0.3">
      <c r="A54" s="306" t="str">
        <f t="shared" si="3"/>
        <v>OK</v>
      </c>
      <c r="B54" s="307" t="str">
        <f t="shared" si="1"/>
        <v>OK</v>
      </c>
      <c r="C54" s="308" t="str">
        <f>IF(OR(ISBLANK(AA54),ISBLANK(AB54),ISBLANK(#REF!))=TRUE,"P","OK")</f>
        <v>OK</v>
      </c>
      <c r="D54" s="28">
        <v>0</v>
      </c>
      <c r="E54" s="49" t="s">
        <v>7005</v>
      </c>
      <c r="F54" s="49" t="s">
        <v>1345</v>
      </c>
      <c r="G54" s="49">
        <v>181825</v>
      </c>
      <c r="H54" s="49" t="s">
        <v>7006</v>
      </c>
      <c r="I54" s="49" t="s">
        <v>6820</v>
      </c>
      <c r="J54" s="49" t="s">
        <v>4998</v>
      </c>
      <c r="K54" s="49" t="s">
        <v>1406</v>
      </c>
      <c r="L54" s="49" t="s">
        <v>7007</v>
      </c>
      <c r="M54" s="49" t="s">
        <v>5062</v>
      </c>
      <c r="N54" s="316" t="s">
        <v>5683</v>
      </c>
      <c r="O54" s="316" t="s">
        <v>5683</v>
      </c>
      <c r="P54" s="316" t="s">
        <v>5683</v>
      </c>
      <c r="Q54" s="316" t="s">
        <v>5683</v>
      </c>
      <c r="R54" s="316" t="s">
        <v>5683</v>
      </c>
      <c r="S54" s="310" t="s">
        <v>28</v>
      </c>
      <c r="T54" s="310" t="s">
        <v>6879</v>
      </c>
      <c r="U54" s="322">
        <v>44798</v>
      </c>
      <c r="V54" s="317" t="s">
        <v>1466</v>
      </c>
      <c r="W54" s="317">
        <v>8</v>
      </c>
      <c r="X54" s="317" t="s">
        <v>4999</v>
      </c>
      <c r="Y54" s="322">
        <v>44799</v>
      </c>
      <c r="Z54" s="343" t="s">
        <v>264</v>
      </c>
      <c r="AA54" s="313">
        <v>44802</v>
      </c>
      <c r="AB54" s="313">
        <v>44802</v>
      </c>
      <c r="AC54" s="314" t="s">
        <v>4999</v>
      </c>
    </row>
    <row r="55" spans="1:29" ht="13.5" thickBot="1" x14ac:dyDescent="0.3">
      <c r="A55" s="306" t="str">
        <f t="shared" si="3"/>
        <v>OK</v>
      </c>
      <c r="B55" s="307" t="str">
        <f t="shared" si="1"/>
        <v>OK</v>
      </c>
      <c r="C55" s="308" t="str">
        <f>IF(OR(ISBLANK(AA55),ISBLANK(AB55),ISBLANK(#REF!))=TRUE,"P","OK")</f>
        <v>OK</v>
      </c>
      <c r="D55" s="28">
        <v>0</v>
      </c>
      <c r="E55" s="49" t="s">
        <v>7008</v>
      </c>
      <c r="F55" s="49" t="s">
        <v>1345</v>
      </c>
      <c r="G55" s="49">
        <v>181825</v>
      </c>
      <c r="H55" s="49" t="s">
        <v>7009</v>
      </c>
      <c r="I55" s="49" t="s">
        <v>6820</v>
      </c>
      <c r="J55" s="49" t="s">
        <v>4998</v>
      </c>
      <c r="K55" s="49" t="s">
        <v>1406</v>
      </c>
      <c r="L55" s="49" t="s">
        <v>7010</v>
      </c>
      <c r="M55" s="49" t="s">
        <v>5062</v>
      </c>
      <c r="N55" s="316" t="s">
        <v>5683</v>
      </c>
      <c r="O55" s="316" t="s">
        <v>5683</v>
      </c>
      <c r="P55" s="316" t="s">
        <v>5683</v>
      </c>
      <c r="Q55" s="316" t="s">
        <v>5683</v>
      </c>
      <c r="R55" s="316" t="s">
        <v>5683</v>
      </c>
      <c r="S55" s="310" t="s">
        <v>28</v>
      </c>
      <c r="T55" s="310" t="s">
        <v>6879</v>
      </c>
      <c r="U55" s="322">
        <v>44813</v>
      </c>
      <c r="V55" s="317" t="s">
        <v>7011</v>
      </c>
      <c r="W55" s="317">
        <v>4</v>
      </c>
      <c r="X55" s="317" t="s">
        <v>4999</v>
      </c>
      <c r="Y55" s="322">
        <v>44817</v>
      </c>
      <c r="Z55" s="343" t="s">
        <v>264</v>
      </c>
      <c r="AA55" s="313">
        <v>44818</v>
      </c>
      <c r="AB55" s="313">
        <v>44818</v>
      </c>
      <c r="AC55" s="314" t="s">
        <v>4999</v>
      </c>
    </row>
    <row r="56" spans="1:29" ht="26.25" thickBot="1" x14ac:dyDescent="0.3">
      <c r="A56" s="306" t="str">
        <f t="shared" si="3"/>
        <v>OK</v>
      </c>
      <c r="B56" s="307" t="str">
        <f t="shared" si="1"/>
        <v>OK</v>
      </c>
      <c r="C56" s="308" t="str">
        <f>IF(OR(ISBLANK(AA56),ISBLANK(AB56),ISBLANK(#REF!))=TRUE,"P","OK")</f>
        <v>OK</v>
      </c>
      <c r="D56" s="28">
        <v>0</v>
      </c>
      <c r="E56" s="49" t="s">
        <v>7012</v>
      </c>
      <c r="F56" s="49" t="s">
        <v>1345</v>
      </c>
      <c r="G56" s="49">
        <v>181825</v>
      </c>
      <c r="H56" s="49" t="s">
        <v>7013</v>
      </c>
      <c r="I56" s="49" t="s">
        <v>6820</v>
      </c>
      <c r="J56" s="49" t="s">
        <v>4998</v>
      </c>
      <c r="K56" s="49" t="s">
        <v>1406</v>
      </c>
      <c r="L56" s="49" t="s">
        <v>7014</v>
      </c>
      <c r="M56" s="49" t="s">
        <v>5062</v>
      </c>
      <c r="N56" s="316" t="s">
        <v>5683</v>
      </c>
      <c r="O56" s="316" t="s">
        <v>5683</v>
      </c>
      <c r="P56" s="316" t="s">
        <v>5683</v>
      </c>
      <c r="Q56" s="316" t="s">
        <v>5683</v>
      </c>
      <c r="R56" s="316" t="s">
        <v>5683</v>
      </c>
      <c r="S56" s="310" t="s">
        <v>28</v>
      </c>
      <c r="T56" s="310" t="s">
        <v>6879</v>
      </c>
      <c r="U56" s="322">
        <v>44812</v>
      </c>
      <c r="V56" s="317" t="s">
        <v>1466</v>
      </c>
      <c r="W56" s="317">
        <v>1</v>
      </c>
      <c r="X56" s="317" t="s">
        <v>4999</v>
      </c>
      <c r="Y56" s="322">
        <v>44818</v>
      </c>
      <c r="Z56" s="343" t="s">
        <v>264</v>
      </c>
      <c r="AA56" s="313">
        <v>44819</v>
      </c>
      <c r="AB56" s="313">
        <v>44819</v>
      </c>
      <c r="AC56" s="314" t="s">
        <v>4999</v>
      </c>
    </row>
    <row r="57" spans="1:29" ht="13.5" thickBot="1" x14ac:dyDescent="0.3">
      <c r="A57" s="306" t="str">
        <f t="shared" si="3"/>
        <v>OK</v>
      </c>
      <c r="B57" s="307" t="str">
        <f t="shared" si="1"/>
        <v>OK</v>
      </c>
      <c r="C57" s="308" t="str">
        <f>IF(OR(ISBLANK(AA57),ISBLANK(AB57),ISBLANK(#REF!))=TRUE,"P","OK")</f>
        <v>OK</v>
      </c>
      <c r="D57" s="28">
        <v>0</v>
      </c>
      <c r="E57" s="49" t="s">
        <v>7015</v>
      </c>
      <c r="F57" s="49" t="s">
        <v>1345</v>
      </c>
      <c r="G57" s="49">
        <v>181825</v>
      </c>
      <c r="H57" s="49" t="s">
        <v>7016</v>
      </c>
      <c r="I57" s="49" t="s">
        <v>6820</v>
      </c>
      <c r="J57" s="49" t="s">
        <v>4998</v>
      </c>
      <c r="K57" s="49" t="s">
        <v>7017</v>
      </c>
      <c r="L57" s="49" t="s">
        <v>7018</v>
      </c>
      <c r="M57" s="49" t="s">
        <v>6878</v>
      </c>
      <c r="N57" s="316" t="s">
        <v>5683</v>
      </c>
      <c r="O57" s="316" t="s">
        <v>5683</v>
      </c>
      <c r="P57" s="316" t="s">
        <v>5683</v>
      </c>
      <c r="Q57" s="316" t="s">
        <v>5683</v>
      </c>
      <c r="R57" s="316" t="s">
        <v>5683</v>
      </c>
      <c r="S57" s="334" t="s">
        <v>28</v>
      </c>
      <c r="T57" s="334" t="s">
        <v>28</v>
      </c>
      <c r="U57" s="322">
        <v>44819</v>
      </c>
      <c r="V57" s="317" t="s">
        <v>1466</v>
      </c>
      <c r="W57" s="317">
        <v>3</v>
      </c>
      <c r="X57" s="317" t="s">
        <v>4999</v>
      </c>
      <c r="Y57" s="322">
        <v>44820</v>
      </c>
      <c r="Z57" s="343" t="s">
        <v>264</v>
      </c>
      <c r="AA57" s="313">
        <v>44824</v>
      </c>
      <c r="AB57" s="313">
        <v>44824</v>
      </c>
      <c r="AC57" s="314" t="s">
        <v>4999</v>
      </c>
    </row>
    <row r="58" spans="1:29" ht="26.25" customHeight="1" thickBot="1" x14ac:dyDescent="0.3">
      <c r="A58" s="306" t="str">
        <f t="shared" si="3"/>
        <v>OK</v>
      </c>
      <c r="B58" s="307" t="str">
        <f t="shared" si="1"/>
        <v>OK</v>
      </c>
      <c r="C58" s="308" t="str">
        <f>IF(OR(ISBLANK(AA58),ISBLANK(AB58),ISBLANK(#REF!))=TRUE,"P","OK")</f>
        <v>OK</v>
      </c>
      <c r="D58" s="28">
        <v>0</v>
      </c>
      <c r="E58" s="49" t="s">
        <v>7019</v>
      </c>
      <c r="F58" s="49" t="s">
        <v>5472</v>
      </c>
      <c r="G58" s="49">
        <v>181788</v>
      </c>
      <c r="H58" s="49" t="s">
        <v>7020</v>
      </c>
      <c r="I58" s="1" t="s">
        <v>6820</v>
      </c>
      <c r="J58" s="1" t="s">
        <v>6829</v>
      </c>
      <c r="K58" s="49" t="s">
        <v>7021</v>
      </c>
      <c r="L58" s="49" t="s">
        <v>7022</v>
      </c>
      <c r="M58" s="49" t="s">
        <v>566</v>
      </c>
      <c r="N58" s="316">
        <v>44609</v>
      </c>
      <c r="O58" s="316" t="s">
        <v>264</v>
      </c>
      <c r="P58" s="316">
        <v>44609</v>
      </c>
      <c r="Q58" s="316">
        <v>44609</v>
      </c>
      <c r="R58" s="316">
        <v>44610</v>
      </c>
      <c r="S58" s="310" t="s">
        <v>6837</v>
      </c>
      <c r="T58" s="310" t="s">
        <v>6837</v>
      </c>
      <c r="U58" s="322">
        <v>44610</v>
      </c>
      <c r="V58" s="317" t="s">
        <v>235</v>
      </c>
      <c r="W58" s="317">
        <v>3</v>
      </c>
      <c r="X58" s="317" t="s">
        <v>4999</v>
      </c>
      <c r="Y58" s="322">
        <v>44643</v>
      </c>
      <c r="Z58" s="74" t="s">
        <v>6825</v>
      </c>
      <c r="AA58" s="313">
        <v>44622</v>
      </c>
      <c r="AB58" s="313">
        <v>44622</v>
      </c>
      <c r="AC58" s="314" t="s">
        <v>4999</v>
      </c>
    </row>
    <row r="59" spans="1:29" ht="26.25" customHeight="1" thickBot="1" x14ac:dyDescent="0.3">
      <c r="A59" s="306" t="str">
        <f t="shared" si="3"/>
        <v>OK</v>
      </c>
      <c r="B59" s="307" t="str">
        <f t="shared" si="1"/>
        <v>OK</v>
      </c>
      <c r="C59" s="308" t="str">
        <f>IF(OR(ISBLANK(AA59),ISBLANK(AB59),ISBLANK(#REF!))=TRUE,"P","OK")</f>
        <v>OK</v>
      </c>
      <c r="D59" s="28">
        <v>0</v>
      </c>
      <c r="E59" s="49" t="s">
        <v>7023</v>
      </c>
      <c r="F59" s="49" t="s">
        <v>5472</v>
      </c>
      <c r="G59" s="1">
        <v>181797</v>
      </c>
      <c r="H59" s="1" t="s">
        <v>7024</v>
      </c>
      <c r="I59" s="1" t="s">
        <v>6820</v>
      </c>
      <c r="J59" s="1" t="s">
        <v>6829</v>
      </c>
      <c r="K59" s="1" t="s">
        <v>2717</v>
      </c>
      <c r="L59" s="1" t="s">
        <v>7025</v>
      </c>
      <c r="M59" s="1" t="s">
        <v>566</v>
      </c>
      <c r="N59" s="316">
        <v>44615</v>
      </c>
      <c r="O59" s="316" t="s">
        <v>264</v>
      </c>
      <c r="P59" s="316">
        <v>44615</v>
      </c>
      <c r="Q59" s="316">
        <v>44615</v>
      </c>
      <c r="R59" s="316">
        <v>44652</v>
      </c>
      <c r="S59" s="310" t="s">
        <v>28</v>
      </c>
      <c r="T59" s="334" t="s">
        <v>7026</v>
      </c>
      <c r="U59" s="322">
        <v>44615</v>
      </c>
      <c r="V59" s="317" t="s">
        <v>567</v>
      </c>
      <c r="W59" s="317">
        <v>1</v>
      </c>
      <c r="X59" s="317" t="s">
        <v>4999</v>
      </c>
      <c r="Y59" s="322">
        <v>44616</v>
      </c>
      <c r="Z59" s="74" t="s">
        <v>6825</v>
      </c>
      <c r="AA59" s="313">
        <v>44622</v>
      </c>
      <c r="AB59" s="313">
        <v>44622</v>
      </c>
      <c r="AC59" s="314" t="s">
        <v>4999</v>
      </c>
    </row>
    <row r="60" spans="1:29" ht="26.25" thickBot="1" x14ac:dyDescent="0.3">
      <c r="A60" s="306" t="str">
        <f t="shared" si="3"/>
        <v>OK</v>
      </c>
      <c r="B60" s="307" t="str">
        <f t="shared" si="1"/>
        <v>OK</v>
      </c>
      <c r="C60" s="308" t="str">
        <f>IF(OR(ISBLANK(AA60),ISBLANK(AB60),ISBLANK(#REF!))=TRUE,"P","OK")</f>
        <v>OK</v>
      </c>
      <c r="D60" s="28">
        <v>0</v>
      </c>
      <c r="E60" s="49" t="s">
        <v>7027</v>
      </c>
      <c r="F60" s="49" t="s">
        <v>5472</v>
      </c>
      <c r="G60" s="49">
        <v>181717</v>
      </c>
      <c r="H60" s="49" t="s">
        <v>7028</v>
      </c>
      <c r="I60" s="49" t="s">
        <v>6820</v>
      </c>
      <c r="J60" s="49" t="s">
        <v>6829</v>
      </c>
      <c r="K60" s="49" t="s">
        <v>2047</v>
      </c>
      <c r="L60" s="49" t="s">
        <v>7029</v>
      </c>
      <c r="M60" s="49" t="s">
        <v>7030</v>
      </c>
      <c r="N60" s="316">
        <v>44529</v>
      </c>
      <c r="O60" s="316" t="s">
        <v>6898</v>
      </c>
      <c r="P60" s="316" t="s">
        <v>6898</v>
      </c>
      <c r="Q60" s="316">
        <v>44644</v>
      </c>
      <c r="R60" s="316">
        <v>44503</v>
      </c>
      <c r="S60" s="310" t="s">
        <v>28</v>
      </c>
      <c r="T60" s="310" t="s">
        <v>28</v>
      </c>
      <c r="U60" s="322">
        <v>44649</v>
      </c>
      <c r="V60" s="317" t="s">
        <v>7031</v>
      </c>
      <c r="W60" s="317">
        <v>9</v>
      </c>
      <c r="X60" s="317" t="s">
        <v>4999</v>
      </c>
      <c r="Y60" s="322">
        <v>44655</v>
      </c>
      <c r="Z60" s="343" t="s">
        <v>6898</v>
      </c>
      <c r="AA60" s="313" t="s">
        <v>6898</v>
      </c>
      <c r="AB60" s="313">
        <v>44655</v>
      </c>
      <c r="AC60" s="314" t="s">
        <v>4999</v>
      </c>
    </row>
    <row r="61" spans="1:29" ht="26.25" thickBot="1" x14ac:dyDescent="0.3">
      <c r="A61" s="306" t="str">
        <f t="shared" si="3"/>
        <v>OK</v>
      </c>
      <c r="B61" s="307" t="str">
        <f t="shared" si="1"/>
        <v>OK</v>
      </c>
      <c r="C61" s="308" t="str">
        <f>IF(OR(ISBLANK(AA61),ISBLANK(AB61),ISBLANK(#REF!))=TRUE,"P","OK")</f>
        <v>OK</v>
      </c>
      <c r="D61" s="28">
        <v>0</v>
      </c>
      <c r="E61" s="49" t="s">
        <v>7032</v>
      </c>
      <c r="F61" s="49" t="s">
        <v>5472</v>
      </c>
      <c r="G61" s="49">
        <v>181798</v>
      </c>
      <c r="H61" s="49" t="s">
        <v>7033</v>
      </c>
      <c r="I61" s="49" t="s">
        <v>6820</v>
      </c>
      <c r="J61" s="49" t="s">
        <v>6829</v>
      </c>
      <c r="K61" s="49" t="s">
        <v>7034</v>
      </c>
      <c r="L61" s="49" t="s">
        <v>7035</v>
      </c>
      <c r="M61" s="49" t="s">
        <v>7036</v>
      </c>
      <c r="N61" s="316">
        <v>44636</v>
      </c>
      <c r="O61" s="316" t="s">
        <v>264</v>
      </c>
      <c r="P61" s="316">
        <v>44636</v>
      </c>
      <c r="Q61" s="316">
        <v>44637</v>
      </c>
      <c r="R61" s="316">
        <v>44662</v>
      </c>
      <c r="S61" s="310" t="s">
        <v>6837</v>
      </c>
      <c r="T61" s="310" t="s">
        <v>6837</v>
      </c>
      <c r="U61" s="338">
        <v>44662</v>
      </c>
      <c r="V61" s="317" t="s">
        <v>7037</v>
      </c>
      <c r="W61" s="317">
        <v>1</v>
      </c>
      <c r="X61" s="317" t="s">
        <v>4999</v>
      </c>
      <c r="Y61" s="322">
        <v>44662</v>
      </c>
      <c r="Z61" s="38" t="s">
        <v>6825</v>
      </c>
      <c r="AA61" s="313">
        <v>44662</v>
      </c>
      <c r="AB61" s="313">
        <v>44665</v>
      </c>
      <c r="AC61" s="314" t="s">
        <v>4999</v>
      </c>
    </row>
    <row r="62" spans="1:29" ht="26.25" thickBot="1" x14ac:dyDescent="0.3">
      <c r="A62" s="306" t="str">
        <f t="shared" si="3"/>
        <v>OK</v>
      </c>
      <c r="B62" s="307" t="str">
        <f t="shared" si="1"/>
        <v>OK</v>
      </c>
      <c r="C62" s="308" t="str">
        <f>IF(OR(ISBLANK(AA62),ISBLANK(AB62),ISBLANK(#REF!))=TRUE,"P","OK")</f>
        <v>OK</v>
      </c>
      <c r="D62" s="28">
        <v>0</v>
      </c>
      <c r="E62" s="49" t="s">
        <v>7038</v>
      </c>
      <c r="F62" s="49" t="s">
        <v>5472</v>
      </c>
      <c r="G62" s="49">
        <v>181859</v>
      </c>
      <c r="H62" s="49" t="s">
        <v>7039</v>
      </c>
      <c r="I62" s="49" t="s">
        <v>6820</v>
      </c>
      <c r="J62" s="49" t="s">
        <v>6829</v>
      </c>
      <c r="K62" s="49" t="s">
        <v>7034</v>
      </c>
      <c r="L62" s="49" t="s">
        <v>7035</v>
      </c>
      <c r="M62" s="49" t="s">
        <v>7036</v>
      </c>
      <c r="N62" s="316">
        <v>44662</v>
      </c>
      <c r="O62" s="316" t="s">
        <v>264</v>
      </c>
      <c r="P62" s="316">
        <v>44662</v>
      </c>
      <c r="Q62" s="316">
        <v>44662</v>
      </c>
      <c r="R62" s="316">
        <v>44662</v>
      </c>
      <c r="S62" s="310" t="s">
        <v>6837</v>
      </c>
      <c r="T62" s="310" t="s">
        <v>6837</v>
      </c>
      <c r="U62" s="322">
        <v>44664</v>
      </c>
      <c r="V62" s="317" t="s">
        <v>7040</v>
      </c>
      <c r="W62" s="317">
        <v>1</v>
      </c>
      <c r="X62" s="317" t="s">
        <v>4999</v>
      </c>
      <c r="Y62" s="322">
        <v>44664</v>
      </c>
      <c r="Z62" s="312" t="s">
        <v>6850</v>
      </c>
      <c r="AA62" s="313">
        <v>44662</v>
      </c>
      <c r="AB62" s="313">
        <v>44665</v>
      </c>
      <c r="AC62" s="314" t="s">
        <v>4999</v>
      </c>
    </row>
    <row r="63" spans="1:29" ht="24.75" customHeight="1" thickBot="1" x14ac:dyDescent="0.3">
      <c r="A63" s="306" t="str">
        <f t="shared" si="3"/>
        <v>OK</v>
      </c>
      <c r="B63" s="307" t="str">
        <f t="shared" si="1"/>
        <v>OK</v>
      </c>
      <c r="C63" s="308" t="str">
        <f>IF(OR(ISBLANK(AA63),ISBLANK(AB63),ISBLANK(#REF!))=TRUE,"P","OK")</f>
        <v>OK</v>
      </c>
      <c r="D63" s="28">
        <v>0</v>
      </c>
      <c r="E63" s="49" t="s">
        <v>7041</v>
      </c>
      <c r="F63" s="49" t="s">
        <v>5472</v>
      </c>
      <c r="G63" s="49">
        <v>181871</v>
      </c>
      <c r="H63" s="49" t="s">
        <v>7042</v>
      </c>
      <c r="I63" s="49" t="s">
        <v>6820</v>
      </c>
      <c r="J63" s="49" t="s">
        <v>6829</v>
      </c>
      <c r="K63" s="49" t="s">
        <v>7043</v>
      </c>
      <c r="L63" s="49" t="s">
        <v>7025</v>
      </c>
      <c r="M63" s="49" t="s">
        <v>566</v>
      </c>
      <c r="N63" s="316">
        <v>44673</v>
      </c>
      <c r="O63" s="316" t="s">
        <v>7044</v>
      </c>
      <c r="P63" s="316">
        <v>44672</v>
      </c>
      <c r="Q63" s="316">
        <v>44676</v>
      </c>
      <c r="R63" s="316">
        <v>44650</v>
      </c>
      <c r="S63" s="310" t="s">
        <v>6837</v>
      </c>
      <c r="T63" s="310" t="s">
        <v>6837</v>
      </c>
      <c r="U63" s="322">
        <v>44679</v>
      </c>
      <c r="V63" s="317" t="s">
        <v>7045</v>
      </c>
      <c r="W63" s="317">
        <v>6</v>
      </c>
      <c r="X63" s="317" t="s">
        <v>4999</v>
      </c>
      <c r="Y63" s="322">
        <v>44679</v>
      </c>
      <c r="Z63" s="38" t="s">
        <v>6825</v>
      </c>
      <c r="AA63" s="313">
        <v>44679</v>
      </c>
      <c r="AB63" s="313">
        <v>44679</v>
      </c>
      <c r="AC63" s="314" t="s">
        <v>4999</v>
      </c>
    </row>
    <row r="64" spans="1:29" ht="24.75" customHeight="1" thickBot="1" x14ac:dyDescent="0.3">
      <c r="A64" s="306" t="str">
        <f t="shared" si="3"/>
        <v>OK</v>
      </c>
      <c r="B64" s="307" t="str">
        <f t="shared" si="1"/>
        <v>OK</v>
      </c>
      <c r="C64" s="308" t="str">
        <f>IF(OR(ISBLANK(AA64),ISBLANK(AB64),ISBLANK(#REF!))=TRUE,"P","OK")</f>
        <v>OK</v>
      </c>
      <c r="D64" s="28">
        <v>0</v>
      </c>
      <c r="E64" s="49" t="s">
        <v>7046</v>
      </c>
      <c r="F64" s="49" t="s">
        <v>5472</v>
      </c>
      <c r="G64" s="49">
        <v>182213</v>
      </c>
      <c r="H64" s="49" t="s">
        <v>7047</v>
      </c>
      <c r="I64" s="49" t="s">
        <v>6820</v>
      </c>
      <c r="J64" s="49" t="s">
        <v>4998</v>
      </c>
      <c r="K64" s="49" t="s">
        <v>7048</v>
      </c>
      <c r="L64" s="49" t="s">
        <v>7049</v>
      </c>
      <c r="M64" s="49" t="s">
        <v>7050</v>
      </c>
      <c r="N64" s="316">
        <v>44805</v>
      </c>
      <c r="O64" s="316" t="s">
        <v>264</v>
      </c>
      <c r="P64" s="316">
        <v>44805</v>
      </c>
      <c r="Q64" s="316">
        <v>44805</v>
      </c>
      <c r="R64" s="316">
        <v>44805</v>
      </c>
      <c r="S64" s="334" t="s">
        <v>28</v>
      </c>
      <c r="T64" s="334" t="s">
        <v>28</v>
      </c>
      <c r="U64" s="322">
        <v>44817</v>
      </c>
      <c r="V64" s="317" t="s">
        <v>567</v>
      </c>
      <c r="W64" s="317">
        <v>2</v>
      </c>
      <c r="X64" s="317" t="s">
        <v>4999</v>
      </c>
      <c r="Y64" s="322">
        <v>44817</v>
      </c>
      <c r="Z64" s="343" t="s">
        <v>264</v>
      </c>
      <c r="AA64" s="313">
        <v>44823</v>
      </c>
      <c r="AB64" s="313">
        <v>44823</v>
      </c>
      <c r="AC64" s="314" t="s">
        <v>4999</v>
      </c>
    </row>
    <row r="65" spans="1:29" ht="14.25" customHeight="1" thickBot="1" x14ac:dyDescent="0.3">
      <c r="A65" s="306" t="str">
        <f t="shared" si="3"/>
        <v>OK</v>
      </c>
      <c r="B65" s="307" t="str">
        <f t="shared" si="1"/>
        <v>OK</v>
      </c>
      <c r="C65" s="308" t="str">
        <f>IF(OR(ISBLANK(AA65),ISBLANK(AB65),ISBLANK(#REF!))=TRUE,"P","OK")</f>
        <v>OK</v>
      </c>
      <c r="D65" s="28">
        <v>0</v>
      </c>
      <c r="E65" s="49" t="s">
        <v>7051</v>
      </c>
      <c r="F65" s="1" t="s">
        <v>7052</v>
      </c>
      <c r="G65" s="1">
        <v>181641</v>
      </c>
      <c r="H65" s="1" t="s">
        <v>7053</v>
      </c>
      <c r="I65" s="1" t="s">
        <v>6820</v>
      </c>
      <c r="J65" s="1" t="s">
        <v>6829</v>
      </c>
      <c r="K65" s="1" t="s">
        <v>7054</v>
      </c>
      <c r="L65" s="1" t="s">
        <v>7055</v>
      </c>
      <c r="M65" s="1" t="s">
        <v>7056</v>
      </c>
      <c r="N65" s="316">
        <v>44461</v>
      </c>
      <c r="O65" s="316" t="s">
        <v>7026</v>
      </c>
      <c r="P65" s="316">
        <v>44463</v>
      </c>
      <c r="Q65" s="316">
        <v>44463</v>
      </c>
      <c r="R65" s="316">
        <v>44568</v>
      </c>
      <c r="S65" s="310" t="s">
        <v>6837</v>
      </c>
      <c r="T65" s="310" t="s">
        <v>6837</v>
      </c>
      <c r="U65" s="311">
        <v>44594</v>
      </c>
      <c r="V65" s="335" t="s">
        <v>7057</v>
      </c>
      <c r="W65" s="335">
        <v>4</v>
      </c>
      <c r="X65" s="335" t="s">
        <v>4999</v>
      </c>
      <c r="Y65" s="337">
        <v>44599</v>
      </c>
      <c r="Z65" s="38" t="s">
        <v>6825</v>
      </c>
      <c r="AA65" s="313">
        <v>44599</v>
      </c>
      <c r="AB65" s="313">
        <v>44599</v>
      </c>
      <c r="AC65" s="314" t="s">
        <v>4999</v>
      </c>
    </row>
    <row r="66" spans="1:29" ht="26.25" thickBot="1" x14ac:dyDescent="0.3">
      <c r="A66" s="306" t="str">
        <f t="shared" si="3"/>
        <v>OK</v>
      </c>
      <c r="B66" s="307" t="str">
        <f t="shared" si="1"/>
        <v>OK</v>
      </c>
      <c r="C66" s="308" t="str">
        <f>IF(OR(ISBLANK(AA66),ISBLANK(AB66),ISBLANK(#REF!))=TRUE,"P","OK")</f>
        <v>OK</v>
      </c>
      <c r="D66" s="28">
        <v>0</v>
      </c>
      <c r="E66" s="49" t="s">
        <v>7058</v>
      </c>
      <c r="F66" s="49" t="s">
        <v>1802</v>
      </c>
      <c r="G66" s="49">
        <v>181780</v>
      </c>
      <c r="H66" s="49" t="s">
        <v>7059</v>
      </c>
      <c r="I66" s="49" t="s">
        <v>6820</v>
      </c>
      <c r="J66" s="49" t="s">
        <v>6829</v>
      </c>
      <c r="K66" s="49" t="s">
        <v>7060</v>
      </c>
      <c r="L66" s="49">
        <v>1221</v>
      </c>
      <c r="M66" s="49" t="s">
        <v>7061</v>
      </c>
      <c r="N66" s="316" t="s">
        <v>6898</v>
      </c>
      <c r="O66" s="316" t="s">
        <v>6898</v>
      </c>
      <c r="P66" s="316" t="s">
        <v>6898</v>
      </c>
      <c r="Q66" s="316" t="s">
        <v>6898</v>
      </c>
      <c r="R66" s="316" t="s">
        <v>6898</v>
      </c>
      <c r="S66" s="310" t="s">
        <v>6837</v>
      </c>
      <c r="T66" s="310" t="s">
        <v>6837</v>
      </c>
      <c r="U66" s="322">
        <v>44704</v>
      </c>
      <c r="V66" s="317" t="s">
        <v>5683</v>
      </c>
      <c r="W66" s="317">
        <v>2</v>
      </c>
      <c r="X66" s="317" t="s">
        <v>4999</v>
      </c>
      <c r="Y66" s="322">
        <v>44763</v>
      </c>
      <c r="Z66" s="343" t="s">
        <v>6898</v>
      </c>
      <c r="AA66" s="312" t="s">
        <v>6898</v>
      </c>
      <c r="AB66" s="313">
        <v>44763</v>
      </c>
      <c r="AC66" s="314" t="s">
        <v>4999</v>
      </c>
    </row>
    <row r="67" spans="1:29" ht="13.7" customHeight="1" thickBot="1" x14ac:dyDescent="0.3">
      <c r="A67" s="306" t="str">
        <f t="shared" si="3"/>
        <v>OK</v>
      </c>
      <c r="B67" s="307" t="str">
        <f t="shared" si="1"/>
        <v>OK</v>
      </c>
      <c r="C67" s="308" t="str">
        <f>IF(OR(ISBLANK(AA67),ISBLANK(AB67),ISBLANK(#REF!))=TRUE,"P","OK")</f>
        <v>OK</v>
      </c>
      <c r="D67" s="28">
        <v>0</v>
      </c>
      <c r="E67" s="49" t="s">
        <v>7062</v>
      </c>
      <c r="F67" s="1" t="s">
        <v>1680</v>
      </c>
      <c r="G67" s="1">
        <v>181202</v>
      </c>
      <c r="H67" s="1" t="s">
        <v>7063</v>
      </c>
      <c r="I67" s="1" t="s">
        <v>6820</v>
      </c>
      <c r="J67" s="1" t="s">
        <v>6829</v>
      </c>
      <c r="K67" s="1" t="s">
        <v>7064</v>
      </c>
      <c r="L67" s="1" t="s">
        <v>7065</v>
      </c>
      <c r="M67" s="1" t="s">
        <v>7066</v>
      </c>
      <c r="N67" s="316">
        <v>44524</v>
      </c>
      <c r="O67" s="316" t="s">
        <v>7067</v>
      </c>
      <c r="P67" s="316">
        <v>44524</v>
      </c>
      <c r="Q67" s="316">
        <v>44524</v>
      </c>
      <c r="R67" s="316">
        <v>44549</v>
      </c>
      <c r="S67" s="310" t="s">
        <v>6837</v>
      </c>
      <c r="T67" s="310" t="s">
        <v>6837</v>
      </c>
      <c r="U67" s="337">
        <v>44599</v>
      </c>
      <c r="V67" s="335" t="s">
        <v>5535</v>
      </c>
      <c r="W67" s="335">
        <v>4</v>
      </c>
      <c r="X67" s="335" t="s">
        <v>4999</v>
      </c>
      <c r="Y67" s="337">
        <v>44599</v>
      </c>
      <c r="Z67" s="74" t="s">
        <v>6825</v>
      </c>
      <c r="AA67" s="313">
        <v>44599</v>
      </c>
      <c r="AB67" s="313">
        <v>44599</v>
      </c>
      <c r="AC67" s="314" t="s">
        <v>4999</v>
      </c>
    </row>
    <row r="68" spans="1:29" ht="13.7" customHeight="1" thickBot="1" x14ac:dyDescent="0.3">
      <c r="A68" s="306" t="str">
        <f t="shared" si="3"/>
        <v>OK</v>
      </c>
      <c r="B68" s="307" t="str">
        <f t="shared" si="1"/>
        <v>OK</v>
      </c>
      <c r="C68" s="308" t="str">
        <f>IF(OR(ISBLANK(AA68),ISBLANK(AB68),ISBLANK(#REF!))=TRUE,"P","OK")</f>
        <v>OK</v>
      </c>
      <c r="D68" s="28">
        <v>0</v>
      </c>
      <c r="E68" s="49" t="s">
        <v>7068</v>
      </c>
      <c r="F68" s="1" t="s">
        <v>1680</v>
      </c>
      <c r="G68" s="1">
        <v>181202</v>
      </c>
      <c r="H68" s="1" t="s">
        <v>7069</v>
      </c>
      <c r="I68" s="1" t="s">
        <v>6820</v>
      </c>
      <c r="J68" s="1" t="s">
        <v>6829</v>
      </c>
      <c r="K68" s="1" t="s">
        <v>7070</v>
      </c>
      <c r="L68" s="1" t="s">
        <v>7071</v>
      </c>
      <c r="M68" s="1" t="s">
        <v>7072</v>
      </c>
      <c r="N68" s="316">
        <v>44579</v>
      </c>
      <c r="O68" s="316" t="s">
        <v>264</v>
      </c>
      <c r="P68" s="316">
        <v>44580</v>
      </c>
      <c r="Q68" s="316">
        <v>44580</v>
      </c>
      <c r="R68" s="316">
        <v>44580</v>
      </c>
      <c r="S68" s="310" t="s">
        <v>6837</v>
      </c>
      <c r="T68" s="310" t="s">
        <v>6837</v>
      </c>
      <c r="U68" s="337">
        <v>44589</v>
      </c>
      <c r="V68" s="335" t="s">
        <v>7073</v>
      </c>
      <c r="W68" s="335">
        <v>1</v>
      </c>
      <c r="X68" s="335" t="s">
        <v>4999</v>
      </c>
      <c r="Y68" s="337">
        <v>44589</v>
      </c>
      <c r="Z68" s="74" t="s">
        <v>6825</v>
      </c>
      <c r="AA68" s="313">
        <v>44593</v>
      </c>
      <c r="AB68" s="313">
        <v>44593</v>
      </c>
      <c r="AC68" s="314" t="s">
        <v>4999</v>
      </c>
    </row>
    <row r="69" spans="1:29" ht="13.5" thickBot="1" x14ac:dyDescent="0.3">
      <c r="A69" s="306" t="str">
        <f t="shared" si="3"/>
        <v>OK</v>
      </c>
      <c r="B69" s="307" t="str">
        <f t="shared" ref="B69:B131" si="4">IF(OR(ISBLANK(S69),ISBLANK(T69),ISBLANK(U69),ISBLANK(V69),ISBLANK(W69),ISBLANK(X69),ISBLANK(Y69),ISBLANK(Z69))=TRUE,"P","OK")</f>
        <v>OK</v>
      </c>
      <c r="C69" s="308" t="str">
        <f>IF(OR(ISBLANK(AA69),ISBLANK(AB69),ISBLANK(#REF!))=TRUE,"P","OK")</f>
        <v>OK</v>
      </c>
      <c r="D69" s="28">
        <v>0</v>
      </c>
      <c r="E69" s="49" t="s">
        <v>7074</v>
      </c>
      <c r="F69" s="1" t="s">
        <v>1680</v>
      </c>
      <c r="G69" s="49">
        <v>181202</v>
      </c>
      <c r="H69" s="49" t="s">
        <v>7075</v>
      </c>
      <c r="I69" s="49" t="s">
        <v>6820</v>
      </c>
      <c r="J69" s="49" t="s">
        <v>6829</v>
      </c>
      <c r="K69" s="49" t="s">
        <v>7076</v>
      </c>
      <c r="L69" s="49" t="s">
        <v>7077</v>
      </c>
      <c r="M69" s="49" t="s">
        <v>7066</v>
      </c>
      <c r="N69" s="316" t="s">
        <v>5683</v>
      </c>
      <c r="O69" s="316" t="s">
        <v>5683</v>
      </c>
      <c r="P69" s="316" t="s">
        <v>5683</v>
      </c>
      <c r="Q69" s="316" t="s">
        <v>5683</v>
      </c>
      <c r="R69" s="316" t="s">
        <v>5683</v>
      </c>
      <c r="S69" s="333" t="s">
        <v>6832</v>
      </c>
      <c r="T69" s="333" t="s">
        <v>6832</v>
      </c>
      <c r="U69" s="322">
        <v>44693</v>
      </c>
      <c r="V69" s="317" t="s">
        <v>7078</v>
      </c>
      <c r="W69" s="317">
        <v>1</v>
      </c>
      <c r="X69" s="317" t="s">
        <v>4999</v>
      </c>
      <c r="Y69" s="287" t="s">
        <v>5683</v>
      </c>
      <c r="Z69" s="74" t="s">
        <v>6825</v>
      </c>
      <c r="AA69" s="313">
        <v>44693</v>
      </c>
      <c r="AB69" s="313">
        <v>44693</v>
      </c>
      <c r="AC69" s="314" t="s">
        <v>4999</v>
      </c>
    </row>
    <row r="70" spans="1:29" ht="13.5" thickBot="1" x14ac:dyDescent="0.3">
      <c r="A70" s="306" t="str">
        <f t="shared" si="3"/>
        <v>OK</v>
      </c>
      <c r="B70" s="307" t="str">
        <f t="shared" si="4"/>
        <v>OK</v>
      </c>
      <c r="C70" s="308" t="str">
        <f>IF(OR(ISBLANK(AA70),ISBLANK(AB70),ISBLANK(#REF!))=TRUE,"P","OK")</f>
        <v>OK</v>
      </c>
      <c r="D70" s="28">
        <v>0</v>
      </c>
      <c r="E70" s="49" t="s">
        <v>7079</v>
      </c>
      <c r="F70" s="1" t="s">
        <v>1680</v>
      </c>
      <c r="G70" s="49">
        <v>181202</v>
      </c>
      <c r="H70" s="49" t="s">
        <v>7080</v>
      </c>
      <c r="I70" s="49" t="s">
        <v>6820</v>
      </c>
      <c r="J70" s="49" t="s">
        <v>6829</v>
      </c>
      <c r="K70" s="49" t="s">
        <v>7081</v>
      </c>
      <c r="L70" s="49" t="s">
        <v>7082</v>
      </c>
      <c r="M70" s="49" t="s">
        <v>143</v>
      </c>
      <c r="N70" s="316">
        <v>44188</v>
      </c>
      <c r="O70" s="316" t="s">
        <v>5683</v>
      </c>
      <c r="P70" s="316" t="s">
        <v>5683</v>
      </c>
      <c r="Q70" s="316">
        <v>44188</v>
      </c>
      <c r="R70" s="316">
        <v>44663</v>
      </c>
      <c r="S70" s="310" t="s">
        <v>6837</v>
      </c>
      <c r="T70" s="310" t="s">
        <v>6837</v>
      </c>
      <c r="U70" s="322">
        <v>44684</v>
      </c>
      <c r="V70" s="317" t="s">
        <v>3384</v>
      </c>
      <c r="W70" s="317">
        <v>1</v>
      </c>
      <c r="X70" s="317" t="s">
        <v>4999</v>
      </c>
      <c r="Y70" s="322">
        <v>44685</v>
      </c>
      <c r="Z70" s="74" t="s">
        <v>6825</v>
      </c>
      <c r="AA70" s="313">
        <v>44690</v>
      </c>
      <c r="AB70" s="313">
        <v>44690</v>
      </c>
      <c r="AC70" s="314" t="s">
        <v>4999</v>
      </c>
    </row>
    <row r="71" spans="1:29" ht="13.5" thickBot="1" x14ac:dyDescent="0.3">
      <c r="A71" s="306" t="str">
        <f t="shared" si="3"/>
        <v>OK</v>
      </c>
      <c r="B71" s="307" t="str">
        <f t="shared" si="4"/>
        <v>OK</v>
      </c>
      <c r="C71" s="308" t="str">
        <f>IF(OR(ISBLANK(AA71),ISBLANK(AB71),ISBLANK(#REF!))=TRUE,"P","OK")</f>
        <v>OK</v>
      </c>
      <c r="D71" s="28">
        <v>0</v>
      </c>
      <c r="E71" s="49" t="s">
        <v>7083</v>
      </c>
      <c r="F71" s="1" t="s">
        <v>1680</v>
      </c>
      <c r="G71" s="49">
        <v>181202</v>
      </c>
      <c r="H71" s="49" t="s">
        <v>7084</v>
      </c>
      <c r="I71" s="49" t="s">
        <v>6820</v>
      </c>
      <c r="J71" s="49" t="s">
        <v>6829</v>
      </c>
      <c r="K71" s="49" t="s">
        <v>7085</v>
      </c>
      <c r="L71" s="49" t="s">
        <v>7086</v>
      </c>
      <c r="M71" s="49" t="s">
        <v>7087</v>
      </c>
      <c r="N71" s="316" t="s">
        <v>5683</v>
      </c>
      <c r="O71" s="316" t="s">
        <v>5683</v>
      </c>
      <c r="P71" s="316" t="s">
        <v>5683</v>
      </c>
      <c r="Q71" s="316" t="s">
        <v>5683</v>
      </c>
      <c r="R71" s="316" t="s">
        <v>5683</v>
      </c>
      <c r="S71" s="310" t="s">
        <v>6837</v>
      </c>
      <c r="T71" s="310" t="s">
        <v>6837</v>
      </c>
      <c r="U71" s="322">
        <v>44693</v>
      </c>
      <c r="V71" s="317" t="s">
        <v>7088</v>
      </c>
      <c r="W71" s="317">
        <v>2</v>
      </c>
      <c r="X71" s="317" t="s">
        <v>4999</v>
      </c>
      <c r="Y71" s="322">
        <v>44694</v>
      </c>
      <c r="Z71" s="38" t="s">
        <v>6825</v>
      </c>
      <c r="AA71" s="313">
        <v>44694</v>
      </c>
      <c r="AB71" s="313">
        <v>44694</v>
      </c>
      <c r="AC71" s="314" t="s">
        <v>4999</v>
      </c>
    </row>
    <row r="72" spans="1:29" ht="13.5" thickBot="1" x14ac:dyDescent="0.3">
      <c r="A72" s="306" t="str">
        <f t="shared" si="3"/>
        <v>OK</v>
      </c>
      <c r="B72" s="307" t="str">
        <f t="shared" si="4"/>
        <v>OK</v>
      </c>
      <c r="C72" s="308" t="str">
        <f>IF(OR(ISBLANK(AA72),ISBLANK(AB72),ISBLANK(#REF!))=TRUE,"P","OK")</f>
        <v>OK</v>
      </c>
      <c r="D72" s="28">
        <v>0</v>
      </c>
      <c r="E72" s="49" t="s">
        <v>7089</v>
      </c>
      <c r="F72" s="1" t="s">
        <v>1680</v>
      </c>
      <c r="G72" s="49">
        <v>181202</v>
      </c>
      <c r="H72" s="49" t="s">
        <v>7090</v>
      </c>
      <c r="I72" s="49" t="s">
        <v>6820</v>
      </c>
      <c r="J72" s="49" t="s">
        <v>6829</v>
      </c>
      <c r="K72" s="49" t="s">
        <v>3519</v>
      </c>
      <c r="L72" s="49" t="s">
        <v>7091</v>
      </c>
      <c r="M72" s="49" t="s">
        <v>7072</v>
      </c>
      <c r="N72" s="316">
        <v>44188</v>
      </c>
      <c r="O72" s="316" t="s">
        <v>5683</v>
      </c>
      <c r="P72" s="316" t="s">
        <v>5683</v>
      </c>
      <c r="Q72" s="316">
        <v>44188</v>
      </c>
      <c r="R72" s="316" t="s">
        <v>5683</v>
      </c>
      <c r="S72" s="310" t="s">
        <v>6837</v>
      </c>
      <c r="T72" s="310" t="s">
        <v>6837</v>
      </c>
      <c r="U72" s="337">
        <v>44354</v>
      </c>
      <c r="V72" s="317" t="s">
        <v>128</v>
      </c>
      <c r="W72" s="317">
        <v>16</v>
      </c>
      <c r="X72" s="317" t="s">
        <v>4999</v>
      </c>
      <c r="Y72" s="322">
        <v>44719</v>
      </c>
      <c r="Z72" s="74" t="s">
        <v>6825</v>
      </c>
      <c r="AA72" s="313">
        <v>44727</v>
      </c>
      <c r="AB72" s="313">
        <v>44727</v>
      </c>
      <c r="AC72" s="314" t="s">
        <v>4999</v>
      </c>
    </row>
    <row r="73" spans="1:29" ht="13.5" thickBot="1" x14ac:dyDescent="0.3">
      <c r="A73" s="306" t="str">
        <f t="shared" si="3"/>
        <v>OK</v>
      </c>
      <c r="B73" s="307" t="str">
        <f t="shared" si="4"/>
        <v>OK</v>
      </c>
      <c r="C73" s="308" t="str">
        <f>IF(OR(ISBLANK(AA73),ISBLANK(AB73),ISBLANK(#REF!))=TRUE,"P","OK")</f>
        <v>OK</v>
      </c>
      <c r="D73" s="28">
        <v>0</v>
      </c>
      <c r="E73" s="49" t="s">
        <v>7092</v>
      </c>
      <c r="F73" s="1" t="s">
        <v>1680</v>
      </c>
      <c r="G73" s="49">
        <v>181202</v>
      </c>
      <c r="H73" s="49" t="s">
        <v>7093</v>
      </c>
      <c r="I73" s="49" t="s">
        <v>6820</v>
      </c>
      <c r="J73" s="49" t="s">
        <v>6829</v>
      </c>
      <c r="K73" s="49" t="s">
        <v>6577</v>
      </c>
      <c r="L73" s="49" t="s">
        <v>7094</v>
      </c>
      <c r="M73" s="49" t="s">
        <v>143</v>
      </c>
      <c r="N73" s="316" t="s">
        <v>5683</v>
      </c>
      <c r="O73" s="316" t="s">
        <v>5683</v>
      </c>
      <c r="P73" s="316" t="s">
        <v>5683</v>
      </c>
      <c r="Q73" s="316" t="s">
        <v>5683</v>
      </c>
      <c r="R73" s="316" t="s">
        <v>5683</v>
      </c>
      <c r="S73" s="310" t="s">
        <v>6837</v>
      </c>
      <c r="T73" s="310" t="s">
        <v>6837</v>
      </c>
      <c r="U73" s="338">
        <v>44691</v>
      </c>
      <c r="V73" s="317" t="s">
        <v>3384</v>
      </c>
      <c r="W73" s="317">
        <v>1</v>
      </c>
      <c r="X73" s="317" t="s">
        <v>4999</v>
      </c>
      <c r="Y73" s="322">
        <v>44691</v>
      </c>
      <c r="Z73" s="38" t="s">
        <v>6825</v>
      </c>
      <c r="AA73" s="313">
        <v>44694</v>
      </c>
      <c r="AB73" s="313">
        <v>44694</v>
      </c>
      <c r="AC73" s="314" t="s">
        <v>4999</v>
      </c>
    </row>
    <row r="74" spans="1:29" ht="13.5" thickBot="1" x14ac:dyDescent="0.3">
      <c r="A74" s="306" t="str">
        <f t="shared" si="3"/>
        <v>OK</v>
      </c>
      <c r="B74" s="307" t="str">
        <f t="shared" si="4"/>
        <v>OK</v>
      </c>
      <c r="C74" s="308" t="str">
        <f>IF(OR(ISBLANK(AA74),ISBLANK(AB74),ISBLANK(#REF!))=TRUE,"P","OK")</f>
        <v>OK</v>
      </c>
      <c r="D74" s="28">
        <v>0</v>
      </c>
      <c r="E74" s="49" t="s">
        <v>7095</v>
      </c>
      <c r="F74" s="1" t="s">
        <v>1680</v>
      </c>
      <c r="G74" s="49">
        <v>181802</v>
      </c>
      <c r="H74" s="49" t="s">
        <v>7096</v>
      </c>
      <c r="I74" s="49" t="s">
        <v>6820</v>
      </c>
      <c r="J74" s="49" t="s">
        <v>6829</v>
      </c>
      <c r="K74" s="49" t="s">
        <v>7097</v>
      </c>
      <c r="L74" s="49">
        <v>86517</v>
      </c>
      <c r="M74" s="49" t="s">
        <v>7098</v>
      </c>
      <c r="N74" s="316" t="s">
        <v>5683</v>
      </c>
      <c r="O74" s="316" t="s">
        <v>5683</v>
      </c>
      <c r="P74" s="316" t="s">
        <v>5683</v>
      </c>
      <c r="Q74" s="316" t="s">
        <v>5683</v>
      </c>
      <c r="R74" s="316" t="s">
        <v>5683</v>
      </c>
      <c r="S74" s="310" t="s">
        <v>6837</v>
      </c>
      <c r="T74" s="310" t="s">
        <v>6837</v>
      </c>
      <c r="U74" s="338">
        <v>44693</v>
      </c>
      <c r="V74" s="317" t="s">
        <v>3191</v>
      </c>
      <c r="W74" s="317">
        <v>1</v>
      </c>
      <c r="X74" s="317" t="s">
        <v>4999</v>
      </c>
      <c r="Y74" s="322">
        <v>44693</v>
      </c>
      <c r="Z74" s="38" t="s">
        <v>6825</v>
      </c>
      <c r="AA74" s="313">
        <v>44697</v>
      </c>
      <c r="AB74" s="313">
        <v>44697</v>
      </c>
      <c r="AC74" s="314" t="s">
        <v>4999</v>
      </c>
    </row>
    <row r="75" spans="1:29" ht="13.7" customHeight="1" thickBot="1" x14ac:dyDescent="0.3">
      <c r="A75" s="306" t="str">
        <f t="shared" si="3"/>
        <v>P</v>
      </c>
      <c r="B75" s="307" t="str">
        <f t="shared" si="4"/>
        <v>OK</v>
      </c>
      <c r="C75" s="308" t="str">
        <f>IF(OR(ISBLANK(AA75),ISBLANK(AB75),ISBLANK(#REF!))=TRUE,"P","OK")</f>
        <v>OK</v>
      </c>
      <c r="D75" s="28">
        <v>0</v>
      </c>
      <c r="E75" s="49" t="s">
        <v>7099</v>
      </c>
      <c r="F75" s="1" t="s">
        <v>1680</v>
      </c>
      <c r="G75" s="49">
        <v>181202</v>
      </c>
      <c r="H75" s="49" t="s">
        <v>7100</v>
      </c>
      <c r="I75" s="49" t="s">
        <v>6820</v>
      </c>
      <c r="J75" s="49" t="s">
        <v>6829</v>
      </c>
      <c r="K75" s="49"/>
      <c r="L75" s="49"/>
      <c r="M75" s="49"/>
      <c r="N75" s="316">
        <v>44188</v>
      </c>
      <c r="O75" s="316" t="s">
        <v>5683</v>
      </c>
      <c r="P75" s="316" t="s">
        <v>5683</v>
      </c>
      <c r="Q75" s="316">
        <v>44188</v>
      </c>
      <c r="R75" s="316">
        <v>44713</v>
      </c>
      <c r="S75" s="334" t="s">
        <v>5683</v>
      </c>
      <c r="T75" s="334" t="s">
        <v>5683</v>
      </c>
      <c r="U75" s="317" t="s">
        <v>5683</v>
      </c>
      <c r="V75" s="317" t="s">
        <v>5683</v>
      </c>
      <c r="W75" s="317" t="s">
        <v>5683</v>
      </c>
      <c r="X75" s="317" t="s">
        <v>6898</v>
      </c>
      <c r="Y75" s="317" t="s">
        <v>5683</v>
      </c>
      <c r="Z75" s="343" t="s">
        <v>6898</v>
      </c>
      <c r="AA75" s="312" t="s">
        <v>6898</v>
      </c>
      <c r="AB75" s="312" t="s">
        <v>6898</v>
      </c>
      <c r="AC75" s="314" t="s">
        <v>6898</v>
      </c>
    </row>
    <row r="76" spans="1:29" ht="13.7" customHeight="1" thickBot="1" x14ac:dyDescent="0.3">
      <c r="A76" s="306" t="str">
        <f t="shared" si="3"/>
        <v>OK</v>
      </c>
      <c r="B76" s="307" t="str">
        <f t="shared" si="4"/>
        <v>OK</v>
      </c>
      <c r="C76" s="308" t="str">
        <f>IF(OR(ISBLANK(AA76),ISBLANK(AB76),ISBLANK(#REF!))=TRUE,"P","OK")</f>
        <v>OK</v>
      </c>
      <c r="D76" s="28">
        <v>0</v>
      </c>
      <c r="E76" s="49" t="s">
        <v>7101</v>
      </c>
      <c r="F76" s="1" t="s">
        <v>1680</v>
      </c>
      <c r="G76" s="49">
        <v>181202</v>
      </c>
      <c r="H76" s="49" t="s">
        <v>7102</v>
      </c>
      <c r="I76" s="49" t="s">
        <v>6820</v>
      </c>
      <c r="J76" s="49" t="s">
        <v>6829</v>
      </c>
      <c r="K76" s="49" t="s">
        <v>7103</v>
      </c>
      <c r="L76" s="49" t="s">
        <v>7104</v>
      </c>
      <c r="M76" s="49" t="s">
        <v>1938</v>
      </c>
      <c r="N76" s="316">
        <v>44188</v>
      </c>
      <c r="O76" s="316" t="s">
        <v>264</v>
      </c>
      <c r="P76" s="316">
        <v>44166</v>
      </c>
      <c r="Q76" s="316">
        <v>44166</v>
      </c>
      <c r="R76" s="316" t="s">
        <v>6898</v>
      </c>
      <c r="S76" s="334" t="s">
        <v>6898</v>
      </c>
      <c r="T76" s="334" t="s">
        <v>6898</v>
      </c>
      <c r="U76" s="317" t="s">
        <v>6898</v>
      </c>
      <c r="V76" s="317" t="s">
        <v>6898</v>
      </c>
      <c r="W76" s="317">
        <v>1</v>
      </c>
      <c r="X76" s="317" t="s">
        <v>6898</v>
      </c>
      <c r="Y76" s="317" t="s">
        <v>6898</v>
      </c>
      <c r="Z76" s="343" t="s">
        <v>6898</v>
      </c>
      <c r="AA76" s="312" t="s">
        <v>6898</v>
      </c>
      <c r="AB76" s="313">
        <v>44789</v>
      </c>
      <c r="AC76" s="314" t="s">
        <v>6898</v>
      </c>
    </row>
    <row r="77" spans="1:29" ht="13.7" customHeight="1" thickBot="1" x14ac:dyDescent="0.3">
      <c r="A77" s="306" t="str">
        <f t="shared" si="3"/>
        <v>OK</v>
      </c>
      <c r="B77" s="307" t="str">
        <f t="shared" si="4"/>
        <v>OK</v>
      </c>
      <c r="C77" s="308" t="str">
        <f>IF(OR(ISBLANK(AA77),ISBLANK(AB77),ISBLANK(#REF!))=TRUE,"P","OK")</f>
        <v>OK</v>
      </c>
      <c r="D77" s="28">
        <v>0</v>
      </c>
      <c r="E77" s="49" t="s">
        <v>7105</v>
      </c>
      <c r="F77" s="1" t="s">
        <v>1680</v>
      </c>
      <c r="G77" s="49">
        <v>181202</v>
      </c>
      <c r="H77" s="49" t="s">
        <v>7106</v>
      </c>
      <c r="I77" s="1" t="s">
        <v>6820</v>
      </c>
      <c r="J77" s="1" t="s">
        <v>6829</v>
      </c>
      <c r="K77" s="1" t="s">
        <v>7097</v>
      </c>
      <c r="L77" s="1" t="s">
        <v>5078</v>
      </c>
      <c r="M77" s="1" t="s">
        <v>1684</v>
      </c>
      <c r="N77" s="316" t="s">
        <v>5683</v>
      </c>
      <c r="O77" s="316" t="s">
        <v>5683</v>
      </c>
      <c r="P77" s="316" t="s">
        <v>5683</v>
      </c>
      <c r="Q77" s="316" t="s">
        <v>5683</v>
      </c>
      <c r="R77" s="316" t="s">
        <v>5683</v>
      </c>
      <c r="S77" s="310" t="s">
        <v>6837</v>
      </c>
      <c r="T77" s="310" t="s">
        <v>6837</v>
      </c>
      <c r="U77" s="322">
        <v>44741</v>
      </c>
      <c r="V77" s="317" t="s">
        <v>3191</v>
      </c>
      <c r="W77" s="317">
        <v>1</v>
      </c>
      <c r="X77" s="335" t="s">
        <v>4999</v>
      </c>
      <c r="Y77" s="322">
        <v>44741</v>
      </c>
      <c r="Z77" s="312" t="s">
        <v>6898</v>
      </c>
      <c r="AA77" s="312" t="s">
        <v>6898</v>
      </c>
      <c r="AB77" s="313">
        <v>44741</v>
      </c>
      <c r="AC77" s="314" t="s">
        <v>4999</v>
      </c>
    </row>
    <row r="78" spans="1:29" ht="13.7" customHeight="1" thickBot="1" x14ac:dyDescent="0.3">
      <c r="A78" s="306" t="str">
        <f t="shared" si="3"/>
        <v>OK</v>
      </c>
      <c r="B78" s="307" t="str">
        <f t="shared" si="4"/>
        <v>OK</v>
      </c>
      <c r="C78" s="308" t="str">
        <f>IF(OR(ISBLANK(AA78),ISBLANK(AB78),ISBLANK(#REF!))=TRUE,"P","OK")</f>
        <v>OK</v>
      </c>
      <c r="D78" s="28">
        <v>0</v>
      </c>
      <c r="E78" s="49" t="s">
        <v>7107</v>
      </c>
      <c r="F78" s="1" t="s">
        <v>1680</v>
      </c>
      <c r="G78" s="49">
        <v>181202</v>
      </c>
      <c r="H78" s="49" t="s">
        <v>7108</v>
      </c>
      <c r="I78" s="1" t="s">
        <v>6820</v>
      </c>
      <c r="J78" s="1" t="s">
        <v>6829</v>
      </c>
      <c r="K78" s="1" t="s">
        <v>6277</v>
      </c>
      <c r="L78" s="1" t="s">
        <v>7109</v>
      </c>
      <c r="M78" s="1" t="s">
        <v>7110</v>
      </c>
      <c r="N78" s="316" t="s">
        <v>5683</v>
      </c>
      <c r="O78" s="316" t="s">
        <v>5683</v>
      </c>
      <c r="P78" s="316" t="s">
        <v>5683</v>
      </c>
      <c r="Q78" s="316" t="s">
        <v>5683</v>
      </c>
      <c r="R78" s="316" t="s">
        <v>5683</v>
      </c>
      <c r="S78" s="310" t="s">
        <v>6837</v>
      </c>
      <c r="T78" s="310" t="s">
        <v>6837</v>
      </c>
      <c r="U78" s="322">
        <v>44739</v>
      </c>
      <c r="V78" s="317" t="s">
        <v>7111</v>
      </c>
      <c r="W78" s="317">
        <v>2</v>
      </c>
      <c r="X78" s="335" t="s">
        <v>4999</v>
      </c>
      <c r="Y78" s="322">
        <v>44739</v>
      </c>
      <c r="Z78" s="343" t="s">
        <v>6898</v>
      </c>
      <c r="AA78" s="312" t="s">
        <v>6898</v>
      </c>
      <c r="AB78" s="313">
        <v>44739</v>
      </c>
      <c r="AC78" s="314" t="s">
        <v>4999</v>
      </c>
    </row>
    <row r="79" spans="1:29" ht="13.7" customHeight="1" thickBot="1" x14ac:dyDescent="0.3">
      <c r="A79" s="306" t="str">
        <f t="shared" ref="A79:A111" si="5">IF(OR(ISBLANK(D79),ISBLANK(E79),ISBLANK(F79),ISBLANK(G79),ISBLANK(H79),ISBLANK(I79),ISBLANK(J79),ISBLANK(K79),ISBLANK(L79),ISBLANK(M79),ISBLANK(N79),ISBLANK(O79),ISBLANK(P79),ISBLANK(Q79),ISBLANK(R79))=TRUE,"P","OK")</f>
        <v>OK</v>
      </c>
      <c r="B79" s="307" t="str">
        <f t="shared" si="4"/>
        <v>OK</v>
      </c>
      <c r="C79" s="308" t="str">
        <f>IF(OR(ISBLANK(AA79),ISBLANK(AB79),ISBLANK(#REF!))=TRUE,"P","OK")</f>
        <v>OK</v>
      </c>
      <c r="D79" s="28">
        <v>0</v>
      </c>
      <c r="E79" s="49" t="s">
        <v>7112</v>
      </c>
      <c r="F79" s="1" t="s">
        <v>1680</v>
      </c>
      <c r="G79" s="49">
        <v>181202</v>
      </c>
      <c r="H79" s="49" t="s">
        <v>7113</v>
      </c>
      <c r="I79" s="1" t="s">
        <v>6820</v>
      </c>
      <c r="J79" s="1" t="s">
        <v>6829</v>
      </c>
      <c r="K79" s="49" t="s">
        <v>2622</v>
      </c>
      <c r="L79" s="49" t="s">
        <v>7114</v>
      </c>
      <c r="M79" s="49" t="s">
        <v>7115</v>
      </c>
      <c r="N79" s="316">
        <v>44739</v>
      </c>
      <c r="O79" s="316" t="s">
        <v>264</v>
      </c>
      <c r="P79" s="316">
        <v>44739</v>
      </c>
      <c r="Q79" s="316">
        <v>44739</v>
      </c>
      <c r="R79" s="316">
        <v>44739</v>
      </c>
      <c r="S79" s="334" t="s">
        <v>28</v>
      </c>
      <c r="T79" s="334" t="s">
        <v>28</v>
      </c>
      <c r="U79" s="322">
        <v>44873</v>
      </c>
      <c r="V79" s="317" t="s">
        <v>7116</v>
      </c>
      <c r="W79" s="317">
        <v>1</v>
      </c>
      <c r="X79" s="317" t="s">
        <v>4999</v>
      </c>
      <c r="Y79" s="322">
        <v>44874</v>
      </c>
      <c r="Z79" s="343" t="s">
        <v>6825</v>
      </c>
      <c r="AA79" s="313">
        <v>44874</v>
      </c>
      <c r="AB79" s="313">
        <v>44874</v>
      </c>
      <c r="AC79" s="314" t="s">
        <v>4999</v>
      </c>
    </row>
    <row r="80" spans="1:29" ht="13.7" customHeight="1" thickBot="1" x14ac:dyDescent="0.3">
      <c r="A80" s="306" t="str">
        <f t="shared" si="5"/>
        <v>OK</v>
      </c>
      <c r="B80" s="307" t="str">
        <f t="shared" si="4"/>
        <v>OK</v>
      </c>
      <c r="C80" s="308" t="str">
        <f>IF(OR(ISBLANK(AA80),ISBLANK(AB80),ISBLANK(#REF!))=TRUE,"P","OK")</f>
        <v>OK</v>
      </c>
      <c r="D80" s="28">
        <v>0</v>
      </c>
      <c r="E80" s="49" t="s">
        <v>7117</v>
      </c>
      <c r="F80" s="1" t="s">
        <v>1680</v>
      </c>
      <c r="G80" s="49">
        <v>181202</v>
      </c>
      <c r="H80" s="49" t="s">
        <v>7118</v>
      </c>
      <c r="I80" s="49" t="s">
        <v>6820</v>
      </c>
      <c r="J80" s="49" t="s">
        <v>6829</v>
      </c>
      <c r="K80" s="49" t="s">
        <v>7081</v>
      </c>
      <c r="L80" s="49" t="s">
        <v>7094</v>
      </c>
      <c r="M80" s="49" t="s">
        <v>143</v>
      </c>
      <c r="N80" s="316" t="s">
        <v>5683</v>
      </c>
      <c r="O80" s="316" t="s">
        <v>5683</v>
      </c>
      <c r="P80" s="316" t="s">
        <v>5683</v>
      </c>
      <c r="Q80" s="316" t="s">
        <v>5683</v>
      </c>
      <c r="R80" s="316" t="s">
        <v>5683</v>
      </c>
      <c r="S80" s="310" t="s">
        <v>6837</v>
      </c>
      <c r="T80" s="310" t="s">
        <v>6837</v>
      </c>
      <c r="U80" s="322">
        <v>44701</v>
      </c>
      <c r="V80" s="317" t="s">
        <v>3384</v>
      </c>
      <c r="W80" s="317">
        <v>1</v>
      </c>
      <c r="X80" s="317" t="s">
        <v>4999</v>
      </c>
      <c r="Y80" s="287" t="s">
        <v>5683</v>
      </c>
      <c r="Z80" s="74" t="s">
        <v>6825</v>
      </c>
      <c r="AA80" s="313">
        <v>44701</v>
      </c>
      <c r="AB80" s="313">
        <v>44701</v>
      </c>
      <c r="AC80" s="314" t="s">
        <v>4999</v>
      </c>
    </row>
    <row r="81" spans="1:29" ht="13.5" thickBot="1" x14ac:dyDescent="0.3">
      <c r="A81" s="306" t="str">
        <f t="shared" si="5"/>
        <v>OK</v>
      </c>
      <c r="B81" s="307" t="str">
        <f t="shared" si="4"/>
        <v>OK</v>
      </c>
      <c r="C81" s="308" t="str">
        <f>IF(OR(ISBLANK(AA81),ISBLANK(AB81),ISBLANK(#REF!))=TRUE,"P","OK")</f>
        <v>OK</v>
      </c>
      <c r="D81" s="28">
        <v>0</v>
      </c>
      <c r="E81" s="49" t="s">
        <v>7119</v>
      </c>
      <c r="F81" s="1" t="s">
        <v>1680</v>
      </c>
      <c r="G81" s="49">
        <v>181202</v>
      </c>
      <c r="H81" s="49" t="s">
        <v>7120</v>
      </c>
      <c r="I81" s="49" t="s">
        <v>6820</v>
      </c>
      <c r="J81" s="49" t="s">
        <v>6829</v>
      </c>
      <c r="K81" s="49" t="s">
        <v>5532</v>
      </c>
      <c r="L81" s="49" t="s">
        <v>7121</v>
      </c>
      <c r="M81" s="49" t="s">
        <v>7122</v>
      </c>
      <c r="N81" s="316">
        <v>44188</v>
      </c>
      <c r="O81" s="316" t="s">
        <v>5683</v>
      </c>
      <c r="P81" s="316" t="s">
        <v>5683</v>
      </c>
      <c r="Q81" s="316">
        <v>44188</v>
      </c>
      <c r="R81" s="316">
        <v>44748</v>
      </c>
      <c r="S81" s="310" t="s">
        <v>28</v>
      </c>
      <c r="T81" s="310" t="s">
        <v>6879</v>
      </c>
      <c r="U81" s="322">
        <v>44750</v>
      </c>
      <c r="V81" s="317" t="s">
        <v>5515</v>
      </c>
      <c r="W81" s="317">
        <v>1</v>
      </c>
      <c r="X81" s="317" t="s">
        <v>6898</v>
      </c>
      <c r="Y81" s="317" t="s">
        <v>6898</v>
      </c>
      <c r="Z81" s="343" t="s">
        <v>6898</v>
      </c>
      <c r="AA81" s="312" t="s">
        <v>6898</v>
      </c>
      <c r="AB81" s="313">
        <v>44797</v>
      </c>
      <c r="AC81" s="314" t="s">
        <v>4999</v>
      </c>
    </row>
    <row r="82" spans="1:29" ht="13.7" customHeight="1" thickBot="1" x14ac:dyDescent="0.3">
      <c r="A82" s="306" t="str">
        <f t="shared" si="5"/>
        <v>P</v>
      </c>
      <c r="B82" s="307" t="str">
        <f t="shared" si="4"/>
        <v>P</v>
      </c>
      <c r="C82" s="308" t="str">
        <f>IF(OR(ISBLANK(AA82),ISBLANK(AB82),ISBLANK(#REF!))=TRUE,"P","OK")</f>
        <v>P</v>
      </c>
      <c r="D82" s="28">
        <v>0</v>
      </c>
      <c r="E82" s="49" t="s">
        <v>7123</v>
      </c>
      <c r="F82" s="1" t="s">
        <v>1680</v>
      </c>
      <c r="G82" s="49"/>
      <c r="H82" s="49"/>
      <c r="I82" s="49" t="s">
        <v>6820</v>
      </c>
      <c r="J82" s="49" t="s">
        <v>6829</v>
      </c>
      <c r="K82" s="49"/>
      <c r="L82" s="49"/>
      <c r="M82" s="49"/>
      <c r="N82" s="316"/>
      <c r="O82" s="316"/>
      <c r="P82" s="316"/>
      <c r="Q82" s="316"/>
      <c r="R82" s="316"/>
      <c r="S82" s="334"/>
      <c r="T82" s="334"/>
      <c r="U82" s="317"/>
      <c r="V82" s="317"/>
      <c r="W82" s="317"/>
      <c r="X82" s="317"/>
      <c r="Y82" s="317"/>
      <c r="Z82" s="343"/>
      <c r="AA82" s="312"/>
      <c r="AB82" s="312"/>
      <c r="AC82" s="314"/>
    </row>
    <row r="83" spans="1:29" ht="13.7" customHeight="1" thickBot="1" x14ac:dyDescent="0.3">
      <c r="A83" s="306" t="str">
        <f t="shared" si="5"/>
        <v>P</v>
      </c>
      <c r="B83" s="307" t="str">
        <f t="shared" si="4"/>
        <v>P</v>
      </c>
      <c r="C83" s="308" t="str">
        <f>IF(OR(ISBLANK(AA83),ISBLANK(AB83),ISBLANK(#REF!))=TRUE,"P","OK")</f>
        <v>P</v>
      </c>
      <c r="D83" s="28">
        <v>0</v>
      </c>
      <c r="E83" s="49" t="s">
        <v>7124</v>
      </c>
      <c r="F83" s="1" t="s">
        <v>1680</v>
      </c>
      <c r="G83" s="49"/>
      <c r="H83" s="49"/>
      <c r="I83" s="49" t="s">
        <v>6820</v>
      </c>
      <c r="J83" s="49" t="s">
        <v>4998</v>
      </c>
      <c r="K83" s="49"/>
      <c r="L83" s="49"/>
      <c r="M83" s="49"/>
      <c r="N83" s="316"/>
      <c r="O83" s="316"/>
      <c r="P83" s="316"/>
      <c r="Q83" s="316"/>
      <c r="R83" s="316"/>
      <c r="S83" s="334"/>
      <c r="T83" s="334"/>
      <c r="U83" s="317"/>
      <c r="V83" s="317"/>
      <c r="W83" s="317"/>
      <c r="X83" s="317"/>
      <c r="Y83" s="317"/>
      <c r="Z83" s="343"/>
      <c r="AA83" s="312"/>
      <c r="AB83" s="312"/>
      <c r="AC83" s="314"/>
    </row>
    <row r="84" spans="1:29" ht="13.5" thickBot="1" x14ac:dyDescent="0.3">
      <c r="A84" s="306" t="str">
        <f t="shared" si="5"/>
        <v>OK</v>
      </c>
      <c r="B84" s="307" t="str">
        <f t="shared" si="4"/>
        <v>OK</v>
      </c>
      <c r="C84" s="308" t="str">
        <f>IF(OR(ISBLANK(AA84),ISBLANK(AB84),ISBLANK(#REF!))=TRUE,"P","OK")</f>
        <v>OK</v>
      </c>
      <c r="D84" s="28">
        <v>0</v>
      </c>
      <c r="E84" s="49" t="s">
        <v>7125</v>
      </c>
      <c r="F84" s="1" t="s">
        <v>7126</v>
      </c>
      <c r="G84" s="49">
        <v>181202</v>
      </c>
      <c r="H84" s="49" t="s">
        <v>7127</v>
      </c>
      <c r="I84" s="49" t="s">
        <v>6820</v>
      </c>
      <c r="J84" s="49" t="s">
        <v>4998</v>
      </c>
      <c r="K84" s="49" t="s">
        <v>141</v>
      </c>
      <c r="L84" s="49" t="s">
        <v>7128</v>
      </c>
      <c r="M84" s="49" t="s">
        <v>4050</v>
      </c>
      <c r="N84" s="316">
        <v>44777</v>
      </c>
      <c r="O84" s="316" t="s">
        <v>264</v>
      </c>
      <c r="P84" s="316">
        <v>44777</v>
      </c>
      <c r="Q84" s="316">
        <v>44777</v>
      </c>
      <c r="R84" s="316">
        <v>44777</v>
      </c>
      <c r="S84" s="334" t="s">
        <v>28</v>
      </c>
      <c r="T84" s="334" t="s">
        <v>28</v>
      </c>
      <c r="U84" s="322">
        <v>44841</v>
      </c>
      <c r="V84" s="317" t="s">
        <v>7129</v>
      </c>
      <c r="W84" s="317">
        <v>5</v>
      </c>
      <c r="X84" s="317" t="s">
        <v>4999</v>
      </c>
      <c r="Y84" s="322">
        <v>44841</v>
      </c>
      <c r="Z84" s="343" t="s">
        <v>6898</v>
      </c>
      <c r="AA84" s="312" t="s">
        <v>6898</v>
      </c>
      <c r="AB84" s="313">
        <v>44845</v>
      </c>
      <c r="AC84" s="314" t="s">
        <v>4999</v>
      </c>
    </row>
    <row r="85" spans="1:29" ht="13.7" customHeight="1" thickBot="1" x14ac:dyDescent="0.3">
      <c r="A85" s="306"/>
      <c r="B85" s="307"/>
      <c r="C85" s="308"/>
      <c r="D85" s="28"/>
      <c r="E85" s="49" t="s">
        <v>7130</v>
      </c>
      <c r="F85" s="1" t="s">
        <v>1680</v>
      </c>
      <c r="G85" s="49">
        <v>181202</v>
      </c>
      <c r="H85" s="49" t="s">
        <v>7131</v>
      </c>
      <c r="I85" s="49" t="s">
        <v>6820</v>
      </c>
      <c r="J85" s="49" t="s">
        <v>4998</v>
      </c>
      <c r="K85" s="49" t="s">
        <v>7132</v>
      </c>
      <c r="L85" s="49" t="s">
        <v>7133</v>
      </c>
      <c r="M85" s="49" t="s">
        <v>5550</v>
      </c>
      <c r="N85" s="316">
        <v>44706</v>
      </c>
      <c r="O85" s="316" t="s">
        <v>264</v>
      </c>
      <c r="P85" s="316">
        <v>44706</v>
      </c>
      <c r="Q85" s="316">
        <v>44706</v>
      </c>
      <c r="R85" s="316">
        <v>44706</v>
      </c>
      <c r="S85" s="334" t="s">
        <v>28</v>
      </c>
      <c r="T85" s="334" t="s">
        <v>28</v>
      </c>
      <c r="U85" s="346">
        <v>44831</v>
      </c>
      <c r="V85" s="317" t="s">
        <v>7134</v>
      </c>
      <c r="W85" s="317">
        <v>2</v>
      </c>
      <c r="X85" s="317" t="s">
        <v>4999</v>
      </c>
      <c r="Y85" s="322">
        <v>44839</v>
      </c>
      <c r="Z85" s="343" t="s">
        <v>6898</v>
      </c>
      <c r="AA85" s="312" t="s">
        <v>6898</v>
      </c>
      <c r="AB85" s="313">
        <v>44841</v>
      </c>
      <c r="AC85" s="314" t="s">
        <v>4999</v>
      </c>
    </row>
    <row r="86" spans="1:29" ht="26.25" thickBot="1" x14ac:dyDescent="0.3">
      <c r="A86" s="306" t="str">
        <f t="shared" si="5"/>
        <v>OK</v>
      </c>
      <c r="B86" s="307" t="str">
        <f t="shared" si="4"/>
        <v>OK</v>
      </c>
      <c r="C86" s="308" t="str">
        <f>IF(OR(ISBLANK(AA86),ISBLANK(AB86),ISBLANK(#REF!))=TRUE,"P","OK")</f>
        <v>OK</v>
      </c>
      <c r="D86" s="28">
        <v>0</v>
      </c>
      <c r="E86" s="49" t="s">
        <v>7135</v>
      </c>
      <c r="F86" s="1" t="s">
        <v>1680</v>
      </c>
      <c r="G86" s="49">
        <v>181202</v>
      </c>
      <c r="H86" s="49" t="s">
        <v>7136</v>
      </c>
      <c r="I86" s="49" t="s">
        <v>6820</v>
      </c>
      <c r="J86" s="49" t="s">
        <v>4998</v>
      </c>
      <c r="K86" s="49" t="s">
        <v>7137</v>
      </c>
      <c r="L86" s="49" t="s">
        <v>7138</v>
      </c>
      <c r="M86" s="49" t="s">
        <v>7139</v>
      </c>
      <c r="N86" s="316">
        <v>44755</v>
      </c>
      <c r="O86" s="316" t="s">
        <v>264</v>
      </c>
      <c r="P86" s="316">
        <v>44755</v>
      </c>
      <c r="Q86" s="316">
        <v>44755</v>
      </c>
      <c r="R86" s="316">
        <v>44755</v>
      </c>
      <c r="S86" s="334" t="s">
        <v>28</v>
      </c>
      <c r="T86" s="334" t="s">
        <v>28</v>
      </c>
      <c r="U86" s="338">
        <v>44868</v>
      </c>
      <c r="V86" s="317" t="s">
        <v>4056</v>
      </c>
      <c r="W86" s="317">
        <v>2</v>
      </c>
      <c r="X86" s="317" t="s">
        <v>4999</v>
      </c>
      <c r="Y86" s="322">
        <v>44869</v>
      </c>
      <c r="Z86" s="343" t="s">
        <v>6825</v>
      </c>
      <c r="AA86" s="313">
        <v>44873</v>
      </c>
      <c r="AB86" s="313">
        <v>44873</v>
      </c>
      <c r="AC86" s="314" t="s">
        <v>4999</v>
      </c>
    </row>
    <row r="87" spans="1:29" ht="26.25" customHeight="1" thickBot="1" x14ac:dyDescent="0.3">
      <c r="A87" s="306" t="str">
        <f t="shared" si="5"/>
        <v>OK</v>
      </c>
      <c r="B87" s="307" t="str">
        <f t="shared" si="4"/>
        <v>OK</v>
      </c>
      <c r="C87" s="308" t="str">
        <f>IF(OR(ISBLANK(AA87),ISBLANK(AB87),ISBLANK(#REF!))=TRUE,"P","OK")</f>
        <v>OK</v>
      </c>
      <c r="D87" s="28">
        <v>0</v>
      </c>
      <c r="E87" s="49" t="s">
        <v>7140</v>
      </c>
      <c r="F87" s="49" t="s">
        <v>5525</v>
      </c>
      <c r="G87" s="49">
        <v>181764</v>
      </c>
      <c r="H87" s="49" t="s">
        <v>7141</v>
      </c>
      <c r="I87" s="49" t="s">
        <v>6820</v>
      </c>
      <c r="J87" s="49" t="s">
        <v>6829</v>
      </c>
      <c r="K87" s="49" t="s">
        <v>7142</v>
      </c>
      <c r="L87" s="49" t="s">
        <v>7143</v>
      </c>
      <c r="M87" s="49" t="s">
        <v>5529</v>
      </c>
      <c r="N87" s="316">
        <v>44587</v>
      </c>
      <c r="O87" s="316" t="s">
        <v>264</v>
      </c>
      <c r="P87" s="316">
        <v>44587</v>
      </c>
      <c r="Q87" s="316">
        <v>44588</v>
      </c>
      <c r="R87" s="316">
        <v>44588</v>
      </c>
      <c r="S87" s="310" t="s">
        <v>28</v>
      </c>
      <c r="T87" s="310" t="s">
        <v>7026</v>
      </c>
      <c r="U87" s="311">
        <v>44596</v>
      </c>
      <c r="V87" s="335" t="s">
        <v>7144</v>
      </c>
      <c r="W87" s="335">
        <v>10</v>
      </c>
      <c r="X87" s="335" t="s">
        <v>4999</v>
      </c>
      <c r="Y87" s="337">
        <v>44596</v>
      </c>
      <c r="Z87" s="74" t="s">
        <v>6825</v>
      </c>
      <c r="AA87" s="313">
        <v>44599</v>
      </c>
      <c r="AB87" s="313">
        <v>44599</v>
      </c>
      <c r="AC87" s="314" t="s">
        <v>7145</v>
      </c>
    </row>
    <row r="88" spans="1:29" ht="26.25" customHeight="1" thickBot="1" x14ac:dyDescent="0.3">
      <c r="A88" s="306" t="str">
        <f t="shared" si="5"/>
        <v>OK</v>
      </c>
      <c r="B88" s="307" t="str">
        <f t="shared" si="4"/>
        <v>OK</v>
      </c>
      <c r="C88" s="308" t="str">
        <f>IF(OR(ISBLANK(AA88),ISBLANK(AB88),ISBLANK(#REF!))=TRUE,"P","OK")</f>
        <v>OK</v>
      </c>
      <c r="D88" s="28">
        <v>0</v>
      </c>
      <c r="E88" s="49" t="s">
        <v>7146</v>
      </c>
      <c r="F88" s="49" t="s">
        <v>5525</v>
      </c>
      <c r="G88" s="49">
        <v>181764</v>
      </c>
      <c r="H88" s="49" t="s">
        <v>7147</v>
      </c>
      <c r="I88" s="49" t="s">
        <v>6820</v>
      </c>
      <c r="J88" s="49" t="s">
        <v>6829</v>
      </c>
      <c r="K88" s="49" t="s">
        <v>1928</v>
      </c>
      <c r="L88" s="49" t="s">
        <v>7148</v>
      </c>
      <c r="M88" s="49" t="s">
        <v>5529</v>
      </c>
      <c r="N88" s="316">
        <v>44587</v>
      </c>
      <c r="O88" s="316" t="s">
        <v>264</v>
      </c>
      <c r="P88" s="316">
        <v>44587</v>
      </c>
      <c r="Q88" s="316">
        <v>44588</v>
      </c>
      <c r="R88" s="316">
        <v>44588</v>
      </c>
      <c r="S88" s="310" t="s">
        <v>28</v>
      </c>
      <c r="T88" s="310" t="s">
        <v>7026</v>
      </c>
      <c r="U88" s="337">
        <v>44596</v>
      </c>
      <c r="V88" s="335" t="s">
        <v>7149</v>
      </c>
      <c r="W88" s="335">
        <v>2</v>
      </c>
      <c r="X88" s="335" t="s">
        <v>4999</v>
      </c>
      <c r="Y88" s="337">
        <v>44596</v>
      </c>
      <c r="Z88" s="74" t="s">
        <v>6825</v>
      </c>
      <c r="AA88" s="313">
        <v>44599</v>
      </c>
      <c r="AB88" s="313">
        <v>44599</v>
      </c>
      <c r="AC88" s="314" t="s">
        <v>7145</v>
      </c>
    </row>
    <row r="89" spans="1:29" ht="26.25" customHeight="1" thickBot="1" x14ac:dyDescent="0.3">
      <c r="A89" s="306" t="str">
        <f t="shared" si="5"/>
        <v>OK</v>
      </c>
      <c r="B89" s="307" t="str">
        <f t="shared" si="4"/>
        <v>OK</v>
      </c>
      <c r="C89" s="308" t="str">
        <f>IF(OR(ISBLANK(AA89),ISBLANK(AB89),ISBLANK(#REF!))=TRUE,"P","OK")</f>
        <v>OK</v>
      </c>
      <c r="D89" s="28">
        <v>0</v>
      </c>
      <c r="E89" s="49" t="s">
        <v>7150</v>
      </c>
      <c r="F89" s="49" t="s">
        <v>5525</v>
      </c>
      <c r="G89" s="49">
        <v>181804</v>
      </c>
      <c r="H89" s="49" t="s">
        <v>7151</v>
      </c>
      <c r="I89" s="49" t="s">
        <v>7152</v>
      </c>
      <c r="J89" s="49" t="s">
        <v>6829</v>
      </c>
      <c r="K89" s="49" t="s">
        <v>7153</v>
      </c>
      <c r="L89" s="49" t="s">
        <v>7154</v>
      </c>
      <c r="M89" s="49" t="s">
        <v>7155</v>
      </c>
      <c r="N89" s="316">
        <v>44628</v>
      </c>
      <c r="O89" s="316" t="s">
        <v>5683</v>
      </c>
      <c r="P89" s="316" t="s">
        <v>5683</v>
      </c>
      <c r="Q89" s="316">
        <v>44628</v>
      </c>
      <c r="R89" s="316">
        <v>44628</v>
      </c>
      <c r="S89" s="310" t="s">
        <v>28</v>
      </c>
      <c r="T89" s="310" t="s">
        <v>28</v>
      </c>
      <c r="U89" s="322">
        <v>44634</v>
      </c>
      <c r="V89" s="317" t="s">
        <v>7156</v>
      </c>
      <c r="W89" s="317">
        <v>1</v>
      </c>
      <c r="X89" s="317" t="s">
        <v>4999</v>
      </c>
      <c r="Y89" s="322">
        <v>44634</v>
      </c>
      <c r="Z89" s="74" t="s">
        <v>6825</v>
      </c>
      <c r="AA89" s="313">
        <v>44636</v>
      </c>
      <c r="AB89" s="313">
        <v>44637</v>
      </c>
      <c r="AC89" s="314" t="s">
        <v>7145</v>
      </c>
    </row>
    <row r="90" spans="1:29" ht="26.25" customHeight="1" thickBot="1" x14ac:dyDescent="0.3">
      <c r="A90" s="306" t="str">
        <f t="shared" si="5"/>
        <v>OK</v>
      </c>
      <c r="B90" s="307" t="str">
        <f t="shared" si="4"/>
        <v>OK</v>
      </c>
      <c r="C90" s="308" t="str">
        <f>IF(OR(ISBLANK(AA90),ISBLANK(AB90),ISBLANK(#REF!))=TRUE,"P","OK")</f>
        <v>OK</v>
      </c>
      <c r="D90" s="28">
        <v>0</v>
      </c>
      <c r="E90" s="49" t="s">
        <v>7157</v>
      </c>
      <c r="F90" s="49" t="s">
        <v>5525</v>
      </c>
      <c r="G90" s="49">
        <v>181806</v>
      </c>
      <c r="H90" s="49" t="s">
        <v>7158</v>
      </c>
      <c r="I90" s="49" t="s">
        <v>7152</v>
      </c>
      <c r="J90" s="49" t="s">
        <v>6829</v>
      </c>
      <c r="K90" s="49" t="s">
        <v>7159</v>
      </c>
      <c r="L90" s="49" t="s">
        <v>7160</v>
      </c>
      <c r="M90" s="49" t="s">
        <v>7155</v>
      </c>
      <c r="N90" s="316">
        <v>44628</v>
      </c>
      <c r="O90" s="316" t="s">
        <v>7026</v>
      </c>
      <c r="P90" s="316">
        <v>44628</v>
      </c>
      <c r="Q90" s="316">
        <v>44628</v>
      </c>
      <c r="R90" s="316">
        <v>44628</v>
      </c>
      <c r="S90" s="310" t="s">
        <v>28</v>
      </c>
      <c r="T90" s="310" t="s">
        <v>28</v>
      </c>
      <c r="U90" s="322">
        <v>44634</v>
      </c>
      <c r="V90" s="317" t="s">
        <v>7161</v>
      </c>
      <c r="W90" s="317">
        <v>1</v>
      </c>
      <c r="X90" s="317" t="s">
        <v>4999</v>
      </c>
      <c r="Y90" s="322">
        <v>44635</v>
      </c>
      <c r="Z90" s="74" t="s">
        <v>6825</v>
      </c>
      <c r="AA90" s="313">
        <v>44636</v>
      </c>
      <c r="AB90" s="313">
        <v>44641</v>
      </c>
      <c r="AC90" s="314" t="s">
        <v>7145</v>
      </c>
    </row>
    <row r="91" spans="1:29" ht="26.25" customHeight="1" thickBot="1" x14ac:dyDescent="0.3">
      <c r="A91" s="306" t="str">
        <f t="shared" si="5"/>
        <v>OK</v>
      </c>
      <c r="B91" s="307" t="str">
        <f t="shared" si="4"/>
        <v>OK</v>
      </c>
      <c r="C91" s="308" t="str">
        <f>IF(OR(ISBLANK(AA91),ISBLANK(AB91),ISBLANK(#REF!))=TRUE,"P","OK")</f>
        <v>OK</v>
      </c>
      <c r="D91" s="28">
        <v>0</v>
      </c>
      <c r="E91" s="49" t="s">
        <v>7162</v>
      </c>
      <c r="F91" s="49" t="s">
        <v>5525</v>
      </c>
      <c r="G91" s="49">
        <v>181806</v>
      </c>
      <c r="H91" s="49" t="s">
        <v>7163</v>
      </c>
      <c r="I91" s="49" t="s">
        <v>7152</v>
      </c>
      <c r="J91" s="49" t="s">
        <v>6829</v>
      </c>
      <c r="K91" s="49" t="s">
        <v>7159</v>
      </c>
      <c r="L91" s="49" t="s">
        <v>7164</v>
      </c>
      <c r="M91" s="49" t="s">
        <v>5529</v>
      </c>
      <c r="N91" s="316">
        <v>44628</v>
      </c>
      <c r="O91" s="316" t="s">
        <v>7026</v>
      </c>
      <c r="P91" s="316">
        <v>44628</v>
      </c>
      <c r="Q91" s="316">
        <v>44628</v>
      </c>
      <c r="R91" s="316">
        <v>44628</v>
      </c>
      <c r="S91" s="310" t="s">
        <v>28</v>
      </c>
      <c r="T91" s="310" t="s">
        <v>28</v>
      </c>
      <c r="U91" s="322">
        <v>44631</v>
      </c>
      <c r="V91" s="317" t="s">
        <v>6287</v>
      </c>
      <c r="W91" s="317">
        <v>2</v>
      </c>
      <c r="X91" s="317" t="s">
        <v>4999</v>
      </c>
      <c r="Y91" s="322">
        <v>44635</v>
      </c>
      <c r="Z91" s="74" t="s">
        <v>6825</v>
      </c>
      <c r="AA91" s="313">
        <v>44636</v>
      </c>
      <c r="AB91" s="313">
        <v>44637</v>
      </c>
      <c r="AC91" s="314" t="s">
        <v>7145</v>
      </c>
    </row>
    <row r="92" spans="1:29" ht="26.25" thickBot="1" x14ac:dyDescent="0.3">
      <c r="A92" s="306" t="str">
        <f t="shared" si="5"/>
        <v>OK</v>
      </c>
      <c r="B92" s="307" t="str">
        <f t="shared" si="4"/>
        <v>OK</v>
      </c>
      <c r="C92" s="308" t="str">
        <f>IF(OR(ISBLANK(AA92),ISBLANK(AB92),ISBLANK(#REF!))=TRUE,"P","OK")</f>
        <v>OK</v>
      </c>
      <c r="D92" s="28">
        <v>0</v>
      </c>
      <c r="E92" s="49" t="s">
        <v>7165</v>
      </c>
      <c r="F92" s="49" t="s">
        <v>5525</v>
      </c>
      <c r="G92" s="49">
        <v>181867</v>
      </c>
      <c r="H92" s="49" t="s">
        <v>7166</v>
      </c>
      <c r="I92" s="49" t="s">
        <v>6820</v>
      </c>
      <c r="J92" s="49" t="s">
        <v>6829</v>
      </c>
      <c r="K92" s="49" t="s">
        <v>7167</v>
      </c>
      <c r="L92" s="49" t="s">
        <v>7168</v>
      </c>
      <c r="M92" s="49" t="s">
        <v>7168</v>
      </c>
      <c r="N92" s="316">
        <v>44671</v>
      </c>
      <c r="O92" s="316" t="s">
        <v>264</v>
      </c>
      <c r="P92" s="316">
        <v>44671</v>
      </c>
      <c r="Q92" s="316">
        <v>44671</v>
      </c>
      <c r="R92" s="316">
        <v>44680</v>
      </c>
      <c r="S92" s="310" t="s">
        <v>6837</v>
      </c>
      <c r="T92" s="310" t="s">
        <v>6837</v>
      </c>
      <c r="U92" s="322">
        <v>44667</v>
      </c>
      <c r="V92" s="317" t="s">
        <v>7169</v>
      </c>
      <c r="W92" s="317">
        <v>3</v>
      </c>
      <c r="X92" s="317" t="s">
        <v>4999</v>
      </c>
      <c r="Y92" s="322">
        <v>44668</v>
      </c>
      <c r="Z92" s="74" t="s">
        <v>6825</v>
      </c>
      <c r="AA92" s="313">
        <v>44701</v>
      </c>
      <c r="AB92" s="313">
        <v>44701</v>
      </c>
      <c r="AC92" s="314" t="s">
        <v>7145</v>
      </c>
    </row>
    <row r="93" spans="1:29" ht="26.25" thickBot="1" x14ac:dyDescent="0.3">
      <c r="A93" s="306" t="str">
        <f t="shared" si="5"/>
        <v>OK</v>
      </c>
      <c r="B93" s="307" t="str">
        <f t="shared" si="4"/>
        <v>OK</v>
      </c>
      <c r="C93" s="308" t="str">
        <f>IF(OR(ISBLANK(AA93),ISBLANK(AB93),ISBLANK(#REF!))=TRUE,"P","OK")</f>
        <v>OK</v>
      </c>
      <c r="D93" s="28">
        <v>0</v>
      </c>
      <c r="E93" s="49" t="s">
        <v>5524</v>
      </c>
      <c r="F93" s="49" t="s">
        <v>5525</v>
      </c>
      <c r="G93" s="49">
        <v>181934</v>
      </c>
      <c r="H93" s="49" t="s">
        <v>5526</v>
      </c>
      <c r="I93" s="49" t="s">
        <v>6820</v>
      </c>
      <c r="J93" s="49" t="s">
        <v>4998</v>
      </c>
      <c r="K93" s="49" t="s">
        <v>7170</v>
      </c>
      <c r="L93" s="49" t="s">
        <v>5528</v>
      </c>
      <c r="M93" s="49" t="s">
        <v>5529</v>
      </c>
      <c r="N93" s="316">
        <v>44713</v>
      </c>
      <c r="O93" s="316" t="s">
        <v>264</v>
      </c>
      <c r="P93" s="316">
        <v>44713</v>
      </c>
      <c r="Q93" s="316">
        <v>44713</v>
      </c>
      <c r="R93" s="316">
        <v>44755</v>
      </c>
      <c r="S93" s="334" t="s">
        <v>28</v>
      </c>
      <c r="T93" s="334" t="s">
        <v>28</v>
      </c>
      <c r="U93" s="322">
        <v>44966</v>
      </c>
      <c r="V93" s="317" t="s">
        <v>7171</v>
      </c>
      <c r="W93" s="317">
        <v>2</v>
      </c>
      <c r="X93" s="317" t="s">
        <v>4999</v>
      </c>
      <c r="Y93" s="322">
        <v>44966</v>
      </c>
      <c r="Z93" s="343" t="s">
        <v>6825</v>
      </c>
      <c r="AA93" s="313">
        <v>44967</v>
      </c>
      <c r="AB93" s="313">
        <v>44967</v>
      </c>
      <c r="AC93" s="314" t="s">
        <v>4999</v>
      </c>
    </row>
    <row r="94" spans="1:29" ht="26.25" thickBot="1" x14ac:dyDescent="0.3">
      <c r="A94" s="306" t="str">
        <f t="shared" si="5"/>
        <v>OK</v>
      </c>
      <c r="B94" s="307" t="str">
        <f t="shared" si="4"/>
        <v>OK</v>
      </c>
      <c r="C94" s="308" t="str">
        <f>IF(OR(ISBLANK(AA94),ISBLANK(AB94),ISBLANK(#REF!))=TRUE,"P","OK")</f>
        <v>OK</v>
      </c>
      <c r="D94" s="28">
        <v>0</v>
      </c>
      <c r="E94" s="49" t="s">
        <v>7172</v>
      </c>
      <c r="F94" s="49" t="s">
        <v>5525</v>
      </c>
      <c r="G94" s="49">
        <v>182089</v>
      </c>
      <c r="H94" s="49" t="s">
        <v>7173</v>
      </c>
      <c r="I94" s="49" t="s">
        <v>6820</v>
      </c>
      <c r="J94" s="49" t="s">
        <v>6829</v>
      </c>
      <c r="K94" s="49" t="s">
        <v>7174</v>
      </c>
      <c r="L94" s="49" t="s">
        <v>7175</v>
      </c>
      <c r="M94" s="49" t="s">
        <v>5529</v>
      </c>
      <c r="N94" s="316">
        <v>44755</v>
      </c>
      <c r="O94" s="316" t="s">
        <v>264</v>
      </c>
      <c r="P94" s="316">
        <v>44755</v>
      </c>
      <c r="Q94" s="316">
        <v>44755</v>
      </c>
      <c r="R94" s="316">
        <v>44761</v>
      </c>
      <c r="S94" s="310" t="s">
        <v>28</v>
      </c>
      <c r="T94" s="310" t="s">
        <v>6879</v>
      </c>
      <c r="U94" s="322">
        <v>44763</v>
      </c>
      <c r="V94" s="317" t="s">
        <v>7176</v>
      </c>
      <c r="W94" s="317">
        <v>5</v>
      </c>
      <c r="X94" s="317" t="s">
        <v>4999</v>
      </c>
      <c r="Y94" s="322">
        <v>44764</v>
      </c>
      <c r="Z94" s="343" t="s">
        <v>264</v>
      </c>
      <c r="AA94" s="313">
        <v>44764</v>
      </c>
      <c r="AB94" s="313">
        <v>44764</v>
      </c>
      <c r="AC94" s="314" t="s">
        <v>4999</v>
      </c>
    </row>
    <row r="95" spans="1:29" ht="26.25" thickBot="1" x14ac:dyDescent="0.3">
      <c r="A95" s="306" t="str">
        <f t="shared" si="5"/>
        <v>OK</v>
      </c>
      <c r="B95" s="307" t="str">
        <f t="shared" si="4"/>
        <v>OK</v>
      </c>
      <c r="C95" s="308" t="str">
        <f>IF(OR(ISBLANK(AA95),ISBLANK(AB95),ISBLANK(#REF!))=TRUE,"P","OK")</f>
        <v>OK</v>
      </c>
      <c r="D95" s="28">
        <v>0</v>
      </c>
      <c r="E95" s="49" t="s">
        <v>7177</v>
      </c>
      <c r="F95" s="49" t="s">
        <v>4066</v>
      </c>
      <c r="G95" s="49">
        <v>181880</v>
      </c>
      <c r="H95" s="49" t="s">
        <v>7178</v>
      </c>
      <c r="I95" s="49" t="s">
        <v>6820</v>
      </c>
      <c r="J95" s="49" t="s">
        <v>6829</v>
      </c>
      <c r="K95" s="49" t="s">
        <v>7179</v>
      </c>
      <c r="L95" s="49" t="s">
        <v>7180</v>
      </c>
      <c r="M95" s="49" t="s">
        <v>7181</v>
      </c>
      <c r="N95" s="316">
        <v>44679</v>
      </c>
      <c r="O95" s="316" t="s">
        <v>264</v>
      </c>
      <c r="P95" s="316">
        <v>44679</v>
      </c>
      <c r="Q95" s="316">
        <v>44679</v>
      </c>
      <c r="R95" s="316">
        <v>44680</v>
      </c>
      <c r="S95" s="310" t="s">
        <v>6837</v>
      </c>
      <c r="T95" s="310" t="s">
        <v>6837</v>
      </c>
      <c r="U95" s="322">
        <v>44685</v>
      </c>
      <c r="V95" s="317" t="s">
        <v>7182</v>
      </c>
      <c r="W95" s="317">
        <v>20</v>
      </c>
      <c r="X95" s="317" t="s">
        <v>4999</v>
      </c>
      <c r="Y95" s="322">
        <v>44685</v>
      </c>
      <c r="Z95" s="74" t="s">
        <v>6825</v>
      </c>
      <c r="AA95" s="313">
        <v>44685</v>
      </c>
      <c r="AB95" s="313">
        <v>44685</v>
      </c>
      <c r="AC95" s="314" t="s">
        <v>7145</v>
      </c>
    </row>
    <row r="96" spans="1:29" ht="26.25" thickBot="1" x14ac:dyDescent="0.3">
      <c r="A96" s="306" t="str">
        <f t="shared" si="5"/>
        <v>OK</v>
      </c>
      <c r="B96" s="307" t="str">
        <f t="shared" si="4"/>
        <v>OK</v>
      </c>
      <c r="C96" s="308" t="str">
        <f>IF(OR(ISBLANK(AA96),ISBLANK(AB96),ISBLANK(#REF!))=TRUE,"P","OK")</f>
        <v>OK</v>
      </c>
      <c r="D96" s="28">
        <v>0</v>
      </c>
      <c r="E96" s="49" t="s">
        <v>7183</v>
      </c>
      <c r="F96" s="49" t="s">
        <v>4066</v>
      </c>
      <c r="G96" s="49">
        <v>181895</v>
      </c>
      <c r="H96" s="49" t="s">
        <v>7184</v>
      </c>
      <c r="I96" s="49" t="s">
        <v>6820</v>
      </c>
      <c r="J96" s="49" t="s">
        <v>6829</v>
      </c>
      <c r="K96" s="49" t="s">
        <v>7185</v>
      </c>
      <c r="L96" s="49" t="s">
        <v>7186</v>
      </c>
      <c r="M96" s="49" t="s">
        <v>7187</v>
      </c>
      <c r="N96" s="316" t="s">
        <v>6898</v>
      </c>
      <c r="O96" s="316" t="s">
        <v>264</v>
      </c>
      <c r="P96" s="316">
        <v>44685</v>
      </c>
      <c r="Q96" s="316">
        <v>44690</v>
      </c>
      <c r="R96" s="316" t="s">
        <v>5683</v>
      </c>
      <c r="S96" s="310" t="s">
        <v>6837</v>
      </c>
      <c r="T96" s="310" t="s">
        <v>6837</v>
      </c>
      <c r="U96" s="338">
        <v>44694</v>
      </c>
      <c r="V96" s="317" t="s">
        <v>7188</v>
      </c>
      <c r="W96" s="317">
        <v>1</v>
      </c>
      <c r="X96" s="317" t="s">
        <v>4999</v>
      </c>
      <c r="Y96" s="322">
        <v>44697</v>
      </c>
      <c r="Z96" s="343" t="s">
        <v>6898</v>
      </c>
      <c r="AA96" s="312" t="s">
        <v>6898</v>
      </c>
      <c r="AB96" s="313">
        <v>44699</v>
      </c>
      <c r="AC96" s="314" t="s">
        <v>4999</v>
      </c>
    </row>
    <row r="97" spans="1:29" ht="26.25" thickBot="1" x14ac:dyDescent="0.3">
      <c r="A97" s="306" t="str">
        <f t="shared" si="5"/>
        <v>OK</v>
      </c>
      <c r="B97" s="307" t="str">
        <f t="shared" si="4"/>
        <v>OK</v>
      </c>
      <c r="C97" s="308" t="str">
        <f>IF(OR(ISBLANK(AA97),ISBLANK(AB97),ISBLANK(#REF!))=TRUE,"P","OK")</f>
        <v>OK</v>
      </c>
      <c r="D97" s="28">
        <v>0</v>
      </c>
      <c r="E97" s="49" t="s">
        <v>7189</v>
      </c>
      <c r="F97" s="49" t="s">
        <v>4066</v>
      </c>
      <c r="G97" s="49">
        <v>181895</v>
      </c>
      <c r="H97" s="49" t="s">
        <v>7190</v>
      </c>
      <c r="I97" s="49" t="s">
        <v>6820</v>
      </c>
      <c r="J97" s="49" t="s">
        <v>6829</v>
      </c>
      <c r="K97" s="49" t="s">
        <v>7185</v>
      </c>
      <c r="L97" s="49" t="s">
        <v>7191</v>
      </c>
      <c r="M97" s="49" t="s">
        <v>7187</v>
      </c>
      <c r="N97" s="316" t="s">
        <v>6898</v>
      </c>
      <c r="O97" s="316" t="s">
        <v>6898</v>
      </c>
      <c r="P97" s="316" t="s">
        <v>6898</v>
      </c>
      <c r="Q97" s="316">
        <v>44690</v>
      </c>
      <c r="R97" s="316" t="s">
        <v>5683</v>
      </c>
      <c r="S97" s="310" t="s">
        <v>6837</v>
      </c>
      <c r="T97" s="310" t="s">
        <v>6837</v>
      </c>
      <c r="U97" s="322">
        <v>44694</v>
      </c>
      <c r="V97" s="317" t="s">
        <v>7192</v>
      </c>
      <c r="W97" s="317">
        <v>1</v>
      </c>
      <c r="X97" s="317" t="s">
        <v>4999</v>
      </c>
      <c r="Y97" s="322">
        <v>44697</v>
      </c>
      <c r="Z97" s="343" t="s">
        <v>6898</v>
      </c>
      <c r="AA97" s="312" t="s">
        <v>6898</v>
      </c>
      <c r="AB97" s="313">
        <v>44699</v>
      </c>
      <c r="AC97" s="314" t="s">
        <v>4999</v>
      </c>
    </row>
    <row r="98" spans="1:29" ht="26.25" thickBot="1" x14ac:dyDescent="0.3">
      <c r="A98" s="306" t="str">
        <f t="shared" si="5"/>
        <v>OK</v>
      </c>
      <c r="B98" s="307" t="str">
        <f t="shared" si="4"/>
        <v>OK</v>
      </c>
      <c r="C98" s="308" t="str">
        <f>IF(OR(ISBLANK(AA98),ISBLANK(AB98),ISBLANK(#REF!))=TRUE,"P","OK")</f>
        <v>OK</v>
      </c>
      <c r="D98" s="28">
        <v>0</v>
      </c>
      <c r="E98" s="49" t="s">
        <v>7193</v>
      </c>
      <c r="F98" s="49" t="s">
        <v>4066</v>
      </c>
      <c r="G98" s="49">
        <v>182203</v>
      </c>
      <c r="H98" s="49" t="s">
        <v>7194</v>
      </c>
      <c r="I98" s="49" t="s">
        <v>6820</v>
      </c>
      <c r="J98" s="49" t="s">
        <v>4998</v>
      </c>
      <c r="K98" s="49" t="s">
        <v>7195</v>
      </c>
      <c r="L98" s="49" t="s">
        <v>7196</v>
      </c>
      <c r="M98" s="49" t="s">
        <v>7197</v>
      </c>
      <c r="N98" s="316">
        <v>44803</v>
      </c>
      <c r="O98" s="316" t="s">
        <v>264</v>
      </c>
      <c r="P98" s="316">
        <v>44803</v>
      </c>
      <c r="Q98" s="316">
        <v>44804</v>
      </c>
      <c r="R98" s="316">
        <v>44804</v>
      </c>
      <c r="S98" s="310" t="s">
        <v>28</v>
      </c>
      <c r="T98" s="310" t="s">
        <v>6879</v>
      </c>
      <c r="U98" s="322">
        <v>44805</v>
      </c>
      <c r="V98" s="317" t="s">
        <v>7198</v>
      </c>
      <c r="W98" s="317">
        <v>20</v>
      </c>
      <c r="X98" s="317" t="s">
        <v>4999</v>
      </c>
      <c r="Y98" s="322">
        <v>44806</v>
      </c>
      <c r="Z98" s="343" t="s">
        <v>264</v>
      </c>
      <c r="AA98" s="313">
        <v>44810</v>
      </c>
      <c r="AB98" s="313">
        <v>44810</v>
      </c>
      <c r="AC98" s="314" t="s">
        <v>4999</v>
      </c>
    </row>
    <row r="99" spans="1:29" ht="39" customHeight="1" thickBot="1" x14ac:dyDescent="0.3">
      <c r="A99" s="306" t="str">
        <f t="shared" si="5"/>
        <v>OK</v>
      </c>
      <c r="B99" s="307" t="str">
        <f t="shared" si="4"/>
        <v>OK</v>
      </c>
      <c r="C99" s="308" t="str">
        <f>IF(OR(ISBLANK(AA99),ISBLANK(AB99),ISBLANK(#REF!))=TRUE,"P","OK")</f>
        <v>OK</v>
      </c>
      <c r="D99" s="28">
        <v>0</v>
      </c>
      <c r="E99" s="49" t="s">
        <v>7199</v>
      </c>
      <c r="F99" s="1" t="s">
        <v>7200</v>
      </c>
      <c r="G99" s="1">
        <v>181746</v>
      </c>
      <c r="H99" s="1" t="s">
        <v>7201</v>
      </c>
      <c r="I99" s="1" t="s">
        <v>6820</v>
      </c>
      <c r="J99" s="1" t="s">
        <v>6829</v>
      </c>
      <c r="K99" s="1" t="s">
        <v>6359</v>
      </c>
      <c r="L99" s="1" t="s">
        <v>7202</v>
      </c>
      <c r="M99" s="1" t="s">
        <v>6361</v>
      </c>
      <c r="N99" s="316">
        <v>44566</v>
      </c>
      <c r="O99" s="316" t="s">
        <v>264</v>
      </c>
      <c r="P99" s="316">
        <v>44567</v>
      </c>
      <c r="Q99" s="316">
        <v>44567</v>
      </c>
      <c r="R99" s="316">
        <v>44578</v>
      </c>
      <c r="S99" s="310" t="s">
        <v>6837</v>
      </c>
      <c r="T99" s="310" t="s">
        <v>6837</v>
      </c>
      <c r="U99" s="337">
        <v>44581</v>
      </c>
      <c r="V99" s="335" t="s">
        <v>7203</v>
      </c>
      <c r="W99" s="335">
        <v>20</v>
      </c>
      <c r="X99" s="335" t="s">
        <v>4999</v>
      </c>
      <c r="Y99" s="337">
        <v>44582</v>
      </c>
      <c r="Z99" s="74" t="s">
        <v>6825</v>
      </c>
      <c r="AA99" s="313">
        <v>44581</v>
      </c>
      <c r="AB99" s="313">
        <v>44581</v>
      </c>
      <c r="AC99" s="314" t="s">
        <v>7204</v>
      </c>
    </row>
    <row r="100" spans="1:29" ht="26.25" thickBot="1" x14ac:dyDescent="0.3">
      <c r="A100" s="306" t="str">
        <f t="shared" si="5"/>
        <v>OK</v>
      </c>
      <c r="B100" s="307" t="str">
        <f t="shared" si="4"/>
        <v>OK</v>
      </c>
      <c r="C100" s="308" t="str">
        <f>IF(OR(ISBLANK(AA100),ISBLANK(AB100),ISBLANK(#REF!))=TRUE,"P","OK")</f>
        <v>OK</v>
      </c>
      <c r="D100" s="28">
        <v>0</v>
      </c>
      <c r="E100" s="49" t="s">
        <v>7205</v>
      </c>
      <c r="F100" s="49" t="s">
        <v>7206</v>
      </c>
      <c r="G100" s="49">
        <v>182142</v>
      </c>
      <c r="H100" s="49" t="s">
        <v>7207</v>
      </c>
      <c r="I100" s="49" t="s">
        <v>6820</v>
      </c>
      <c r="J100" s="49" t="s">
        <v>4998</v>
      </c>
      <c r="K100" s="49" t="s">
        <v>7208</v>
      </c>
      <c r="L100" s="49" t="s">
        <v>7209</v>
      </c>
      <c r="M100" s="49" t="s">
        <v>7210</v>
      </c>
      <c r="N100" s="316">
        <v>44777</v>
      </c>
      <c r="O100" s="316" t="s">
        <v>264</v>
      </c>
      <c r="P100" s="316">
        <v>44777</v>
      </c>
      <c r="Q100" s="316">
        <v>44778</v>
      </c>
      <c r="R100" s="316">
        <v>44788</v>
      </c>
      <c r="S100" s="310" t="s">
        <v>28</v>
      </c>
      <c r="T100" s="310" t="s">
        <v>6879</v>
      </c>
      <c r="U100" s="322">
        <v>44795</v>
      </c>
      <c r="V100" s="317" t="s">
        <v>7211</v>
      </c>
      <c r="W100" s="317">
        <v>20</v>
      </c>
      <c r="X100" s="317" t="s">
        <v>4999</v>
      </c>
      <c r="Y100" s="322">
        <v>44797</v>
      </c>
      <c r="Z100" s="343" t="s">
        <v>264</v>
      </c>
      <c r="AA100" s="313">
        <v>44797</v>
      </c>
      <c r="AB100" s="313">
        <v>44797</v>
      </c>
      <c r="AC100" s="314" t="s">
        <v>4999</v>
      </c>
    </row>
    <row r="101" spans="1:29" ht="26.25" thickBot="1" x14ac:dyDescent="0.3">
      <c r="A101" s="306" t="str">
        <f t="shared" si="5"/>
        <v>OK</v>
      </c>
      <c r="B101" s="307" t="str">
        <f t="shared" si="4"/>
        <v>OK</v>
      </c>
      <c r="C101" s="308" t="str">
        <f>IF(OR(ISBLANK(AA101),ISBLANK(AB101),ISBLANK(#REF!))=TRUE,"P","OK")</f>
        <v>OK</v>
      </c>
      <c r="D101" s="28">
        <v>0</v>
      </c>
      <c r="E101" s="49" t="s">
        <v>7212</v>
      </c>
      <c r="F101" s="49" t="s">
        <v>3758</v>
      </c>
      <c r="G101" s="49">
        <v>181776</v>
      </c>
      <c r="H101" s="49" t="s">
        <v>7213</v>
      </c>
      <c r="I101" s="49" t="s">
        <v>6820</v>
      </c>
      <c r="J101" s="49" t="s">
        <v>6829</v>
      </c>
      <c r="K101" s="49" t="s">
        <v>7214</v>
      </c>
      <c r="L101" s="49" t="s">
        <v>7215</v>
      </c>
      <c r="M101" s="49" t="s">
        <v>389</v>
      </c>
      <c r="N101" s="316">
        <v>44455</v>
      </c>
      <c r="O101" s="316" t="s">
        <v>264</v>
      </c>
      <c r="P101" s="316">
        <v>44455</v>
      </c>
      <c r="Q101" s="316">
        <v>44638</v>
      </c>
      <c r="R101" s="316">
        <v>44671</v>
      </c>
      <c r="S101" s="310" t="s">
        <v>6837</v>
      </c>
      <c r="T101" s="310" t="s">
        <v>6837</v>
      </c>
      <c r="U101" s="322">
        <v>44677</v>
      </c>
      <c r="V101" s="317">
        <v>2447377</v>
      </c>
      <c r="W101" s="317">
        <v>2</v>
      </c>
      <c r="X101" s="317" t="s">
        <v>4999</v>
      </c>
      <c r="Y101" s="322">
        <v>44677</v>
      </c>
      <c r="Z101" s="74" t="s">
        <v>6825</v>
      </c>
      <c r="AA101" s="313">
        <v>44678</v>
      </c>
      <c r="AB101" s="313">
        <v>44678</v>
      </c>
      <c r="AC101" s="314" t="s">
        <v>7145</v>
      </c>
    </row>
    <row r="102" spans="1:29" ht="26.25" thickBot="1" x14ac:dyDescent="0.3">
      <c r="A102" s="306" t="str">
        <f t="shared" si="5"/>
        <v>OK</v>
      </c>
      <c r="B102" s="307" t="str">
        <f t="shared" si="4"/>
        <v>OK</v>
      </c>
      <c r="C102" s="308" t="str">
        <f>IF(OR(ISBLANK(AA102),ISBLANK(AB102),ISBLANK(#REF!))=TRUE,"P","OK")</f>
        <v>OK</v>
      </c>
      <c r="D102" s="28">
        <v>0</v>
      </c>
      <c r="E102" s="49" t="s">
        <v>7216</v>
      </c>
      <c r="F102" s="49" t="s">
        <v>3758</v>
      </c>
      <c r="G102" s="49">
        <v>181776</v>
      </c>
      <c r="H102" s="49" t="s">
        <v>7217</v>
      </c>
      <c r="I102" s="49" t="s">
        <v>6820</v>
      </c>
      <c r="J102" s="49" t="s">
        <v>6829</v>
      </c>
      <c r="K102" s="49" t="s">
        <v>7218</v>
      </c>
      <c r="L102" s="49" t="s">
        <v>7219</v>
      </c>
      <c r="M102" s="49" t="s">
        <v>389</v>
      </c>
      <c r="N102" s="316">
        <v>44455</v>
      </c>
      <c r="O102" s="316" t="s">
        <v>264</v>
      </c>
      <c r="P102" s="316">
        <v>44455</v>
      </c>
      <c r="Q102" s="316">
        <v>44638</v>
      </c>
      <c r="R102" s="316">
        <v>44671</v>
      </c>
      <c r="S102" s="310" t="s">
        <v>6837</v>
      </c>
      <c r="T102" s="310" t="s">
        <v>6837</v>
      </c>
      <c r="U102" s="322">
        <v>44677</v>
      </c>
      <c r="V102" s="317" t="s">
        <v>181</v>
      </c>
      <c r="W102" s="317">
        <v>1</v>
      </c>
      <c r="X102" s="317" t="s">
        <v>4999</v>
      </c>
      <c r="Y102" s="322">
        <v>44677</v>
      </c>
      <c r="Z102" s="74" t="s">
        <v>6825</v>
      </c>
      <c r="AA102" s="313">
        <v>44678</v>
      </c>
      <c r="AB102" s="313">
        <v>44678</v>
      </c>
      <c r="AC102" s="314" t="s">
        <v>7145</v>
      </c>
    </row>
    <row r="103" spans="1:29" ht="26.25" thickBot="1" x14ac:dyDescent="0.3">
      <c r="A103" s="306" t="str">
        <f t="shared" si="5"/>
        <v>OK</v>
      </c>
      <c r="B103" s="307" t="str">
        <f t="shared" si="4"/>
        <v>OK</v>
      </c>
      <c r="C103" s="308" t="str">
        <f>IF(OR(ISBLANK(AA103),ISBLANK(AB103),ISBLANK(#REF!))=TRUE,"P","OK")</f>
        <v>OK</v>
      </c>
      <c r="D103" s="28">
        <v>0</v>
      </c>
      <c r="E103" s="49" t="s">
        <v>7220</v>
      </c>
      <c r="F103" s="49" t="s">
        <v>3758</v>
      </c>
      <c r="G103" s="49">
        <v>181776</v>
      </c>
      <c r="H103" s="49" t="s">
        <v>7221</v>
      </c>
      <c r="I103" s="49" t="s">
        <v>6820</v>
      </c>
      <c r="J103" s="49" t="s">
        <v>6829</v>
      </c>
      <c r="K103" s="49" t="s">
        <v>7222</v>
      </c>
      <c r="L103" s="49" t="s">
        <v>7223</v>
      </c>
      <c r="M103" s="49" t="s">
        <v>389</v>
      </c>
      <c r="N103" s="316">
        <v>44455</v>
      </c>
      <c r="O103" s="316" t="s">
        <v>264</v>
      </c>
      <c r="P103" s="316">
        <v>44455</v>
      </c>
      <c r="Q103" s="316">
        <v>44638</v>
      </c>
      <c r="R103" s="316">
        <v>44671</v>
      </c>
      <c r="S103" s="310" t="s">
        <v>6837</v>
      </c>
      <c r="T103" s="310" t="s">
        <v>6837</v>
      </c>
      <c r="U103" s="322">
        <v>44680</v>
      </c>
      <c r="V103" s="317">
        <v>5014669</v>
      </c>
      <c r="W103" s="317">
        <v>2</v>
      </c>
      <c r="X103" s="317" t="s">
        <v>4999</v>
      </c>
      <c r="Y103" s="322">
        <v>44680</v>
      </c>
      <c r="Z103" s="74" t="s">
        <v>6825</v>
      </c>
      <c r="AA103" s="313">
        <v>44683</v>
      </c>
      <c r="AB103" s="313">
        <v>44683</v>
      </c>
      <c r="AC103" s="314" t="s">
        <v>7145</v>
      </c>
    </row>
    <row r="104" spans="1:29" ht="26.25" thickBot="1" x14ac:dyDescent="0.3">
      <c r="A104" s="306" t="str">
        <f t="shared" si="5"/>
        <v>OK</v>
      </c>
      <c r="B104" s="307" t="str">
        <f t="shared" si="4"/>
        <v>OK</v>
      </c>
      <c r="C104" s="308" t="str">
        <f>IF(OR(ISBLANK(AA104),ISBLANK(AB104),ISBLANK(#REF!))=TRUE,"P","OK")</f>
        <v>OK</v>
      </c>
      <c r="D104" s="28">
        <v>0</v>
      </c>
      <c r="E104" s="49" t="s">
        <v>7224</v>
      </c>
      <c r="F104" s="49" t="s">
        <v>3758</v>
      </c>
      <c r="G104" s="49">
        <v>182071</v>
      </c>
      <c r="H104" s="49" t="s">
        <v>7225</v>
      </c>
      <c r="I104" s="49" t="s">
        <v>6820</v>
      </c>
      <c r="J104" s="49" t="s">
        <v>4998</v>
      </c>
      <c r="K104" s="49" t="s">
        <v>7226</v>
      </c>
      <c r="L104" s="49" t="s">
        <v>5561</v>
      </c>
      <c r="M104" s="49" t="s">
        <v>389</v>
      </c>
      <c r="N104" s="316">
        <v>44788</v>
      </c>
      <c r="O104" s="316" t="s">
        <v>264</v>
      </c>
      <c r="P104" s="316">
        <v>44788</v>
      </c>
      <c r="Q104" s="316">
        <v>44789</v>
      </c>
      <c r="R104" s="316">
        <v>44789</v>
      </c>
      <c r="S104" s="310" t="s">
        <v>28</v>
      </c>
      <c r="T104" s="310" t="s">
        <v>6879</v>
      </c>
      <c r="U104" s="322">
        <v>44799</v>
      </c>
      <c r="V104" s="317">
        <v>5014669</v>
      </c>
      <c r="W104" s="317">
        <v>1</v>
      </c>
      <c r="X104" s="317" t="s">
        <v>4999</v>
      </c>
      <c r="Y104" s="322">
        <v>44803</v>
      </c>
      <c r="Z104" s="343" t="s">
        <v>264</v>
      </c>
      <c r="AA104" s="313">
        <v>44804</v>
      </c>
      <c r="AB104" s="313">
        <v>44804</v>
      </c>
      <c r="AC104" s="314" t="s">
        <v>4999</v>
      </c>
    </row>
    <row r="105" spans="1:29" ht="26.25" thickBot="1" x14ac:dyDescent="0.3">
      <c r="A105" s="306" t="str">
        <f t="shared" si="5"/>
        <v>OK</v>
      </c>
      <c r="B105" s="307" t="str">
        <f>IF(OR(ISBLANK(S105),ISBLANK(T105),ISBLANK(U105),ISBLANK(V105),ISBLANK(W105),ISBLANK(X105),ISBLANK(Y105),ISBLANK(Z105))=TRUE,"P","OK")</f>
        <v>OK</v>
      </c>
      <c r="C105" s="308" t="str">
        <f>IF(OR(ISBLANK(AA105),ISBLANK(AB105),ISBLANK(#REF!))=TRUE,"P","OK")</f>
        <v>OK</v>
      </c>
      <c r="D105" s="28">
        <v>0</v>
      </c>
      <c r="E105" s="49" t="s">
        <v>7227</v>
      </c>
      <c r="F105" s="49" t="s">
        <v>3758</v>
      </c>
      <c r="G105" s="49">
        <v>182071</v>
      </c>
      <c r="H105" s="49" t="s">
        <v>7228</v>
      </c>
      <c r="I105" s="49" t="s">
        <v>6820</v>
      </c>
      <c r="J105" s="49" t="s">
        <v>4998</v>
      </c>
      <c r="K105" s="49" t="s">
        <v>7229</v>
      </c>
      <c r="L105" s="49" t="s">
        <v>7230</v>
      </c>
      <c r="M105" s="49" t="s">
        <v>7231</v>
      </c>
      <c r="N105" s="316">
        <v>44788</v>
      </c>
      <c r="O105" s="316" t="s">
        <v>264</v>
      </c>
      <c r="P105" s="316">
        <v>44788</v>
      </c>
      <c r="Q105" s="316">
        <v>44789</v>
      </c>
      <c r="R105" s="316">
        <v>44789</v>
      </c>
      <c r="S105" s="310" t="s">
        <v>28</v>
      </c>
      <c r="T105" s="310" t="s">
        <v>6879</v>
      </c>
      <c r="U105" s="322">
        <v>44816</v>
      </c>
      <c r="V105" s="317" t="s">
        <v>7232</v>
      </c>
      <c r="W105" s="317">
        <v>2</v>
      </c>
      <c r="X105" s="317" t="s">
        <v>4999</v>
      </c>
      <c r="Y105" s="322">
        <v>44816</v>
      </c>
      <c r="Z105" s="343" t="s">
        <v>264</v>
      </c>
      <c r="AA105" s="313">
        <v>44816</v>
      </c>
      <c r="AB105" s="313">
        <v>44816</v>
      </c>
      <c r="AC105" s="314" t="s">
        <v>4999</v>
      </c>
    </row>
    <row r="106" spans="1:29" ht="26.25" thickBot="1" x14ac:dyDescent="0.3">
      <c r="A106" s="306" t="str">
        <f t="shared" si="5"/>
        <v>OK</v>
      </c>
      <c r="B106" s="307" t="str">
        <f>IF(OR(ISBLANK(S106),ISBLANK(T106),ISBLANK(U106),ISBLANK(V106),ISBLANK(W106),ISBLANK(X106),ISBLANK(Y106),ISBLANK(Z106))=TRUE,"P","OK")</f>
        <v>OK</v>
      </c>
      <c r="C106" s="308" t="str">
        <f>IF(OR(ISBLANK(AA106),ISBLANK(AB106),ISBLANK(#REF!))=TRUE,"P","OK")</f>
        <v>OK</v>
      </c>
      <c r="D106" s="28">
        <v>0</v>
      </c>
      <c r="E106" s="49" t="s">
        <v>7233</v>
      </c>
      <c r="F106" s="49" t="s">
        <v>3758</v>
      </c>
      <c r="G106" s="49">
        <v>182071</v>
      </c>
      <c r="H106" s="49" t="s">
        <v>7234</v>
      </c>
      <c r="I106" s="49" t="s">
        <v>6820</v>
      </c>
      <c r="J106" s="49" t="s">
        <v>4998</v>
      </c>
      <c r="K106" s="49" t="s">
        <v>7235</v>
      </c>
      <c r="L106" s="49" t="s">
        <v>7236</v>
      </c>
      <c r="M106" s="49" t="s">
        <v>7231</v>
      </c>
      <c r="N106" s="316">
        <v>44788</v>
      </c>
      <c r="O106" s="316" t="s">
        <v>264</v>
      </c>
      <c r="P106" s="316">
        <v>44788</v>
      </c>
      <c r="Q106" s="316">
        <v>44789</v>
      </c>
      <c r="R106" s="316">
        <v>44789</v>
      </c>
      <c r="S106" s="310" t="s">
        <v>28</v>
      </c>
      <c r="T106" s="310" t="s">
        <v>6879</v>
      </c>
      <c r="U106" s="322">
        <v>44841</v>
      </c>
      <c r="V106" s="317" t="s">
        <v>181</v>
      </c>
      <c r="W106" s="317">
        <v>1</v>
      </c>
      <c r="X106" s="317" t="s">
        <v>4999</v>
      </c>
      <c r="Y106" s="322">
        <v>44841</v>
      </c>
      <c r="Z106" s="343" t="s">
        <v>264</v>
      </c>
      <c r="AA106" s="313">
        <v>44841</v>
      </c>
      <c r="AB106" s="313">
        <v>44841</v>
      </c>
      <c r="AC106" s="314" t="s">
        <v>4999</v>
      </c>
    </row>
    <row r="107" spans="1:29" ht="26.25" thickBot="1" x14ac:dyDescent="0.3">
      <c r="A107" s="306" t="str">
        <f t="shared" si="5"/>
        <v>OK</v>
      </c>
      <c r="B107" s="307" t="str">
        <f t="shared" si="4"/>
        <v>OK</v>
      </c>
      <c r="C107" s="308" t="str">
        <f>IF(OR(ISBLANK(AA107),ISBLANK(AB107),ISBLANK(#REF!))=TRUE,"P","OK")</f>
        <v>OK</v>
      </c>
      <c r="D107" s="28">
        <v>0</v>
      </c>
      <c r="E107" s="49" t="s">
        <v>7237</v>
      </c>
      <c r="F107" s="49" t="s">
        <v>7238</v>
      </c>
      <c r="G107" s="49">
        <v>182154</v>
      </c>
      <c r="H107" s="49" t="s">
        <v>7239</v>
      </c>
      <c r="I107" s="49" t="s">
        <v>6820</v>
      </c>
      <c r="J107" s="49" t="s">
        <v>4998</v>
      </c>
      <c r="K107" s="49" t="s">
        <v>7208</v>
      </c>
      <c r="L107" s="49" t="s">
        <v>7209</v>
      </c>
      <c r="M107" s="49" t="s">
        <v>7210</v>
      </c>
      <c r="N107" s="316">
        <v>44788</v>
      </c>
      <c r="O107" s="316" t="s">
        <v>264</v>
      </c>
      <c r="P107" s="316">
        <v>44788</v>
      </c>
      <c r="Q107" s="316">
        <v>44788</v>
      </c>
      <c r="R107" s="316">
        <v>44788</v>
      </c>
      <c r="S107" s="335" t="s">
        <v>28</v>
      </c>
      <c r="T107" s="335" t="s">
        <v>6879</v>
      </c>
      <c r="U107" s="322">
        <v>44795</v>
      </c>
      <c r="V107" s="317" t="s">
        <v>7211</v>
      </c>
      <c r="W107" s="317">
        <v>20</v>
      </c>
      <c r="X107" s="317" t="s">
        <v>4999</v>
      </c>
      <c r="Y107" s="322">
        <v>44797</v>
      </c>
      <c r="Z107" s="312" t="s">
        <v>264</v>
      </c>
      <c r="AA107" s="313">
        <v>44797</v>
      </c>
      <c r="AB107" s="313">
        <v>44797</v>
      </c>
      <c r="AC107" s="314" t="s">
        <v>4999</v>
      </c>
    </row>
    <row r="108" spans="1:29" ht="39" thickBot="1" x14ac:dyDescent="0.3">
      <c r="A108" s="306" t="str">
        <f t="shared" si="5"/>
        <v>OK</v>
      </c>
      <c r="B108" s="307" t="str">
        <f t="shared" si="4"/>
        <v>OK</v>
      </c>
      <c r="C108" s="308" t="str">
        <f>IF(OR(ISBLANK(AA108),ISBLANK(AB108),ISBLANK(#REF!))=TRUE,"P","OK")</f>
        <v>OK</v>
      </c>
      <c r="D108" s="28">
        <v>0</v>
      </c>
      <c r="E108" s="49" t="s">
        <v>7240</v>
      </c>
      <c r="F108" s="49" t="s">
        <v>7241</v>
      </c>
      <c r="G108" s="49">
        <v>181860</v>
      </c>
      <c r="H108" s="49" t="s">
        <v>7242</v>
      </c>
      <c r="I108" s="49" t="s">
        <v>6820</v>
      </c>
      <c r="J108" s="49" t="s">
        <v>6829</v>
      </c>
      <c r="K108" s="49" t="s">
        <v>2862</v>
      </c>
      <c r="L108" s="49" t="s">
        <v>2863</v>
      </c>
      <c r="M108" s="49" t="s">
        <v>2864</v>
      </c>
      <c r="N108" s="316">
        <v>44634</v>
      </c>
      <c r="O108" s="316" t="s">
        <v>264</v>
      </c>
      <c r="P108" s="316">
        <v>44634</v>
      </c>
      <c r="Q108" s="316">
        <v>44634</v>
      </c>
      <c r="R108" s="316">
        <v>44676</v>
      </c>
      <c r="S108" s="335" t="s">
        <v>6837</v>
      </c>
      <c r="T108" s="335" t="s">
        <v>6837</v>
      </c>
      <c r="U108" s="322">
        <v>44683</v>
      </c>
      <c r="V108" s="317" t="s">
        <v>7243</v>
      </c>
      <c r="W108" s="317">
        <v>1</v>
      </c>
      <c r="X108" s="317" t="s">
        <v>4999</v>
      </c>
      <c r="Y108" s="322">
        <v>44683</v>
      </c>
      <c r="Z108" s="38" t="s">
        <v>6825</v>
      </c>
      <c r="AA108" s="313">
        <v>44683</v>
      </c>
      <c r="AB108" s="313">
        <v>44683</v>
      </c>
      <c r="AC108" s="314" t="s">
        <v>7204</v>
      </c>
    </row>
    <row r="109" spans="1:29" ht="13.5" thickBot="1" x14ac:dyDescent="0.3">
      <c r="A109" s="306" t="str">
        <f t="shared" si="5"/>
        <v>OK</v>
      </c>
      <c r="B109" s="307" t="str">
        <f t="shared" si="4"/>
        <v>OK</v>
      </c>
      <c r="C109" s="308" t="str">
        <f>IF(OR(ISBLANK(AA109),ISBLANK(AB109),ISBLANK(#REF!))=TRUE,"P","OK")</f>
        <v>OK</v>
      </c>
      <c r="D109" s="28">
        <v>0</v>
      </c>
      <c r="E109" s="49" t="s">
        <v>7244</v>
      </c>
      <c r="F109" s="49" t="s">
        <v>7245</v>
      </c>
      <c r="G109" s="49">
        <v>181906</v>
      </c>
      <c r="H109" s="49" t="s">
        <v>7246</v>
      </c>
      <c r="I109" s="49" t="s">
        <v>6820</v>
      </c>
      <c r="J109" s="49" t="s">
        <v>6829</v>
      </c>
      <c r="K109" s="49" t="s">
        <v>7247</v>
      </c>
      <c r="L109" s="49" t="s">
        <v>7248</v>
      </c>
      <c r="M109" s="49" t="s">
        <v>7249</v>
      </c>
      <c r="N109" s="316">
        <v>44694</v>
      </c>
      <c r="O109" s="316" t="s">
        <v>264</v>
      </c>
      <c r="P109" s="316">
        <v>44694</v>
      </c>
      <c r="Q109" s="316">
        <v>44699</v>
      </c>
      <c r="R109" s="316">
        <v>44708</v>
      </c>
      <c r="S109" s="310" t="s">
        <v>28</v>
      </c>
      <c r="T109" s="310" t="s">
        <v>6879</v>
      </c>
      <c r="U109" s="322">
        <v>44768</v>
      </c>
      <c r="V109" s="317" t="s">
        <v>4215</v>
      </c>
      <c r="W109" s="317">
        <v>20</v>
      </c>
      <c r="X109" s="334" t="s">
        <v>4999</v>
      </c>
      <c r="Y109" s="322">
        <v>44776</v>
      </c>
      <c r="Z109" s="312" t="s">
        <v>264</v>
      </c>
      <c r="AA109" s="313">
        <v>44776</v>
      </c>
      <c r="AB109" s="313">
        <v>44776</v>
      </c>
      <c r="AC109" s="314" t="s">
        <v>4999</v>
      </c>
    </row>
    <row r="110" spans="1:29" ht="26.25" thickBot="1" x14ac:dyDescent="0.3">
      <c r="A110" s="306" t="str">
        <f t="shared" si="5"/>
        <v>OK</v>
      </c>
      <c r="B110" s="307" t="str">
        <f t="shared" si="4"/>
        <v>OK</v>
      </c>
      <c r="C110" s="308" t="str">
        <f>IF(OR(ISBLANK(AA110),ISBLANK(AB110),ISBLANK(#REF!))=TRUE,"P","OK")</f>
        <v>OK</v>
      </c>
      <c r="D110" s="28">
        <v>0</v>
      </c>
      <c r="E110" s="49" t="s">
        <v>7250</v>
      </c>
      <c r="F110" s="49" t="s">
        <v>5490</v>
      </c>
      <c r="G110" s="49">
        <v>181936</v>
      </c>
      <c r="H110" s="49" t="s">
        <v>7251</v>
      </c>
      <c r="I110" s="49" t="s">
        <v>6820</v>
      </c>
      <c r="J110" s="49" t="s">
        <v>6829</v>
      </c>
      <c r="K110" s="49" t="s">
        <v>7252</v>
      </c>
      <c r="L110" s="49" t="s">
        <v>6330</v>
      </c>
      <c r="M110" s="49" t="s">
        <v>7253</v>
      </c>
      <c r="N110" s="316">
        <v>44714</v>
      </c>
      <c r="O110" s="316" t="s">
        <v>5683</v>
      </c>
      <c r="P110" s="316" t="s">
        <v>5683</v>
      </c>
      <c r="Q110" s="316">
        <v>44714</v>
      </c>
      <c r="R110" s="316" t="s">
        <v>5683</v>
      </c>
      <c r="S110" s="310" t="s">
        <v>6837</v>
      </c>
      <c r="T110" s="310" t="s">
        <v>6837</v>
      </c>
      <c r="U110" s="322">
        <v>44718</v>
      </c>
      <c r="V110" s="317" t="s">
        <v>1865</v>
      </c>
      <c r="W110" s="317">
        <v>1</v>
      </c>
      <c r="X110" s="317" t="s">
        <v>4999</v>
      </c>
      <c r="Y110" s="322">
        <v>44718</v>
      </c>
      <c r="Z110" s="74" t="s">
        <v>6825</v>
      </c>
      <c r="AA110" s="313">
        <v>44718</v>
      </c>
      <c r="AB110" s="313">
        <v>44718</v>
      </c>
      <c r="AC110" s="314" t="s">
        <v>4999</v>
      </c>
    </row>
    <row r="111" spans="1:29" ht="26.25" thickBot="1" x14ac:dyDescent="0.3">
      <c r="A111" s="306" t="str">
        <f t="shared" si="5"/>
        <v>OK</v>
      </c>
      <c r="B111" s="307" t="str">
        <f t="shared" si="4"/>
        <v>OK</v>
      </c>
      <c r="C111" s="308" t="str">
        <f>IF(OR(ISBLANK(AA111),ISBLANK(AB111),ISBLANK(#REF!))=TRUE,"P","OK")</f>
        <v>OK</v>
      </c>
      <c r="D111" s="28">
        <v>0</v>
      </c>
      <c r="E111" s="49" t="s">
        <v>7254</v>
      </c>
      <c r="F111" s="49" t="s">
        <v>5490</v>
      </c>
      <c r="G111" s="49">
        <v>181953</v>
      </c>
      <c r="H111" s="49" t="s">
        <v>7255</v>
      </c>
      <c r="I111" s="49" t="s">
        <v>6820</v>
      </c>
      <c r="J111" s="49" t="s">
        <v>6829</v>
      </c>
      <c r="K111" s="49" t="s">
        <v>7256</v>
      </c>
      <c r="L111" s="49" t="s">
        <v>7257</v>
      </c>
      <c r="M111" s="49" t="s">
        <v>7258</v>
      </c>
      <c r="N111" s="316">
        <v>44726</v>
      </c>
      <c r="O111" s="316" t="s">
        <v>264</v>
      </c>
      <c r="P111" s="316">
        <v>44726</v>
      </c>
      <c r="Q111" s="316">
        <v>44727</v>
      </c>
      <c r="R111" s="316" t="s">
        <v>6898</v>
      </c>
      <c r="S111" s="334" t="s">
        <v>6898</v>
      </c>
      <c r="T111" s="334" t="s">
        <v>6898</v>
      </c>
      <c r="U111" s="317" t="s">
        <v>6898</v>
      </c>
      <c r="V111" s="317" t="s">
        <v>6898</v>
      </c>
      <c r="W111" s="317">
        <v>1</v>
      </c>
      <c r="X111" s="317" t="s">
        <v>6898</v>
      </c>
      <c r="Y111" s="322">
        <v>44736</v>
      </c>
      <c r="Z111" s="38" t="s">
        <v>6825</v>
      </c>
      <c r="AA111" s="313">
        <v>44736</v>
      </c>
      <c r="AB111" s="313">
        <v>44736</v>
      </c>
      <c r="AC111" s="314" t="s">
        <v>6898</v>
      </c>
    </row>
    <row r="112" spans="1:29" ht="26.25" thickBot="1" x14ac:dyDescent="0.3">
      <c r="A112" s="306" t="str">
        <f t="shared" ref="A112:A121" si="6">IF(OR(ISBLANK(D112),ISBLANK(E112),ISBLANK(F112),ISBLANK(G112),ISBLANK(H112),ISBLANK(I112),ISBLANK(J112),ISBLANK(K112),ISBLANK(L112),ISBLANK(M112),ISBLANK(N112),ISBLANK(O112),ISBLANK(P112),ISBLANK(Q112),ISBLANK(R112))=TRUE,"P","OK")</f>
        <v>OK</v>
      </c>
      <c r="B112" s="307" t="str">
        <f t="shared" si="4"/>
        <v>OK</v>
      </c>
      <c r="C112" s="308" t="str">
        <f>IF(OR(ISBLANK(AA112),ISBLANK(AB112),ISBLANK(#REF!))=TRUE,"P","OK")</f>
        <v>OK</v>
      </c>
      <c r="D112" s="28">
        <v>0</v>
      </c>
      <c r="E112" s="49" t="s">
        <v>7259</v>
      </c>
      <c r="F112" s="49" t="s">
        <v>5490</v>
      </c>
      <c r="G112" s="49">
        <v>182130</v>
      </c>
      <c r="H112" s="49" t="s">
        <v>7260</v>
      </c>
      <c r="I112" s="49" t="s">
        <v>6820</v>
      </c>
      <c r="J112" s="49" t="s">
        <v>4998</v>
      </c>
      <c r="K112" s="49" t="s">
        <v>7261</v>
      </c>
      <c r="L112" s="49" t="s">
        <v>7262</v>
      </c>
      <c r="M112" s="49" t="s">
        <v>7263</v>
      </c>
      <c r="N112" s="316">
        <v>44774</v>
      </c>
      <c r="O112" s="316" t="s">
        <v>264</v>
      </c>
      <c r="P112" s="316">
        <v>44774</v>
      </c>
      <c r="Q112" s="316">
        <v>44775</v>
      </c>
      <c r="R112" s="316">
        <v>44778</v>
      </c>
      <c r="S112" s="310" t="s">
        <v>28</v>
      </c>
      <c r="T112" s="310" t="s">
        <v>6879</v>
      </c>
      <c r="U112" s="322">
        <v>44789</v>
      </c>
      <c r="V112" s="317" t="s">
        <v>3348</v>
      </c>
      <c r="W112" s="317">
        <v>4</v>
      </c>
      <c r="X112" s="317" t="s">
        <v>4999</v>
      </c>
      <c r="Y112" s="322">
        <v>44813</v>
      </c>
      <c r="Z112" s="343" t="s">
        <v>264</v>
      </c>
      <c r="AA112" s="313">
        <v>44817</v>
      </c>
      <c r="AB112" s="313">
        <v>44817</v>
      </c>
      <c r="AC112" s="314" t="s">
        <v>4999</v>
      </c>
    </row>
    <row r="113" spans="1:29" ht="39" customHeight="1" thickBot="1" x14ac:dyDescent="0.3">
      <c r="A113" s="306" t="str">
        <f t="shared" si="6"/>
        <v>OK</v>
      </c>
      <c r="B113" s="307" t="str">
        <f t="shared" si="4"/>
        <v>OK</v>
      </c>
      <c r="C113" s="308" t="str">
        <f>IF(OR(ISBLANK(AA113),ISBLANK(AB113),ISBLANK(#REF!))=TRUE,"P","OK")</f>
        <v>OK</v>
      </c>
      <c r="D113" s="28">
        <v>0</v>
      </c>
      <c r="E113" s="49" t="s">
        <v>7264</v>
      </c>
      <c r="F113" s="49" t="s">
        <v>5490</v>
      </c>
      <c r="G113" s="49">
        <v>182014</v>
      </c>
      <c r="H113" s="49" t="s">
        <v>7265</v>
      </c>
      <c r="I113" s="49" t="s">
        <v>6820</v>
      </c>
      <c r="J113" s="49" t="s">
        <v>4998</v>
      </c>
      <c r="K113" s="49" t="s">
        <v>7266</v>
      </c>
      <c r="L113" s="49" t="s">
        <v>7267</v>
      </c>
      <c r="M113" s="49" t="s">
        <v>7268</v>
      </c>
      <c r="N113" s="316">
        <v>44791</v>
      </c>
      <c r="O113" s="316" t="s">
        <v>264</v>
      </c>
      <c r="P113" s="316">
        <v>44792</v>
      </c>
      <c r="Q113" s="316">
        <v>44792</v>
      </c>
      <c r="R113" s="316">
        <v>44797</v>
      </c>
      <c r="S113" s="310" t="s">
        <v>28</v>
      </c>
      <c r="T113" s="310" t="s">
        <v>6879</v>
      </c>
      <c r="U113" s="322">
        <v>44791</v>
      </c>
      <c r="V113" s="317" t="s">
        <v>7269</v>
      </c>
      <c r="W113" s="317">
        <v>2</v>
      </c>
      <c r="X113" s="317" t="s">
        <v>6898</v>
      </c>
      <c r="Y113" s="317" t="s">
        <v>6898</v>
      </c>
      <c r="Z113" s="343" t="s">
        <v>6898</v>
      </c>
      <c r="AA113" s="312" t="s">
        <v>6898</v>
      </c>
      <c r="AB113" s="313">
        <v>44799</v>
      </c>
      <c r="AC113" s="314" t="s">
        <v>4999</v>
      </c>
    </row>
    <row r="114" spans="1:29" ht="13.5" thickBot="1" x14ac:dyDescent="0.3">
      <c r="A114" s="306" t="str">
        <f t="shared" si="6"/>
        <v>OK</v>
      </c>
      <c r="B114" s="307" t="str">
        <f t="shared" si="4"/>
        <v>OK</v>
      </c>
      <c r="C114" s="308" t="str">
        <f>IF(OR(ISBLANK(AA114),ISBLANK(AB114),ISBLANK(#REF!))=TRUE,"P","OK")</f>
        <v>OK</v>
      </c>
      <c r="D114" s="28">
        <v>0</v>
      </c>
      <c r="E114" s="49" t="s">
        <v>7270</v>
      </c>
      <c r="F114" s="49" t="s">
        <v>2470</v>
      </c>
      <c r="G114" s="49">
        <v>181923</v>
      </c>
      <c r="H114" s="49" t="s">
        <v>7271</v>
      </c>
      <c r="I114" s="49" t="s">
        <v>6820</v>
      </c>
      <c r="J114" s="49" t="s">
        <v>6829</v>
      </c>
      <c r="K114" s="49" t="s">
        <v>7272</v>
      </c>
      <c r="L114" s="49" t="s">
        <v>7273</v>
      </c>
      <c r="M114" s="49" t="s">
        <v>3374</v>
      </c>
      <c r="N114" s="316">
        <v>44704</v>
      </c>
      <c r="O114" s="316" t="s">
        <v>264</v>
      </c>
      <c r="P114" s="316">
        <v>44704</v>
      </c>
      <c r="Q114" s="316">
        <v>44705</v>
      </c>
      <c r="R114" s="316">
        <v>44705</v>
      </c>
      <c r="S114" s="310" t="s">
        <v>6837</v>
      </c>
      <c r="T114" s="310" t="s">
        <v>6837</v>
      </c>
      <c r="U114" s="322">
        <v>44714</v>
      </c>
      <c r="V114" s="317" t="s">
        <v>7274</v>
      </c>
      <c r="W114" s="317">
        <v>10</v>
      </c>
      <c r="X114" s="317" t="s">
        <v>4999</v>
      </c>
      <c r="Y114" s="322">
        <v>44714</v>
      </c>
      <c r="Z114" s="38" t="s">
        <v>6825</v>
      </c>
      <c r="AA114" s="313">
        <v>44718</v>
      </c>
      <c r="AB114" s="313">
        <v>44718</v>
      </c>
      <c r="AC114" s="314" t="s">
        <v>4999</v>
      </c>
    </row>
    <row r="115" spans="1:29" ht="13.7" customHeight="1" thickBot="1" x14ac:dyDescent="0.3">
      <c r="A115" s="306" t="str">
        <f t="shared" si="6"/>
        <v>OK</v>
      </c>
      <c r="B115" s="307" t="str">
        <f t="shared" si="4"/>
        <v>OK</v>
      </c>
      <c r="C115" s="308" t="str">
        <f>IF(OR(ISBLANK(AA115),ISBLANK(AB115),ISBLANK(#REF!))=TRUE,"P","OK")</f>
        <v>OK</v>
      </c>
      <c r="D115" s="28">
        <v>0</v>
      </c>
      <c r="E115" s="49" t="s">
        <v>7275</v>
      </c>
      <c r="F115" s="1" t="s">
        <v>7276</v>
      </c>
      <c r="G115" s="1">
        <v>181729</v>
      </c>
      <c r="H115" s="1" t="s">
        <v>7277</v>
      </c>
      <c r="I115" s="1" t="s">
        <v>6820</v>
      </c>
      <c r="J115" s="1" t="s">
        <v>6829</v>
      </c>
      <c r="K115" s="1" t="s">
        <v>5667</v>
      </c>
      <c r="L115" s="1" t="s">
        <v>7278</v>
      </c>
      <c r="M115" s="1" t="s">
        <v>1902</v>
      </c>
      <c r="N115" s="316">
        <v>44543</v>
      </c>
      <c r="O115" s="316" t="s">
        <v>7067</v>
      </c>
      <c r="P115" s="316">
        <v>44543</v>
      </c>
      <c r="Q115" s="316">
        <v>44543</v>
      </c>
      <c r="R115" s="316">
        <v>44546</v>
      </c>
      <c r="S115" s="310" t="s">
        <v>6837</v>
      </c>
      <c r="T115" s="310" t="s">
        <v>6837</v>
      </c>
      <c r="U115" s="337">
        <v>44564</v>
      </c>
      <c r="V115" s="335" t="s">
        <v>235</v>
      </c>
      <c r="W115" s="335">
        <v>2</v>
      </c>
      <c r="X115" s="335" t="s">
        <v>4999</v>
      </c>
      <c r="Y115" s="337">
        <v>44578</v>
      </c>
      <c r="Z115" s="38" t="s">
        <v>6825</v>
      </c>
      <c r="AA115" s="38">
        <v>44571</v>
      </c>
      <c r="AB115" s="38">
        <v>44571</v>
      </c>
      <c r="AC115" s="314" t="s">
        <v>7145</v>
      </c>
    </row>
    <row r="116" spans="1:29" ht="13.7" customHeight="1" thickBot="1" x14ac:dyDescent="0.3">
      <c r="A116" s="306" t="str">
        <f t="shared" si="6"/>
        <v>OK</v>
      </c>
      <c r="B116" s="307" t="str">
        <f t="shared" si="4"/>
        <v>OK</v>
      </c>
      <c r="C116" s="308" t="str">
        <f>IF(OR(ISBLANK(AA116),ISBLANK(AB116),ISBLANK(#REF!))=TRUE,"P","OK")</f>
        <v>OK</v>
      </c>
      <c r="D116" s="28">
        <v>0</v>
      </c>
      <c r="E116" s="49" t="s">
        <v>7279</v>
      </c>
      <c r="F116" s="1" t="s">
        <v>7276</v>
      </c>
      <c r="G116" s="1">
        <v>181729</v>
      </c>
      <c r="H116" s="1" t="s">
        <v>7280</v>
      </c>
      <c r="I116" s="1" t="s">
        <v>6820</v>
      </c>
      <c r="J116" s="1" t="s">
        <v>6829</v>
      </c>
      <c r="K116" s="1" t="s">
        <v>7281</v>
      </c>
      <c r="L116" s="1" t="s">
        <v>7282</v>
      </c>
      <c r="M116" s="1" t="s">
        <v>7283</v>
      </c>
      <c r="N116" s="316">
        <v>44543</v>
      </c>
      <c r="O116" s="316" t="s">
        <v>7067</v>
      </c>
      <c r="P116" s="316">
        <v>44543</v>
      </c>
      <c r="Q116" s="316">
        <v>44543</v>
      </c>
      <c r="R116" s="316">
        <v>44546</v>
      </c>
      <c r="S116" s="310" t="s">
        <v>6837</v>
      </c>
      <c r="T116" s="310" t="s">
        <v>6837</v>
      </c>
      <c r="U116" s="337">
        <v>44564</v>
      </c>
      <c r="V116" s="335">
        <v>1573266</v>
      </c>
      <c r="W116" s="335">
        <v>2</v>
      </c>
      <c r="X116" s="335" t="s">
        <v>4999</v>
      </c>
      <c r="Y116" s="337">
        <v>44578</v>
      </c>
      <c r="Z116" s="74" t="s">
        <v>6825</v>
      </c>
      <c r="AA116" s="38">
        <v>44571</v>
      </c>
      <c r="AB116" s="38">
        <v>44571</v>
      </c>
      <c r="AC116" s="314" t="s">
        <v>7145</v>
      </c>
    </row>
    <row r="117" spans="1:29" ht="13.7" customHeight="1" thickBot="1" x14ac:dyDescent="0.3">
      <c r="A117" s="306" t="str">
        <f t="shared" si="6"/>
        <v>OK</v>
      </c>
      <c r="B117" s="307" t="str">
        <f t="shared" si="4"/>
        <v>OK</v>
      </c>
      <c r="C117" s="308" t="str">
        <f>IF(OR(ISBLANK(AA117),ISBLANK(AB117),ISBLANK(#REF!))=TRUE,"P","OK")</f>
        <v>OK</v>
      </c>
      <c r="D117" s="28">
        <v>0</v>
      </c>
      <c r="E117" s="49" t="s">
        <v>7284</v>
      </c>
      <c r="F117" s="1" t="s">
        <v>7276</v>
      </c>
      <c r="G117" s="1">
        <v>181729</v>
      </c>
      <c r="H117" s="1" t="s">
        <v>7285</v>
      </c>
      <c r="I117" s="1" t="s">
        <v>6820</v>
      </c>
      <c r="J117" s="1" t="s">
        <v>6829</v>
      </c>
      <c r="K117" s="1" t="s">
        <v>7286</v>
      </c>
      <c r="L117" s="1" t="s">
        <v>7287</v>
      </c>
      <c r="M117" s="1" t="s">
        <v>7288</v>
      </c>
      <c r="N117" s="316">
        <v>44543</v>
      </c>
      <c r="O117" s="316" t="s">
        <v>7067</v>
      </c>
      <c r="P117" s="316">
        <v>44543</v>
      </c>
      <c r="Q117" s="316">
        <v>44543</v>
      </c>
      <c r="R117" s="316">
        <v>44546</v>
      </c>
      <c r="S117" s="310" t="s">
        <v>6837</v>
      </c>
      <c r="T117" s="310" t="s">
        <v>6837</v>
      </c>
      <c r="U117" s="337">
        <v>44564</v>
      </c>
      <c r="V117" s="335" t="s">
        <v>231</v>
      </c>
      <c r="W117" s="335">
        <v>1</v>
      </c>
      <c r="X117" s="335" t="s">
        <v>4999</v>
      </c>
      <c r="Y117" s="337">
        <v>44578</v>
      </c>
      <c r="Z117" s="74" t="s">
        <v>6825</v>
      </c>
      <c r="AA117" s="38">
        <v>44571</v>
      </c>
      <c r="AB117" s="38">
        <v>44571</v>
      </c>
      <c r="AC117" s="314" t="s">
        <v>7145</v>
      </c>
    </row>
    <row r="118" spans="1:29" ht="13.5" thickBot="1" x14ac:dyDescent="0.3">
      <c r="A118" s="306" t="str">
        <f t="shared" si="6"/>
        <v>OK</v>
      </c>
      <c r="B118" s="307" t="str">
        <f t="shared" si="4"/>
        <v>OK</v>
      </c>
      <c r="C118" s="308" t="str">
        <f>IF(OR(ISBLANK(AA118),ISBLANK(AB118),ISBLANK(#REF!))=TRUE,"P","OK")</f>
        <v>OK</v>
      </c>
      <c r="D118" s="28">
        <v>0</v>
      </c>
      <c r="E118" s="49" t="s">
        <v>7289</v>
      </c>
      <c r="F118" s="1" t="s">
        <v>7276</v>
      </c>
      <c r="G118" s="1">
        <v>181739</v>
      </c>
      <c r="H118" s="1" t="s">
        <v>7290</v>
      </c>
      <c r="I118" s="1" t="s">
        <v>6820</v>
      </c>
      <c r="J118" s="1" t="s">
        <v>6829</v>
      </c>
      <c r="K118" s="1" t="s">
        <v>7286</v>
      </c>
      <c r="L118" s="1" t="s">
        <v>7287</v>
      </c>
      <c r="M118" s="1" t="s">
        <v>7288</v>
      </c>
      <c r="N118" s="316">
        <v>44557</v>
      </c>
      <c r="O118" s="316" t="s">
        <v>264</v>
      </c>
      <c r="P118" s="316">
        <v>44557</v>
      </c>
      <c r="Q118" s="316">
        <v>44557</v>
      </c>
      <c r="R118" s="316">
        <v>44572</v>
      </c>
      <c r="S118" s="310" t="s">
        <v>6837</v>
      </c>
      <c r="T118" s="310" t="s">
        <v>6837</v>
      </c>
      <c r="U118" s="337">
        <v>44567</v>
      </c>
      <c r="V118" s="335" t="s">
        <v>231</v>
      </c>
      <c r="W118" s="335">
        <v>5</v>
      </c>
      <c r="X118" s="335" t="s">
        <v>4999</v>
      </c>
      <c r="Y118" s="337">
        <v>44578</v>
      </c>
      <c r="Z118" s="343" t="s">
        <v>6898</v>
      </c>
      <c r="AA118" s="312" t="s">
        <v>6898</v>
      </c>
      <c r="AB118" s="312" t="s">
        <v>6898</v>
      </c>
      <c r="AC118" s="314" t="s">
        <v>6898</v>
      </c>
    </row>
    <row r="119" spans="1:29" ht="13.7" customHeight="1" thickBot="1" x14ac:dyDescent="0.3">
      <c r="A119" s="306" t="str">
        <f t="shared" si="6"/>
        <v>OK</v>
      </c>
      <c r="B119" s="307" t="str">
        <f t="shared" si="4"/>
        <v>OK</v>
      </c>
      <c r="C119" s="308" t="str">
        <f>IF(OR(ISBLANK(AA119),ISBLANK(AB119),ISBLANK(#REF!))=TRUE,"P","OK")</f>
        <v>OK</v>
      </c>
      <c r="D119" s="28">
        <v>0</v>
      </c>
      <c r="E119" s="49" t="s">
        <v>7291</v>
      </c>
      <c r="F119" s="1" t="s">
        <v>7276</v>
      </c>
      <c r="G119" s="49">
        <v>181783</v>
      </c>
      <c r="H119" s="49" t="s">
        <v>7292</v>
      </c>
      <c r="I119" s="1" t="s">
        <v>6820</v>
      </c>
      <c r="J119" s="1" t="s">
        <v>6829</v>
      </c>
      <c r="K119" s="1" t="s">
        <v>5667</v>
      </c>
      <c r="L119" s="1" t="s">
        <v>7278</v>
      </c>
      <c r="M119" s="1" t="s">
        <v>1902</v>
      </c>
      <c r="N119" s="316">
        <v>44603</v>
      </c>
      <c r="O119" s="316" t="s">
        <v>264</v>
      </c>
      <c r="P119" s="316">
        <v>44606</v>
      </c>
      <c r="Q119" s="316">
        <v>44606</v>
      </c>
      <c r="R119" s="316">
        <v>44608</v>
      </c>
      <c r="S119" s="310" t="s">
        <v>6837</v>
      </c>
      <c r="T119" s="310" t="s">
        <v>6837</v>
      </c>
      <c r="U119" s="322">
        <v>44610</v>
      </c>
      <c r="V119" s="317" t="s">
        <v>235</v>
      </c>
      <c r="W119" s="317">
        <v>3</v>
      </c>
      <c r="X119" s="317" t="s">
        <v>4999</v>
      </c>
      <c r="Y119" s="322">
        <v>44614</v>
      </c>
      <c r="Z119" s="74" t="s">
        <v>6825</v>
      </c>
      <c r="AA119" s="313">
        <v>44616</v>
      </c>
      <c r="AB119" s="313">
        <v>44616</v>
      </c>
      <c r="AC119" s="314" t="s">
        <v>7145</v>
      </c>
    </row>
    <row r="120" spans="1:29" ht="26.25" thickBot="1" x14ac:dyDescent="0.3">
      <c r="A120" s="306" t="str">
        <f t="shared" si="6"/>
        <v>OK</v>
      </c>
      <c r="B120" s="307" t="str">
        <f t="shared" si="4"/>
        <v>OK</v>
      </c>
      <c r="C120" s="308" t="str">
        <f>IF(OR(ISBLANK(AA120),ISBLANK(AB120),ISBLANK(#REF!))=TRUE,"P","OK")</f>
        <v>OK</v>
      </c>
      <c r="D120" s="28">
        <v>0</v>
      </c>
      <c r="E120" s="49" t="s">
        <v>7293</v>
      </c>
      <c r="F120" s="1" t="s">
        <v>7276</v>
      </c>
      <c r="G120" s="49">
        <v>181916</v>
      </c>
      <c r="H120" s="49" t="s">
        <v>7294</v>
      </c>
      <c r="I120" s="49" t="s">
        <v>6820</v>
      </c>
      <c r="J120" s="49" t="s">
        <v>6829</v>
      </c>
      <c r="K120" s="49" t="s">
        <v>3027</v>
      </c>
      <c r="L120" s="49" t="s">
        <v>7295</v>
      </c>
      <c r="M120" s="49" t="s">
        <v>7296</v>
      </c>
      <c r="N120" s="316">
        <v>44701</v>
      </c>
      <c r="O120" s="316" t="s">
        <v>5683</v>
      </c>
      <c r="P120" s="316" t="s">
        <v>5683</v>
      </c>
      <c r="Q120" s="316">
        <v>44701</v>
      </c>
      <c r="R120" s="316" t="s">
        <v>5683</v>
      </c>
      <c r="S120" s="310" t="s">
        <v>6837</v>
      </c>
      <c r="T120" s="310" t="s">
        <v>6837</v>
      </c>
      <c r="U120" s="322">
        <v>44705</v>
      </c>
      <c r="V120" s="317" t="s">
        <v>231</v>
      </c>
      <c r="W120" s="317">
        <v>12</v>
      </c>
      <c r="X120" s="317" t="s">
        <v>4999</v>
      </c>
      <c r="Y120" s="322">
        <v>44707</v>
      </c>
      <c r="Z120" s="74" t="s">
        <v>6825</v>
      </c>
      <c r="AA120" s="313">
        <v>44707</v>
      </c>
      <c r="AB120" s="313">
        <v>44707</v>
      </c>
      <c r="AC120" s="314" t="s">
        <v>4999</v>
      </c>
    </row>
    <row r="121" spans="1:29" ht="26.25" thickBot="1" x14ac:dyDescent="0.3">
      <c r="A121" s="306" t="str">
        <f t="shared" si="6"/>
        <v>OK</v>
      </c>
      <c r="B121" s="307" t="str">
        <f t="shared" si="4"/>
        <v>OK</v>
      </c>
      <c r="C121" s="308" t="str">
        <f>IF(OR(ISBLANK(AA121),ISBLANK(AB121),ISBLANK(#REF!))=TRUE,"P","OK")</f>
        <v>OK</v>
      </c>
      <c r="D121" s="28">
        <v>0</v>
      </c>
      <c r="E121" s="49" t="s">
        <v>7297</v>
      </c>
      <c r="F121" s="1" t="s">
        <v>7276</v>
      </c>
      <c r="G121" s="49">
        <v>181916</v>
      </c>
      <c r="H121" s="49" t="s">
        <v>7298</v>
      </c>
      <c r="I121" s="49" t="s">
        <v>6820</v>
      </c>
      <c r="J121" s="49" t="s">
        <v>6829</v>
      </c>
      <c r="K121" s="49" t="s">
        <v>7299</v>
      </c>
      <c r="L121" s="49" t="s">
        <v>7300</v>
      </c>
      <c r="M121" s="49" t="s">
        <v>7296</v>
      </c>
      <c r="N121" s="316">
        <v>44701</v>
      </c>
      <c r="O121" s="316" t="s">
        <v>5683</v>
      </c>
      <c r="P121" s="316" t="s">
        <v>5683</v>
      </c>
      <c r="Q121" s="316">
        <v>44701</v>
      </c>
      <c r="R121" s="316" t="s">
        <v>5683</v>
      </c>
      <c r="S121" s="310" t="s">
        <v>6837</v>
      </c>
      <c r="T121" s="310" t="s">
        <v>6837</v>
      </c>
      <c r="U121" s="322">
        <v>44705</v>
      </c>
      <c r="V121" s="317">
        <v>1573266</v>
      </c>
      <c r="W121" s="317">
        <v>5</v>
      </c>
      <c r="X121" s="317" t="s">
        <v>4999</v>
      </c>
      <c r="Y121" s="322">
        <v>44707</v>
      </c>
      <c r="Z121" s="74" t="s">
        <v>6825</v>
      </c>
      <c r="AA121" s="313">
        <v>44707</v>
      </c>
      <c r="AB121" s="313">
        <v>44707</v>
      </c>
      <c r="AC121" s="314" t="s">
        <v>4999</v>
      </c>
    </row>
    <row r="122" spans="1:29" ht="13.5" thickBot="1" x14ac:dyDescent="0.3">
      <c r="A122" s="306" t="str">
        <f>IF(OR(ISBLANK(D122),ISBLANK(E122),ISBLANK(F122),ISBLANK(G122),ISBLANK(H122),ISBLANK(I122),ISBLANK(J122),ISBLANK(K122),ISBLANK(L122),ISBLANK(M122),ISBLANK(N123),ISBLANK(O122),ISBLANK(P122),ISBLANK(Q122),ISBLANK(R122))=TRUE,"P","OK")</f>
        <v>OK</v>
      </c>
      <c r="B122" s="307" t="str">
        <f t="shared" si="4"/>
        <v>OK</v>
      </c>
      <c r="C122" s="308" t="str">
        <f>IF(OR(ISBLANK(AA122),ISBLANK(AB122),ISBLANK(#REF!))=TRUE,"P","OK")</f>
        <v>OK</v>
      </c>
      <c r="D122" s="28">
        <v>0</v>
      </c>
      <c r="E122" s="49" t="s">
        <v>7301</v>
      </c>
      <c r="F122" s="1" t="s">
        <v>7276</v>
      </c>
      <c r="G122" s="49">
        <v>181916</v>
      </c>
      <c r="H122" s="49" t="s">
        <v>7302</v>
      </c>
      <c r="I122" s="49" t="s">
        <v>6820</v>
      </c>
      <c r="J122" s="49" t="s">
        <v>6829</v>
      </c>
      <c r="K122" s="49" t="s">
        <v>5667</v>
      </c>
      <c r="L122" s="49" t="s">
        <v>7303</v>
      </c>
      <c r="M122" s="49" t="s">
        <v>7296</v>
      </c>
      <c r="N122" s="316">
        <v>44701</v>
      </c>
      <c r="O122" s="316" t="s">
        <v>5683</v>
      </c>
      <c r="P122" s="316" t="s">
        <v>5683</v>
      </c>
      <c r="Q122" s="316">
        <v>44701</v>
      </c>
      <c r="R122" s="316" t="s">
        <v>5683</v>
      </c>
      <c r="S122" s="310" t="s">
        <v>6837</v>
      </c>
      <c r="T122" s="310" t="s">
        <v>6837</v>
      </c>
      <c r="U122" s="322">
        <v>44705</v>
      </c>
      <c r="V122" s="317" t="s">
        <v>7304</v>
      </c>
      <c r="W122" s="317">
        <v>7</v>
      </c>
      <c r="X122" s="317" t="s">
        <v>4999</v>
      </c>
      <c r="Y122" s="322">
        <v>44705</v>
      </c>
      <c r="Z122" s="74" t="s">
        <v>6825</v>
      </c>
      <c r="AA122" s="313">
        <v>44707</v>
      </c>
      <c r="AB122" s="313">
        <v>44707</v>
      </c>
      <c r="AC122" s="314" t="s">
        <v>4999</v>
      </c>
    </row>
    <row r="123" spans="1:29" ht="13.5" thickBot="1" x14ac:dyDescent="0.3">
      <c r="A123" s="306" t="str">
        <f>IF(OR(ISBLANK(D123),ISBLANK(E123),ISBLANK(F123),ISBLANK(G123),ISBLANK(H123),ISBLANK(I123),ISBLANK(J123),ISBLANK(K123),ISBLANK(L123),ISBLANK(M123),ISBLANK(#REF!),ISBLANK(O123),ISBLANK(P123),ISBLANK(Q123),ISBLANK(R123))=TRUE,"P","OK")</f>
        <v>OK</v>
      </c>
      <c r="B123" s="307" t="str">
        <f t="shared" si="4"/>
        <v>OK</v>
      </c>
      <c r="C123" s="308" t="str">
        <f>IF(OR(ISBLANK(AA123),ISBLANK(AB123),ISBLANK(#REF!))=TRUE,"P","OK")</f>
        <v>OK</v>
      </c>
      <c r="D123" s="28">
        <v>0</v>
      </c>
      <c r="E123" s="49" t="s">
        <v>7305</v>
      </c>
      <c r="F123" s="1" t="s">
        <v>7276</v>
      </c>
      <c r="G123" s="49">
        <v>181916</v>
      </c>
      <c r="H123" s="49" t="s">
        <v>7306</v>
      </c>
      <c r="I123" s="49" t="s">
        <v>6820</v>
      </c>
      <c r="J123" s="49" t="s">
        <v>6829</v>
      </c>
      <c r="K123" s="49" t="s">
        <v>7307</v>
      </c>
      <c r="L123" s="49" t="s">
        <v>7308</v>
      </c>
      <c r="M123" s="49" t="s">
        <v>7296</v>
      </c>
      <c r="N123" s="316">
        <v>44701</v>
      </c>
      <c r="O123" s="316" t="s">
        <v>5683</v>
      </c>
      <c r="P123" s="316" t="s">
        <v>5683</v>
      </c>
      <c r="Q123" s="316">
        <v>44701</v>
      </c>
      <c r="R123" s="316" t="s">
        <v>5683</v>
      </c>
      <c r="S123" s="310" t="s">
        <v>6837</v>
      </c>
      <c r="T123" s="310" t="s">
        <v>6837</v>
      </c>
      <c r="U123" s="322">
        <v>44705</v>
      </c>
      <c r="V123" s="317" t="s">
        <v>7309</v>
      </c>
      <c r="W123" s="317">
        <v>2</v>
      </c>
      <c r="X123" s="317" t="s">
        <v>4999</v>
      </c>
      <c r="Y123" s="322">
        <v>44707</v>
      </c>
      <c r="Z123" s="74" t="s">
        <v>6825</v>
      </c>
      <c r="AA123" s="313">
        <v>44707</v>
      </c>
      <c r="AB123" s="313">
        <v>44707</v>
      </c>
      <c r="AC123" s="314" t="s">
        <v>4999</v>
      </c>
    </row>
    <row r="124" spans="1:29" ht="13.5" thickBot="1" x14ac:dyDescent="0.3">
      <c r="A124" s="306" t="str">
        <f>IF(OR(ISBLANK(D124),ISBLANK(E124),ISBLANK(F124),ISBLANK(G124),ISBLANK(H124),ISBLANK(I124),ISBLANK(J124),ISBLANK(K124),ISBLANK(L124),ISBLANK(M124),ISBLANK(N124),ISBLANK(O124),ISBLANK(P124),ISBLANK(Q124),ISBLANK(R124))=TRUE,"P","OK")</f>
        <v>OK</v>
      </c>
      <c r="B124" s="307" t="str">
        <f t="shared" si="4"/>
        <v>OK</v>
      </c>
      <c r="C124" s="308" t="str">
        <f>IF(OR(ISBLANK(AA124),ISBLANK(AB124),ISBLANK(#REF!))=TRUE,"P","OK")</f>
        <v>OK</v>
      </c>
      <c r="D124" s="28">
        <v>0</v>
      </c>
      <c r="E124" s="49" t="s">
        <v>7310</v>
      </c>
      <c r="F124" s="1" t="s">
        <v>7276</v>
      </c>
      <c r="G124" s="49">
        <v>182088</v>
      </c>
      <c r="H124" s="49" t="s">
        <v>7311</v>
      </c>
      <c r="I124" s="49" t="s">
        <v>6820</v>
      </c>
      <c r="J124" s="49" t="s">
        <v>6829</v>
      </c>
      <c r="K124" s="49" t="s">
        <v>2581</v>
      </c>
      <c r="L124" s="1" t="s">
        <v>7312</v>
      </c>
      <c r="M124" s="49" t="s">
        <v>1902</v>
      </c>
      <c r="N124" s="316">
        <v>44754</v>
      </c>
      <c r="O124" s="316" t="s">
        <v>264</v>
      </c>
      <c r="P124" s="316">
        <v>44754</v>
      </c>
      <c r="Q124" s="316">
        <v>44754</v>
      </c>
      <c r="R124" s="316">
        <v>44756</v>
      </c>
      <c r="S124" s="310" t="s">
        <v>28</v>
      </c>
      <c r="T124" s="310" t="s">
        <v>6879</v>
      </c>
      <c r="U124" s="322">
        <v>44757</v>
      </c>
      <c r="V124" s="317" t="s">
        <v>235</v>
      </c>
      <c r="W124" s="317">
        <v>10</v>
      </c>
      <c r="X124" s="317" t="s">
        <v>4999</v>
      </c>
      <c r="Y124" s="322">
        <v>44769</v>
      </c>
      <c r="Z124" s="343" t="s">
        <v>264</v>
      </c>
      <c r="AA124" s="313">
        <v>44776</v>
      </c>
      <c r="AB124" s="313">
        <v>44776</v>
      </c>
      <c r="AC124" s="314" t="s">
        <v>4999</v>
      </c>
    </row>
    <row r="125" spans="1:29" ht="13.5" thickBot="1" x14ac:dyDescent="0.3">
      <c r="A125" s="306" t="str">
        <f>IF(OR(ISBLANK(D125),ISBLANK(E125),ISBLANK(F125),ISBLANK(G125),ISBLANK(H125),ISBLANK(I125),ISBLANK(J125),ISBLANK(K125),ISBLANK(L125),ISBLANK(M125),ISBLANK(N125),ISBLANK(O125),ISBLANK(P125),ISBLANK(Q125),ISBLANK(R125))=TRUE,"P","OK")</f>
        <v>OK</v>
      </c>
      <c r="B125" s="307" t="str">
        <f t="shared" si="4"/>
        <v>OK</v>
      </c>
      <c r="C125" s="308" t="str">
        <f>IF(OR(ISBLANK(AA125),ISBLANK(AB125),ISBLANK(#REF!))=TRUE,"P","OK")</f>
        <v>OK</v>
      </c>
      <c r="D125" s="28">
        <v>0</v>
      </c>
      <c r="E125" s="49" t="s">
        <v>7313</v>
      </c>
      <c r="F125" s="1" t="s">
        <v>7276</v>
      </c>
      <c r="G125" s="49">
        <v>182015</v>
      </c>
      <c r="H125" s="49" t="s">
        <v>7314</v>
      </c>
      <c r="I125" s="49" t="s">
        <v>6820</v>
      </c>
      <c r="J125" s="49" t="s">
        <v>4998</v>
      </c>
      <c r="K125" s="49" t="s">
        <v>1909</v>
      </c>
      <c r="L125" s="49" t="s">
        <v>7315</v>
      </c>
      <c r="M125" s="49" t="s">
        <v>1902</v>
      </c>
      <c r="N125" s="316" t="s">
        <v>6898</v>
      </c>
      <c r="O125" s="316" t="s">
        <v>264</v>
      </c>
      <c r="P125" s="316">
        <v>44792</v>
      </c>
      <c r="Q125" s="316">
        <v>44792</v>
      </c>
      <c r="R125" s="316" t="s">
        <v>6898</v>
      </c>
      <c r="S125" s="310" t="s">
        <v>28</v>
      </c>
      <c r="T125" s="310" t="s">
        <v>6879</v>
      </c>
      <c r="U125" s="322">
        <v>44795</v>
      </c>
      <c r="V125" s="317" t="s">
        <v>1911</v>
      </c>
      <c r="W125" s="317">
        <v>12</v>
      </c>
      <c r="X125" s="317" t="s">
        <v>4999</v>
      </c>
      <c r="Y125" s="322">
        <v>44797</v>
      </c>
      <c r="Z125" s="343" t="s">
        <v>6898</v>
      </c>
      <c r="AA125" s="312" t="s">
        <v>6898</v>
      </c>
      <c r="AB125" s="313">
        <v>44799</v>
      </c>
      <c r="AC125" s="314" t="s">
        <v>4999</v>
      </c>
    </row>
    <row r="126" spans="1:29" ht="13.5" thickBot="1" x14ac:dyDescent="0.3">
      <c r="A126" s="306" t="str">
        <f>IF(OR(ISBLANK(D126),ISBLANK(E126),ISBLANK(F126),ISBLANK(G126),ISBLANK(H126),ISBLANK(I126),ISBLANK(J126),ISBLANK(K126),ISBLANK(L126),ISBLANK(M126),ISBLANK(N126),ISBLANK(O126),ISBLANK(P126),ISBLANK(Q126),ISBLANK(R126))=TRUE,"P","OK")</f>
        <v>OK</v>
      </c>
      <c r="B126" s="307" t="str">
        <f t="shared" si="4"/>
        <v>OK</v>
      </c>
      <c r="C126" s="308" t="str">
        <f>IF(OR(ISBLANK(AA126),ISBLANK(AB126),ISBLANK(#REF!))=TRUE,"P","OK")</f>
        <v>OK</v>
      </c>
      <c r="D126" s="28">
        <v>0</v>
      </c>
      <c r="E126" s="49" t="s">
        <v>7316</v>
      </c>
      <c r="F126" s="1" t="s">
        <v>7276</v>
      </c>
      <c r="G126" s="49">
        <v>182088</v>
      </c>
      <c r="H126" s="49" t="s">
        <v>7317</v>
      </c>
      <c r="I126" s="49" t="s">
        <v>6820</v>
      </c>
      <c r="J126" s="49" t="s">
        <v>6829</v>
      </c>
      <c r="K126" s="49" t="s">
        <v>1909</v>
      </c>
      <c r="L126" s="1" t="s">
        <v>7282</v>
      </c>
      <c r="M126" s="49" t="s">
        <v>1902</v>
      </c>
      <c r="N126" s="316">
        <v>44754</v>
      </c>
      <c r="O126" s="316" t="s">
        <v>264</v>
      </c>
      <c r="P126" s="316">
        <v>44754</v>
      </c>
      <c r="Q126" s="316">
        <v>44754</v>
      </c>
      <c r="R126" s="316">
        <v>44756</v>
      </c>
      <c r="S126" s="310" t="s">
        <v>28</v>
      </c>
      <c r="T126" s="310" t="s">
        <v>6879</v>
      </c>
      <c r="U126" s="322">
        <v>44757</v>
      </c>
      <c r="V126" s="317" t="s">
        <v>6632</v>
      </c>
      <c r="W126" s="317">
        <v>2</v>
      </c>
      <c r="X126" s="317" t="s">
        <v>4999</v>
      </c>
      <c r="Y126" s="322">
        <v>44769</v>
      </c>
      <c r="Z126" s="343" t="s">
        <v>264</v>
      </c>
      <c r="AA126" s="313">
        <v>44769</v>
      </c>
      <c r="AB126" s="313">
        <v>44769</v>
      </c>
      <c r="AC126" s="314" t="s">
        <v>4999</v>
      </c>
    </row>
    <row r="127" spans="1:29" ht="13.5" thickBot="1" x14ac:dyDescent="0.3">
      <c r="A127" s="306" t="str">
        <f>IF(OR(ISBLANK(D127),ISBLANK(E127),ISBLANK(F127),ISBLANK(G127),ISBLANK(H127),ISBLANK(I127),ISBLANK(J127),ISBLANK(K127),ISBLANK(L128),ISBLANK(M127),ISBLANK(N127),ISBLANK(O127),ISBLANK(P127),ISBLANK(Q127),ISBLANK(R127))=TRUE,"P","OK")</f>
        <v>OK</v>
      </c>
      <c r="B127" s="307" t="str">
        <f t="shared" si="4"/>
        <v>OK</v>
      </c>
      <c r="C127" s="308" t="str">
        <f>IF(OR(ISBLANK(AA127),ISBLANK(AB127),ISBLANK(#REF!))=TRUE,"P","OK")</f>
        <v>OK</v>
      </c>
      <c r="D127" s="28">
        <v>0</v>
      </c>
      <c r="E127" s="49" t="s">
        <v>7318</v>
      </c>
      <c r="F127" s="1" t="s">
        <v>7276</v>
      </c>
      <c r="G127" s="49">
        <v>182088</v>
      </c>
      <c r="H127" s="49" t="s">
        <v>7319</v>
      </c>
      <c r="I127" s="49" t="s">
        <v>6820</v>
      </c>
      <c r="J127" s="49" t="s">
        <v>6829</v>
      </c>
      <c r="K127" s="49" t="s">
        <v>6630</v>
      </c>
      <c r="L127" s="1" t="s">
        <v>7320</v>
      </c>
      <c r="M127" s="49" t="s">
        <v>1902</v>
      </c>
      <c r="N127" s="316">
        <v>44754</v>
      </c>
      <c r="O127" s="316" t="s">
        <v>264</v>
      </c>
      <c r="P127" s="316">
        <v>44754</v>
      </c>
      <c r="Q127" s="316">
        <v>44754</v>
      </c>
      <c r="R127" s="316">
        <v>44756</v>
      </c>
      <c r="S127" s="310" t="s">
        <v>28</v>
      </c>
      <c r="T127" s="310" t="s">
        <v>6879</v>
      </c>
      <c r="U127" s="322">
        <v>44757</v>
      </c>
      <c r="V127" s="317" t="s">
        <v>7321</v>
      </c>
      <c r="W127" s="317">
        <v>1</v>
      </c>
      <c r="X127" s="317" t="s">
        <v>4999</v>
      </c>
      <c r="Y127" s="322">
        <v>44769</v>
      </c>
      <c r="Z127" s="343" t="s">
        <v>264</v>
      </c>
      <c r="AA127" s="313">
        <v>44769</v>
      </c>
      <c r="AB127" s="313">
        <v>44769</v>
      </c>
      <c r="AC127" s="314" t="s">
        <v>4999</v>
      </c>
    </row>
    <row r="128" spans="1:29" ht="13.5" thickBot="1" x14ac:dyDescent="0.3">
      <c r="A128" s="306" t="str">
        <f>IF(OR(ISBLANK(D128),ISBLANK(E128),ISBLANK(F128),ISBLANK(G128),ISBLANK(H128),ISBLANK(I128),ISBLANK(J128),ISBLANK(K128),ISBLANK(#REF!),ISBLANK(M128),ISBLANK(N128),ISBLANK(O128),ISBLANK(P128),ISBLANK(Q128),ISBLANK(R128))=TRUE,"P","OK")</f>
        <v>OK</v>
      </c>
      <c r="B128" s="307" t="str">
        <f t="shared" si="4"/>
        <v>OK</v>
      </c>
      <c r="C128" s="308" t="str">
        <f>IF(OR(ISBLANK(AA128),ISBLANK(AB128),ISBLANK(#REF!))=TRUE,"P","OK")</f>
        <v>OK</v>
      </c>
      <c r="D128" s="28">
        <v>0</v>
      </c>
      <c r="E128" s="49" t="s">
        <v>7322</v>
      </c>
      <c r="F128" s="1" t="s">
        <v>7276</v>
      </c>
      <c r="G128" s="49">
        <v>182088</v>
      </c>
      <c r="H128" s="49" t="s">
        <v>7323</v>
      </c>
      <c r="I128" s="49" t="s">
        <v>6820</v>
      </c>
      <c r="J128" s="49" t="s">
        <v>6829</v>
      </c>
      <c r="K128" s="49" t="s">
        <v>1900</v>
      </c>
      <c r="L128" s="1" t="s">
        <v>7287</v>
      </c>
      <c r="M128" s="49" t="s">
        <v>1902</v>
      </c>
      <c r="N128" s="316">
        <v>44754</v>
      </c>
      <c r="O128" s="316" t="s">
        <v>264</v>
      </c>
      <c r="P128" s="316">
        <v>44754</v>
      </c>
      <c r="Q128" s="316">
        <v>44754</v>
      </c>
      <c r="R128" s="316">
        <v>44756</v>
      </c>
      <c r="S128" s="310" t="s">
        <v>28</v>
      </c>
      <c r="T128" s="310" t="s">
        <v>6879</v>
      </c>
      <c r="U128" s="322">
        <v>44757</v>
      </c>
      <c r="V128" s="317" t="s">
        <v>231</v>
      </c>
      <c r="W128" s="317">
        <v>7</v>
      </c>
      <c r="X128" s="317" t="s">
        <v>4999</v>
      </c>
      <c r="Y128" s="322">
        <v>44769</v>
      </c>
      <c r="Z128" s="343" t="s">
        <v>264</v>
      </c>
      <c r="AA128" s="313">
        <v>44769</v>
      </c>
      <c r="AB128" s="313">
        <v>44769</v>
      </c>
      <c r="AC128" s="314" t="s">
        <v>4999</v>
      </c>
    </row>
    <row r="129" spans="1:30" ht="13.5" thickBot="1" x14ac:dyDescent="0.3">
      <c r="A129" s="306" t="str">
        <f t="shared" ref="A129:A160" si="7">IF(OR(ISBLANK(D129),ISBLANK(E129),ISBLANK(F129),ISBLANK(G129),ISBLANK(H129),ISBLANK(I129),ISBLANK(J129),ISBLANK(K129),ISBLANK(L129),ISBLANK(M129),ISBLANK(N129),ISBLANK(O129),ISBLANK(P129),ISBLANK(Q129),ISBLANK(R129))=TRUE,"P","OK")</f>
        <v>OK</v>
      </c>
      <c r="B129" s="307" t="str">
        <f t="shared" si="4"/>
        <v>OK</v>
      </c>
      <c r="C129" s="308" t="str">
        <f>IF(OR(ISBLANK(AA129),ISBLANK(AB129),ISBLANK(#REF!))=TRUE,"P","OK")</f>
        <v>OK</v>
      </c>
      <c r="D129" s="28">
        <v>0</v>
      </c>
      <c r="E129" s="49" t="s">
        <v>7324</v>
      </c>
      <c r="F129" s="49" t="s">
        <v>7325</v>
      </c>
      <c r="G129" s="49">
        <v>181820</v>
      </c>
      <c r="H129" s="49" t="s">
        <v>7326</v>
      </c>
      <c r="I129" s="49" t="s">
        <v>6820</v>
      </c>
      <c r="J129" s="49" t="s">
        <v>6829</v>
      </c>
      <c r="K129" s="49" t="s">
        <v>7327</v>
      </c>
      <c r="L129" s="49" t="s">
        <v>7328</v>
      </c>
      <c r="M129" s="49" t="s">
        <v>7329</v>
      </c>
      <c r="N129" s="316">
        <v>44637</v>
      </c>
      <c r="O129" s="316" t="s">
        <v>264</v>
      </c>
      <c r="P129" s="316">
        <v>44637</v>
      </c>
      <c r="Q129" s="316">
        <v>44637</v>
      </c>
      <c r="R129" s="316">
        <v>44643</v>
      </c>
      <c r="S129" s="310" t="s">
        <v>28</v>
      </c>
      <c r="T129" s="310" t="s">
        <v>6879</v>
      </c>
      <c r="U129" s="337">
        <v>44757</v>
      </c>
      <c r="V129" s="330" t="s">
        <v>6802</v>
      </c>
      <c r="W129" s="330">
        <v>2</v>
      </c>
      <c r="X129" s="330" t="s">
        <v>4999</v>
      </c>
      <c r="Y129" s="322">
        <v>44769</v>
      </c>
      <c r="Z129" s="343" t="s">
        <v>264</v>
      </c>
      <c r="AA129" s="313">
        <v>44734</v>
      </c>
      <c r="AB129" s="313">
        <v>44734</v>
      </c>
      <c r="AC129" s="314" t="s">
        <v>4999</v>
      </c>
    </row>
    <row r="130" spans="1:30" ht="26.25" customHeight="1" thickBot="1" x14ac:dyDescent="0.3">
      <c r="A130" s="306" t="str">
        <f t="shared" si="7"/>
        <v>OK</v>
      </c>
      <c r="B130" s="307" t="str">
        <f t="shared" si="4"/>
        <v>OK</v>
      </c>
      <c r="C130" s="308" t="str">
        <f>IF(OR(ISBLANK(AA130),ISBLANK(AB130),ISBLANK(#REF!))=TRUE,"P","OK")</f>
        <v>OK</v>
      </c>
      <c r="D130" s="28">
        <v>0</v>
      </c>
      <c r="E130" s="49" t="s">
        <v>7330</v>
      </c>
      <c r="F130" s="49" t="s">
        <v>7331</v>
      </c>
      <c r="G130" s="49">
        <v>181612</v>
      </c>
      <c r="H130" s="49" t="s">
        <v>7332</v>
      </c>
      <c r="I130" s="49" t="s">
        <v>6820</v>
      </c>
      <c r="J130" s="49" t="s">
        <v>6829</v>
      </c>
      <c r="K130" s="49" t="s">
        <v>7333</v>
      </c>
      <c r="L130" s="49" t="s">
        <v>7334</v>
      </c>
      <c r="M130" s="49" t="s">
        <v>7335</v>
      </c>
      <c r="N130" s="316">
        <v>44434</v>
      </c>
      <c r="O130" s="316" t="s">
        <v>264</v>
      </c>
      <c r="P130" s="316">
        <v>44434</v>
      </c>
      <c r="Q130" s="316">
        <v>44434</v>
      </c>
      <c r="R130" s="316">
        <v>44434</v>
      </c>
      <c r="S130" s="310" t="s">
        <v>6837</v>
      </c>
      <c r="T130" s="310" t="s">
        <v>6837</v>
      </c>
      <c r="U130" s="337">
        <v>44609</v>
      </c>
      <c r="V130" s="335" t="s">
        <v>7336</v>
      </c>
      <c r="W130" s="335">
        <v>20</v>
      </c>
      <c r="X130" s="335" t="s">
        <v>4999</v>
      </c>
      <c r="Y130" s="337">
        <v>44610</v>
      </c>
      <c r="Z130" s="343" t="s">
        <v>264</v>
      </c>
      <c r="AA130" s="313">
        <v>44615</v>
      </c>
      <c r="AB130" s="313">
        <v>44615</v>
      </c>
      <c r="AC130" s="314" t="s">
        <v>4999</v>
      </c>
      <c r="AD130" s="315" t="s">
        <v>4999</v>
      </c>
    </row>
    <row r="131" spans="1:30" ht="26.25" customHeight="1" thickBot="1" x14ac:dyDescent="0.3">
      <c r="A131" s="306" t="str">
        <f t="shared" si="7"/>
        <v>OK</v>
      </c>
      <c r="B131" s="307" t="str">
        <f t="shared" si="4"/>
        <v>OK</v>
      </c>
      <c r="C131" s="308" t="str">
        <f>IF(OR(ISBLANK(AA131),ISBLANK(AB131),ISBLANK(#REF!))=TRUE,"P","OK")</f>
        <v>OK</v>
      </c>
      <c r="D131" s="28">
        <v>0</v>
      </c>
      <c r="E131" s="49" t="s">
        <v>7337</v>
      </c>
      <c r="F131" s="49" t="s">
        <v>5466</v>
      </c>
      <c r="G131" s="1">
        <v>181741</v>
      </c>
      <c r="H131" s="1" t="s">
        <v>7338</v>
      </c>
      <c r="I131" s="1" t="s">
        <v>6820</v>
      </c>
      <c r="J131" s="1" t="s">
        <v>6829</v>
      </c>
      <c r="K131" s="1" t="s">
        <v>7339</v>
      </c>
      <c r="L131" s="1" t="s">
        <v>7340</v>
      </c>
      <c r="M131" s="1" t="s">
        <v>7341</v>
      </c>
      <c r="N131" s="316">
        <v>44564</v>
      </c>
      <c r="O131" s="316" t="s">
        <v>264</v>
      </c>
      <c r="P131" s="316">
        <v>44564</v>
      </c>
      <c r="Q131" s="316">
        <v>44564</v>
      </c>
      <c r="R131" s="316">
        <v>44564</v>
      </c>
      <c r="S131" s="310" t="s">
        <v>6837</v>
      </c>
      <c r="T131" s="310" t="s">
        <v>6837</v>
      </c>
      <c r="U131" s="337">
        <v>44566</v>
      </c>
      <c r="V131" s="335" t="s">
        <v>7342</v>
      </c>
      <c r="W131" s="335">
        <v>2</v>
      </c>
      <c r="X131" s="335" t="s">
        <v>4999</v>
      </c>
      <c r="Y131" s="337">
        <v>44567</v>
      </c>
      <c r="Z131" s="74" t="s">
        <v>6825</v>
      </c>
      <c r="AA131" s="313">
        <v>44567</v>
      </c>
      <c r="AB131" s="313">
        <v>44567</v>
      </c>
      <c r="AC131" s="314" t="s">
        <v>7145</v>
      </c>
    </row>
    <row r="132" spans="1:30" ht="26.25" customHeight="1" thickBot="1" x14ac:dyDescent="0.3">
      <c r="A132" s="306" t="str">
        <f t="shared" si="7"/>
        <v>OK</v>
      </c>
      <c r="B132" s="307" t="str">
        <f t="shared" ref="B132:B178" si="8">IF(OR(ISBLANK(S132),ISBLANK(T132),ISBLANK(U132),ISBLANK(V132),ISBLANK(W132),ISBLANK(X132),ISBLANK(Y132),ISBLANK(Z132))=TRUE,"P","OK")</f>
        <v>OK</v>
      </c>
      <c r="C132" s="308" t="str">
        <f>IF(OR(ISBLANK(AA132),ISBLANK(AB132),ISBLANK(#REF!))=TRUE,"P","OK")</f>
        <v>OK</v>
      </c>
      <c r="D132" s="28">
        <v>0</v>
      </c>
      <c r="E132" s="49" t="s">
        <v>7343</v>
      </c>
      <c r="F132" s="49" t="s">
        <v>5466</v>
      </c>
      <c r="G132" s="49">
        <v>181884</v>
      </c>
      <c r="H132" s="49" t="s">
        <v>7344</v>
      </c>
      <c r="I132" s="49" t="s">
        <v>6820</v>
      </c>
      <c r="J132" s="49" t="s">
        <v>6829</v>
      </c>
      <c r="K132" s="49" t="s">
        <v>7345</v>
      </c>
      <c r="L132" s="49" t="s">
        <v>7346</v>
      </c>
      <c r="M132" s="49" t="s">
        <v>3744</v>
      </c>
      <c r="N132" s="316">
        <v>44680</v>
      </c>
      <c r="O132" s="316" t="s">
        <v>264</v>
      </c>
      <c r="P132" s="316">
        <v>44680</v>
      </c>
      <c r="Q132" s="316">
        <v>44680</v>
      </c>
      <c r="R132" s="316">
        <v>44680</v>
      </c>
      <c r="S132" s="335" t="s">
        <v>6837</v>
      </c>
      <c r="T132" s="335" t="s">
        <v>6837</v>
      </c>
      <c r="U132" s="322">
        <v>44685</v>
      </c>
      <c r="V132" s="317" t="s">
        <v>7347</v>
      </c>
      <c r="W132" s="317">
        <v>20</v>
      </c>
      <c r="X132" s="317" t="s">
        <v>4999</v>
      </c>
      <c r="Y132" s="322">
        <v>44685</v>
      </c>
      <c r="Z132" s="38" t="s">
        <v>6825</v>
      </c>
      <c r="AA132" s="313">
        <v>44687</v>
      </c>
      <c r="AB132" s="313">
        <v>44687</v>
      </c>
      <c r="AC132" s="314" t="s">
        <v>4999</v>
      </c>
    </row>
    <row r="133" spans="1:30" ht="13.7" customHeight="1" thickBot="1" x14ac:dyDescent="0.3">
      <c r="A133" s="306" t="str">
        <f t="shared" si="7"/>
        <v>OK</v>
      </c>
      <c r="B133" s="307" t="str">
        <f t="shared" si="8"/>
        <v>OK</v>
      </c>
      <c r="C133" s="308" t="str">
        <f>IF(OR(ISBLANK(AA133),ISBLANK(AB133),ISBLANK(#REF!))=TRUE,"P","OK")</f>
        <v>OK</v>
      </c>
      <c r="D133" s="28">
        <v>0</v>
      </c>
      <c r="E133" s="49" t="s">
        <v>7348</v>
      </c>
      <c r="F133" s="49" t="s">
        <v>5851</v>
      </c>
      <c r="G133" s="49">
        <v>181692</v>
      </c>
      <c r="H133" s="49" t="s">
        <v>7349</v>
      </c>
      <c r="I133" s="1" t="s">
        <v>6820</v>
      </c>
      <c r="J133" s="1" t="s">
        <v>6829</v>
      </c>
      <c r="K133" s="1" t="s">
        <v>5813</v>
      </c>
      <c r="L133" s="49" t="s">
        <v>7350</v>
      </c>
      <c r="M133" s="49" t="s">
        <v>7351</v>
      </c>
      <c r="N133" s="316">
        <v>44504</v>
      </c>
      <c r="O133" s="316" t="s">
        <v>264</v>
      </c>
      <c r="P133" s="316">
        <v>44504</v>
      </c>
      <c r="Q133" s="316">
        <v>44504</v>
      </c>
      <c r="R133" s="316">
        <v>44616</v>
      </c>
      <c r="S133" s="310" t="s">
        <v>6837</v>
      </c>
      <c r="T133" s="310" t="s">
        <v>6837</v>
      </c>
      <c r="U133" s="322">
        <v>44634</v>
      </c>
      <c r="V133" s="317" t="s">
        <v>7352</v>
      </c>
      <c r="W133" s="317">
        <v>2</v>
      </c>
      <c r="X133" s="317" t="s">
        <v>4999</v>
      </c>
      <c r="Y133" s="322">
        <v>44634</v>
      </c>
      <c r="Z133" s="312" t="s">
        <v>264</v>
      </c>
      <c r="AA133" s="313">
        <v>44638</v>
      </c>
      <c r="AB133" s="313">
        <v>44638</v>
      </c>
      <c r="AC133" s="314" t="s">
        <v>4999</v>
      </c>
      <c r="AD133" s="315" t="s">
        <v>4999</v>
      </c>
    </row>
    <row r="134" spans="1:30" ht="26.25" customHeight="1" thickBot="1" x14ac:dyDescent="0.3">
      <c r="A134" s="306" t="str">
        <f t="shared" si="7"/>
        <v>OK</v>
      </c>
      <c r="B134" s="307" t="str">
        <f t="shared" si="8"/>
        <v>OK</v>
      </c>
      <c r="C134" s="308" t="str">
        <f>IF(OR(ISBLANK(AA134),ISBLANK(AB134),ISBLANK(#REF!))=TRUE,"P","OK")</f>
        <v>OK</v>
      </c>
      <c r="D134" s="28">
        <v>0</v>
      </c>
      <c r="E134" s="49" t="s">
        <v>7353</v>
      </c>
      <c r="F134" s="49" t="s">
        <v>5851</v>
      </c>
      <c r="G134" s="49">
        <v>181692</v>
      </c>
      <c r="H134" s="49" t="s">
        <v>7354</v>
      </c>
      <c r="I134" s="1" t="s">
        <v>6820</v>
      </c>
      <c r="J134" s="1" t="s">
        <v>6829</v>
      </c>
      <c r="K134" s="1" t="s">
        <v>7355</v>
      </c>
      <c r="L134" s="49" t="s">
        <v>7356</v>
      </c>
      <c r="M134" s="49" t="s">
        <v>7357</v>
      </c>
      <c r="N134" s="316">
        <v>44504</v>
      </c>
      <c r="O134" s="316" t="s">
        <v>264</v>
      </c>
      <c r="P134" s="316">
        <v>44504</v>
      </c>
      <c r="Q134" s="316">
        <v>44504</v>
      </c>
      <c r="R134" s="316">
        <v>44616</v>
      </c>
      <c r="S134" s="335" t="s">
        <v>6837</v>
      </c>
      <c r="T134" s="335" t="s">
        <v>6837</v>
      </c>
      <c r="U134" s="322">
        <v>44631</v>
      </c>
      <c r="V134" s="317" t="s">
        <v>7358</v>
      </c>
      <c r="W134" s="317">
        <v>2</v>
      </c>
      <c r="X134" s="317" t="s">
        <v>4999</v>
      </c>
      <c r="Y134" s="322">
        <v>44631</v>
      </c>
      <c r="Z134" s="312" t="s">
        <v>264</v>
      </c>
      <c r="AA134" s="313">
        <v>44638</v>
      </c>
      <c r="AB134" s="313">
        <v>44638</v>
      </c>
      <c r="AC134" s="314" t="s">
        <v>4999</v>
      </c>
      <c r="AD134" s="315" t="s">
        <v>4999</v>
      </c>
    </row>
    <row r="135" spans="1:30" ht="13.7" customHeight="1" thickBot="1" x14ac:dyDescent="0.3">
      <c r="A135" s="306" t="str">
        <f t="shared" si="7"/>
        <v>OK</v>
      </c>
      <c r="B135" s="307" t="str">
        <f t="shared" si="8"/>
        <v>OK</v>
      </c>
      <c r="C135" s="308" t="str">
        <f>IF(OR(ISBLANK(AA135),ISBLANK(AB135),ISBLANK(#REF!))=TRUE,"P","OK")</f>
        <v>OK</v>
      </c>
      <c r="D135" s="28">
        <v>0</v>
      </c>
      <c r="E135" s="49" t="s">
        <v>7359</v>
      </c>
      <c r="F135" s="49" t="s">
        <v>5001</v>
      </c>
      <c r="G135" s="49">
        <v>181866</v>
      </c>
      <c r="H135" s="49" t="s">
        <v>7360</v>
      </c>
      <c r="I135" s="49" t="s">
        <v>6820</v>
      </c>
      <c r="J135" s="49" t="s">
        <v>6829</v>
      </c>
      <c r="K135" s="49" t="s">
        <v>7361</v>
      </c>
      <c r="L135" s="49" t="s">
        <v>7362</v>
      </c>
      <c r="M135" s="49" t="s">
        <v>223</v>
      </c>
      <c r="N135" s="316">
        <v>44670</v>
      </c>
      <c r="O135" s="316" t="s">
        <v>264</v>
      </c>
      <c r="P135" s="316">
        <v>44670</v>
      </c>
      <c r="Q135" s="316">
        <v>44670</v>
      </c>
      <c r="R135" s="316">
        <v>44670</v>
      </c>
      <c r="S135" s="310" t="s">
        <v>28</v>
      </c>
      <c r="T135" s="310" t="s">
        <v>6879</v>
      </c>
      <c r="U135" s="337">
        <v>44749</v>
      </c>
      <c r="V135" s="317" t="s">
        <v>7363</v>
      </c>
      <c r="W135" s="317">
        <v>3</v>
      </c>
      <c r="X135" s="334" t="s">
        <v>4999</v>
      </c>
      <c r="Y135" s="322">
        <v>44753</v>
      </c>
      <c r="Z135" s="38" t="s">
        <v>6825</v>
      </c>
      <c r="AA135" s="313">
        <v>44676</v>
      </c>
      <c r="AB135" s="313">
        <v>44676</v>
      </c>
      <c r="AC135" s="314" t="s">
        <v>4999</v>
      </c>
    </row>
    <row r="136" spans="1:30" ht="26.25" thickBot="1" x14ac:dyDescent="0.3">
      <c r="A136" s="306" t="str">
        <f t="shared" si="7"/>
        <v>OK</v>
      </c>
      <c r="B136" s="307" t="str">
        <f t="shared" si="8"/>
        <v>OK</v>
      </c>
      <c r="C136" s="308" t="str">
        <f>IF(OR(ISBLANK(AA136),ISBLANK(AB136),ISBLANK(#REF!))=TRUE,"P","OK")</f>
        <v>OK</v>
      </c>
      <c r="D136" s="28">
        <v>0</v>
      </c>
      <c r="E136" s="49" t="s">
        <v>7364</v>
      </c>
      <c r="F136" s="49" t="s">
        <v>5001</v>
      </c>
      <c r="G136" s="49">
        <v>182128</v>
      </c>
      <c r="H136" s="49" t="s">
        <v>7365</v>
      </c>
      <c r="I136" s="49" t="s">
        <v>6820</v>
      </c>
      <c r="J136" s="49" t="s">
        <v>4998</v>
      </c>
      <c r="K136" s="49" t="s">
        <v>7366</v>
      </c>
      <c r="L136" s="49" t="s">
        <v>7367</v>
      </c>
      <c r="M136" s="49" t="s">
        <v>5508</v>
      </c>
      <c r="N136" s="316">
        <v>44789</v>
      </c>
      <c r="O136" s="316" t="s">
        <v>264</v>
      </c>
      <c r="P136" s="316">
        <v>44789</v>
      </c>
      <c r="Q136" s="316">
        <v>44789</v>
      </c>
      <c r="R136" s="316">
        <v>44797</v>
      </c>
      <c r="S136" s="334" t="s">
        <v>28</v>
      </c>
      <c r="T136" s="334" t="s">
        <v>28</v>
      </c>
      <c r="U136" s="322">
        <v>44802</v>
      </c>
      <c r="V136" s="317" t="s">
        <v>7368</v>
      </c>
      <c r="W136" s="317">
        <v>1</v>
      </c>
      <c r="X136" s="334" t="s">
        <v>6898</v>
      </c>
      <c r="Y136" s="317" t="s">
        <v>6898</v>
      </c>
      <c r="Z136" s="312" t="s">
        <v>6898</v>
      </c>
      <c r="AA136" s="312" t="s">
        <v>6898</v>
      </c>
      <c r="AB136" s="312" t="s">
        <v>6898</v>
      </c>
      <c r="AC136" s="314" t="s">
        <v>6898</v>
      </c>
    </row>
    <row r="137" spans="1:30" ht="38.25" x14ac:dyDescent="0.25">
      <c r="A137" s="306" t="str">
        <f t="shared" si="7"/>
        <v>OK</v>
      </c>
      <c r="B137" s="307" t="str">
        <f t="shared" si="8"/>
        <v>OK</v>
      </c>
      <c r="C137" s="308" t="str">
        <f>IF(OR(ISBLANK(AA137),ISBLANK(AB137),ISBLANK(#REF!))=TRUE,"P","OK")</f>
        <v>OK</v>
      </c>
      <c r="D137" s="28">
        <v>0</v>
      </c>
      <c r="E137" s="49" t="s">
        <v>7369</v>
      </c>
      <c r="F137" s="49" t="s">
        <v>5001</v>
      </c>
      <c r="G137" s="49">
        <v>182128</v>
      </c>
      <c r="H137" s="49" t="s">
        <v>7370</v>
      </c>
      <c r="I137" s="49" t="s">
        <v>6820</v>
      </c>
      <c r="J137" s="49" t="s">
        <v>4998</v>
      </c>
      <c r="K137" s="49" t="s">
        <v>7371</v>
      </c>
      <c r="L137" s="49" t="s">
        <v>7372</v>
      </c>
      <c r="M137" s="49" t="s">
        <v>5508</v>
      </c>
      <c r="N137" s="316">
        <v>44789</v>
      </c>
      <c r="O137" s="316" t="s">
        <v>264</v>
      </c>
      <c r="P137" s="316">
        <v>44789</v>
      </c>
      <c r="Q137" s="316">
        <v>44789</v>
      </c>
      <c r="R137" s="316">
        <v>44797</v>
      </c>
      <c r="S137" s="334" t="s">
        <v>28</v>
      </c>
      <c r="T137" s="334" t="s">
        <v>28</v>
      </c>
      <c r="U137" s="322">
        <v>44797</v>
      </c>
      <c r="V137" s="317" t="s">
        <v>3236</v>
      </c>
      <c r="W137" s="317">
        <v>5</v>
      </c>
      <c r="X137" s="317" t="s">
        <v>4999</v>
      </c>
      <c r="Y137" s="322">
        <v>44825</v>
      </c>
      <c r="Z137" s="343" t="s">
        <v>264</v>
      </c>
      <c r="AA137" s="313">
        <v>44791</v>
      </c>
      <c r="AB137" s="313">
        <v>44826</v>
      </c>
      <c r="AC137" s="314" t="s">
        <v>7145</v>
      </c>
    </row>
    <row r="138" spans="1:30" ht="26.25" customHeight="1" thickBot="1" x14ac:dyDescent="0.3">
      <c r="A138" s="306" t="str">
        <f t="shared" si="7"/>
        <v>OK</v>
      </c>
      <c r="B138" s="307" t="str">
        <f t="shared" si="8"/>
        <v>OK</v>
      </c>
      <c r="C138" s="308" t="str">
        <f>IF(OR(ISBLANK(AA138),ISBLANK(AB138),ISBLANK(#REF!))=TRUE,"P","OK")</f>
        <v>OK</v>
      </c>
      <c r="D138" s="28">
        <v>0</v>
      </c>
      <c r="E138" s="49" t="s">
        <v>7373</v>
      </c>
      <c r="F138" s="49" t="s">
        <v>5001</v>
      </c>
      <c r="G138" s="49">
        <v>182193</v>
      </c>
      <c r="H138" s="49" t="s">
        <v>7374</v>
      </c>
      <c r="I138" s="49" t="s">
        <v>6820</v>
      </c>
      <c r="J138" s="49" t="s">
        <v>4998</v>
      </c>
      <c r="K138" s="49" t="s">
        <v>7375</v>
      </c>
      <c r="L138" s="49" t="s">
        <v>7376</v>
      </c>
      <c r="M138" s="49" t="s">
        <v>7377</v>
      </c>
      <c r="N138" s="316">
        <v>44798</v>
      </c>
      <c r="O138" s="316" t="s">
        <v>264</v>
      </c>
      <c r="P138" s="316">
        <v>44798</v>
      </c>
      <c r="Q138" s="316">
        <v>44798</v>
      </c>
      <c r="R138" s="316">
        <v>44798</v>
      </c>
      <c r="S138" s="334" t="s">
        <v>28</v>
      </c>
      <c r="T138" s="334" t="s">
        <v>28</v>
      </c>
      <c r="U138" s="322">
        <v>44833</v>
      </c>
      <c r="V138" s="317" t="s">
        <v>7378</v>
      </c>
      <c r="W138" s="317">
        <v>2</v>
      </c>
      <c r="X138" s="317" t="s">
        <v>4999</v>
      </c>
      <c r="Y138" s="322">
        <v>44868</v>
      </c>
      <c r="Z138" s="312" t="s">
        <v>6825</v>
      </c>
      <c r="AA138" s="313">
        <v>44868</v>
      </c>
      <c r="AB138" s="313">
        <v>44868</v>
      </c>
      <c r="AC138" s="314" t="s">
        <v>7145</v>
      </c>
    </row>
    <row r="139" spans="1:30" ht="38.25" x14ac:dyDescent="0.25">
      <c r="A139" s="306" t="str">
        <f t="shared" si="7"/>
        <v>OK</v>
      </c>
      <c r="B139" s="307" t="str">
        <f t="shared" si="8"/>
        <v>OK</v>
      </c>
      <c r="C139" s="308" t="str">
        <f>IF(OR(ISBLANK(AA139),ISBLANK(AB139),ISBLANK(#REF!))=TRUE,"P","OK")</f>
        <v>OK</v>
      </c>
      <c r="D139" s="28">
        <v>0</v>
      </c>
      <c r="E139" s="49" t="s">
        <v>7379</v>
      </c>
      <c r="F139" s="49" t="s">
        <v>5001</v>
      </c>
      <c r="G139" s="49">
        <v>182099</v>
      </c>
      <c r="H139" s="49" t="s">
        <v>7380</v>
      </c>
      <c r="I139" s="49" t="s">
        <v>6820</v>
      </c>
      <c r="J139" s="49" t="s">
        <v>4998</v>
      </c>
      <c r="K139" s="49" t="s">
        <v>7381</v>
      </c>
      <c r="L139" s="49" t="s">
        <v>5752</v>
      </c>
      <c r="M139" s="49" t="s">
        <v>7382</v>
      </c>
      <c r="N139" s="316">
        <v>44757</v>
      </c>
      <c r="O139" s="316" t="s">
        <v>264</v>
      </c>
      <c r="P139" s="316">
        <v>44757</v>
      </c>
      <c r="Q139" s="316">
        <v>44757</v>
      </c>
      <c r="R139" s="316">
        <v>44798</v>
      </c>
      <c r="S139" s="334" t="s">
        <v>28</v>
      </c>
      <c r="T139" s="334" t="s">
        <v>28</v>
      </c>
      <c r="U139" s="322">
        <v>44826</v>
      </c>
      <c r="V139" s="317" t="s">
        <v>2648</v>
      </c>
      <c r="W139" s="317">
        <v>1</v>
      </c>
      <c r="X139" s="317" t="s">
        <v>4999</v>
      </c>
      <c r="Y139" s="322">
        <v>44830</v>
      </c>
      <c r="Z139" s="343" t="s">
        <v>264</v>
      </c>
      <c r="AA139" s="313">
        <v>44837</v>
      </c>
      <c r="AB139" s="313">
        <v>44837</v>
      </c>
      <c r="AC139" s="314" t="s">
        <v>4999</v>
      </c>
    </row>
    <row r="140" spans="1:30" ht="13.7" customHeight="1" thickBot="1" x14ac:dyDescent="0.3">
      <c r="A140" s="306" t="str">
        <f t="shared" si="7"/>
        <v>OK</v>
      </c>
      <c r="B140" s="307" t="str">
        <f t="shared" si="8"/>
        <v>OK</v>
      </c>
      <c r="C140" s="308" t="str">
        <f>IF(OR(ISBLANK(AA140),ISBLANK(AB140),ISBLANK(#REF!))=TRUE,"P","OK")</f>
        <v>OK</v>
      </c>
      <c r="D140" s="28">
        <v>0</v>
      </c>
      <c r="E140" s="49" t="s">
        <v>7383</v>
      </c>
      <c r="F140" s="49" t="s">
        <v>7384</v>
      </c>
      <c r="G140" s="49">
        <v>181784</v>
      </c>
      <c r="H140" s="49" t="s">
        <v>7385</v>
      </c>
      <c r="I140" s="1" t="s">
        <v>6820</v>
      </c>
      <c r="J140" s="1" t="s">
        <v>6829</v>
      </c>
      <c r="K140" s="49" t="s">
        <v>7386</v>
      </c>
      <c r="L140" s="49" t="s">
        <v>7387</v>
      </c>
      <c r="M140" s="49" t="s">
        <v>7388</v>
      </c>
      <c r="N140" s="316">
        <v>44600</v>
      </c>
      <c r="O140" s="316" t="s">
        <v>7026</v>
      </c>
      <c r="P140" s="316">
        <v>44608</v>
      </c>
      <c r="Q140" s="316">
        <v>44608</v>
      </c>
      <c r="R140" s="316">
        <v>44609</v>
      </c>
      <c r="S140" s="333" t="s">
        <v>6832</v>
      </c>
      <c r="T140" s="333" t="s">
        <v>6832</v>
      </c>
      <c r="U140" s="322">
        <v>44610</v>
      </c>
      <c r="V140" s="317" t="s">
        <v>7389</v>
      </c>
      <c r="W140" s="317">
        <v>3</v>
      </c>
      <c r="X140" s="334" t="s">
        <v>4999</v>
      </c>
      <c r="Y140" s="322">
        <v>44610</v>
      </c>
      <c r="Z140" s="74" t="s">
        <v>6825</v>
      </c>
      <c r="AA140" s="313">
        <v>44622</v>
      </c>
      <c r="AB140" s="313">
        <v>44622</v>
      </c>
      <c r="AC140" s="314" t="s">
        <v>7145</v>
      </c>
    </row>
    <row r="141" spans="1:30" ht="13.7" customHeight="1" thickBot="1" x14ac:dyDescent="0.3">
      <c r="A141" s="306" t="str">
        <f t="shared" si="7"/>
        <v>OK</v>
      </c>
      <c r="B141" s="307" t="str">
        <f t="shared" si="8"/>
        <v>OK</v>
      </c>
      <c r="C141" s="308" t="str">
        <f>IF(OR(ISBLANK(AA141),ISBLANK(AB141),ISBLANK(#REF!))=TRUE,"P","OK")</f>
        <v>OK</v>
      </c>
      <c r="D141" s="28">
        <v>0</v>
      </c>
      <c r="E141" s="49" t="s">
        <v>7390</v>
      </c>
      <c r="F141" s="49" t="s">
        <v>7384</v>
      </c>
      <c r="G141" s="49">
        <v>182054</v>
      </c>
      <c r="H141" s="49" t="s">
        <v>7391</v>
      </c>
      <c r="I141" s="49" t="s">
        <v>6820</v>
      </c>
      <c r="J141" s="49" t="s">
        <v>6829</v>
      </c>
      <c r="K141" s="49" t="s">
        <v>7392</v>
      </c>
      <c r="L141" s="49">
        <v>9964</v>
      </c>
      <c r="M141" s="49" t="s">
        <v>7393</v>
      </c>
      <c r="N141" s="316">
        <v>44739</v>
      </c>
      <c r="O141" s="316" t="s">
        <v>264</v>
      </c>
      <c r="P141" s="316">
        <v>44739</v>
      </c>
      <c r="Q141" s="316">
        <v>44740</v>
      </c>
      <c r="R141" s="316">
        <v>44713</v>
      </c>
      <c r="S141" s="335" t="s">
        <v>28</v>
      </c>
      <c r="T141" s="335" t="s">
        <v>6879</v>
      </c>
      <c r="U141" s="322">
        <v>44748</v>
      </c>
      <c r="V141" s="317" t="s">
        <v>7394</v>
      </c>
      <c r="W141" s="317">
        <v>2</v>
      </c>
      <c r="X141" s="317" t="s">
        <v>4999</v>
      </c>
      <c r="Y141" s="322">
        <v>44757</v>
      </c>
      <c r="Z141" s="38" t="s">
        <v>6825</v>
      </c>
      <c r="AA141" s="313">
        <v>44760</v>
      </c>
      <c r="AB141" s="313">
        <v>44760</v>
      </c>
      <c r="AC141" s="314" t="s">
        <v>7145</v>
      </c>
    </row>
    <row r="142" spans="1:30" ht="26.25" customHeight="1" thickBot="1" x14ac:dyDescent="0.3">
      <c r="A142" s="306" t="str">
        <f t="shared" si="7"/>
        <v>OK</v>
      </c>
      <c r="B142" s="307" t="str">
        <f t="shared" si="8"/>
        <v>OK</v>
      </c>
      <c r="C142" s="308" t="str">
        <f>IF(OR(ISBLANK(AA142),ISBLANK(AB142),ISBLANK(#REF!))=TRUE,"P","OK")</f>
        <v>OK</v>
      </c>
      <c r="D142" s="28">
        <v>0</v>
      </c>
      <c r="E142" s="49" t="s">
        <v>7395</v>
      </c>
      <c r="F142" s="1" t="s">
        <v>7396</v>
      </c>
      <c r="G142" s="1">
        <v>181742</v>
      </c>
      <c r="H142" s="1" t="s">
        <v>7397</v>
      </c>
      <c r="I142" s="1" t="s">
        <v>6820</v>
      </c>
      <c r="J142" s="1" t="s">
        <v>6829</v>
      </c>
      <c r="K142" s="1" t="s">
        <v>7081</v>
      </c>
      <c r="L142" s="1" t="s">
        <v>7398</v>
      </c>
      <c r="M142" s="1" t="s">
        <v>7399</v>
      </c>
      <c r="N142" s="316">
        <v>44565</v>
      </c>
      <c r="O142" s="316" t="s">
        <v>7026</v>
      </c>
      <c r="P142" s="316">
        <v>44565</v>
      </c>
      <c r="Q142" s="316">
        <v>44565</v>
      </c>
      <c r="R142" s="316">
        <v>44565</v>
      </c>
      <c r="S142" s="310" t="s">
        <v>6837</v>
      </c>
      <c r="T142" s="310" t="s">
        <v>6837</v>
      </c>
      <c r="U142" s="337">
        <v>44565</v>
      </c>
      <c r="V142" s="335" t="s">
        <v>7400</v>
      </c>
      <c r="W142" s="335">
        <v>1</v>
      </c>
      <c r="X142" s="335" t="s">
        <v>4999</v>
      </c>
      <c r="Y142" s="337">
        <v>44565</v>
      </c>
      <c r="Z142" s="74" t="s">
        <v>6825</v>
      </c>
      <c r="AA142" s="313">
        <v>44565</v>
      </c>
      <c r="AB142" s="313">
        <v>44565</v>
      </c>
      <c r="AC142" s="314" t="s">
        <v>7145</v>
      </c>
    </row>
    <row r="143" spans="1:30" ht="30" customHeight="1" thickBot="1" x14ac:dyDescent="0.3">
      <c r="A143" s="306" t="str">
        <f t="shared" si="7"/>
        <v>OK</v>
      </c>
      <c r="B143" s="307" t="str">
        <f t="shared" si="8"/>
        <v>OK</v>
      </c>
      <c r="C143" s="308" t="str">
        <f>IF(OR(ISBLANK(AA143),ISBLANK(AB143),ISBLANK(#REF!))=TRUE,"P","OK")</f>
        <v>OK</v>
      </c>
      <c r="D143" s="28">
        <v>0</v>
      </c>
      <c r="E143" s="49" t="s">
        <v>7401</v>
      </c>
      <c r="F143" s="49" t="s">
        <v>253</v>
      </c>
      <c r="G143" s="49">
        <v>181800</v>
      </c>
      <c r="H143" s="49" t="s">
        <v>7402</v>
      </c>
      <c r="I143" s="49" t="s">
        <v>6820</v>
      </c>
      <c r="J143" s="49" t="s">
        <v>6829</v>
      </c>
      <c r="K143" s="49" t="s">
        <v>7403</v>
      </c>
      <c r="L143" s="49" t="s">
        <v>7404</v>
      </c>
      <c r="M143" s="49" t="s">
        <v>7405</v>
      </c>
      <c r="N143" s="316">
        <v>44624</v>
      </c>
      <c r="O143" s="316" t="s">
        <v>264</v>
      </c>
      <c r="P143" s="316">
        <v>44624</v>
      </c>
      <c r="Q143" s="316">
        <v>44624</v>
      </c>
      <c r="R143" s="316" t="s">
        <v>5683</v>
      </c>
      <c r="S143" s="310" t="s">
        <v>6837</v>
      </c>
      <c r="T143" s="310" t="s">
        <v>6837</v>
      </c>
      <c r="U143" s="322">
        <v>44686</v>
      </c>
      <c r="V143" s="317" t="s">
        <v>263</v>
      </c>
      <c r="W143" s="317">
        <v>20</v>
      </c>
      <c r="X143" s="317" t="s">
        <v>4999</v>
      </c>
      <c r="Y143" s="322">
        <v>44686</v>
      </c>
      <c r="Z143" s="74" t="s">
        <v>6825</v>
      </c>
      <c r="AA143" s="313">
        <v>44690</v>
      </c>
      <c r="AB143" s="313">
        <v>44690</v>
      </c>
      <c r="AC143" s="314" t="s">
        <v>7145</v>
      </c>
    </row>
    <row r="144" spans="1:30" ht="25.5" x14ac:dyDescent="0.25">
      <c r="A144" s="306" t="str">
        <f t="shared" si="7"/>
        <v>OK</v>
      </c>
      <c r="B144" s="307" t="str">
        <f t="shared" si="8"/>
        <v>OK</v>
      </c>
      <c r="C144" s="308" t="str">
        <f>IF(OR(ISBLANK(AA144),ISBLANK(AB144),ISBLANK(#REF!))=TRUE,"P","OK")</f>
        <v>OK</v>
      </c>
      <c r="D144" s="28">
        <v>0</v>
      </c>
      <c r="E144" s="49" t="s">
        <v>7406</v>
      </c>
      <c r="F144" s="49" t="s">
        <v>253</v>
      </c>
      <c r="G144" s="49">
        <v>182173</v>
      </c>
      <c r="H144" s="49" t="s">
        <v>7407</v>
      </c>
      <c r="I144" s="49" t="s">
        <v>6820</v>
      </c>
      <c r="J144" s="49" t="s">
        <v>4998</v>
      </c>
      <c r="K144" s="49" t="s">
        <v>2521</v>
      </c>
      <c r="L144" s="49" t="s">
        <v>7408</v>
      </c>
      <c r="M144" s="49" t="s">
        <v>257</v>
      </c>
      <c r="N144" s="316">
        <v>44789</v>
      </c>
      <c r="O144" s="316" t="s">
        <v>264</v>
      </c>
      <c r="P144" s="316">
        <v>44789</v>
      </c>
      <c r="Q144" s="316">
        <v>44790</v>
      </c>
      <c r="R144" s="316">
        <v>44790</v>
      </c>
      <c r="S144" s="310" t="s">
        <v>28</v>
      </c>
      <c r="T144" s="310" t="s">
        <v>6879</v>
      </c>
      <c r="U144" s="322">
        <v>44790</v>
      </c>
      <c r="V144" s="317" t="s">
        <v>7409</v>
      </c>
      <c r="W144" s="317">
        <v>20</v>
      </c>
      <c r="X144" s="317" t="s">
        <v>4999</v>
      </c>
      <c r="Y144" s="322">
        <v>44797</v>
      </c>
      <c r="Z144" s="343" t="s">
        <v>264</v>
      </c>
      <c r="AA144" s="313">
        <v>44804</v>
      </c>
      <c r="AB144" s="313">
        <v>44804</v>
      </c>
      <c r="AC144" s="314" t="s">
        <v>4999</v>
      </c>
    </row>
    <row r="145" spans="1:29" ht="13.7" customHeight="1" thickBot="1" x14ac:dyDescent="0.3">
      <c r="A145" s="306" t="str">
        <f t="shared" si="7"/>
        <v>OK</v>
      </c>
      <c r="B145" s="307" t="str">
        <f t="shared" si="8"/>
        <v>OK</v>
      </c>
      <c r="C145" s="308" t="str">
        <f>IF(OR(ISBLANK(AA145),ISBLANK(AB145),ISBLANK(#REF!))=TRUE,"P","OK")</f>
        <v>OK</v>
      </c>
      <c r="D145" s="28">
        <v>0</v>
      </c>
      <c r="E145" s="49" t="s">
        <v>7410</v>
      </c>
      <c r="F145" s="49" t="s">
        <v>7411</v>
      </c>
      <c r="G145" s="49">
        <v>181828</v>
      </c>
      <c r="H145" s="49" t="s">
        <v>7412</v>
      </c>
      <c r="I145" s="49" t="s">
        <v>6820</v>
      </c>
      <c r="J145" s="49" t="s">
        <v>6829</v>
      </c>
      <c r="K145" s="49" t="s">
        <v>7413</v>
      </c>
      <c r="L145" s="49" t="s">
        <v>7414</v>
      </c>
      <c r="M145" s="49" t="s">
        <v>7414</v>
      </c>
      <c r="N145" s="316">
        <v>44642</v>
      </c>
      <c r="O145" s="316" t="s">
        <v>264</v>
      </c>
      <c r="P145" s="316">
        <v>44642</v>
      </c>
      <c r="Q145" s="316">
        <v>44685</v>
      </c>
      <c r="R145" s="316" t="s">
        <v>5683</v>
      </c>
      <c r="S145" s="310" t="s">
        <v>6837</v>
      </c>
      <c r="T145" s="310" t="s">
        <v>6837</v>
      </c>
      <c r="U145" s="322">
        <v>44691</v>
      </c>
      <c r="V145" s="317" t="s">
        <v>7415</v>
      </c>
      <c r="W145" s="317">
        <v>1</v>
      </c>
      <c r="X145" s="317" t="s">
        <v>4999</v>
      </c>
      <c r="Y145" s="322">
        <v>44691</v>
      </c>
      <c r="Z145" s="74" t="s">
        <v>6825</v>
      </c>
      <c r="AA145" s="313">
        <v>44693</v>
      </c>
      <c r="AB145" s="313">
        <v>44693</v>
      </c>
      <c r="AC145" s="314" t="s">
        <v>7145</v>
      </c>
    </row>
    <row r="146" spans="1:29" ht="26.25" customHeight="1" thickBot="1" x14ac:dyDescent="0.3">
      <c r="A146" s="306" t="str">
        <f t="shared" si="7"/>
        <v>OK</v>
      </c>
      <c r="B146" s="307" t="str">
        <f t="shared" si="8"/>
        <v>OK</v>
      </c>
      <c r="C146" s="308" t="str">
        <f>IF(OR(ISBLANK(AA146),ISBLANK(AB146),ISBLANK(#REF!))=TRUE,"P","OK")</f>
        <v>OK</v>
      </c>
      <c r="D146" s="28">
        <v>0</v>
      </c>
      <c r="E146" s="49" t="s">
        <v>7416</v>
      </c>
      <c r="F146" s="49" t="s">
        <v>5490</v>
      </c>
      <c r="G146" s="49">
        <v>181840</v>
      </c>
      <c r="H146" s="49" t="s">
        <v>7417</v>
      </c>
      <c r="I146" s="49" t="s">
        <v>6820</v>
      </c>
      <c r="J146" s="49" t="s">
        <v>6829</v>
      </c>
      <c r="K146" s="49" t="s">
        <v>5497</v>
      </c>
      <c r="L146" s="49" t="s">
        <v>5498</v>
      </c>
      <c r="M146" s="49" t="s">
        <v>7418</v>
      </c>
      <c r="N146" s="316">
        <v>44650</v>
      </c>
      <c r="O146" s="316" t="s">
        <v>264</v>
      </c>
      <c r="P146" s="316">
        <v>44650</v>
      </c>
      <c r="Q146" s="316">
        <v>44650</v>
      </c>
      <c r="R146" s="316">
        <v>44650</v>
      </c>
      <c r="S146" s="335" t="s">
        <v>6837</v>
      </c>
      <c r="T146" s="335" t="s">
        <v>6837</v>
      </c>
      <c r="U146" s="322">
        <v>44650</v>
      </c>
      <c r="V146" s="317" t="s">
        <v>7419</v>
      </c>
      <c r="W146" s="317">
        <v>2</v>
      </c>
      <c r="X146" s="317" t="s">
        <v>4999</v>
      </c>
      <c r="Y146" s="322">
        <v>44650</v>
      </c>
      <c r="Z146" s="74" t="s">
        <v>6825</v>
      </c>
      <c r="AA146" s="313">
        <v>44650</v>
      </c>
      <c r="AB146" s="313">
        <v>44650</v>
      </c>
      <c r="AC146" s="314" t="s">
        <v>7145</v>
      </c>
    </row>
    <row r="147" spans="1:29" ht="26.25" customHeight="1" thickBot="1" x14ac:dyDescent="0.3">
      <c r="A147" s="306" t="str">
        <f t="shared" si="7"/>
        <v>OK</v>
      </c>
      <c r="B147" s="307" t="str">
        <f t="shared" si="8"/>
        <v>OK</v>
      </c>
      <c r="C147" s="308" t="str">
        <f>IF(OR(ISBLANK(AA147),ISBLANK(AB147),ISBLANK(#REF!))=TRUE,"P","OK")</f>
        <v>OK</v>
      </c>
      <c r="D147" s="28">
        <v>0</v>
      </c>
      <c r="E147" s="49" t="s">
        <v>7420</v>
      </c>
      <c r="F147" s="1" t="s">
        <v>7421</v>
      </c>
      <c r="G147" s="1">
        <v>181759</v>
      </c>
      <c r="H147" s="1" t="s">
        <v>7422</v>
      </c>
      <c r="I147" s="1" t="s">
        <v>6820</v>
      </c>
      <c r="J147" s="1" t="s">
        <v>6829</v>
      </c>
      <c r="K147" s="1" t="s">
        <v>7423</v>
      </c>
      <c r="L147" s="1" t="s">
        <v>7424</v>
      </c>
      <c r="M147" s="1" t="s">
        <v>2556</v>
      </c>
      <c r="N147" s="316">
        <v>44579</v>
      </c>
      <c r="O147" s="316" t="s">
        <v>264</v>
      </c>
      <c r="P147" s="316">
        <v>44580</v>
      </c>
      <c r="Q147" s="316">
        <v>44580</v>
      </c>
      <c r="R147" s="316" t="s">
        <v>5683</v>
      </c>
      <c r="S147" s="310" t="s">
        <v>6837</v>
      </c>
      <c r="T147" s="310" t="s">
        <v>6837</v>
      </c>
      <c r="U147" s="337">
        <v>44582</v>
      </c>
      <c r="V147" s="335">
        <v>3037411</v>
      </c>
      <c r="W147" s="335">
        <v>2</v>
      </c>
      <c r="X147" s="335" t="s">
        <v>4999</v>
      </c>
      <c r="Y147" s="337">
        <v>44601</v>
      </c>
      <c r="Z147" s="74" t="s">
        <v>6825</v>
      </c>
      <c r="AA147" s="313">
        <v>44601</v>
      </c>
      <c r="AB147" s="313">
        <v>44601</v>
      </c>
      <c r="AC147" s="314" t="s">
        <v>7145</v>
      </c>
    </row>
    <row r="148" spans="1:29" ht="26.25" customHeight="1" thickBot="1" x14ac:dyDescent="0.3">
      <c r="A148" s="306" t="str">
        <f t="shared" si="7"/>
        <v>OK</v>
      </c>
      <c r="B148" s="307" t="str">
        <f t="shared" si="8"/>
        <v>OK</v>
      </c>
      <c r="C148" s="308" t="str">
        <f>IF(OR(ISBLANK(AA148),ISBLANK(AB148),ISBLANK(#REF!))=TRUE,"P","OK")</f>
        <v>OK</v>
      </c>
      <c r="D148" s="28">
        <v>0</v>
      </c>
      <c r="E148" s="49" t="s">
        <v>7425</v>
      </c>
      <c r="F148" s="1" t="s">
        <v>7421</v>
      </c>
      <c r="G148" s="1">
        <v>181759</v>
      </c>
      <c r="H148" s="1" t="s">
        <v>7426</v>
      </c>
      <c r="I148" s="1" t="s">
        <v>6820</v>
      </c>
      <c r="J148" s="1" t="s">
        <v>6829</v>
      </c>
      <c r="K148" s="1" t="s">
        <v>7427</v>
      </c>
      <c r="L148" s="1" t="s">
        <v>7428</v>
      </c>
      <c r="M148" s="1" t="s">
        <v>2556</v>
      </c>
      <c r="N148" s="316">
        <v>44579</v>
      </c>
      <c r="O148" s="316" t="s">
        <v>264</v>
      </c>
      <c r="P148" s="316">
        <v>44580</v>
      </c>
      <c r="Q148" s="316">
        <v>44580</v>
      </c>
      <c r="R148" s="316" t="s">
        <v>5683</v>
      </c>
      <c r="S148" s="310" t="s">
        <v>6837</v>
      </c>
      <c r="T148" s="310" t="s">
        <v>6837</v>
      </c>
      <c r="U148" s="337">
        <v>44582</v>
      </c>
      <c r="V148" s="335" t="s">
        <v>2557</v>
      </c>
      <c r="W148" s="335">
        <v>2</v>
      </c>
      <c r="X148" s="335" t="s">
        <v>4999</v>
      </c>
      <c r="Y148" s="337">
        <v>44601</v>
      </c>
      <c r="Z148" s="38" t="s">
        <v>6825</v>
      </c>
      <c r="AA148" s="313">
        <v>44601</v>
      </c>
      <c r="AB148" s="313">
        <v>44601</v>
      </c>
      <c r="AC148" s="314" t="s">
        <v>7145</v>
      </c>
    </row>
    <row r="149" spans="1:29" ht="13.7" customHeight="1" thickBot="1" x14ac:dyDescent="0.3">
      <c r="A149" s="306" t="str">
        <f t="shared" si="7"/>
        <v>OK</v>
      </c>
      <c r="B149" s="307" t="str">
        <f t="shared" si="8"/>
        <v>OK</v>
      </c>
      <c r="C149" s="308" t="str">
        <f>IF(OR(ISBLANK(AA149),ISBLANK(AB149),ISBLANK(#REF!))=TRUE,"P","OK")</f>
        <v>OK</v>
      </c>
      <c r="D149" s="28">
        <v>0</v>
      </c>
      <c r="E149" s="49" t="s">
        <v>7429</v>
      </c>
      <c r="F149" s="49" t="s">
        <v>69</v>
      </c>
      <c r="G149" s="1">
        <v>181510</v>
      </c>
      <c r="H149" s="1" t="s">
        <v>7430</v>
      </c>
      <c r="I149" s="49" t="s">
        <v>6820</v>
      </c>
      <c r="J149" s="49" t="s">
        <v>6829</v>
      </c>
      <c r="K149" s="49" t="s">
        <v>7431</v>
      </c>
      <c r="L149" s="49" t="s">
        <v>7432</v>
      </c>
      <c r="M149" s="49" t="s">
        <v>73</v>
      </c>
      <c r="N149" s="316">
        <v>44365</v>
      </c>
      <c r="O149" s="316" t="s">
        <v>5683</v>
      </c>
      <c r="P149" s="316" t="s">
        <v>5683</v>
      </c>
      <c r="Q149" s="316">
        <v>44679</v>
      </c>
      <c r="R149" s="316">
        <v>44679</v>
      </c>
      <c r="S149" s="310" t="s">
        <v>6837</v>
      </c>
      <c r="T149" s="310" t="s">
        <v>6837</v>
      </c>
      <c r="U149" s="337">
        <v>44680</v>
      </c>
      <c r="V149" s="317" t="s">
        <v>7433</v>
      </c>
      <c r="W149" s="317">
        <v>1</v>
      </c>
      <c r="X149" s="317" t="s">
        <v>4999</v>
      </c>
      <c r="Y149" s="322">
        <v>44680</v>
      </c>
      <c r="Z149" s="38" t="s">
        <v>6825</v>
      </c>
      <c r="AA149" s="313">
        <v>44684</v>
      </c>
      <c r="AB149" s="313">
        <v>44684</v>
      </c>
      <c r="AC149" s="314" t="s">
        <v>7145</v>
      </c>
    </row>
    <row r="150" spans="1:29" ht="26.25" customHeight="1" thickBot="1" x14ac:dyDescent="0.3">
      <c r="A150" s="306" t="str">
        <f t="shared" si="7"/>
        <v>OK</v>
      </c>
      <c r="B150" s="307" t="str">
        <f t="shared" si="8"/>
        <v>OK</v>
      </c>
      <c r="C150" s="308" t="str">
        <f>IF(OR(ISBLANK(AA150),ISBLANK(AB150),ISBLANK(#REF!))=TRUE,"P","OK")</f>
        <v>OK</v>
      </c>
      <c r="D150" s="28">
        <v>0</v>
      </c>
      <c r="E150" s="49" t="s">
        <v>7434</v>
      </c>
      <c r="F150" s="49" t="s">
        <v>69</v>
      </c>
      <c r="G150" s="1">
        <v>181510</v>
      </c>
      <c r="H150" s="1" t="s">
        <v>7435</v>
      </c>
      <c r="I150" s="49" t="s">
        <v>6820</v>
      </c>
      <c r="J150" s="49" t="s">
        <v>6829</v>
      </c>
      <c r="K150" s="49" t="s">
        <v>7436</v>
      </c>
      <c r="L150" s="49" t="s">
        <v>7437</v>
      </c>
      <c r="M150" s="49" t="s">
        <v>7438</v>
      </c>
      <c r="N150" s="316">
        <v>44365</v>
      </c>
      <c r="O150" s="316">
        <v>44679</v>
      </c>
      <c r="P150" s="316" t="s">
        <v>5683</v>
      </c>
      <c r="Q150" s="316">
        <v>44365</v>
      </c>
      <c r="R150" s="316">
        <v>44679</v>
      </c>
      <c r="S150" s="335" t="s">
        <v>6837</v>
      </c>
      <c r="T150" s="335" t="s">
        <v>6837</v>
      </c>
      <c r="U150" s="322">
        <v>44680</v>
      </c>
      <c r="V150" s="317" t="s">
        <v>7439</v>
      </c>
      <c r="W150" s="317">
        <v>2</v>
      </c>
      <c r="X150" s="317" t="s">
        <v>4999</v>
      </c>
      <c r="Y150" s="322">
        <v>44680</v>
      </c>
      <c r="Z150" s="38" t="s">
        <v>6825</v>
      </c>
      <c r="AA150" s="313">
        <v>44684</v>
      </c>
      <c r="AB150" s="313">
        <v>44684</v>
      </c>
      <c r="AC150" s="314" t="s">
        <v>7145</v>
      </c>
    </row>
    <row r="151" spans="1:29" ht="26.25" customHeight="1" thickBot="1" x14ac:dyDescent="0.3">
      <c r="A151" s="306" t="str">
        <f t="shared" si="7"/>
        <v>OK</v>
      </c>
      <c r="B151" s="307" t="str">
        <f t="shared" si="8"/>
        <v>OK</v>
      </c>
      <c r="C151" s="308" t="str">
        <f>IF(OR(ISBLANK(AA151),ISBLANK(AB151),ISBLANK(#REF!))=TRUE,"P","OK")</f>
        <v>OK</v>
      </c>
      <c r="D151" s="28">
        <v>0</v>
      </c>
      <c r="E151" s="49" t="s">
        <v>7440</v>
      </c>
      <c r="F151" s="49" t="s">
        <v>69</v>
      </c>
      <c r="G151" s="1">
        <v>181510</v>
      </c>
      <c r="H151" s="1" t="s">
        <v>7441</v>
      </c>
      <c r="I151" s="49" t="s">
        <v>6820</v>
      </c>
      <c r="J151" s="49" t="s">
        <v>6829</v>
      </c>
      <c r="K151" s="49" t="s">
        <v>7442</v>
      </c>
      <c r="L151" s="49" t="s">
        <v>7443</v>
      </c>
      <c r="M151" s="49" t="s">
        <v>7438</v>
      </c>
      <c r="N151" s="316">
        <v>44365</v>
      </c>
      <c r="O151" s="316">
        <v>44679</v>
      </c>
      <c r="P151" s="316" t="s">
        <v>5683</v>
      </c>
      <c r="Q151" s="316">
        <v>44365</v>
      </c>
      <c r="R151" s="316">
        <v>44694</v>
      </c>
      <c r="S151" s="310" t="s">
        <v>6837</v>
      </c>
      <c r="T151" s="310" t="s">
        <v>6837</v>
      </c>
      <c r="U151" s="322">
        <v>44679</v>
      </c>
      <c r="V151" s="317" t="s">
        <v>7444</v>
      </c>
      <c r="W151" s="317">
        <v>1</v>
      </c>
      <c r="X151" s="317" t="s">
        <v>4999</v>
      </c>
      <c r="Y151" s="322">
        <v>44679</v>
      </c>
      <c r="Z151" s="38" t="s">
        <v>6825</v>
      </c>
      <c r="AA151" s="313">
        <v>44714</v>
      </c>
      <c r="AB151" s="313">
        <v>44714</v>
      </c>
      <c r="AC151" s="314" t="s">
        <v>7145</v>
      </c>
    </row>
    <row r="152" spans="1:29" ht="13.7" customHeight="1" thickBot="1" x14ac:dyDescent="0.3">
      <c r="A152" s="306" t="str">
        <f t="shared" si="7"/>
        <v>OK</v>
      </c>
      <c r="B152" s="307" t="str">
        <f t="shared" si="8"/>
        <v>OK</v>
      </c>
      <c r="C152" s="308" t="str">
        <f>IF(OR(ISBLANK(AA152),ISBLANK(AB152),ISBLANK(#REF!))=TRUE,"P","OK")</f>
        <v>OK</v>
      </c>
      <c r="D152" s="28">
        <v>0</v>
      </c>
      <c r="E152" s="49" t="s">
        <v>7445</v>
      </c>
      <c r="F152" s="49" t="s">
        <v>69</v>
      </c>
      <c r="G152" s="49">
        <v>182060</v>
      </c>
      <c r="H152" s="49" t="s">
        <v>7446</v>
      </c>
      <c r="I152" s="49" t="s">
        <v>6820</v>
      </c>
      <c r="J152" s="49" t="s">
        <v>4998</v>
      </c>
      <c r="K152" s="49" t="s">
        <v>71</v>
      </c>
      <c r="L152" s="49" t="s">
        <v>72</v>
      </c>
      <c r="M152" s="49" t="s">
        <v>73</v>
      </c>
      <c r="N152" s="316">
        <v>44859</v>
      </c>
      <c r="O152" s="316" t="s">
        <v>264</v>
      </c>
      <c r="P152" s="316">
        <v>44859</v>
      </c>
      <c r="Q152" s="316">
        <v>44859</v>
      </c>
      <c r="R152" s="316">
        <v>44859</v>
      </c>
      <c r="S152" s="334" t="s">
        <v>28</v>
      </c>
      <c r="T152" s="334" t="s">
        <v>28</v>
      </c>
      <c r="U152" s="322">
        <v>44861</v>
      </c>
      <c r="V152" s="317" t="s">
        <v>74</v>
      </c>
      <c r="W152" s="317">
        <v>1</v>
      </c>
      <c r="X152" s="317" t="s">
        <v>4999</v>
      </c>
      <c r="Y152" s="322">
        <v>44862</v>
      </c>
      <c r="Z152" s="312" t="s">
        <v>6825</v>
      </c>
      <c r="AA152" s="313">
        <v>44862</v>
      </c>
      <c r="AB152" s="313">
        <v>44862</v>
      </c>
      <c r="AC152" s="314" t="s">
        <v>7145</v>
      </c>
    </row>
    <row r="153" spans="1:29" ht="13.7" customHeight="1" thickBot="1" x14ac:dyDescent="0.3">
      <c r="A153" s="306" t="str">
        <f t="shared" si="7"/>
        <v>OK</v>
      </c>
      <c r="B153" s="307" t="str">
        <f t="shared" si="8"/>
        <v>OK</v>
      </c>
      <c r="C153" s="308" t="str">
        <f>IF(OR(ISBLANK(AA153),ISBLANK(AB153),ISBLANK(#REF!))=TRUE,"P","OK")</f>
        <v>OK</v>
      </c>
      <c r="D153" s="28">
        <v>0</v>
      </c>
      <c r="E153" s="49" t="s">
        <v>7447</v>
      </c>
      <c r="F153" s="49" t="s">
        <v>69</v>
      </c>
      <c r="G153" s="49">
        <v>182060</v>
      </c>
      <c r="H153" s="49" t="s">
        <v>7448</v>
      </c>
      <c r="I153" s="49" t="s">
        <v>6820</v>
      </c>
      <c r="J153" s="49" t="s">
        <v>6829</v>
      </c>
      <c r="K153" s="49" t="s">
        <v>7449</v>
      </c>
      <c r="L153" s="49" t="s">
        <v>2683</v>
      </c>
      <c r="M153" s="49" t="s">
        <v>73</v>
      </c>
      <c r="N153" s="316" t="s">
        <v>5683</v>
      </c>
      <c r="O153" s="316" t="s">
        <v>5683</v>
      </c>
      <c r="P153" s="316" t="s">
        <v>5683</v>
      </c>
      <c r="Q153" s="316" t="s">
        <v>5683</v>
      </c>
      <c r="R153" s="316" t="s">
        <v>5683</v>
      </c>
      <c r="S153" s="334" t="s">
        <v>28</v>
      </c>
      <c r="T153" s="334" t="s">
        <v>28</v>
      </c>
      <c r="U153" s="322">
        <v>44860</v>
      </c>
      <c r="V153" s="317" t="s">
        <v>7450</v>
      </c>
      <c r="W153" s="317">
        <v>1</v>
      </c>
      <c r="X153" s="317" t="s">
        <v>4999</v>
      </c>
      <c r="Y153" s="322">
        <v>44860</v>
      </c>
      <c r="Z153" s="312" t="s">
        <v>6825</v>
      </c>
      <c r="AA153" s="313">
        <v>44868</v>
      </c>
      <c r="AB153" s="313">
        <v>44868</v>
      </c>
      <c r="AC153" s="314" t="s">
        <v>7145</v>
      </c>
    </row>
    <row r="154" spans="1:29" x14ac:dyDescent="0.25">
      <c r="A154" s="306" t="str">
        <f t="shared" si="7"/>
        <v>OK</v>
      </c>
      <c r="B154" s="307" t="str">
        <f t="shared" si="8"/>
        <v>OK</v>
      </c>
      <c r="C154" s="308" t="str">
        <f>IF(OR(ISBLANK(AA154),ISBLANK(AB154),ISBLANK(#REF!))=TRUE,"P","OK")</f>
        <v>OK</v>
      </c>
      <c r="D154" s="28">
        <v>0</v>
      </c>
      <c r="E154" s="49" t="s">
        <v>7451</v>
      </c>
      <c r="F154" s="49" t="s">
        <v>69</v>
      </c>
      <c r="G154" s="49">
        <v>182060</v>
      </c>
      <c r="H154" s="49" t="s">
        <v>7452</v>
      </c>
      <c r="I154" s="49" t="s">
        <v>6820</v>
      </c>
      <c r="J154" s="49" t="s">
        <v>4998</v>
      </c>
      <c r="K154" s="49" t="s">
        <v>7453</v>
      </c>
      <c r="L154" s="49" t="s">
        <v>3715</v>
      </c>
      <c r="M154" s="49" t="s">
        <v>1730</v>
      </c>
      <c r="N154" s="316">
        <v>44741</v>
      </c>
      <c r="O154" s="316" t="s">
        <v>264</v>
      </c>
      <c r="P154" s="316">
        <v>44741</v>
      </c>
      <c r="Q154" s="316">
        <v>44741</v>
      </c>
      <c r="R154" s="316">
        <v>44832</v>
      </c>
      <c r="S154" s="334" t="s">
        <v>28</v>
      </c>
      <c r="T154" s="317" t="s">
        <v>28</v>
      </c>
      <c r="U154" s="322">
        <v>44848</v>
      </c>
      <c r="V154" s="317" t="s">
        <v>7454</v>
      </c>
      <c r="W154" s="317">
        <v>2</v>
      </c>
      <c r="X154" s="317" t="s">
        <v>4999</v>
      </c>
      <c r="Y154" s="322">
        <v>44859</v>
      </c>
      <c r="Z154" s="312" t="s">
        <v>6898</v>
      </c>
      <c r="AA154" s="312" t="s">
        <v>6898</v>
      </c>
      <c r="AB154" s="312" t="s">
        <v>6898</v>
      </c>
      <c r="AC154" s="314" t="s">
        <v>6898</v>
      </c>
    </row>
    <row r="155" spans="1:29" ht="13.7" customHeight="1" thickBot="1" x14ac:dyDescent="0.3">
      <c r="A155" s="306" t="str">
        <f t="shared" si="7"/>
        <v>OK</v>
      </c>
      <c r="B155" s="307" t="str">
        <f t="shared" si="8"/>
        <v>OK</v>
      </c>
      <c r="C155" s="308" t="str">
        <f>IF(OR(ISBLANK(AA155),ISBLANK(AB155),ISBLANK(#REF!))=TRUE,"P","OK")</f>
        <v>OK</v>
      </c>
      <c r="D155" s="28">
        <v>0</v>
      </c>
      <c r="E155" s="49" t="s">
        <v>7455</v>
      </c>
      <c r="F155" s="49" t="s">
        <v>69</v>
      </c>
      <c r="G155" s="49">
        <v>182060</v>
      </c>
      <c r="H155" s="49" t="s">
        <v>7456</v>
      </c>
      <c r="I155" s="49" t="s">
        <v>6820</v>
      </c>
      <c r="J155" s="49" t="s">
        <v>4998</v>
      </c>
      <c r="K155" s="49" t="s">
        <v>2136</v>
      </c>
      <c r="L155" s="49" t="s">
        <v>3865</v>
      </c>
      <c r="M155" s="49" t="s">
        <v>73</v>
      </c>
      <c r="N155" s="316">
        <v>44873</v>
      </c>
      <c r="O155" s="316" t="s">
        <v>264</v>
      </c>
      <c r="P155" s="316">
        <v>44873</v>
      </c>
      <c r="Q155" s="316">
        <v>44873</v>
      </c>
      <c r="R155" s="316">
        <v>44873</v>
      </c>
      <c r="S155" s="334" t="s">
        <v>28</v>
      </c>
      <c r="T155" s="334" t="s">
        <v>28</v>
      </c>
      <c r="U155" s="322">
        <v>44874</v>
      </c>
      <c r="V155" s="317" t="s">
        <v>2157</v>
      </c>
      <c r="W155" s="317">
        <v>9</v>
      </c>
      <c r="X155" s="317" t="s">
        <v>4999</v>
      </c>
      <c r="Y155" s="322">
        <v>44882</v>
      </c>
      <c r="Z155" s="312" t="s">
        <v>6825</v>
      </c>
      <c r="AA155" s="313">
        <v>44882</v>
      </c>
      <c r="AB155" s="313">
        <v>44882</v>
      </c>
      <c r="AC155" s="314" t="s">
        <v>7145</v>
      </c>
    </row>
    <row r="156" spans="1:29" ht="13.7" customHeight="1" thickBot="1" x14ac:dyDescent="0.3">
      <c r="A156" s="306" t="str">
        <f t="shared" si="7"/>
        <v>OK</v>
      </c>
      <c r="B156" s="307" t="str">
        <f t="shared" si="8"/>
        <v>OK</v>
      </c>
      <c r="C156" s="308" t="str">
        <f>IF(OR(ISBLANK(AA156),ISBLANK(AB156),ISBLANK(#REF!))=TRUE,"P","OK")</f>
        <v>OK</v>
      </c>
      <c r="D156" s="28">
        <v>0</v>
      </c>
      <c r="E156" s="49" t="s">
        <v>7457</v>
      </c>
      <c r="F156" s="49" t="s">
        <v>69</v>
      </c>
      <c r="G156" s="49">
        <v>181510</v>
      </c>
      <c r="H156" s="49" t="s">
        <v>7458</v>
      </c>
      <c r="I156" s="49" t="s">
        <v>6820</v>
      </c>
      <c r="J156" s="49" t="s">
        <v>4998</v>
      </c>
      <c r="K156" s="49" t="s">
        <v>7459</v>
      </c>
      <c r="L156" s="49" t="s">
        <v>2678</v>
      </c>
      <c r="M156" s="49" t="s">
        <v>7460</v>
      </c>
      <c r="N156" s="316">
        <v>44638</v>
      </c>
      <c r="O156" s="316" t="s">
        <v>264</v>
      </c>
      <c r="P156" s="316">
        <v>44638</v>
      </c>
      <c r="Q156" s="316">
        <v>44638</v>
      </c>
      <c r="R156" s="316">
        <v>44644</v>
      </c>
      <c r="S156" s="334" t="s">
        <v>6837</v>
      </c>
      <c r="T156" s="334" t="s">
        <v>6837</v>
      </c>
      <c r="U156" s="322">
        <v>44645</v>
      </c>
      <c r="V156" s="317" t="s">
        <v>2679</v>
      </c>
      <c r="W156" s="317">
        <v>4</v>
      </c>
      <c r="X156" s="317" t="s">
        <v>4999</v>
      </c>
      <c r="Y156" s="322">
        <v>44645</v>
      </c>
      <c r="Z156" s="312" t="s">
        <v>6825</v>
      </c>
      <c r="AA156" s="313">
        <v>44651</v>
      </c>
      <c r="AB156" s="313">
        <v>44651</v>
      </c>
      <c r="AC156" s="314" t="s">
        <v>7145</v>
      </c>
    </row>
    <row r="157" spans="1:29" x14ac:dyDescent="0.25">
      <c r="A157" s="306" t="str">
        <f t="shared" si="7"/>
        <v>OK</v>
      </c>
      <c r="B157" s="307" t="str">
        <f t="shared" si="8"/>
        <v>OK</v>
      </c>
      <c r="C157" s="308" t="str">
        <f>IF(OR(ISBLANK(AA157),ISBLANK(AB157),ISBLANK(#REF!))=TRUE,"P","OK")</f>
        <v>OK</v>
      </c>
      <c r="D157" s="28">
        <v>0</v>
      </c>
      <c r="E157" s="49" t="s">
        <v>7461</v>
      </c>
      <c r="F157" s="49" t="s">
        <v>69</v>
      </c>
      <c r="G157" s="49">
        <v>181510</v>
      </c>
      <c r="H157" s="49" t="s">
        <v>7462</v>
      </c>
      <c r="I157" s="49" t="s">
        <v>6820</v>
      </c>
      <c r="J157" s="49" t="s">
        <v>4998</v>
      </c>
      <c r="K157" s="49" t="s">
        <v>5411</v>
      </c>
      <c r="L157" s="49" t="s">
        <v>5412</v>
      </c>
      <c r="M157" s="49" t="s">
        <v>3725</v>
      </c>
      <c r="N157" s="316">
        <v>44730</v>
      </c>
      <c r="O157" s="316" t="s">
        <v>264</v>
      </c>
      <c r="P157" s="316">
        <v>44730</v>
      </c>
      <c r="Q157" s="316">
        <v>44730</v>
      </c>
      <c r="R157" s="316">
        <v>44749</v>
      </c>
      <c r="S157" s="334" t="s">
        <v>28</v>
      </c>
      <c r="T157" s="334" t="s">
        <v>28</v>
      </c>
      <c r="U157" s="322">
        <v>44761</v>
      </c>
      <c r="V157" s="317" t="s">
        <v>7463</v>
      </c>
      <c r="W157" s="317">
        <v>1</v>
      </c>
      <c r="X157" s="317" t="s">
        <v>4999</v>
      </c>
      <c r="Y157" s="322">
        <v>44761</v>
      </c>
      <c r="Z157" s="312" t="s">
        <v>264</v>
      </c>
      <c r="AA157" s="313">
        <v>44762</v>
      </c>
      <c r="AB157" s="313">
        <v>44762</v>
      </c>
      <c r="AC157" s="314" t="s">
        <v>4999</v>
      </c>
    </row>
    <row r="158" spans="1:29" ht="13.7" customHeight="1" thickBot="1" x14ac:dyDescent="0.3">
      <c r="A158" s="306" t="str">
        <f t="shared" si="7"/>
        <v>P</v>
      </c>
      <c r="B158" s="307" t="str">
        <f t="shared" si="8"/>
        <v>P</v>
      </c>
      <c r="C158" s="308" t="str">
        <f>IF(OR(ISBLANK(AA158),ISBLANK(AB158),ISBLANK(#REF!))=TRUE,"P","OK")</f>
        <v>P</v>
      </c>
      <c r="D158" s="28">
        <v>0</v>
      </c>
      <c r="E158" s="49" t="s">
        <v>7464</v>
      </c>
      <c r="F158" s="49" t="s">
        <v>69</v>
      </c>
      <c r="G158" s="49"/>
      <c r="H158" s="49"/>
      <c r="I158" s="49"/>
      <c r="J158" s="49"/>
      <c r="K158" s="49"/>
      <c r="L158" s="49"/>
      <c r="M158" s="49"/>
      <c r="N158" s="316"/>
      <c r="O158" s="316"/>
      <c r="P158" s="316"/>
      <c r="Q158" s="316"/>
      <c r="R158" s="316"/>
      <c r="S158" s="334"/>
      <c r="T158" s="334"/>
      <c r="U158" s="317"/>
      <c r="V158" s="317"/>
      <c r="W158" s="317"/>
      <c r="X158" s="317"/>
      <c r="Y158" s="317"/>
      <c r="Z158" s="312"/>
      <c r="AA158" s="312"/>
      <c r="AB158" s="312"/>
      <c r="AC158" s="314"/>
    </row>
    <row r="159" spans="1:29" ht="33.75" customHeight="1" thickBot="1" x14ac:dyDescent="0.3">
      <c r="A159" s="306" t="str">
        <f t="shared" si="7"/>
        <v>OK</v>
      </c>
      <c r="B159" s="307" t="str">
        <f t="shared" si="8"/>
        <v>OK</v>
      </c>
      <c r="C159" s="308" t="str">
        <f>IF(OR(ISBLANK(AA159),ISBLANK(AB159),ISBLANK(#REF!))=TRUE,"P","OK")</f>
        <v>OK</v>
      </c>
      <c r="D159" s="28">
        <v>0</v>
      </c>
      <c r="E159" s="49" t="s">
        <v>7465</v>
      </c>
      <c r="F159" s="49" t="s">
        <v>69</v>
      </c>
      <c r="G159" s="49">
        <v>181510</v>
      </c>
      <c r="H159" s="49" t="s">
        <v>7466</v>
      </c>
      <c r="I159" s="49" t="s">
        <v>6820</v>
      </c>
      <c r="J159" s="49" t="s">
        <v>4998</v>
      </c>
      <c r="K159" s="49" t="s">
        <v>7467</v>
      </c>
      <c r="L159" s="49" t="s">
        <v>7468</v>
      </c>
      <c r="M159" s="49" t="s">
        <v>3725</v>
      </c>
      <c r="N159" s="316">
        <v>44365</v>
      </c>
      <c r="O159" s="316" t="s">
        <v>5683</v>
      </c>
      <c r="P159" s="316" t="s">
        <v>5683</v>
      </c>
      <c r="Q159" s="316">
        <v>44365</v>
      </c>
      <c r="R159" s="316">
        <v>44749</v>
      </c>
      <c r="S159" s="310" t="s">
        <v>28</v>
      </c>
      <c r="T159" s="310" t="s">
        <v>6879</v>
      </c>
      <c r="U159" s="337">
        <v>44761</v>
      </c>
      <c r="V159" s="335" t="s">
        <v>7469</v>
      </c>
      <c r="W159" s="335">
        <v>7</v>
      </c>
      <c r="X159" s="335" t="s">
        <v>4999</v>
      </c>
      <c r="Y159" s="337">
        <v>44761</v>
      </c>
      <c r="Z159" s="74" t="s">
        <v>6825</v>
      </c>
      <c r="AA159" s="313">
        <v>44762</v>
      </c>
      <c r="AB159" s="313">
        <v>44762</v>
      </c>
      <c r="AC159" s="314" t="s">
        <v>7145</v>
      </c>
    </row>
    <row r="160" spans="1:29" ht="28.5" customHeight="1" thickBot="1" x14ac:dyDescent="0.3">
      <c r="A160" s="306" t="str">
        <f t="shared" si="7"/>
        <v>OK</v>
      </c>
      <c r="B160" s="307" t="str">
        <f t="shared" si="8"/>
        <v>OK</v>
      </c>
      <c r="C160" s="308" t="str">
        <f>IF(OR(ISBLANK(AA160),ISBLANK(AB160),ISBLANK(#REF!))=TRUE,"P","OK")</f>
        <v>OK</v>
      </c>
      <c r="D160" s="28">
        <v>0</v>
      </c>
      <c r="E160" s="49" t="s">
        <v>7470</v>
      </c>
      <c r="F160" s="49" t="s">
        <v>69</v>
      </c>
      <c r="G160" s="49">
        <v>181510</v>
      </c>
      <c r="H160" s="49" t="s">
        <v>7471</v>
      </c>
      <c r="I160" s="49" t="s">
        <v>6820</v>
      </c>
      <c r="J160" s="49" t="s">
        <v>4998</v>
      </c>
      <c r="K160" s="49" t="s">
        <v>7472</v>
      </c>
      <c r="L160" s="49" t="s">
        <v>7473</v>
      </c>
      <c r="M160" s="49" t="s">
        <v>3725</v>
      </c>
      <c r="N160" s="316">
        <v>44365</v>
      </c>
      <c r="O160" s="316" t="s">
        <v>5683</v>
      </c>
      <c r="P160" s="316" t="s">
        <v>5683</v>
      </c>
      <c r="Q160" s="316">
        <v>44365</v>
      </c>
      <c r="R160" s="316">
        <v>44749</v>
      </c>
      <c r="S160" s="310" t="s">
        <v>28</v>
      </c>
      <c r="T160" s="310" t="s">
        <v>6879</v>
      </c>
      <c r="U160" s="337">
        <v>44761</v>
      </c>
      <c r="V160" s="335" t="s">
        <v>7469</v>
      </c>
      <c r="W160" s="335">
        <v>5</v>
      </c>
      <c r="X160" s="335" t="s">
        <v>4999</v>
      </c>
      <c r="Y160" s="337">
        <v>44761</v>
      </c>
      <c r="Z160" s="38" t="s">
        <v>6825</v>
      </c>
      <c r="AA160" s="313">
        <v>44762</v>
      </c>
      <c r="AB160" s="313">
        <v>44762</v>
      </c>
      <c r="AC160" s="314" t="s">
        <v>7145</v>
      </c>
    </row>
    <row r="161" spans="1:29" ht="25.5" x14ac:dyDescent="0.25">
      <c r="A161" s="306" t="str">
        <f t="shared" ref="A161:A178" si="9">IF(OR(ISBLANK(D161),ISBLANK(E161),ISBLANK(F161),ISBLANK(G161),ISBLANK(H161),ISBLANK(I161),ISBLANK(J161),ISBLANK(K161),ISBLANK(L161),ISBLANK(M161),ISBLANK(N161),ISBLANK(O161),ISBLANK(P161),ISBLANK(Q161),ISBLANK(R161))=TRUE,"P","OK")</f>
        <v>OK</v>
      </c>
      <c r="B161" s="307" t="str">
        <f t="shared" si="8"/>
        <v>OK</v>
      </c>
      <c r="C161" s="308" t="str">
        <f>IF(OR(ISBLANK(AA161),ISBLANK(AB161),ISBLANK(#REF!))=TRUE,"P","OK")</f>
        <v>OK</v>
      </c>
      <c r="D161" s="28">
        <v>0</v>
      </c>
      <c r="E161" s="49" t="s">
        <v>7474</v>
      </c>
      <c r="F161" s="49" t="s">
        <v>69</v>
      </c>
      <c r="G161" s="49">
        <v>182060</v>
      </c>
      <c r="H161" s="49" t="s">
        <v>7475</v>
      </c>
      <c r="I161" s="49" t="s">
        <v>6820</v>
      </c>
      <c r="J161" s="49" t="s">
        <v>4998</v>
      </c>
      <c r="K161" s="49" t="s">
        <v>5047</v>
      </c>
      <c r="L161" s="49" t="s">
        <v>5048</v>
      </c>
      <c r="M161" s="49" t="s">
        <v>7476</v>
      </c>
      <c r="N161" s="316">
        <v>44741</v>
      </c>
      <c r="O161" s="316" t="s">
        <v>264</v>
      </c>
      <c r="P161" s="316">
        <v>44741</v>
      </c>
      <c r="Q161" s="316">
        <v>44741</v>
      </c>
      <c r="R161" s="316">
        <v>44771</v>
      </c>
      <c r="S161" s="310" t="s">
        <v>28</v>
      </c>
      <c r="T161" s="310" t="s">
        <v>6879</v>
      </c>
      <c r="U161" s="322">
        <v>44782</v>
      </c>
      <c r="V161" s="317" t="s">
        <v>7477</v>
      </c>
      <c r="W161" s="317">
        <v>1</v>
      </c>
      <c r="X161" s="317" t="s">
        <v>6898</v>
      </c>
      <c r="Y161" s="322">
        <v>44805</v>
      </c>
      <c r="Z161" s="312" t="s">
        <v>264</v>
      </c>
      <c r="AA161" s="313">
        <v>44810</v>
      </c>
      <c r="AB161" s="313">
        <v>44810</v>
      </c>
      <c r="AC161" s="314" t="s">
        <v>4999</v>
      </c>
    </row>
    <row r="162" spans="1:29" x14ac:dyDescent="0.25">
      <c r="A162" s="306" t="str">
        <f t="shared" si="9"/>
        <v>OK</v>
      </c>
      <c r="B162" s="307" t="str">
        <f t="shared" si="8"/>
        <v>OK</v>
      </c>
      <c r="C162" s="308" t="str">
        <f>IF(OR(ISBLANK(AA162),ISBLANK(AB162),ISBLANK(#REF!))=TRUE,"P","OK")</f>
        <v>OK</v>
      </c>
      <c r="D162" s="28">
        <v>0</v>
      </c>
      <c r="E162" s="49" t="s">
        <v>7478</v>
      </c>
      <c r="F162" s="49" t="s">
        <v>69</v>
      </c>
      <c r="G162" s="49">
        <v>182060</v>
      </c>
      <c r="H162" s="49" t="s">
        <v>7479</v>
      </c>
      <c r="I162" s="49" t="s">
        <v>6820</v>
      </c>
      <c r="J162" s="49" t="s">
        <v>4998</v>
      </c>
      <c r="K162" s="49" t="s">
        <v>1874</v>
      </c>
      <c r="L162" s="49" t="s">
        <v>7480</v>
      </c>
      <c r="M162" s="49" t="s">
        <v>7481</v>
      </c>
      <c r="N162" s="316">
        <v>44741</v>
      </c>
      <c r="O162" s="316" t="s">
        <v>264</v>
      </c>
      <c r="P162" s="316">
        <v>44741</v>
      </c>
      <c r="Q162" s="316">
        <v>44741</v>
      </c>
      <c r="R162" s="316" t="s">
        <v>5683</v>
      </c>
      <c r="S162" s="333" t="s">
        <v>6832</v>
      </c>
      <c r="T162" s="333" t="s">
        <v>6832</v>
      </c>
      <c r="U162" s="322">
        <v>44776</v>
      </c>
      <c r="V162" s="317" t="s">
        <v>7482</v>
      </c>
      <c r="W162" s="317">
        <v>1</v>
      </c>
      <c r="X162" s="317" t="s">
        <v>6898</v>
      </c>
      <c r="Y162" s="322">
        <v>44776</v>
      </c>
      <c r="Z162" s="312" t="s">
        <v>264</v>
      </c>
      <c r="AA162" s="313">
        <v>44776</v>
      </c>
      <c r="AB162" s="313">
        <v>44776</v>
      </c>
      <c r="AC162" s="314" t="s">
        <v>4999</v>
      </c>
    </row>
    <row r="163" spans="1:29" x14ac:dyDescent="0.25">
      <c r="A163" s="306" t="str">
        <f t="shared" si="9"/>
        <v>OK</v>
      </c>
      <c r="B163" s="307" t="str">
        <f t="shared" si="8"/>
        <v>OK</v>
      </c>
      <c r="C163" s="308" t="str">
        <f>IF(OR(ISBLANK(AA163),ISBLANK(AB163),ISBLANK(#REF!))=TRUE,"P","OK")</f>
        <v>OK</v>
      </c>
      <c r="D163" s="28">
        <v>0</v>
      </c>
      <c r="E163" s="49" t="s">
        <v>7483</v>
      </c>
      <c r="F163" s="49" t="s">
        <v>69</v>
      </c>
      <c r="G163" s="49">
        <v>182060</v>
      </c>
      <c r="H163" s="49" t="s">
        <v>7484</v>
      </c>
      <c r="I163" s="49" t="s">
        <v>6820</v>
      </c>
      <c r="J163" s="49" t="s">
        <v>4998</v>
      </c>
      <c r="K163" s="49" t="s">
        <v>7485</v>
      </c>
      <c r="L163" s="49" t="s">
        <v>7486</v>
      </c>
      <c r="M163" s="49" t="s">
        <v>1730</v>
      </c>
      <c r="N163" s="316">
        <v>44741</v>
      </c>
      <c r="O163" s="316" t="s">
        <v>264</v>
      </c>
      <c r="P163" s="316">
        <v>44741</v>
      </c>
      <c r="Q163" s="316">
        <v>44741</v>
      </c>
      <c r="R163" s="316" t="s">
        <v>5683</v>
      </c>
      <c r="S163" s="317" t="s">
        <v>28</v>
      </c>
      <c r="T163" s="317" t="s">
        <v>28</v>
      </c>
      <c r="U163" s="322">
        <v>44816</v>
      </c>
      <c r="V163" s="317" t="s">
        <v>7487</v>
      </c>
      <c r="W163" s="317">
        <v>2</v>
      </c>
      <c r="X163" s="317" t="s">
        <v>4999</v>
      </c>
      <c r="Y163" s="322">
        <v>44819</v>
      </c>
      <c r="Z163" s="312" t="s">
        <v>264</v>
      </c>
      <c r="AA163" s="313">
        <v>44823</v>
      </c>
      <c r="AB163" s="313">
        <v>44823</v>
      </c>
      <c r="AC163" s="314" t="s">
        <v>4999</v>
      </c>
    </row>
    <row r="164" spans="1:29" ht="13.7" customHeight="1" thickBot="1" x14ac:dyDescent="0.3">
      <c r="A164" s="306" t="str">
        <f t="shared" si="9"/>
        <v>OK</v>
      </c>
      <c r="B164" s="307" t="str">
        <f t="shared" si="8"/>
        <v>OK</v>
      </c>
      <c r="C164" s="308" t="str">
        <f>IF(OR(ISBLANK(AA164),ISBLANK(AB164),ISBLANK(#REF!))=TRUE,"P","OK")</f>
        <v>OK</v>
      </c>
      <c r="D164" s="28">
        <v>0</v>
      </c>
      <c r="E164" s="49" t="s">
        <v>7488</v>
      </c>
      <c r="F164" s="49" t="s">
        <v>69</v>
      </c>
      <c r="G164" s="49">
        <v>182060</v>
      </c>
      <c r="H164" s="49" t="s">
        <v>7489</v>
      </c>
      <c r="I164" s="49" t="s">
        <v>6820</v>
      </c>
      <c r="J164" s="49" t="s">
        <v>4998</v>
      </c>
      <c r="K164" s="49" t="s">
        <v>291</v>
      </c>
      <c r="L164" s="49" t="s">
        <v>7490</v>
      </c>
      <c r="M164" s="49" t="s">
        <v>1730</v>
      </c>
      <c r="N164" s="316">
        <v>44858</v>
      </c>
      <c r="O164" s="316" t="s">
        <v>264</v>
      </c>
      <c r="P164" s="316">
        <v>44858</v>
      </c>
      <c r="Q164" s="316">
        <v>44858</v>
      </c>
      <c r="R164" s="316">
        <v>44858</v>
      </c>
      <c r="S164" s="317" t="s">
        <v>28</v>
      </c>
      <c r="T164" s="317" t="s">
        <v>28</v>
      </c>
      <c r="U164" s="322">
        <v>44860</v>
      </c>
      <c r="V164" s="317" t="s">
        <v>7491</v>
      </c>
      <c r="W164" s="317">
        <v>7</v>
      </c>
      <c r="X164" s="317" t="s">
        <v>4999</v>
      </c>
      <c r="Y164" s="322">
        <v>44860</v>
      </c>
      <c r="Z164" s="312" t="s">
        <v>6825</v>
      </c>
      <c r="AA164" s="313">
        <v>44861</v>
      </c>
      <c r="AB164" s="313">
        <v>44861</v>
      </c>
      <c r="AC164" s="314" t="s">
        <v>7145</v>
      </c>
    </row>
    <row r="165" spans="1:29" ht="13.7" customHeight="1" thickBot="1" x14ac:dyDescent="0.3">
      <c r="A165" s="306" t="str">
        <f t="shared" si="9"/>
        <v>OK</v>
      </c>
      <c r="B165" s="307" t="str">
        <f t="shared" si="8"/>
        <v>OK</v>
      </c>
      <c r="C165" s="308" t="str">
        <f>IF(OR(ISBLANK(AA165),ISBLANK(AB165),ISBLANK(#REF!))=TRUE,"P","OK")</f>
        <v>OK</v>
      </c>
      <c r="D165" s="28">
        <v>0</v>
      </c>
      <c r="E165" s="49" t="s">
        <v>7492</v>
      </c>
      <c r="F165" s="49" t="s">
        <v>69</v>
      </c>
      <c r="G165" s="49">
        <v>182060</v>
      </c>
      <c r="H165" s="49" t="s">
        <v>7493</v>
      </c>
      <c r="I165" s="49" t="s">
        <v>6820</v>
      </c>
      <c r="J165" s="49" t="s">
        <v>4998</v>
      </c>
      <c r="K165" s="49" t="s">
        <v>5435</v>
      </c>
      <c r="L165" s="49" t="s">
        <v>7494</v>
      </c>
      <c r="M165" s="49" t="s">
        <v>73</v>
      </c>
      <c r="N165" s="316">
        <v>44858</v>
      </c>
      <c r="O165" s="316" t="s">
        <v>264</v>
      </c>
      <c r="P165" s="316">
        <v>44858</v>
      </c>
      <c r="Q165" s="316">
        <v>44858</v>
      </c>
      <c r="R165" s="316">
        <v>44858</v>
      </c>
      <c r="S165" s="334" t="s">
        <v>28</v>
      </c>
      <c r="T165" s="334" t="s">
        <v>28</v>
      </c>
      <c r="U165" s="322">
        <v>44860</v>
      </c>
      <c r="V165" s="317" t="s">
        <v>1759</v>
      </c>
      <c r="W165" s="317">
        <v>8</v>
      </c>
      <c r="X165" s="317" t="s">
        <v>4999</v>
      </c>
      <c r="Y165" s="322">
        <v>44860</v>
      </c>
      <c r="Z165" s="312" t="s">
        <v>6825</v>
      </c>
      <c r="AA165" s="313">
        <v>44861</v>
      </c>
      <c r="AB165" s="313">
        <v>44861</v>
      </c>
      <c r="AC165" s="314" t="s">
        <v>7145</v>
      </c>
    </row>
    <row r="166" spans="1:29" ht="13.7" customHeight="1" thickBot="1" x14ac:dyDescent="0.3">
      <c r="A166" s="306" t="str">
        <f t="shared" si="9"/>
        <v>OK</v>
      </c>
      <c r="B166" s="307" t="str">
        <f t="shared" si="8"/>
        <v>OK</v>
      </c>
      <c r="C166" s="308" t="str">
        <f>IF(OR(ISBLANK(AA166),ISBLANK(AB166),ISBLANK(#REF!))=TRUE,"P","OK")</f>
        <v>OK</v>
      </c>
      <c r="D166" s="28">
        <v>0</v>
      </c>
      <c r="E166" s="49" t="s">
        <v>7495</v>
      </c>
      <c r="F166" s="49" t="s">
        <v>69</v>
      </c>
      <c r="G166" s="49">
        <v>182060</v>
      </c>
      <c r="H166" s="49" t="s">
        <v>7496</v>
      </c>
      <c r="I166" s="49" t="s">
        <v>6820</v>
      </c>
      <c r="J166" s="49" t="s">
        <v>4998</v>
      </c>
      <c r="K166" s="49" t="s">
        <v>291</v>
      </c>
      <c r="L166" s="49" t="s">
        <v>292</v>
      </c>
      <c r="M166" s="49" t="s">
        <v>73</v>
      </c>
      <c r="N166" s="316">
        <v>44865</v>
      </c>
      <c r="O166" s="316" t="s">
        <v>264</v>
      </c>
      <c r="P166" s="316">
        <v>44865</v>
      </c>
      <c r="Q166" s="316">
        <v>44865</v>
      </c>
      <c r="R166" s="316">
        <v>44865</v>
      </c>
      <c r="S166" s="334" t="s">
        <v>28</v>
      </c>
      <c r="T166" s="334" t="s">
        <v>28</v>
      </c>
      <c r="U166" s="322">
        <v>44874</v>
      </c>
      <c r="V166" s="317" t="s">
        <v>7497</v>
      </c>
      <c r="W166" s="317">
        <v>20</v>
      </c>
      <c r="X166" s="317" t="s">
        <v>4999</v>
      </c>
      <c r="Y166" s="322">
        <v>44874</v>
      </c>
      <c r="Z166" s="312" t="s">
        <v>6825</v>
      </c>
      <c r="AA166" s="313">
        <v>44873</v>
      </c>
      <c r="AB166" s="313">
        <v>44874</v>
      </c>
      <c r="AC166" s="314" t="s">
        <v>7145</v>
      </c>
    </row>
    <row r="167" spans="1:29" x14ac:dyDescent="0.25">
      <c r="A167" s="306" t="str">
        <f t="shared" si="9"/>
        <v>OK</v>
      </c>
      <c r="B167" s="307" t="str">
        <f t="shared" si="8"/>
        <v>OK</v>
      </c>
      <c r="C167" s="308" t="str">
        <f>IF(OR(ISBLANK(AA167),ISBLANK(AB167),ISBLANK(#REF!))=TRUE,"P","OK")</f>
        <v>OK</v>
      </c>
      <c r="D167" s="28">
        <v>0</v>
      </c>
      <c r="E167" s="49" t="s">
        <v>7498</v>
      </c>
      <c r="F167" s="49" t="s">
        <v>69</v>
      </c>
      <c r="G167" s="49">
        <v>182060</v>
      </c>
      <c r="H167" s="49" t="s">
        <v>7499</v>
      </c>
      <c r="I167" s="49" t="s">
        <v>6820</v>
      </c>
      <c r="J167" s="49" t="s">
        <v>4998</v>
      </c>
      <c r="K167" s="49" t="s">
        <v>5041</v>
      </c>
      <c r="L167" s="49" t="s">
        <v>7500</v>
      </c>
      <c r="M167" s="49" t="s">
        <v>5043</v>
      </c>
      <c r="N167" s="316">
        <v>44740</v>
      </c>
      <c r="O167" s="316" t="s">
        <v>264</v>
      </c>
      <c r="P167" s="316">
        <v>44741</v>
      </c>
      <c r="Q167" s="316">
        <v>44741</v>
      </c>
      <c r="R167" s="316">
        <v>44832</v>
      </c>
      <c r="S167" s="334" t="s">
        <v>28</v>
      </c>
      <c r="T167" s="334" t="s">
        <v>28</v>
      </c>
      <c r="U167" s="322">
        <v>44848</v>
      </c>
      <c r="V167" s="317" t="s">
        <v>5044</v>
      </c>
      <c r="W167" s="317">
        <v>2</v>
      </c>
      <c r="X167" s="317" t="s">
        <v>4999</v>
      </c>
      <c r="Y167" s="322">
        <v>44848</v>
      </c>
      <c r="Z167" s="312" t="s">
        <v>264</v>
      </c>
      <c r="AA167" s="313">
        <v>45097</v>
      </c>
      <c r="AB167" s="313">
        <v>45097</v>
      </c>
      <c r="AC167" s="314" t="s">
        <v>4999</v>
      </c>
    </row>
    <row r="168" spans="1:29" ht="13.7" customHeight="1" thickBot="1" x14ac:dyDescent="0.3">
      <c r="A168" s="306" t="str">
        <f t="shared" si="9"/>
        <v>OK</v>
      </c>
      <c r="B168" s="307" t="str">
        <f t="shared" si="8"/>
        <v>OK</v>
      </c>
      <c r="C168" s="308" t="str">
        <f>IF(OR(ISBLANK(AA168),ISBLANK(AB168),ISBLANK(#REF!))=TRUE,"P","OK")</f>
        <v>OK</v>
      </c>
      <c r="D168" s="28">
        <v>0</v>
      </c>
      <c r="E168" s="49" t="s">
        <v>7501</v>
      </c>
      <c r="F168" s="49" t="s">
        <v>69</v>
      </c>
      <c r="G168" s="49">
        <v>182060</v>
      </c>
      <c r="H168" s="49" t="s">
        <v>7502</v>
      </c>
      <c r="I168" s="49" t="s">
        <v>6820</v>
      </c>
      <c r="J168" s="49" t="s">
        <v>4998</v>
      </c>
      <c r="K168" s="49" t="s">
        <v>5447</v>
      </c>
      <c r="L168" s="49" t="s">
        <v>5448</v>
      </c>
      <c r="M168" s="49" t="s">
        <v>73</v>
      </c>
      <c r="N168" s="316">
        <v>44747</v>
      </c>
      <c r="O168" s="316" t="s">
        <v>264</v>
      </c>
      <c r="P168" s="316">
        <v>44747</v>
      </c>
      <c r="Q168" s="316">
        <v>44747</v>
      </c>
      <c r="R168" s="316">
        <v>44747</v>
      </c>
      <c r="S168" s="334" t="s">
        <v>28</v>
      </c>
      <c r="T168" s="334" t="s">
        <v>28</v>
      </c>
      <c r="U168" s="322">
        <v>44823</v>
      </c>
      <c r="V168" s="317" t="s">
        <v>4277</v>
      </c>
      <c r="W168" s="317">
        <v>16</v>
      </c>
      <c r="X168" s="317" t="s">
        <v>4999</v>
      </c>
      <c r="Y168" s="322">
        <v>44862</v>
      </c>
      <c r="Z168" s="312" t="s">
        <v>6825</v>
      </c>
      <c r="AA168" s="313">
        <v>44881</v>
      </c>
      <c r="AB168" s="313">
        <v>44881</v>
      </c>
      <c r="AC168" s="314" t="s">
        <v>7145</v>
      </c>
    </row>
    <row r="169" spans="1:29" ht="25.5" x14ac:dyDescent="0.25">
      <c r="A169" s="306" t="str">
        <f t="shared" si="9"/>
        <v>OK</v>
      </c>
      <c r="B169" s="307" t="str">
        <f t="shared" si="8"/>
        <v>OK</v>
      </c>
      <c r="C169" s="308" t="str">
        <f>IF(OR(ISBLANK(AA169),ISBLANK(AB169),ISBLANK(#REF!))=TRUE,"P","OK")</f>
        <v>OK</v>
      </c>
      <c r="D169" s="28">
        <v>0</v>
      </c>
      <c r="E169" s="49" t="s">
        <v>7503</v>
      </c>
      <c r="F169" s="49" t="s">
        <v>69</v>
      </c>
      <c r="G169" s="49">
        <v>182060</v>
      </c>
      <c r="H169" s="49" t="s">
        <v>7504</v>
      </c>
      <c r="I169" s="49" t="s">
        <v>6820</v>
      </c>
      <c r="J169" s="49" t="s">
        <v>4998</v>
      </c>
      <c r="K169" s="49" t="s">
        <v>7505</v>
      </c>
      <c r="L169" s="49" t="s">
        <v>7506</v>
      </c>
      <c r="M169" s="49" t="s">
        <v>5043</v>
      </c>
      <c r="N169" s="316">
        <v>44741</v>
      </c>
      <c r="O169" s="316" t="s">
        <v>264</v>
      </c>
      <c r="P169" s="316">
        <v>44741</v>
      </c>
      <c r="Q169" s="316">
        <v>44741</v>
      </c>
      <c r="R169" s="316" t="s">
        <v>5683</v>
      </c>
      <c r="S169" s="310" t="s">
        <v>28</v>
      </c>
      <c r="T169" s="310" t="s">
        <v>6879</v>
      </c>
      <c r="U169" s="337">
        <v>44798</v>
      </c>
      <c r="V169" s="335" t="s">
        <v>7507</v>
      </c>
      <c r="W169" s="335">
        <v>9</v>
      </c>
      <c r="X169" s="335" t="s">
        <v>4999</v>
      </c>
      <c r="Y169" s="337">
        <v>44798</v>
      </c>
      <c r="Z169" s="312" t="s">
        <v>264</v>
      </c>
      <c r="AA169" s="313">
        <v>44798</v>
      </c>
      <c r="AB169" s="313">
        <v>44798</v>
      </c>
      <c r="AC169" s="314" t="s">
        <v>4999</v>
      </c>
    </row>
    <row r="170" spans="1:29" x14ac:dyDescent="0.25">
      <c r="A170" s="306" t="str">
        <f t="shared" si="9"/>
        <v>OK</v>
      </c>
      <c r="B170" s="307" t="str">
        <f t="shared" si="8"/>
        <v>OK</v>
      </c>
      <c r="C170" s="308" t="str">
        <f>IF(OR(ISBLANK(AA170),ISBLANK(AB170),ISBLANK(#REF!))=TRUE,"P","OK")</f>
        <v>OK</v>
      </c>
      <c r="D170" s="28">
        <v>0</v>
      </c>
      <c r="E170" s="49" t="s">
        <v>7508</v>
      </c>
      <c r="F170" s="49" t="s">
        <v>69</v>
      </c>
      <c r="G170" s="49">
        <v>182060</v>
      </c>
      <c r="H170" s="49" t="s">
        <v>7509</v>
      </c>
      <c r="I170" s="49" t="s">
        <v>6820</v>
      </c>
      <c r="J170" s="49" t="s">
        <v>4998</v>
      </c>
      <c r="K170" s="49" t="s">
        <v>7505</v>
      </c>
      <c r="L170" s="49" t="s">
        <v>7510</v>
      </c>
      <c r="M170" s="49" t="s">
        <v>5043</v>
      </c>
      <c r="N170" s="316">
        <v>44741</v>
      </c>
      <c r="O170" s="316" t="s">
        <v>264</v>
      </c>
      <c r="P170" s="316">
        <v>44741</v>
      </c>
      <c r="Q170" s="316">
        <v>44741</v>
      </c>
      <c r="R170" s="316" t="s">
        <v>5683</v>
      </c>
      <c r="S170" s="310" t="s">
        <v>28</v>
      </c>
      <c r="T170" s="310" t="s">
        <v>6879</v>
      </c>
      <c r="U170" s="337">
        <v>44798</v>
      </c>
      <c r="V170" s="335" t="s">
        <v>7511</v>
      </c>
      <c r="W170" s="335">
        <v>4</v>
      </c>
      <c r="X170" s="335" t="s">
        <v>4999</v>
      </c>
      <c r="Y170" s="337">
        <v>44798</v>
      </c>
      <c r="Z170" s="312" t="s">
        <v>264</v>
      </c>
      <c r="AA170" s="313">
        <v>44798</v>
      </c>
      <c r="AB170" s="313">
        <v>44798</v>
      </c>
      <c r="AC170" s="314" t="s">
        <v>4999</v>
      </c>
    </row>
    <row r="171" spans="1:29" ht="29.25" customHeight="1" thickBot="1" x14ac:dyDescent="0.3">
      <c r="A171" s="306" t="str">
        <f t="shared" si="9"/>
        <v>OK</v>
      </c>
      <c r="B171" s="307" t="str">
        <f t="shared" si="8"/>
        <v>OK</v>
      </c>
      <c r="C171" s="308" t="str">
        <f>IF(OR(ISBLANK(AA171),ISBLANK(AB171),ISBLANK(#REF!))=TRUE,"P","OK")</f>
        <v>OK</v>
      </c>
      <c r="D171" s="28">
        <v>0</v>
      </c>
      <c r="E171" s="49" t="s">
        <v>7512</v>
      </c>
      <c r="F171" s="49" t="s">
        <v>69</v>
      </c>
      <c r="G171" s="49">
        <v>181510</v>
      </c>
      <c r="H171" s="49" t="s">
        <v>7513</v>
      </c>
      <c r="I171" s="49" t="s">
        <v>6820</v>
      </c>
      <c r="J171" s="49" t="s">
        <v>4998</v>
      </c>
      <c r="K171" s="49" t="s">
        <v>7514</v>
      </c>
      <c r="L171" s="49" t="s">
        <v>7515</v>
      </c>
      <c r="M171" s="49" t="s">
        <v>7516</v>
      </c>
      <c r="N171" s="316">
        <v>44365</v>
      </c>
      <c r="O171" s="316" t="s">
        <v>5683</v>
      </c>
      <c r="P171" s="316" t="s">
        <v>5683</v>
      </c>
      <c r="Q171" s="316">
        <v>44365</v>
      </c>
      <c r="R171" s="316" t="s">
        <v>5683</v>
      </c>
      <c r="S171" s="310" t="s">
        <v>6837</v>
      </c>
      <c r="T171" s="310" t="s">
        <v>6837</v>
      </c>
      <c r="U171" s="337">
        <v>44658</v>
      </c>
      <c r="V171" s="335" t="s">
        <v>293</v>
      </c>
      <c r="W171" s="335">
        <v>20</v>
      </c>
      <c r="X171" s="335" t="s">
        <v>4999</v>
      </c>
      <c r="Y171" s="337">
        <v>44658</v>
      </c>
      <c r="Z171" s="38" t="s">
        <v>6825</v>
      </c>
      <c r="AA171" s="313">
        <v>44658</v>
      </c>
      <c r="AB171" s="313">
        <v>44658</v>
      </c>
      <c r="AC171" s="314" t="s">
        <v>7145</v>
      </c>
    </row>
    <row r="172" spans="1:29" x14ac:dyDescent="0.25">
      <c r="A172" s="306" t="str">
        <f t="shared" si="9"/>
        <v>OK</v>
      </c>
      <c r="B172" s="307" t="str">
        <f t="shared" si="8"/>
        <v>OK</v>
      </c>
      <c r="C172" s="308" t="str">
        <f>IF(OR(ISBLANK(AA172),ISBLANK(AB172),ISBLANK(#REF!))=TRUE,"P","OK")</f>
        <v>OK</v>
      </c>
      <c r="D172" s="28">
        <v>0</v>
      </c>
      <c r="E172" s="49" t="s">
        <v>7517</v>
      </c>
      <c r="F172" s="49" t="s">
        <v>69</v>
      </c>
      <c r="G172" s="49">
        <v>182060</v>
      </c>
      <c r="H172" s="49" t="s">
        <v>7518</v>
      </c>
      <c r="I172" s="49" t="s">
        <v>6820</v>
      </c>
      <c r="J172" s="49" t="s">
        <v>4998</v>
      </c>
      <c r="K172" s="49" t="s">
        <v>5809</v>
      </c>
      <c r="L172" s="49" t="s">
        <v>7519</v>
      </c>
      <c r="M172" s="49" t="s">
        <v>7481</v>
      </c>
      <c r="N172" s="316">
        <v>44741</v>
      </c>
      <c r="O172" s="316" t="s">
        <v>264</v>
      </c>
      <c r="P172" s="316">
        <v>44741</v>
      </c>
      <c r="Q172" s="316">
        <v>44741</v>
      </c>
      <c r="R172" s="316">
        <v>44764</v>
      </c>
      <c r="S172" s="310" t="s">
        <v>6898</v>
      </c>
      <c r="T172" s="310" t="s">
        <v>6898</v>
      </c>
      <c r="U172" s="337" t="s">
        <v>6898</v>
      </c>
      <c r="V172" s="335" t="s">
        <v>7520</v>
      </c>
      <c r="W172" s="335">
        <v>1</v>
      </c>
      <c r="X172" s="335" t="s">
        <v>6898</v>
      </c>
      <c r="Y172" s="337" t="s">
        <v>6898</v>
      </c>
      <c r="Z172" s="312" t="s">
        <v>6898</v>
      </c>
      <c r="AA172" s="312" t="s">
        <v>6898</v>
      </c>
      <c r="AB172" s="313">
        <v>44781</v>
      </c>
      <c r="AC172" s="314" t="s">
        <v>4999</v>
      </c>
    </row>
    <row r="173" spans="1:29" x14ac:dyDescent="0.25">
      <c r="A173" s="306" t="str">
        <f t="shared" si="9"/>
        <v>OK</v>
      </c>
      <c r="B173" s="307" t="str">
        <f t="shared" si="8"/>
        <v>OK</v>
      </c>
      <c r="C173" s="308" t="str">
        <f>IF(OR(ISBLANK(AA173),ISBLANK(AB173),ISBLANK(#REF!))=TRUE,"P","OK")</f>
        <v>OK</v>
      </c>
      <c r="D173" s="28">
        <v>0</v>
      </c>
      <c r="E173" s="49" t="s">
        <v>7521</v>
      </c>
      <c r="F173" s="49" t="s">
        <v>69</v>
      </c>
      <c r="G173" s="49">
        <v>182060</v>
      </c>
      <c r="H173" s="49" t="s">
        <v>7522</v>
      </c>
      <c r="I173" s="49" t="s">
        <v>6820</v>
      </c>
      <c r="J173" s="49" t="s">
        <v>4998</v>
      </c>
      <c r="K173" s="49" t="s">
        <v>5804</v>
      </c>
      <c r="L173" s="49" t="s">
        <v>5441</v>
      </c>
      <c r="M173" s="49" t="s">
        <v>7523</v>
      </c>
      <c r="N173" s="316">
        <v>44741</v>
      </c>
      <c r="O173" s="316" t="s">
        <v>264</v>
      </c>
      <c r="P173" s="316">
        <v>44741</v>
      </c>
      <c r="Q173" s="316">
        <v>44741</v>
      </c>
      <c r="R173" s="316">
        <v>44764</v>
      </c>
      <c r="S173" s="333" t="s">
        <v>6832</v>
      </c>
      <c r="T173" s="333" t="s">
        <v>6832</v>
      </c>
      <c r="U173" s="337">
        <v>44764</v>
      </c>
      <c r="V173" s="335" t="s">
        <v>7524</v>
      </c>
      <c r="W173" s="335">
        <v>4</v>
      </c>
      <c r="X173" s="335" t="s">
        <v>6898</v>
      </c>
      <c r="Y173" s="337" t="s">
        <v>6898</v>
      </c>
      <c r="Z173" s="312" t="s">
        <v>6898</v>
      </c>
      <c r="AA173" s="312" t="s">
        <v>6898</v>
      </c>
      <c r="AB173" s="313">
        <v>44783</v>
      </c>
      <c r="AC173" s="314" t="s">
        <v>4999</v>
      </c>
    </row>
    <row r="174" spans="1:29" x14ac:dyDescent="0.25">
      <c r="A174" s="306" t="str">
        <f t="shared" si="9"/>
        <v>OK</v>
      </c>
      <c r="B174" s="307" t="str">
        <f t="shared" si="8"/>
        <v>OK</v>
      </c>
      <c r="C174" s="308" t="str">
        <f>IF(OR(ISBLANK(AA174),ISBLANK(AB174),ISBLANK(#REF!))=TRUE,"P","OK")</f>
        <v>OK</v>
      </c>
      <c r="D174" s="28">
        <v>0</v>
      </c>
      <c r="E174" s="49" t="s">
        <v>7525</v>
      </c>
      <c r="F174" s="49" t="s">
        <v>69</v>
      </c>
      <c r="G174" s="49">
        <v>182060</v>
      </c>
      <c r="H174" s="49" t="s">
        <v>7526</v>
      </c>
      <c r="I174" s="49" t="s">
        <v>6820</v>
      </c>
      <c r="J174" s="49" t="s">
        <v>4998</v>
      </c>
      <c r="K174" s="49" t="s">
        <v>71</v>
      </c>
      <c r="L174" s="49" t="s">
        <v>1762</v>
      </c>
      <c r="M174" s="49" t="s">
        <v>73</v>
      </c>
      <c r="N174" s="316">
        <v>44741</v>
      </c>
      <c r="O174" s="316" t="s">
        <v>264</v>
      </c>
      <c r="P174" s="316">
        <v>44741</v>
      </c>
      <c r="Q174" s="316">
        <v>44741</v>
      </c>
      <c r="R174" s="316">
        <v>44771</v>
      </c>
      <c r="S174" s="334" t="s">
        <v>28</v>
      </c>
      <c r="T174" s="334" t="s">
        <v>28</v>
      </c>
      <c r="U174" s="322">
        <v>44782</v>
      </c>
      <c r="V174" s="317" t="s">
        <v>74</v>
      </c>
      <c r="W174" s="317">
        <v>1</v>
      </c>
      <c r="X174" s="317" t="s">
        <v>4999</v>
      </c>
      <c r="Y174" s="322">
        <v>44805</v>
      </c>
      <c r="Z174" s="312" t="s">
        <v>264</v>
      </c>
      <c r="AA174" s="313">
        <v>44813</v>
      </c>
      <c r="AB174" s="313">
        <v>44813</v>
      </c>
      <c r="AC174" s="314" t="s">
        <v>4999</v>
      </c>
    </row>
    <row r="175" spans="1:29" x14ac:dyDescent="0.25">
      <c r="A175" s="306" t="str">
        <f t="shared" si="9"/>
        <v>OK</v>
      </c>
      <c r="B175" s="307" t="str">
        <f t="shared" si="8"/>
        <v>OK</v>
      </c>
      <c r="C175" s="308" t="str">
        <f>IF(OR(ISBLANK(AA175),ISBLANK(AB175),ISBLANK(#REF!))=TRUE,"P","OK")</f>
        <v>OK</v>
      </c>
      <c r="D175" s="28">
        <v>0</v>
      </c>
      <c r="E175" s="49" t="s">
        <v>7527</v>
      </c>
      <c r="F175" s="49" t="s">
        <v>69</v>
      </c>
      <c r="G175" s="49">
        <v>182060</v>
      </c>
      <c r="H175" s="49" t="s">
        <v>7528</v>
      </c>
      <c r="I175" s="49" t="s">
        <v>6820</v>
      </c>
      <c r="J175" s="49" t="s">
        <v>4998</v>
      </c>
      <c r="K175" s="49" t="s">
        <v>5020</v>
      </c>
      <c r="L175" s="49" t="s">
        <v>7529</v>
      </c>
      <c r="M175" s="49" t="s">
        <v>2689</v>
      </c>
      <c r="N175" s="316">
        <v>44741</v>
      </c>
      <c r="O175" s="316" t="s">
        <v>264</v>
      </c>
      <c r="P175" s="316">
        <v>44741</v>
      </c>
      <c r="Q175" s="316">
        <v>44741</v>
      </c>
      <c r="R175" s="316">
        <v>44806</v>
      </c>
      <c r="S175" s="317" t="s">
        <v>28</v>
      </c>
      <c r="T175" s="317" t="s">
        <v>28</v>
      </c>
      <c r="U175" s="322">
        <v>44816</v>
      </c>
      <c r="V175" s="317" t="s">
        <v>93</v>
      </c>
      <c r="W175" s="317">
        <v>7</v>
      </c>
      <c r="X175" s="317" t="s">
        <v>4999</v>
      </c>
      <c r="Y175" s="322">
        <v>44817</v>
      </c>
      <c r="Z175" s="312" t="s">
        <v>264</v>
      </c>
      <c r="AA175" s="313">
        <v>44823</v>
      </c>
      <c r="AB175" s="313">
        <v>44823</v>
      </c>
      <c r="AC175" s="314" t="s">
        <v>4999</v>
      </c>
    </row>
    <row r="176" spans="1:29" x14ac:dyDescent="0.25">
      <c r="A176" s="306" t="str">
        <f t="shared" si="9"/>
        <v>OK</v>
      </c>
      <c r="B176" s="307" t="str">
        <f t="shared" si="8"/>
        <v>OK</v>
      </c>
      <c r="C176" s="308" t="str">
        <f>IF(OR(ISBLANK(AA176),ISBLANK(AB176),ISBLANK(#REF!))=TRUE,"P","OK")</f>
        <v>OK</v>
      </c>
      <c r="D176" s="28">
        <v>0</v>
      </c>
      <c r="E176" s="49" t="s">
        <v>7530</v>
      </c>
      <c r="F176" s="49" t="s">
        <v>69</v>
      </c>
      <c r="G176" s="49">
        <v>182060</v>
      </c>
      <c r="H176" s="49" t="s">
        <v>7531</v>
      </c>
      <c r="I176" s="49" t="s">
        <v>6820</v>
      </c>
      <c r="J176" s="49" t="s">
        <v>4998</v>
      </c>
      <c r="K176" s="49" t="s">
        <v>7532</v>
      </c>
      <c r="L176" s="49" t="s">
        <v>7533</v>
      </c>
      <c r="M176" s="49" t="s">
        <v>7534</v>
      </c>
      <c r="N176" s="316">
        <v>44741</v>
      </c>
      <c r="O176" s="316" t="s">
        <v>264</v>
      </c>
      <c r="P176" s="316">
        <v>44741</v>
      </c>
      <c r="Q176" s="316">
        <v>44741</v>
      </c>
      <c r="R176" s="316">
        <v>44771</v>
      </c>
      <c r="S176" s="334" t="s">
        <v>28</v>
      </c>
      <c r="T176" s="334" t="s">
        <v>28</v>
      </c>
      <c r="U176" s="322">
        <v>44782</v>
      </c>
      <c r="V176" s="317" t="s">
        <v>7535</v>
      </c>
      <c r="W176" s="317">
        <v>2</v>
      </c>
      <c r="X176" s="317" t="s">
        <v>4999</v>
      </c>
      <c r="Y176" s="322">
        <v>44805</v>
      </c>
      <c r="Z176" s="312" t="s">
        <v>264</v>
      </c>
      <c r="AA176" s="313">
        <v>44813</v>
      </c>
      <c r="AB176" s="313">
        <v>44813</v>
      </c>
      <c r="AC176" s="314" t="s">
        <v>4999</v>
      </c>
    </row>
    <row r="177" spans="1:30" ht="13.7" customHeight="1" thickBot="1" x14ac:dyDescent="0.3">
      <c r="A177" s="306" t="str">
        <f t="shared" si="9"/>
        <v>OK</v>
      </c>
      <c r="B177" s="307" t="str">
        <f t="shared" si="8"/>
        <v>OK</v>
      </c>
      <c r="C177" s="308" t="str">
        <f>IF(OR(ISBLANK(AA177),ISBLANK(AB177),ISBLANK(#REF!))=TRUE,"P","OK")</f>
        <v>OK</v>
      </c>
      <c r="D177" s="28">
        <v>0</v>
      </c>
      <c r="E177" s="49" t="s">
        <v>7536</v>
      </c>
      <c r="F177" s="49" t="s">
        <v>69</v>
      </c>
      <c r="G177" s="49">
        <v>181510</v>
      </c>
      <c r="H177" s="49" t="s">
        <v>7537</v>
      </c>
      <c r="I177" s="49" t="s">
        <v>6820</v>
      </c>
      <c r="J177" s="49" t="s">
        <v>4998</v>
      </c>
      <c r="K177" s="49" t="s">
        <v>6390</v>
      </c>
      <c r="L177" s="49" t="s">
        <v>7538</v>
      </c>
      <c r="M177" s="49" t="s">
        <v>7460</v>
      </c>
      <c r="N177" s="316">
        <v>44638</v>
      </c>
      <c r="O177" s="316" t="s">
        <v>264</v>
      </c>
      <c r="P177" s="316">
        <v>44638</v>
      </c>
      <c r="Q177" s="316">
        <v>44638</v>
      </c>
      <c r="R177" s="316">
        <v>44644</v>
      </c>
      <c r="S177" s="334" t="s">
        <v>6837</v>
      </c>
      <c r="T177" s="334" t="s">
        <v>6837</v>
      </c>
      <c r="U177" s="322">
        <v>44645</v>
      </c>
      <c r="V177" s="317" t="s">
        <v>7539</v>
      </c>
      <c r="W177" s="317">
        <v>4</v>
      </c>
      <c r="X177" s="317" t="s">
        <v>4999</v>
      </c>
      <c r="Y177" s="322">
        <v>44645</v>
      </c>
      <c r="Z177" s="312" t="s">
        <v>6825</v>
      </c>
      <c r="AA177" s="313">
        <v>44651</v>
      </c>
      <c r="AB177" s="313">
        <v>44651</v>
      </c>
      <c r="AC177" s="314" t="s">
        <v>7145</v>
      </c>
    </row>
    <row r="178" spans="1:30" ht="26.25" customHeight="1" thickBot="1" x14ac:dyDescent="0.3">
      <c r="A178" s="306" t="str">
        <f t="shared" si="9"/>
        <v>OK</v>
      </c>
      <c r="B178" s="307" t="str">
        <f t="shared" si="8"/>
        <v>OK</v>
      </c>
      <c r="C178" s="308" t="str">
        <f>IF(OR(ISBLANK(AA178),ISBLANK(AB178),ISBLANK(#REF!))=TRUE,"P","OK")</f>
        <v>OK</v>
      </c>
      <c r="D178" s="28">
        <v>0</v>
      </c>
      <c r="E178" s="49" t="s">
        <v>7540</v>
      </c>
      <c r="F178" s="49" t="s">
        <v>69</v>
      </c>
      <c r="G178" s="49">
        <v>181510</v>
      </c>
      <c r="H178" s="49" t="s">
        <v>7541</v>
      </c>
      <c r="I178" s="49" t="s">
        <v>6820</v>
      </c>
      <c r="J178" s="49" t="s">
        <v>4998</v>
      </c>
      <c r="K178" s="49" t="s">
        <v>7542</v>
      </c>
      <c r="L178" s="49" t="s">
        <v>1762</v>
      </c>
      <c r="M178" s="49" t="s">
        <v>7543</v>
      </c>
      <c r="N178" s="316">
        <v>44610</v>
      </c>
      <c r="O178" s="316" t="s">
        <v>264</v>
      </c>
      <c r="P178" s="316">
        <v>44610</v>
      </c>
      <c r="Q178" s="316">
        <v>44610</v>
      </c>
      <c r="R178" s="316">
        <v>44614</v>
      </c>
      <c r="S178" s="334" t="s">
        <v>6832</v>
      </c>
      <c r="T178" s="334" t="s">
        <v>6832</v>
      </c>
      <c r="U178" s="322">
        <v>44629</v>
      </c>
      <c r="V178" s="317" t="s">
        <v>74</v>
      </c>
      <c r="W178" s="317">
        <v>2</v>
      </c>
      <c r="X178" s="317" t="s">
        <v>4999</v>
      </c>
      <c r="Y178" s="322">
        <v>44629</v>
      </c>
      <c r="Z178" s="312" t="s">
        <v>264</v>
      </c>
      <c r="AA178" s="313">
        <v>44635</v>
      </c>
      <c r="AB178" s="313">
        <v>44635</v>
      </c>
      <c r="AC178" s="314" t="s">
        <v>4999</v>
      </c>
      <c r="AD178" s="315" t="s">
        <v>4999</v>
      </c>
    </row>
    <row r="179" spans="1:30" ht="26.25" customHeight="1" thickBot="1" x14ac:dyDescent="0.3">
      <c r="A179" s="306" t="str">
        <f t="shared" ref="A179:A185" si="10">IF(OR(ISBLANK(D179),ISBLANK(E179),ISBLANK(F179),ISBLANK(G179),ISBLANK(H179),ISBLANK(I179),ISBLANK(J179),ISBLANK(K179),ISBLANK(L179),ISBLANK(M179),ISBLANK(N179),ISBLANK(O179),ISBLANK(P179),ISBLANK(Q179),ISBLANK(R179))=TRUE,"P","OK")</f>
        <v>OK</v>
      </c>
      <c r="B179" s="307" t="str">
        <f t="shared" ref="B179:B230" si="11">IF(OR(ISBLANK(S179),ISBLANK(T179),ISBLANK(U179),ISBLANK(V179),ISBLANK(W179),ISBLANK(X179),ISBLANK(Y179),ISBLANK(Z179))=TRUE,"P","OK")</f>
        <v>OK</v>
      </c>
      <c r="C179" s="308" t="str">
        <f>IF(OR(ISBLANK(AA179),ISBLANK(AB179),ISBLANK(#REF!))=TRUE,"P","OK")</f>
        <v>OK</v>
      </c>
      <c r="D179" s="28">
        <v>0</v>
      </c>
      <c r="E179" s="49" t="s">
        <v>7544</v>
      </c>
      <c r="F179" s="49" t="s">
        <v>69</v>
      </c>
      <c r="G179" s="49">
        <v>182060</v>
      </c>
      <c r="H179" s="49" t="s">
        <v>7545</v>
      </c>
      <c r="I179" s="49" t="s">
        <v>4998</v>
      </c>
      <c r="J179" s="49" t="s">
        <v>7546</v>
      </c>
      <c r="K179" s="49" t="s">
        <v>7547</v>
      </c>
      <c r="L179" s="49" t="s">
        <v>7548</v>
      </c>
      <c r="M179" s="49" t="s">
        <v>7481</v>
      </c>
      <c r="N179" s="316">
        <v>44727</v>
      </c>
      <c r="O179" s="316" t="s">
        <v>264</v>
      </c>
      <c r="P179" s="316">
        <v>44741</v>
      </c>
      <c r="Q179" s="316">
        <v>44741</v>
      </c>
      <c r="R179" s="316" t="s">
        <v>5683</v>
      </c>
      <c r="S179" s="333" t="s">
        <v>6832</v>
      </c>
      <c r="T179" s="333" t="s">
        <v>6832</v>
      </c>
      <c r="U179" s="317" t="s">
        <v>7549</v>
      </c>
      <c r="V179" s="317" t="s">
        <v>7550</v>
      </c>
      <c r="W179" s="317">
        <v>2</v>
      </c>
      <c r="X179" s="317" t="s">
        <v>4999</v>
      </c>
      <c r="Y179" s="322">
        <v>44781</v>
      </c>
      <c r="Z179" s="38" t="s">
        <v>6825</v>
      </c>
      <c r="AA179" s="313">
        <v>44781</v>
      </c>
      <c r="AB179" s="313">
        <v>44781</v>
      </c>
      <c r="AC179" s="314" t="s">
        <v>7145</v>
      </c>
    </row>
    <row r="180" spans="1:30" x14ac:dyDescent="0.25">
      <c r="A180" s="306" t="str">
        <f t="shared" si="10"/>
        <v>OK</v>
      </c>
      <c r="B180" s="307" t="str">
        <f t="shared" si="11"/>
        <v>OK</v>
      </c>
      <c r="C180" s="308" t="str">
        <f>IF(OR(ISBLANK(AA180),ISBLANK(AB180),ISBLANK(#REF!))=TRUE,"P","OK")</f>
        <v>OK</v>
      </c>
      <c r="D180" s="28">
        <v>0</v>
      </c>
      <c r="E180" s="49" t="s">
        <v>7551</v>
      </c>
      <c r="F180" s="49" t="s">
        <v>7552</v>
      </c>
      <c r="G180" s="49">
        <v>181541</v>
      </c>
      <c r="H180" s="49" t="s">
        <v>7553</v>
      </c>
      <c r="I180" s="49" t="s">
        <v>6820</v>
      </c>
      <c r="J180" s="49" t="s">
        <v>6829</v>
      </c>
      <c r="K180" s="49" t="s">
        <v>7554</v>
      </c>
      <c r="L180" s="49" t="s">
        <v>7555</v>
      </c>
      <c r="M180" s="49" t="s">
        <v>7556</v>
      </c>
      <c r="N180" s="316">
        <v>44389</v>
      </c>
      <c r="O180" s="316" t="s">
        <v>264</v>
      </c>
      <c r="P180" s="316">
        <v>44389</v>
      </c>
      <c r="Q180" s="316">
        <v>44425</v>
      </c>
      <c r="R180" s="316">
        <v>44453</v>
      </c>
      <c r="S180" s="317" t="s">
        <v>5683</v>
      </c>
      <c r="T180" s="317" t="s">
        <v>5683</v>
      </c>
      <c r="U180" s="317" t="s">
        <v>5683</v>
      </c>
      <c r="V180" s="317" t="s">
        <v>5683</v>
      </c>
      <c r="W180" s="317" t="s">
        <v>5683</v>
      </c>
      <c r="X180" s="317" t="s">
        <v>6898</v>
      </c>
      <c r="Y180" s="317" t="s">
        <v>5683</v>
      </c>
      <c r="Z180" s="312" t="s">
        <v>6898</v>
      </c>
      <c r="AA180" s="312" t="s">
        <v>6898</v>
      </c>
      <c r="AB180" s="312" t="s">
        <v>6898</v>
      </c>
      <c r="AC180" s="314"/>
    </row>
    <row r="181" spans="1:30" ht="25.5" customHeight="1" thickBot="1" x14ac:dyDescent="0.3">
      <c r="A181" s="306" t="str">
        <f t="shared" si="10"/>
        <v>P</v>
      </c>
      <c r="B181" s="307" t="str">
        <f t="shared" si="11"/>
        <v>OK</v>
      </c>
      <c r="C181" s="308" t="str">
        <f>IF(OR(ISBLANK(AA181),ISBLANK(AB181),ISBLANK(#REF!))=TRUE,"P","OK")</f>
        <v>OK</v>
      </c>
      <c r="D181" s="28">
        <v>0</v>
      </c>
      <c r="E181" s="49" t="s">
        <v>7557</v>
      </c>
      <c r="F181" s="49" t="s">
        <v>7552</v>
      </c>
      <c r="G181" s="49">
        <v>181541</v>
      </c>
      <c r="H181" s="49" t="s">
        <v>7558</v>
      </c>
      <c r="I181" s="49" t="s">
        <v>6820</v>
      </c>
      <c r="J181" s="49" t="s">
        <v>6829</v>
      </c>
      <c r="K181" s="49"/>
      <c r="L181" s="49"/>
      <c r="M181" s="49"/>
      <c r="N181" s="316">
        <v>44389</v>
      </c>
      <c r="O181" s="316" t="s">
        <v>6898</v>
      </c>
      <c r="P181" s="316" t="s">
        <v>264</v>
      </c>
      <c r="Q181" s="316">
        <v>44425</v>
      </c>
      <c r="R181" s="316">
        <v>44453</v>
      </c>
      <c r="S181" s="317" t="s">
        <v>5683</v>
      </c>
      <c r="T181" s="317" t="s">
        <v>5683</v>
      </c>
      <c r="U181" s="317" t="s">
        <v>5683</v>
      </c>
      <c r="V181" s="317" t="s">
        <v>5683</v>
      </c>
      <c r="W181" s="317" t="s">
        <v>5683</v>
      </c>
      <c r="X181" s="317" t="s">
        <v>6898</v>
      </c>
      <c r="Y181" s="317" t="s">
        <v>5683</v>
      </c>
      <c r="Z181" s="312" t="s">
        <v>6898</v>
      </c>
      <c r="AA181" s="312" t="s">
        <v>6898</v>
      </c>
      <c r="AB181" s="312" t="s">
        <v>6898</v>
      </c>
      <c r="AC181" s="314"/>
    </row>
    <row r="182" spans="1:30" ht="13.7" customHeight="1" thickBot="1" x14ac:dyDescent="0.3">
      <c r="A182" s="306" t="str">
        <f t="shared" si="10"/>
        <v>OK</v>
      </c>
      <c r="B182" s="307" t="str">
        <f t="shared" si="11"/>
        <v>OK</v>
      </c>
      <c r="C182" s="308" t="str">
        <f>IF(OR(ISBLANK(AA182),ISBLANK(AB182),ISBLANK(#REF!))=TRUE,"P","OK")</f>
        <v>OK</v>
      </c>
      <c r="D182" s="28">
        <v>0</v>
      </c>
      <c r="E182" s="49" t="s">
        <v>7559</v>
      </c>
      <c r="F182" s="49" t="s">
        <v>5652</v>
      </c>
      <c r="G182" s="49">
        <v>181892</v>
      </c>
      <c r="H182" s="49" t="s">
        <v>7560</v>
      </c>
      <c r="I182" s="49" t="s">
        <v>6820</v>
      </c>
      <c r="J182" s="49" t="s">
        <v>6829</v>
      </c>
      <c r="K182" s="49" t="s">
        <v>3519</v>
      </c>
      <c r="L182" s="49" t="s">
        <v>239</v>
      </c>
      <c r="M182" s="49" t="s">
        <v>127</v>
      </c>
      <c r="N182" s="316">
        <v>44685</v>
      </c>
      <c r="O182" s="316" t="s">
        <v>264</v>
      </c>
      <c r="P182" s="316">
        <v>44685</v>
      </c>
      <c r="Q182" s="316">
        <v>44685</v>
      </c>
      <c r="R182" s="316">
        <v>44686</v>
      </c>
      <c r="S182" s="335" t="s">
        <v>6837</v>
      </c>
      <c r="T182" s="335" t="s">
        <v>6837</v>
      </c>
      <c r="U182" s="322">
        <v>44691</v>
      </c>
      <c r="V182" s="317" t="s">
        <v>7561</v>
      </c>
      <c r="W182" s="317">
        <v>1</v>
      </c>
      <c r="X182" s="317" t="s">
        <v>4999</v>
      </c>
      <c r="Y182" s="322">
        <v>44691</v>
      </c>
      <c r="Z182" s="38" t="s">
        <v>6825</v>
      </c>
      <c r="AA182" s="313">
        <v>44691</v>
      </c>
      <c r="AB182" s="313">
        <v>44691</v>
      </c>
      <c r="AC182" s="314" t="s">
        <v>4999</v>
      </c>
    </row>
    <row r="183" spans="1:30" ht="13.7" customHeight="1" thickBot="1" x14ac:dyDescent="0.3">
      <c r="A183" s="306" t="str">
        <f t="shared" si="10"/>
        <v>OK</v>
      </c>
      <c r="B183" s="307" t="str">
        <f t="shared" si="11"/>
        <v>OK</v>
      </c>
      <c r="C183" s="308" t="str">
        <f>IF(OR(ISBLANK(AA183),ISBLANK(AB183),ISBLANK(#REF!))=TRUE,"P","OK")</f>
        <v>OK</v>
      </c>
      <c r="D183" s="28">
        <v>0</v>
      </c>
      <c r="E183" s="49" t="s">
        <v>7562</v>
      </c>
      <c r="F183" s="49" t="s">
        <v>7563</v>
      </c>
      <c r="G183" s="49">
        <v>181863</v>
      </c>
      <c r="H183" s="49" t="s">
        <v>7564</v>
      </c>
      <c r="I183" s="49" t="s">
        <v>6820</v>
      </c>
      <c r="J183" s="49" t="s">
        <v>6829</v>
      </c>
      <c r="K183" s="49" t="s">
        <v>7565</v>
      </c>
      <c r="L183" s="49" t="s">
        <v>7566</v>
      </c>
      <c r="M183" s="49" t="s">
        <v>4019</v>
      </c>
      <c r="N183" s="316">
        <v>44669</v>
      </c>
      <c r="O183" s="316" t="s">
        <v>264</v>
      </c>
      <c r="P183" s="316">
        <v>44669</v>
      </c>
      <c r="Q183" s="316">
        <v>44669</v>
      </c>
      <c r="R183" s="316">
        <v>44676</v>
      </c>
      <c r="S183" s="335" t="s">
        <v>6837</v>
      </c>
      <c r="T183" s="335" t="s">
        <v>6837</v>
      </c>
      <c r="U183" s="322">
        <v>44677</v>
      </c>
      <c r="V183" s="317" t="s">
        <v>3540</v>
      </c>
      <c r="W183" s="317">
        <v>3</v>
      </c>
      <c r="X183" s="317" t="s">
        <v>4999</v>
      </c>
      <c r="Y183" s="322">
        <v>44677</v>
      </c>
      <c r="Z183" s="38" t="s">
        <v>6825</v>
      </c>
      <c r="AA183" s="313">
        <v>44679</v>
      </c>
      <c r="AB183" s="313">
        <v>44679</v>
      </c>
      <c r="AC183" s="314" t="s">
        <v>4999</v>
      </c>
    </row>
    <row r="184" spans="1:30" ht="39" customHeight="1" thickBot="1" x14ac:dyDescent="0.3">
      <c r="A184" s="306" t="str">
        <f t="shared" si="10"/>
        <v>OK</v>
      </c>
      <c r="B184" s="307" t="str">
        <f t="shared" si="11"/>
        <v>OK</v>
      </c>
      <c r="C184" s="308" t="str">
        <f>IF(OR(ISBLANK(AA184),ISBLANK(AB184),ISBLANK(#REF!))=TRUE,"P","OK")</f>
        <v>OK</v>
      </c>
      <c r="D184" s="28">
        <v>0</v>
      </c>
      <c r="E184" s="49" t="s">
        <v>7567</v>
      </c>
      <c r="F184" s="1" t="s">
        <v>7568</v>
      </c>
      <c r="G184" s="1">
        <v>181659</v>
      </c>
      <c r="H184" s="1" t="s">
        <v>7569</v>
      </c>
      <c r="I184" s="1" t="s">
        <v>6820</v>
      </c>
      <c r="J184" s="1" t="s">
        <v>6829</v>
      </c>
      <c r="K184" s="1" t="s">
        <v>7570</v>
      </c>
      <c r="L184" s="1" t="s">
        <v>7571</v>
      </c>
      <c r="M184" s="1" t="s">
        <v>2618</v>
      </c>
      <c r="N184" s="316">
        <v>44477</v>
      </c>
      <c r="O184" s="316" t="s">
        <v>7026</v>
      </c>
      <c r="P184" s="316">
        <v>44477</v>
      </c>
      <c r="Q184" s="316">
        <v>44477</v>
      </c>
      <c r="R184" s="316">
        <v>44477</v>
      </c>
      <c r="S184" s="335" t="s">
        <v>6837</v>
      </c>
      <c r="T184" s="335" t="s">
        <v>6837</v>
      </c>
      <c r="U184" s="337">
        <v>44596</v>
      </c>
      <c r="V184" s="341" t="s">
        <v>7572</v>
      </c>
      <c r="W184" s="335">
        <v>2</v>
      </c>
      <c r="X184" s="335" t="s">
        <v>4999</v>
      </c>
      <c r="Y184" s="337">
        <v>44595</v>
      </c>
      <c r="Z184" s="38" t="s">
        <v>6825</v>
      </c>
      <c r="AA184" s="313">
        <v>44596</v>
      </c>
      <c r="AB184" s="313">
        <v>44606</v>
      </c>
      <c r="AC184" s="314" t="s">
        <v>4999</v>
      </c>
    </row>
    <row r="185" spans="1:30" ht="39" customHeight="1" thickBot="1" x14ac:dyDescent="0.3">
      <c r="A185" s="306" t="str">
        <f t="shared" si="10"/>
        <v>OK</v>
      </c>
      <c r="B185" s="307" t="str">
        <f t="shared" si="11"/>
        <v>P</v>
      </c>
      <c r="C185" s="308" t="str">
        <f>IF(OR(ISBLANK(AA185),ISBLANK(AB185),ISBLANK(#REF!))=TRUE,"P","OK")</f>
        <v>P</v>
      </c>
      <c r="D185" s="28">
        <v>0</v>
      </c>
      <c r="E185" s="49" t="s">
        <v>7573</v>
      </c>
      <c r="F185" s="1" t="s">
        <v>7568</v>
      </c>
      <c r="G185" s="1">
        <v>181726</v>
      </c>
      <c r="H185" s="1" t="s">
        <v>7574</v>
      </c>
      <c r="I185" s="1" t="s">
        <v>6820</v>
      </c>
      <c r="J185" s="1" t="s">
        <v>6829</v>
      </c>
      <c r="K185" s="105" t="s">
        <v>7575</v>
      </c>
      <c r="L185" s="347" t="s">
        <v>7576</v>
      </c>
      <c r="M185" s="347" t="s">
        <v>7576</v>
      </c>
      <c r="N185" s="316" t="s">
        <v>7576</v>
      </c>
      <c r="O185" s="316" t="s">
        <v>7576</v>
      </c>
      <c r="P185" s="316" t="s">
        <v>7576</v>
      </c>
      <c r="Q185" s="316" t="s">
        <v>7576</v>
      </c>
      <c r="R185" s="316" t="s">
        <v>7576</v>
      </c>
      <c r="S185" s="310"/>
      <c r="T185" s="310"/>
      <c r="U185" s="335"/>
      <c r="V185" s="335"/>
      <c r="W185" s="335"/>
      <c r="X185" s="335"/>
      <c r="Y185" s="335"/>
      <c r="Z185" s="312"/>
      <c r="AA185" s="312"/>
      <c r="AB185" s="312"/>
      <c r="AC185" s="314"/>
    </row>
    <row r="186" spans="1:30" ht="38.25" x14ac:dyDescent="0.25">
      <c r="A186" s="306" t="str">
        <f>IF(OR(ISBLANK(D186),ISBLANK(E186),ISBLANK(#REF!),ISBLANK(#REF!),ISBLANK(H186),ISBLANK(I186),ISBLANK(J186),ISBLANK(K186),ISBLANK(L186),ISBLANK(M186),ISBLANK(N186),ISBLANK(O186),ISBLANK(P186),ISBLANK(Q186),ISBLANK(R186))=TRUE,"P","OK")</f>
        <v>OK</v>
      </c>
      <c r="B186" s="307" t="str">
        <f t="shared" si="11"/>
        <v>OK</v>
      </c>
      <c r="C186" s="308" t="str">
        <f>IF(OR(ISBLANK(AA186),ISBLANK(AB186),ISBLANK(#REF!))=TRUE,"P","OK")</f>
        <v>OK</v>
      </c>
      <c r="D186" s="28">
        <v>0</v>
      </c>
      <c r="E186" s="49" t="s">
        <v>7577</v>
      </c>
      <c r="F186" s="1" t="s">
        <v>7568</v>
      </c>
      <c r="G186" s="1">
        <v>181749</v>
      </c>
      <c r="H186" s="1" t="s">
        <v>7578</v>
      </c>
      <c r="I186" s="1" t="s">
        <v>6820</v>
      </c>
      <c r="J186" s="1" t="s">
        <v>6829</v>
      </c>
      <c r="K186" s="1" t="s">
        <v>7579</v>
      </c>
      <c r="L186" s="1" t="s">
        <v>7580</v>
      </c>
      <c r="M186" s="1" t="s">
        <v>2618</v>
      </c>
      <c r="N186" s="316">
        <v>44574</v>
      </c>
      <c r="O186" s="316" t="s">
        <v>7067</v>
      </c>
      <c r="P186" s="316">
        <v>44574</v>
      </c>
      <c r="Q186" s="316">
        <v>44574</v>
      </c>
      <c r="R186" s="316">
        <v>44575</v>
      </c>
      <c r="S186" s="310" t="s">
        <v>6837</v>
      </c>
      <c r="T186" s="310" t="s">
        <v>6837</v>
      </c>
      <c r="U186" s="337">
        <v>44579</v>
      </c>
      <c r="V186" s="341" t="s">
        <v>7581</v>
      </c>
      <c r="W186" s="335">
        <v>3</v>
      </c>
      <c r="X186" s="335" t="s">
        <v>4999</v>
      </c>
      <c r="Y186" s="337">
        <v>44579</v>
      </c>
      <c r="Z186" s="312" t="s">
        <v>6898</v>
      </c>
      <c r="AA186" s="312" t="s">
        <v>6898</v>
      </c>
      <c r="AB186" s="313">
        <v>44579</v>
      </c>
      <c r="AC186" s="314" t="s">
        <v>4999</v>
      </c>
    </row>
    <row r="187" spans="1:30" ht="39" customHeight="1" thickBot="1" x14ac:dyDescent="0.3">
      <c r="A187" s="306" t="str">
        <f t="shared" ref="A187:A198" si="12">IF(OR(ISBLANK(D187),ISBLANK(E187),ISBLANK(F187),ISBLANK(G187),ISBLANK(H187),ISBLANK(I187),ISBLANK(J187),ISBLANK(K187),ISBLANK(L187),ISBLANK(M187),ISBLANK(N187),ISBLANK(O187),ISBLANK(P187),ISBLANK(Q187),ISBLANK(R187))=TRUE,"P","OK")</f>
        <v>OK</v>
      </c>
      <c r="B187" s="307" t="str">
        <f t="shared" si="11"/>
        <v>OK</v>
      </c>
      <c r="C187" s="308" t="str">
        <f>IF(OR(ISBLANK(AA187),ISBLANK(AB187),ISBLANK(#REF!))=TRUE,"P","OK")</f>
        <v>OK</v>
      </c>
      <c r="D187" s="28">
        <v>0</v>
      </c>
      <c r="E187" s="49" t="s">
        <v>7582</v>
      </c>
      <c r="F187" s="1" t="s">
        <v>7568</v>
      </c>
      <c r="G187" s="49">
        <v>181773</v>
      </c>
      <c r="H187" s="49" t="s">
        <v>7583</v>
      </c>
      <c r="I187" s="49" t="s">
        <v>7152</v>
      </c>
      <c r="J187" s="49" t="s">
        <v>6829</v>
      </c>
      <c r="K187" s="49" t="s">
        <v>7584</v>
      </c>
      <c r="L187" s="49" t="s">
        <v>7585</v>
      </c>
      <c r="M187" s="49" t="s">
        <v>2618</v>
      </c>
      <c r="N187" s="316">
        <v>44596</v>
      </c>
      <c r="O187" s="316" t="s">
        <v>7026</v>
      </c>
      <c r="P187" s="316">
        <v>44596</v>
      </c>
      <c r="Q187" s="316">
        <v>44596</v>
      </c>
      <c r="R187" s="316">
        <v>44596</v>
      </c>
      <c r="S187" s="335" t="s">
        <v>28</v>
      </c>
      <c r="T187" s="335" t="s">
        <v>28</v>
      </c>
      <c r="U187" s="337">
        <v>44865</v>
      </c>
      <c r="V187" s="335" t="s">
        <v>7586</v>
      </c>
      <c r="W187" s="335">
        <v>3</v>
      </c>
      <c r="X187" s="317" t="s">
        <v>4999</v>
      </c>
      <c r="Y187" s="322">
        <v>44889</v>
      </c>
      <c r="Z187" s="312" t="s">
        <v>6825</v>
      </c>
      <c r="AA187" s="313">
        <v>44890</v>
      </c>
      <c r="AB187" s="313">
        <v>44890</v>
      </c>
      <c r="AC187" s="314" t="s">
        <v>4999</v>
      </c>
    </row>
    <row r="188" spans="1:30" ht="39" customHeight="1" thickBot="1" x14ac:dyDescent="0.3">
      <c r="A188" s="306" t="str">
        <f t="shared" si="12"/>
        <v>OK</v>
      </c>
      <c r="B188" s="307" t="str">
        <f t="shared" si="11"/>
        <v>OK</v>
      </c>
      <c r="C188" s="308" t="str">
        <f>IF(OR(ISBLANK(AA188),ISBLANK(AB188),ISBLANK(#REF!))=TRUE,"P","OK")</f>
        <v>OK</v>
      </c>
      <c r="D188" s="28">
        <v>0</v>
      </c>
      <c r="E188" s="49" t="s">
        <v>7587</v>
      </c>
      <c r="F188" s="1" t="s">
        <v>7568</v>
      </c>
      <c r="G188" s="49">
        <v>181832</v>
      </c>
      <c r="H188" s="49" t="s">
        <v>7588</v>
      </c>
      <c r="I188" s="49" t="s">
        <v>6820</v>
      </c>
      <c r="J188" s="49" t="s">
        <v>6829</v>
      </c>
      <c r="K188" s="49" t="s">
        <v>7579</v>
      </c>
      <c r="L188" s="49" t="s">
        <v>2838</v>
      </c>
      <c r="M188" s="49" t="s">
        <v>7589</v>
      </c>
      <c r="N188" s="316">
        <v>44643</v>
      </c>
      <c r="O188" s="316" t="s">
        <v>264</v>
      </c>
      <c r="P188" s="316">
        <v>44643</v>
      </c>
      <c r="Q188" s="316">
        <v>44643</v>
      </c>
      <c r="R188" s="316">
        <v>44643</v>
      </c>
      <c r="S188" s="335" t="s">
        <v>6837</v>
      </c>
      <c r="T188" s="335" t="s">
        <v>6837</v>
      </c>
      <c r="U188" s="322">
        <v>44649</v>
      </c>
      <c r="V188" s="317">
        <v>3058226</v>
      </c>
      <c r="W188" s="317">
        <v>10</v>
      </c>
      <c r="X188" s="317" t="s">
        <v>4999</v>
      </c>
      <c r="Y188" s="322">
        <v>44649</v>
      </c>
      <c r="Z188" s="38" t="s">
        <v>6825</v>
      </c>
      <c r="AA188" s="313">
        <v>44649</v>
      </c>
      <c r="AB188" s="313">
        <v>44649</v>
      </c>
      <c r="AC188" s="314" t="s">
        <v>4999</v>
      </c>
    </row>
    <row r="189" spans="1:30" ht="39" customHeight="1" thickBot="1" x14ac:dyDescent="0.3">
      <c r="A189" s="306" t="str">
        <f t="shared" si="12"/>
        <v>OK</v>
      </c>
      <c r="B189" s="307" t="str">
        <f t="shared" si="11"/>
        <v>OK</v>
      </c>
      <c r="C189" s="308" t="str">
        <f>IF(OR(ISBLANK(AA189),ISBLANK(AB189),ISBLANK(#REF!))=TRUE,"P","OK")</f>
        <v>OK</v>
      </c>
      <c r="D189" s="28">
        <v>0</v>
      </c>
      <c r="E189" s="49" t="s">
        <v>7590</v>
      </c>
      <c r="F189" s="1" t="s">
        <v>7568</v>
      </c>
      <c r="G189" s="49">
        <v>181939</v>
      </c>
      <c r="H189" s="49" t="s">
        <v>7591</v>
      </c>
      <c r="I189" s="1" t="s">
        <v>6820</v>
      </c>
      <c r="J189" s="1" t="s">
        <v>6829</v>
      </c>
      <c r="K189" s="1" t="s">
        <v>7579</v>
      </c>
      <c r="L189" s="1" t="s">
        <v>7592</v>
      </c>
      <c r="M189" s="1" t="s">
        <v>2618</v>
      </c>
      <c r="N189" s="316">
        <v>44623</v>
      </c>
      <c r="O189" s="316" t="s">
        <v>264</v>
      </c>
      <c r="P189" s="316">
        <v>44718</v>
      </c>
      <c r="Q189" s="316">
        <v>44718</v>
      </c>
      <c r="R189" s="316">
        <v>44718</v>
      </c>
      <c r="S189" s="335" t="s">
        <v>6837</v>
      </c>
      <c r="T189" s="335" t="s">
        <v>6837</v>
      </c>
      <c r="U189" s="322">
        <v>44725</v>
      </c>
      <c r="V189" s="317">
        <v>3058226</v>
      </c>
      <c r="W189" s="317">
        <v>6</v>
      </c>
      <c r="X189" s="335" t="s">
        <v>6898</v>
      </c>
      <c r="Y189" s="322">
        <v>44725</v>
      </c>
      <c r="Z189" s="38" t="s">
        <v>6825</v>
      </c>
      <c r="AA189" s="313">
        <v>44736</v>
      </c>
      <c r="AB189" s="313">
        <v>44736</v>
      </c>
      <c r="AC189" s="314" t="s">
        <v>4999</v>
      </c>
    </row>
    <row r="190" spans="1:30" ht="39" customHeight="1" thickBot="1" x14ac:dyDescent="0.3">
      <c r="A190" s="306" t="str">
        <f t="shared" si="12"/>
        <v>P</v>
      </c>
      <c r="B190" s="307" t="str">
        <f t="shared" si="11"/>
        <v>P</v>
      </c>
      <c r="C190" s="308" t="str">
        <f>IF(OR(ISBLANK(AA190),ISBLANK(AB190),ISBLANK(#REF!))=TRUE,"P","OK")</f>
        <v>P</v>
      </c>
      <c r="D190" s="28">
        <v>0</v>
      </c>
      <c r="E190" s="49" t="s">
        <v>7593</v>
      </c>
      <c r="F190" s="1" t="s">
        <v>7568</v>
      </c>
      <c r="G190" s="49"/>
      <c r="H190" s="49"/>
      <c r="I190" s="49"/>
      <c r="J190" s="49"/>
      <c r="K190" s="49"/>
      <c r="L190" s="49"/>
      <c r="M190" s="49"/>
      <c r="N190" s="316"/>
      <c r="O190" s="316"/>
      <c r="P190" s="316"/>
      <c r="Q190" s="316"/>
      <c r="R190" s="316"/>
      <c r="S190" s="317"/>
      <c r="T190" s="317"/>
      <c r="U190" s="317"/>
      <c r="V190" s="317"/>
      <c r="W190" s="317"/>
      <c r="X190" s="317"/>
      <c r="Y190" s="317"/>
      <c r="Z190" s="312"/>
      <c r="AA190" s="312"/>
      <c r="AB190" s="312"/>
      <c r="AC190" s="314"/>
    </row>
    <row r="191" spans="1:30" ht="39" customHeight="1" thickBot="1" x14ac:dyDescent="0.3">
      <c r="A191" s="306" t="str">
        <f t="shared" si="12"/>
        <v>OK</v>
      </c>
      <c r="B191" s="307" t="str">
        <f t="shared" si="11"/>
        <v>OK</v>
      </c>
      <c r="C191" s="308" t="str">
        <f>IF(OR(ISBLANK(AA191),ISBLANK(AB191),ISBLANK(#REF!))=TRUE,"P","OK")</f>
        <v>OK</v>
      </c>
      <c r="D191" s="28">
        <v>0</v>
      </c>
      <c r="E191" s="49" t="s">
        <v>7594</v>
      </c>
      <c r="F191" s="1" t="s">
        <v>3449</v>
      </c>
      <c r="G191" s="1">
        <v>181752</v>
      </c>
      <c r="H191" s="1" t="s">
        <v>7595</v>
      </c>
      <c r="I191" s="1" t="s">
        <v>6820</v>
      </c>
      <c r="J191" s="1" t="s">
        <v>6829</v>
      </c>
      <c r="K191" s="1" t="s">
        <v>7596</v>
      </c>
      <c r="L191" s="1" t="s">
        <v>7597</v>
      </c>
      <c r="M191" s="1" t="s">
        <v>7598</v>
      </c>
      <c r="N191" s="316">
        <v>44575</v>
      </c>
      <c r="O191" s="316" t="s">
        <v>264</v>
      </c>
      <c r="P191" s="316">
        <v>44575</v>
      </c>
      <c r="Q191" s="316">
        <v>44575</v>
      </c>
      <c r="R191" s="316">
        <v>44578</v>
      </c>
      <c r="S191" s="335" t="s">
        <v>6837</v>
      </c>
      <c r="T191" s="335" t="s">
        <v>6837</v>
      </c>
      <c r="U191" s="337">
        <v>44581</v>
      </c>
      <c r="V191" s="335" t="s">
        <v>5070</v>
      </c>
      <c r="W191" s="335">
        <v>5</v>
      </c>
      <c r="X191" s="335" t="s">
        <v>4999</v>
      </c>
      <c r="Y191" s="337">
        <v>44582</v>
      </c>
      <c r="Z191" s="38" t="s">
        <v>6825</v>
      </c>
      <c r="AA191" s="313">
        <v>44582</v>
      </c>
      <c r="AB191" s="313">
        <v>44582</v>
      </c>
      <c r="AC191" s="314" t="s">
        <v>4999</v>
      </c>
    </row>
    <row r="192" spans="1:30" ht="26.25" customHeight="1" thickBot="1" x14ac:dyDescent="0.3">
      <c r="A192" s="306" t="str">
        <f t="shared" si="12"/>
        <v>OK</v>
      </c>
      <c r="B192" s="307" t="str">
        <f t="shared" si="11"/>
        <v>OK</v>
      </c>
      <c r="C192" s="308" t="str">
        <f>IF(OR(ISBLANK(AA192),ISBLANK(AB192),ISBLANK(#REF!))=TRUE,"P","OK")</f>
        <v>OK</v>
      </c>
      <c r="D192" s="28">
        <v>0</v>
      </c>
      <c r="E192" s="49" t="s">
        <v>7599</v>
      </c>
      <c r="F192" s="1" t="s">
        <v>3449</v>
      </c>
      <c r="G192" s="1">
        <v>181676</v>
      </c>
      <c r="H192" s="1" t="s">
        <v>7600</v>
      </c>
      <c r="I192" s="1" t="s">
        <v>6820</v>
      </c>
      <c r="J192" s="1" t="s">
        <v>6829</v>
      </c>
      <c r="K192" s="49" t="s">
        <v>7601</v>
      </c>
      <c r="L192" s="49" t="s">
        <v>7602</v>
      </c>
      <c r="M192" s="49" t="s">
        <v>7603</v>
      </c>
      <c r="N192" s="316">
        <v>44491</v>
      </c>
      <c r="O192" s="316" t="s">
        <v>7026</v>
      </c>
      <c r="P192" s="316">
        <v>44580</v>
      </c>
      <c r="Q192" s="316">
        <v>44580</v>
      </c>
      <c r="R192" s="316">
        <v>44580</v>
      </c>
      <c r="S192" s="335" t="s">
        <v>6837</v>
      </c>
      <c r="T192" s="335" t="s">
        <v>6837</v>
      </c>
      <c r="U192" s="322">
        <v>44629</v>
      </c>
      <c r="V192" s="317" t="s">
        <v>7604</v>
      </c>
      <c r="W192" s="317">
        <v>3</v>
      </c>
      <c r="X192" s="317" t="s">
        <v>4999</v>
      </c>
      <c r="Y192" s="322">
        <v>44630</v>
      </c>
      <c r="Z192" s="38" t="s">
        <v>6825</v>
      </c>
      <c r="AA192" s="313">
        <v>44634</v>
      </c>
      <c r="AB192" s="313">
        <v>44634</v>
      </c>
      <c r="AC192" s="314" t="s">
        <v>4999</v>
      </c>
    </row>
    <row r="193" spans="1:29" ht="26.25" customHeight="1" thickBot="1" x14ac:dyDescent="0.3">
      <c r="A193" s="306" t="str">
        <f t="shared" si="12"/>
        <v>OK</v>
      </c>
      <c r="B193" s="307" t="str">
        <f t="shared" si="11"/>
        <v>OK</v>
      </c>
      <c r="C193" s="308" t="str">
        <f>IF(OR(ISBLANK(AA193),ISBLANK(AB193),ISBLANK(#REF!))=TRUE,"P","OK")</f>
        <v>OK</v>
      </c>
      <c r="D193" s="28">
        <v>0</v>
      </c>
      <c r="E193" s="49" t="s">
        <v>7605</v>
      </c>
      <c r="F193" s="1" t="s">
        <v>3449</v>
      </c>
      <c r="G193" s="1">
        <v>181676</v>
      </c>
      <c r="H193" s="1" t="s">
        <v>7606</v>
      </c>
      <c r="I193" s="1" t="s">
        <v>6820</v>
      </c>
      <c r="J193" s="1" t="s">
        <v>6829</v>
      </c>
      <c r="K193" s="49" t="s">
        <v>7607</v>
      </c>
      <c r="L193" s="49" t="s">
        <v>3142</v>
      </c>
      <c r="M193" s="49" t="s">
        <v>7608</v>
      </c>
      <c r="N193" s="316">
        <v>44491</v>
      </c>
      <c r="O193" s="316" t="s">
        <v>7026</v>
      </c>
      <c r="P193" s="316">
        <v>44580</v>
      </c>
      <c r="Q193" s="316">
        <v>44580</v>
      </c>
      <c r="R193" s="316">
        <v>44580</v>
      </c>
      <c r="S193" s="335" t="s">
        <v>6837</v>
      </c>
      <c r="T193" s="335" t="s">
        <v>6837</v>
      </c>
      <c r="U193" s="322">
        <v>44629</v>
      </c>
      <c r="V193" s="317" t="s">
        <v>7609</v>
      </c>
      <c r="W193" s="317">
        <v>2</v>
      </c>
      <c r="X193" s="317" t="s">
        <v>4999</v>
      </c>
      <c r="Y193" s="322">
        <v>44630</v>
      </c>
      <c r="Z193" s="38" t="s">
        <v>6825</v>
      </c>
      <c r="AA193" s="313">
        <v>44634</v>
      </c>
      <c r="AB193" s="313">
        <v>44634</v>
      </c>
      <c r="AC193" s="314" t="s">
        <v>4999</v>
      </c>
    </row>
    <row r="194" spans="1:29" ht="26.25" customHeight="1" thickBot="1" x14ac:dyDescent="0.3">
      <c r="A194" s="306" t="str">
        <f t="shared" si="12"/>
        <v>OK</v>
      </c>
      <c r="B194" s="307" t="str">
        <f t="shared" si="11"/>
        <v>OK</v>
      </c>
      <c r="C194" s="308" t="str">
        <f>IF(OR(ISBLANK(AA194),ISBLANK(AB194),ISBLANK(#REF!))=TRUE,"P","OK")</f>
        <v>OK</v>
      </c>
      <c r="D194" s="28">
        <v>0</v>
      </c>
      <c r="E194" s="49" t="s">
        <v>7610</v>
      </c>
      <c r="F194" s="49" t="s">
        <v>3449</v>
      </c>
      <c r="G194" s="49">
        <v>181811</v>
      </c>
      <c r="H194" s="49" t="s">
        <v>7611</v>
      </c>
      <c r="I194" s="49" t="s">
        <v>6820</v>
      </c>
      <c r="J194" s="49" t="s">
        <v>6829</v>
      </c>
      <c r="K194" s="49" t="s">
        <v>7612</v>
      </c>
      <c r="L194" s="49" t="s">
        <v>7613</v>
      </c>
      <c r="M194" s="49" t="s">
        <v>7614</v>
      </c>
      <c r="N194" s="316">
        <v>44634</v>
      </c>
      <c r="O194" s="316" t="s">
        <v>264</v>
      </c>
      <c r="P194" s="316">
        <v>44634</v>
      </c>
      <c r="Q194" s="316">
        <v>44634</v>
      </c>
      <c r="R194" s="316">
        <v>44663</v>
      </c>
      <c r="S194" s="335" t="s">
        <v>6837</v>
      </c>
      <c r="T194" s="335" t="s">
        <v>6837</v>
      </c>
      <c r="U194" s="322">
        <v>44671</v>
      </c>
      <c r="V194" s="317" t="s">
        <v>7615</v>
      </c>
      <c r="W194" s="317">
        <v>2</v>
      </c>
      <c r="X194" s="317" t="s">
        <v>4999</v>
      </c>
      <c r="Y194" s="322">
        <v>44671</v>
      </c>
      <c r="Z194" s="38" t="s">
        <v>6825</v>
      </c>
      <c r="AA194" s="313">
        <v>44671</v>
      </c>
      <c r="AB194" s="313">
        <v>44671</v>
      </c>
      <c r="AC194" s="314" t="s">
        <v>4999</v>
      </c>
    </row>
    <row r="195" spans="1:29" ht="13.7" customHeight="1" thickBot="1" x14ac:dyDescent="0.3">
      <c r="A195" s="306" t="str">
        <f t="shared" si="12"/>
        <v>OK</v>
      </c>
      <c r="B195" s="307" t="str">
        <f t="shared" si="11"/>
        <v>OK</v>
      </c>
      <c r="C195" s="308" t="str">
        <f>IF(OR(ISBLANK(AA195),ISBLANK(AB195),ISBLANK(#REF!))=TRUE,"P","OK")</f>
        <v>OK</v>
      </c>
      <c r="D195" s="28">
        <v>0</v>
      </c>
      <c r="E195" s="49" t="s">
        <v>7616</v>
      </c>
      <c r="F195" s="49" t="s">
        <v>3449</v>
      </c>
      <c r="G195" s="49">
        <v>181872</v>
      </c>
      <c r="H195" s="49" t="s">
        <v>7617</v>
      </c>
      <c r="I195" s="49" t="s">
        <v>6820</v>
      </c>
      <c r="J195" s="49" t="s">
        <v>6829</v>
      </c>
      <c r="K195" s="49" t="s">
        <v>7618</v>
      </c>
      <c r="L195" s="49" t="s">
        <v>7619</v>
      </c>
      <c r="M195" s="49" t="s">
        <v>7614</v>
      </c>
      <c r="N195" s="316">
        <v>44673</v>
      </c>
      <c r="O195" s="316" t="s">
        <v>264</v>
      </c>
      <c r="P195" s="316">
        <v>44673</v>
      </c>
      <c r="Q195" s="316">
        <v>44676</v>
      </c>
      <c r="R195" s="316">
        <v>44769</v>
      </c>
      <c r="S195" s="335" t="s">
        <v>6837</v>
      </c>
      <c r="T195" s="335" t="s">
        <v>6837</v>
      </c>
      <c r="U195" s="322">
        <v>44684</v>
      </c>
      <c r="V195" s="317" t="s">
        <v>7620</v>
      </c>
      <c r="W195" s="317">
        <v>1</v>
      </c>
      <c r="X195" s="317" t="s">
        <v>4999</v>
      </c>
      <c r="Y195" s="322">
        <v>44684</v>
      </c>
      <c r="Z195" s="38" t="s">
        <v>6825</v>
      </c>
      <c r="AA195" s="313">
        <v>44685</v>
      </c>
      <c r="AB195" s="313">
        <v>44685</v>
      </c>
      <c r="AC195" s="314" t="s">
        <v>4999</v>
      </c>
    </row>
    <row r="196" spans="1:29" ht="26.25" customHeight="1" thickBot="1" x14ac:dyDescent="0.3">
      <c r="A196" s="306" t="str">
        <f t="shared" si="12"/>
        <v>OK</v>
      </c>
      <c r="B196" s="307" t="str">
        <f t="shared" si="11"/>
        <v>OK</v>
      </c>
      <c r="C196" s="308" t="str">
        <f>IF(OR(ISBLANK(AA196),ISBLANK(AB196),ISBLANK(#REF!))=TRUE,"P","OK")</f>
        <v>OK</v>
      </c>
      <c r="D196" s="28">
        <v>0</v>
      </c>
      <c r="E196" s="49" t="s">
        <v>7621</v>
      </c>
      <c r="F196" s="49" t="s">
        <v>3449</v>
      </c>
      <c r="G196" s="49">
        <v>181897</v>
      </c>
      <c r="H196" s="49" t="s">
        <v>7622</v>
      </c>
      <c r="I196" s="49" t="s">
        <v>6820</v>
      </c>
      <c r="J196" s="49" t="s">
        <v>6829</v>
      </c>
      <c r="K196" s="49" t="s">
        <v>7623</v>
      </c>
      <c r="L196" s="49" t="s">
        <v>7624</v>
      </c>
      <c r="M196" s="49" t="s">
        <v>7598</v>
      </c>
      <c r="N196" s="316">
        <v>44690</v>
      </c>
      <c r="O196" s="316" t="s">
        <v>264</v>
      </c>
      <c r="P196" s="316" t="s">
        <v>5683</v>
      </c>
      <c r="Q196" s="316">
        <v>44691</v>
      </c>
      <c r="R196" s="316">
        <v>44699</v>
      </c>
      <c r="S196" s="335" t="s">
        <v>6837</v>
      </c>
      <c r="T196" s="335" t="s">
        <v>6837</v>
      </c>
      <c r="U196" s="322">
        <v>44699</v>
      </c>
      <c r="V196" s="317" t="s">
        <v>5070</v>
      </c>
      <c r="W196" s="317">
        <v>4</v>
      </c>
      <c r="X196" s="317" t="s">
        <v>4999</v>
      </c>
      <c r="Y196" s="322">
        <v>44699</v>
      </c>
      <c r="Z196" s="38" t="s">
        <v>6825</v>
      </c>
      <c r="AA196" s="313">
        <v>44706</v>
      </c>
      <c r="AB196" s="313">
        <v>44706</v>
      </c>
      <c r="AC196" s="314" t="s">
        <v>4999</v>
      </c>
    </row>
    <row r="197" spans="1:29" x14ac:dyDescent="0.25">
      <c r="A197" s="306" t="str">
        <f t="shared" si="12"/>
        <v>OK</v>
      </c>
      <c r="B197" s="307" t="str">
        <f t="shared" si="11"/>
        <v>OK</v>
      </c>
      <c r="C197" s="308" t="str">
        <f>IF(OR(ISBLANK(AA197),ISBLANK(AB197),ISBLANK(#REF!))=TRUE,"P","OK")</f>
        <v>OK</v>
      </c>
      <c r="D197" s="28">
        <v>0</v>
      </c>
      <c r="E197" s="49" t="s">
        <v>7625</v>
      </c>
      <c r="F197" s="49" t="s">
        <v>3449</v>
      </c>
      <c r="G197" s="49">
        <v>181933</v>
      </c>
      <c r="H197" s="49" t="s">
        <v>7626</v>
      </c>
      <c r="I197" s="49" t="s">
        <v>6820</v>
      </c>
      <c r="J197" s="49" t="s">
        <v>6829</v>
      </c>
      <c r="K197" s="49" t="s">
        <v>7627</v>
      </c>
      <c r="L197" s="49" t="s">
        <v>7628</v>
      </c>
      <c r="M197" s="49" t="s">
        <v>7629</v>
      </c>
      <c r="N197" s="316">
        <v>44713</v>
      </c>
      <c r="O197" s="316" t="s">
        <v>264</v>
      </c>
      <c r="P197" s="316">
        <v>44713</v>
      </c>
      <c r="Q197" s="316">
        <v>44713</v>
      </c>
      <c r="R197" s="316">
        <v>44743</v>
      </c>
      <c r="S197" s="335" t="s">
        <v>28</v>
      </c>
      <c r="T197" s="335" t="s">
        <v>6879</v>
      </c>
      <c r="U197" s="322">
        <v>44756</v>
      </c>
      <c r="V197" s="317" t="s">
        <v>7630</v>
      </c>
      <c r="W197" s="317">
        <v>6</v>
      </c>
      <c r="X197" s="317" t="s">
        <v>6898</v>
      </c>
      <c r="Y197" s="317" t="s">
        <v>6898</v>
      </c>
      <c r="Z197" s="312" t="s">
        <v>6898</v>
      </c>
      <c r="AA197" s="312" t="s">
        <v>6898</v>
      </c>
      <c r="AB197" s="313">
        <v>44804</v>
      </c>
      <c r="AC197" s="314" t="s">
        <v>4999</v>
      </c>
    </row>
    <row r="198" spans="1:29" ht="25.5" x14ac:dyDescent="0.25">
      <c r="A198" s="306" t="str">
        <f t="shared" si="12"/>
        <v>OK</v>
      </c>
      <c r="B198" s="307" t="str">
        <f t="shared" si="11"/>
        <v>OK</v>
      </c>
      <c r="C198" s="308" t="str">
        <f>IF(OR(ISBLANK(AA198),ISBLANK(AB198),ISBLANK(#REF!))=TRUE,"P","OK")</f>
        <v>OK</v>
      </c>
      <c r="D198" s="28">
        <v>0</v>
      </c>
      <c r="E198" s="49" t="s">
        <v>7631</v>
      </c>
      <c r="F198" s="49" t="s">
        <v>7632</v>
      </c>
      <c r="G198" s="49">
        <v>182178</v>
      </c>
      <c r="H198" s="49" t="s">
        <v>7633</v>
      </c>
      <c r="I198" s="49" t="s">
        <v>6820</v>
      </c>
      <c r="J198" s="49" t="s">
        <v>4998</v>
      </c>
      <c r="K198" s="49" t="s">
        <v>7634</v>
      </c>
      <c r="L198" s="49" t="s">
        <v>7635</v>
      </c>
      <c r="M198" s="49" t="s">
        <v>7636</v>
      </c>
      <c r="N198" s="316">
        <v>44796</v>
      </c>
      <c r="O198" s="316" t="s">
        <v>264</v>
      </c>
      <c r="P198" s="316">
        <v>44796</v>
      </c>
      <c r="Q198" s="316">
        <v>44797</v>
      </c>
      <c r="R198" s="316">
        <v>44797</v>
      </c>
      <c r="S198" s="335" t="s">
        <v>28</v>
      </c>
      <c r="T198" s="335" t="s">
        <v>6879</v>
      </c>
      <c r="U198" s="322">
        <v>44798</v>
      </c>
      <c r="V198" s="317" t="s">
        <v>7637</v>
      </c>
      <c r="W198" s="317">
        <v>1</v>
      </c>
      <c r="X198" s="317" t="s">
        <v>4999</v>
      </c>
      <c r="Y198" s="322">
        <v>44803</v>
      </c>
      <c r="Z198" s="312" t="s">
        <v>6898</v>
      </c>
      <c r="AA198" s="312" t="s">
        <v>6898</v>
      </c>
      <c r="AB198" s="313">
        <v>44804</v>
      </c>
      <c r="AC198" s="314" t="s">
        <v>4999</v>
      </c>
    </row>
    <row r="199" spans="1:29" ht="26.25" customHeight="1" thickBot="1" x14ac:dyDescent="0.3">
      <c r="A199" s="306" t="str">
        <f>IF(OR(ISBLANK(D199),ISBLANK(E199),ISBLANK(F198),ISBLANK(G198),ISBLANK(H199),ISBLANK(I199),ISBLANK(J199),ISBLANK(K199),ISBLANK(L199),ISBLANK(M199),ISBLANK(N199),ISBLANK(O199),ISBLANK(P199),ISBLANK(Q199),ISBLANK(R199))=TRUE,"P","OK")</f>
        <v>OK</v>
      </c>
      <c r="B199" s="307" t="str">
        <f t="shared" si="11"/>
        <v>OK</v>
      </c>
      <c r="C199" s="308" t="str">
        <f>IF(OR(ISBLANK(AA199),ISBLANK(AB199),ISBLANK(#REF!))=TRUE,"P","OK")</f>
        <v>OK</v>
      </c>
      <c r="D199" s="28">
        <v>0</v>
      </c>
      <c r="E199" s="49" t="s">
        <v>7638</v>
      </c>
      <c r="F199" s="49" t="s">
        <v>7639</v>
      </c>
      <c r="G199" s="1">
        <v>181754</v>
      </c>
      <c r="H199" s="1" t="s">
        <v>7640</v>
      </c>
      <c r="I199" s="1" t="s">
        <v>6820</v>
      </c>
      <c r="J199" s="1" t="s">
        <v>6829</v>
      </c>
      <c r="K199" s="1" t="s">
        <v>7641</v>
      </c>
      <c r="L199" s="1" t="s">
        <v>7642</v>
      </c>
      <c r="M199" s="1" t="s">
        <v>7643</v>
      </c>
      <c r="N199" s="316">
        <v>44575</v>
      </c>
      <c r="O199" s="316" t="s">
        <v>7026</v>
      </c>
      <c r="P199" s="316">
        <v>44575</v>
      </c>
      <c r="Q199" s="316">
        <v>44575</v>
      </c>
      <c r="R199" s="316">
        <v>44578</v>
      </c>
      <c r="S199" s="335" t="s">
        <v>6837</v>
      </c>
      <c r="T199" s="335" t="s">
        <v>6837</v>
      </c>
      <c r="U199" s="337">
        <v>44592</v>
      </c>
      <c r="V199" s="335" t="s">
        <v>7644</v>
      </c>
      <c r="W199" s="335">
        <v>1</v>
      </c>
      <c r="X199" s="335" t="s">
        <v>4999</v>
      </c>
      <c r="Y199" s="337">
        <v>44592</v>
      </c>
      <c r="Z199" s="38" t="s">
        <v>6825</v>
      </c>
      <c r="AA199" s="313">
        <v>44593</v>
      </c>
      <c r="AB199" s="313">
        <v>44593</v>
      </c>
      <c r="AC199" s="314" t="s">
        <v>4999</v>
      </c>
    </row>
    <row r="200" spans="1:29" ht="26.25" customHeight="1" thickBot="1" x14ac:dyDescent="0.3">
      <c r="A200" s="306" t="str">
        <f t="shared" ref="A200:A262" si="13">IF(OR(ISBLANK(D200),ISBLANK(E200),ISBLANK(F200),ISBLANK(G200),ISBLANK(H200),ISBLANK(I200),ISBLANK(J200),ISBLANK(K200),ISBLANK(L200),ISBLANK(M200),ISBLANK(N200),ISBLANK(O200),ISBLANK(P200),ISBLANK(Q200),ISBLANK(R200))=TRUE,"P","OK")</f>
        <v>OK</v>
      </c>
      <c r="B200" s="307" t="str">
        <f t="shared" si="11"/>
        <v>OK</v>
      </c>
      <c r="C200" s="308" t="str">
        <f>IF(OR(ISBLANK(AA200),ISBLANK(AB200),ISBLANK(#REF!))=TRUE,"P","OK")</f>
        <v>OK</v>
      </c>
      <c r="D200" s="28">
        <v>0</v>
      </c>
      <c r="E200" s="49" t="s">
        <v>7645</v>
      </c>
      <c r="F200" s="49" t="s">
        <v>7639</v>
      </c>
      <c r="G200" s="1">
        <v>181755</v>
      </c>
      <c r="H200" s="1" t="s">
        <v>7646</v>
      </c>
      <c r="I200" s="1" t="s">
        <v>6820</v>
      </c>
      <c r="J200" s="1" t="s">
        <v>6829</v>
      </c>
      <c r="K200" s="1" t="s">
        <v>7647</v>
      </c>
      <c r="L200" s="1" t="s">
        <v>7648</v>
      </c>
      <c r="M200" s="1" t="s">
        <v>7649</v>
      </c>
      <c r="N200" s="316">
        <v>44575</v>
      </c>
      <c r="O200" s="316" t="s">
        <v>7026</v>
      </c>
      <c r="P200" s="316">
        <v>44578</v>
      </c>
      <c r="Q200" s="316">
        <v>44578</v>
      </c>
      <c r="R200" s="316">
        <v>44578</v>
      </c>
      <c r="S200" s="335" t="s">
        <v>6837</v>
      </c>
      <c r="T200" s="335" t="s">
        <v>6837</v>
      </c>
      <c r="U200" s="337">
        <v>44600</v>
      </c>
      <c r="V200" s="335" t="s">
        <v>7650</v>
      </c>
      <c r="W200" s="335">
        <v>1</v>
      </c>
      <c r="X200" s="335" t="s">
        <v>4999</v>
      </c>
      <c r="Y200" s="337">
        <v>44600</v>
      </c>
      <c r="Z200" s="38" t="s">
        <v>6825</v>
      </c>
      <c r="AA200" s="313">
        <v>44603</v>
      </c>
      <c r="AB200" s="313">
        <v>44603</v>
      </c>
      <c r="AC200" s="314" t="s">
        <v>4999</v>
      </c>
    </row>
    <row r="201" spans="1:29" ht="26.25" customHeight="1" thickBot="1" x14ac:dyDescent="0.3">
      <c r="A201" s="306" t="str">
        <f t="shared" si="13"/>
        <v>OK</v>
      </c>
      <c r="B201" s="307" t="str">
        <f t="shared" si="11"/>
        <v>OK</v>
      </c>
      <c r="C201" s="308" t="str">
        <f>IF(OR(ISBLANK(AA201),ISBLANK(AB201),ISBLANK(#REF!))=TRUE,"P","OK")</f>
        <v>OK</v>
      </c>
      <c r="D201" s="28">
        <v>0</v>
      </c>
      <c r="E201" s="49" t="s">
        <v>7651</v>
      </c>
      <c r="F201" s="49" t="s">
        <v>7639</v>
      </c>
      <c r="G201" s="49">
        <v>181766</v>
      </c>
      <c r="H201" s="49" t="s">
        <v>7652</v>
      </c>
      <c r="I201" s="49" t="s">
        <v>6820</v>
      </c>
      <c r="J201" s="49" t="s">
        <v>6829</v>
      </c>
      <c r="K201" s="49" t="s">
        <v>542</v>
      </c>
      <c r="L201" s="49" t="s">
        <v>7653</v>
      </c>
      <c r="M201" s="49" t="s">
        <v>7654</v>
      </c>
      <c r="N201" s="316">
        <v>44592</v>
      </c>
      <c r="O201" s="316" t="s">
        <v>264</v>
      </c>
      <c r="P201" s="316">
        <v>44592</v>
      </c>
      <c r="Q201" s="316">
        <v>44592</v>
      </c>
      <c r="R201" s="316">
        <v>44592</v>
      </c>
      <c r="S201" s="335" t="s">
        <v>28</v>
      </c>
      <c r="T201" s="335" t="s">
        <v>7026</v>
      </c>
      <c r="U201" s="337">
        <v>44606</v>
      </c>
      <c r="V201" s="335" t="s">
        <v>7655</v>
      </c>
      <c r="W201" s="335">
        <v>2</v>
      </c>
      <c r="X201" s="335" t="s">
        <v>6898</v>
      </c>
      <c r="Y201" s="337">
        <v>44606</v>
      </c>
      <c r="Z201" s="38" t="s">
        <v>6825</v>
      </c>
      <c r="AA201" s="313">
        <v>44634</v>
      </c>
      <c r="AB201" s="313">
        <v>44634</v>
      </c>
      <c r="AC201" s="314" t="s">
        <v>4999</v>
      </c>
    </row>
    <row r="202" spans="1:29" ht="39" customHeight="1" thickBot="1" x14ac:dyDescent="0.3">
      <c r="A202" s="306" t="str">
        <f t="shared" si="13"/>
        <v>OK</v>
      </c>
      <c r="B202" s="307" t="str">
        <f t="shared" si="11"/>
        <v>OK</v>
      </c>
      <c r="C202" s="308" t="str">
        <f>IF(OR(ISBLANK(AA202),ISBLANK(AB202),ISBLANK(#REF!))=TRUE,"P","OK")</f>
        <v>OK</v>
      </c>
      <c r="D202" s="28">
        <v>0</v>
      </c>
      <c r="E202" s="49" t="s">
        <v>7656</v>
      </c>
      <c r="F202" s="49" t="s">
        <v>7639</v>
      </c>
      <c r="G202" s="49">
        <v>181801</v>
      </c>
      <c r="H202" s="49" t="s">
        <v>7657</v>
      </c>
      <c r="I202" s="49" t="s">
        <v>6820</v>
      </c>
      <c r="J202" s="49" t="s">
        <v>6829</v>
      </c>
      <c r="K202" s="49" t="s">
        <v>7658</v>
      </c>
      <c r="L202" s="49" t="s">
        <v>7659</v>
      </c>
      <c r="M202" s="49" t="s">
        <v>7660</v>
      </c>
      <c r="N202" s="316">
        <v>44624</v>
      </c>
      <c r="O202" s="316" t="s">
        <v>7026</v>
      </c>
      <c r="P202" s="316">
        <v>44627</v>
      </c>
      <c r="Q202" s="316">
        <v>44627</v>
      </c>
      <c r="R202" s="316">
        <v>44627</v>
      </c>
      <c r="S202" s="336" t="s">
        <v>6832</v>
      </c>
      <c r="T202" s="336" t="s">
        <v>6832</v>
      </c>
      <c r="U202" s="322">
        <v>44627</v>
      </c>
      <c r="V202" s="317" t="s">
        <v>7661</v>
      </c>
      <c r="W202" s="317">
        <v>1</v>
      </c>
      <c r="X202" s="317" t="s">
        <v>4999</v>
      </c>
      <c r="Y202" s="322">
        <v>44635</v>
      </c>
      <c r="Z202" s="38" t="s">
        <v>6825</v>
      </c>
      <c r="AA202" s="313">
        <v>44636</v>
      </c>
      <c r="AB202" s="313">
        <v>44636</v>
      </c>
      <c r="AC202" s="314" t="s">
        <v>4999</v>
      </c>
    </row>
    <row r="203" spans="1:29" ht="26.25" customHeight="1" thickBot="1" x14ac:dyDescent="0.3">
      <c r="A203" s="306" t="str">
        <f t="shared" si="13"/>
        <v>OK</v>
      </c>
      <c r="B203" s="307" t="str">
        <f t="shared" si="11"/>
        <v>OK</v>
      </c>
      <c r="C203" s="308" t="str">
        <f>IF(OR(ISBLANK(AA203),ISBLANK(AB203),ISBLANK(#REF!))=TRUE,"P","OK")</f>
        <v>OK</v>
      </c>
      <c r="D203" s="28">
        <v>0</v>
      </c>
      <c r="E203" s="49" t="s">
        <v>7662</v>
      </c>
      <c r="F203" s="49" t="s">
        <v>7639</v>
      </c>
      <c r="G203" s="49">
        <v>181851</v>
      </c>
      <c r="H203" s="49" t="s">
        <v>7663</v>
      </c>
      <c r="I203" s="49" t="s">
        <v>6820</v>
      </c>
      <c r="J203" s="49" t="s">
        <v>6829</v>
      </c>
      <c r="K203" s="49" t="s">
        <v>7664</v>
      </c>
      <c r="L203" s="49" t="s">
        <v>7665</v>
      </c>
      <c r="M203" s="49" t="s">
        <v>7666</v>
      </c>
      <c r="N203" s="316">
        <v>44652</v>
      </c>
      <c r="O203" s="316" t="s">
        <v>264</v>
      </c>
      <c r="P203" s="316" t="s">
        <v>5683</v>
      </c>
      <c r="Q203" s="316">
        <v>44652</v>
      </c>
      <c r="R203" s="316">
        <v>44652</v>
      </c>
      <c r="S203" s="335" t="s">
        <v>6837</v>
      </c>
      <c r="T203" s="335" t="s">
        <v>6837</v>
      </c>
      <c r="U203" s="322">
        <v>44656</v>
      </c>
      <c r="V203" s="317" t="s">
        <v>5674</v>
      </c>
      <c r="W203" s="317">
        <v>1</v>
      </c>
      <c r="X203" s="317" t="s">
        <v>4999</v>
      </c>
      <c r="Y203" s="322">
        <v>44657</v>
      </c>
      <c r="Z203" s="38" t="s">
        <v>6825</v>
      </c>
      <c r="AA203" s="313">
        <v>44662</v>
      </c>
      <c r="AB203" s="313">
        <v>44662</v>
      </c>
      <c r="AC203" s="314" t="s">
        <v>4999</v>
      </c>
    </row>
    <row r="204" spans="1:29" ht="27.95" customHeight="1" thickBot="1" x14ac:dyDescent="0.3">
      <c r="A204" s="306" t="str">
        <f t="shared" si="13"/>
        <v>OK</v>
      </c>
      <c r="B204" s="307" t="str">
        <f t="shared" si="11"/>
        <v>OK</v>
      </c>
      <c r="C204" s="308" t="str">
        <f>IF(OR(ISBLANK(AA204),ISBLANK(AB204),ISBLANK(#REF!))=TRUE,"P","OK")</f>
        <v>OK</v>
      </c>
      <c r="D204" s="28">
        <v>0</v>
      </c>
      <c r="E204" s="49" t="s">
        <v>7667</v>
      </c>
      <c r="F204" s="49" t="s">
        <v>7639</v>
      </c>
      <c r="G204" s="49">
        <v>181893</v>
      </c>
      <c r="H204" s="49" t="s">
        <v>7668</v>
      </c>
      <c r="I204" s="49" t="s">
        <v>6820</v>
      </c>
      <c r="J204" s="49" t="s">
        <v>6829</v>
      </c>
      <c r="K204" s="49" t="s">
        <v>7596</v>
      </c>
      <c r="L204" s="49" t="s">
        <v>7669</v>
      </c>
      <c r="M204" s="49" t="s">
        <v>7670</v>
      </c>
      <c r="N204" s="316">
        <v>44686</v>
      </c>
      <c r="O204" s="316" t="s">
        <v>264</v>
      </c>
      <c r="P204" s="316">
        <v>44686</v>
      </c>
      <c r="Q204" s="316">
        <v>44687</v>
      </c>
      <c r="R204" s="316" t="s">
        <v>5683</v>
      </c>
      <c r="S204" s="335" t="s">
        <v>6837</v>
      </c>
      <c r="T204" s="335" t="s">
        <v>6837</v>
      </c>
      <c r="U204" s="322">
        <v>44690</v>
      </c>
      <c r="V204" s="317" t="s">
        <v>7671</v>
      </c>
      <c r="W204" s="317">
        <v>3</v>
      </c>
      <c r="X204" s="317" t="s">
        <v>4999</v>
      </c>
      <c r="Y204" s="322">
        <v>44691</v>
      </c>
      <c r="Z204" s="38" t="s">
        <v>6825</v>
      </c>
      <c r="AA204" s="313">
        <v>44705</v>
      </c>
      <c r="AB204" s="313">
        <v>44705</v>
      </c>
      <c r="AC204" s="314" t="s">
        <v>4999</v>
      </c>
    </row>
    <row r="205" spans="1:29" ht="25.5" x14ac:dyDescent="0.25">
      <c r="A205" s="306" t="str">
        <f t="shared" si="13"/>
        <v>OK</v>
      </c>
      <c r="B205" s="307" t="str">
        <f t="shared" si="11"/>
        <v>OK</v>
      </c>
      <c r="C205" s="308" t="str">
        <f>IF(OR(ISBLANK(AA205),ISBLANK(AB205),ISBLANK(#REF!))=TRUE,"P","OK")</f>
        <v>OK</v>
      </c>
      <c r="D205" s="28">
        <v>0</v>
      </c>
      <c r="E205" s="49" t="s">
        <v>7672</v>
      </c>
      <c r="F205" s="49" t="s">
        <v>7639</v>
      </c>
      <c r="G205" s="49">
        <v>181894</v>
      </c>
      <c r="H205" s="49" t="s">
        <v>7673</v>
      </c>
      <c r="I205" s="49" t="s">
        <v>6820</v>
      </c>
      <c r="J205" s="49" t="s">
        <v>6829</v>
      </c>
      <c r="K205" s="49" t="s">
        <v>7674</v>
      </c>
      <c r="L205" s="49" t="s">
        <v>7675</v>
      </c>
      <c r="M205" s="49" t="s">
        <v>7676</v>
      </c>
      <c r="N205" s="316">
        <v>44687</v>
      </c>
      <c r="O205" s="316" t="s">
        <v>264</v>
      </c>
      <c r="P205" s="316">
        <v>44687</v>
      </c>
      <c r="Q205" s="316">
        <v>44691</v>
      </c>
      <c r="R205" s="316" t="s">
        <v>5683</v>
      </c>
      <c r="S205" s="335" t="s">
        <v>6837</v>
      </c>
      <c r="T205" s="335" t="s">
        <v>6837</v>
      </c>
      <c r="U205" s="322">
        <v>44693</v>
      </c>
      <c r="V205" s="317" t="s">
        <v>7677</v>
      </c>
      <c r="W205" s="317">
        <v>1</v>
      </c>
      <c r="X205" s="317" t="s">
        <v>4999</v>
      </c>
      <c r="Y205" s="322">
        <v>44694</v>
      </c>
      <c r="Z205" s="312" t="s">
        <v>6898</v>
      </c>
      <c r="AA205" s="312" t="s">
        <v>6898</v>
      </c>
      <c r="AB205" s="313">
        <v>44699</v>
      </c>
      <c r="AC205" s="314" t="s">
        <v>4999</v>
      </c>
    </row>
    <row r="206" spans="1:29" ht="25.5" x14ac:dyDescent="0.25">
      <c r="A206" s="306" t="str">
        <f t="shared" si="13"/>
        <v>OK</v>
      </c>
      <c r="B206" s="307" t="str">
        <f t="shared" si="11"/>
        <v>OK</v>
      </c>
      <c r="C206" s="308" t="str">
        <f>IF(OR(ISBLANK(AA206),ISBLANK(AB206),ISBLANK(#REF!))=TRUE,"P","OK")</f>
        <v>OK</v>
      </c>
      <c r="D206" s="28">
        <v>0</v>
      </c>
      <c r="E206" s="49" t="s">
        <v>7678</v>
      </c>
      <c r="F206" s="49" t="s">
        <v>7639</v>
      </c>
      <c r="G206" s="49">
        <v>181930</v>
      </c>
      <c r="H206" s="49" t="s">
        <v>7679</v>
      </c>
      <c r="I206" s="49" t="s">
        <v>6820</v>
      </c>
      <c r="J206" s="49" t="s">
        <v>6829</v>
      </c>
      <c r="K206" s="49" t="s">
        <v>7680</v>
      </c>
      <c r="L206" s="49" t="s">
        <v>7681</v>
      </c>
      <c r="M206" s="49" t="s">
        <v>7682</v>
      </c>
      <c r="N206" s="316">
        <v>44711</v>
      </c>
      <c r="O206" s="316" t="s">
        <v>264</v>
      </c>
      <c r="P206" s="316">
        <v>44711</v>
      </c>
      <c r="Q206" s="316">
        <v>44711</v>
      </c>
      <c r="R206" s="316">
        <v>44715</v>
      </c>
      <c r="S206" s="335" t="s">
        <v>6837</v>
      </c>
      <c r="T206" s="335" t="s">
        <v>6837</v>
      </c>
      <c r="U206" s="322">
        <v>44718</v>
      </c>
      <c r="V206" s="317" t="s">
        <v>7683</v>
      </c>
      <c r="W206" s="317">
        <v>2</v>
      </c>
      <c r="X206" s="317" t="s">
        <v>4999</v>
      </c>
      <c r="Y206" s="322">
        <v>44721</v>
      </c>
      <c r="Z206" s="312" t="s">
        <v>264</v>
      </c>
      <c r="AA206" s="313">
        <v>44736</v>
      </c>
      <c r="AB206" s="313">
        <v>44736</v>
      </c>
      <c r="AC206" s="314" t="s">
        <v>4999</v>
      </c>
    </row>
    <row r="207" spans="1:29" ht="25.5" x14ac:dyDescent="0.25">
      <c r="A207" s="306" t="str">
        <f t="shared" si="13"/>
        <v>OK</v>
      </c>
      <c r="B207" s="307" t="str">
        <f t="shared" si="11"/>
        <v>OK</v>
      </c>
      <c r="C207" s="308" t="str">
        <f>IF(OR(ISBLANK(AA207),ISBLANK(AB207),ISBLANK(#REF!))=TRUE,"P","OK")</f>
        <v>OK</v>
      </c>
      <c r="D207" s="28">
        <v>0</v>
      </c>
      <c r="E207" s="49" t="s">
        <v>7684</v>
      </c>
      <c r="F207" s="49" t="s">
        <v>7639</v>
      </c>
      <c r="G207" s="49">
        <v>182045</v>
      </c>
      <c r="H207" s="49" t="s">
        <v>7685</v>
      </c>
      <c r="I207" s="49" t="s">
        <v>6820</v>
      </c>
      <c r="J207" s="49" t="s">
        <v>6829</v>
      </c>
      <c r="K207" s="49" t="s">
        <v>7686</v>
      </c>
      <c r="L207" s="49">
        <v>1152</v>
      </c>
      <c r="M207" s="49" t="s">
        <v>7687</v>
      </c>
      <c r="N207" s="316">
        <v>44736</v>
      </c>
      <c r="O207" s="316" t="s">
        <v>264</v>
      </c>
      <c r="P207" s="316">
        <v>44736</v>
      </c>
      <c r="Q207" s="316">
        <v>44736</v>
      </c>
      <c r="R207" s="316">
        <v>44739</v>
      </c>
      <c r="S207" s="335" t="s">
        <v>6837</v>
      </c>
      <c r="T207" s="335" t="s">
        <v>6837</v>
      </c>
      <c r="U207" s="322">
        <v>44741</v>
      </c>
      <c r="V207" s="317" t="s">
        <v>7688</v>
      </c>
      <c r="W207" s="317">
        <v>1</v>
      </c>
      <c r="X207" s="317" t="s">
        <v>4999</v>
      </c>
      <c r="Y207" s="322">
        <v>44741</v>
      </c>
      <c r="Z207" s="312" t="s">
        <v>264</v>
      </c>
      <c r="AA207" s="313">
        <v>44722</v>
      </c>
      <c r="AB207" s="313">
        <v>44722</v>
      </c>
      <c r="AC207" s="314" t="s">
        <v>4999</v>
      </c>
    </row>
    <row r="208" spans="1:29" ht="25.5" x14ac:dyDescent="0.25">
      <c r="A208" s="306" t="str">
        <f t="shared" si="13"/>
        <v>OK</v>
      </c>
      <c r="B208" s="307" t="str">
        <f t="shared" si="11"/>
        <v>OK</v>
      </c>
      <c r="C208" s="308" t="str">
        <f>IF(OR(ISBLANK(AA208),ISBLANK(AB208),ISBLANK(#REF!))=TRUE,"P","OK")</f>
        <v>OK</v>
      </c>
      <c r="D208" s="28">
        <v>0</v>
      </c>
      <c r="E208" s="49" t="s">
        <v>7689</v>
      </c>
      <c r="F208" s="49" t="s">
        <v>7639</v>
      </c>
      <c r="G208" s="49">
        <v>182047</v>
      </c>
      <c r="H208" s="49" t="s">
        <v>7690</v>
      </c>
      <c r="I208" s="49" t="s">
        <v>6820</v>
      </c>
      <c r="J208" s="49" t="s">
        <v>6829</v>
      </c>
      <c r="K208" s="49" t="s">
        <v>6930</v>
      </c>
      <c r="L208" s="49" t="s">
        <v>7691</v>
      </c>
      <c r="M208" s="49" t="s">
        <v>7692</v>
      </c>
      <c r="N208" s="316">
        <v>44736</v>
      </c>
      <c r="O208" s="316" t="s">
        <v>264</v>
      </c>
      <c r="P208" s="316">
        <v>44736</v>
      </c>
      <c r="Q208" s="316">
        <v>44736</v>
      </c>
      <c r="R208" s="316">
        <v>44739</v>
      </c>
      <c r="S208" s="335" t="s">
        <v>28</v>
      </c>
      <c r="T208" s="335" t="s">
        <v>6879</v>
      </c>
      <c r="U208" s="322">
        <v>44763</v>
      </c>
      <c r="V208" s="317" t="s">
        <v>7693</v>
      </c>
      <c r="W208" s="317">
        <v>1</v>
      </c>
      <c r="X208" s="317" t="s">
        <v>4999</v>
      </c>
      <c r="Y208" s="322">
        <v>44767</v>
      </c>
      <c r="Z208" s="312" t="s">
        <v>264</v>
      </c>
      <c r="AA208" s="313">
        <v>44741</v>
      </c>
      <c r="AB208" s="313">
        <v>44741</v>
      </c>
      <c r="AC208" s="314" t="s">
        <v>4999</v>
      </c>
    </row>
    <row r="209" spans="1:29" ht="25.5" x14ac:dyDescent="0.25">
      <c r="A209" s="306" t="str">
        <f t="shared" si="13"/>
        <v>OK</v>
      </c>
      <c r="B209" s="307" t="str">
        <f t="shared" si="11"/>
        <v>OK</v>
      </c>
      <c r="C209" s="308" t="str">
        <f>IF(OR(ISBLANK(AA209),ISBLANK(AB209),ISBLANK(#REF!))=TRUE,"P","OK")</f>
        <v>OK</v>
      </c>
      <c r="D209" s="28">
        <v>0</v>
      </c>
      <c r="E209" s="49" t="s">
        <v>7694</v>
      </c>
      <c r="F209" s="49" t="s">
        <v>7639</v>
      </c>
      <c r="G209" s="49">
        <v>182048</v>
      </c>
      <c r="H209" s="49" t="s">
        <v>7695</v>
      </c>
      <c r="I209" s="49" t="s">
        <v>6820</v>
      </c>
      <c r="J209" s="49" t="s">
        <v>6829</v>
      </c>
      <c r="K209" s="49" t="s">
        <v>7696</v>
      </c>
      <c r="L209" s="49" t="s">
        <v>7697</v>
      </c>
      <c r="M209" s="49" t="s">
        <v>7698</v>
      </c>
      <c r="N209" s="316">
        <v>44736</v>
      </c>
      <c r="O209" s="316" t="s">
        <v>264</v>
      </c>
      <c r="P209" s="316">
        <v>44736</v>
      </c>
      <c r="Q209" s="316">
        <v>44736</v>
      </c>
      <c r="R209" s="316" t="s">
        <v>6898</v>
      </c>
      <c r="S209" s="335" t="s">
        <v>28</v>
      </c>
      <c r="T209" s="317" t="s">
        <v>28</v>
      </c>
      <c r="U209" s="322">
        <v>44763</v>
      </c>
      <c r="V209" s="317" t="s">
        <v>7699</v>
      </c>
      <c r="W209" s="317">
        <v>1</v>
      </c>
      <c r="X209" s="317" t="s">
        <v>6898</v>
      </c>
      <c r="Y209" s="317" t="s">
        <v>6898</v>
      </c>
      <c r="Z209" s="312" t="s">
        <v>6898</v>
      </c>
      <c r="AA209" s="312" t="s">
        <v>6898</v>
      </c>
      <c r="AB209" s="313">
        <v>44776</v>
      </c>
      <c r="AC209" s="314" t="s">
        <v>4999</v>
      </c>
    </row>
    <row r="210" spans="1:29" ht="25.5" x14ac:dyDescent="0.25">
      <c r="A210" s="306" t="str">
        <f t="shared" si="13"/>
        <v>OK</v>
      </c>
      <c r="B210" s="307" t="str">
        <f t="shared" si="11"/>
        <v>OK</v>
      </c>
      <c r="C210" s="308" t="str">
        <f>IF(OR(ISBLANK(AA210),ISBLANK(AB210),ISBLANK(#REF!))=TRUE,"P","OK")</f>
        <v>OK</v>
      </c>
      <c r="D210" s="28">
        <v>0</v>
      </c>
      <c r="E210" s="49" t="s">
        <v>7700</v>
      </c>
      <c r="F210" s="49" t="s">
        <v>7639</v>
      </c>
      <c r="G210" s="49">
        <v>182062</v>
      </c>
      <c r="H210" s="49" t="s">
        <v>7701</v>
      </c>
      <c r="I210" s="49" t="s">
        <v>6820</v>
      </c>
      <c r="J210" s="49" t="s">
        <v>6829</v>
      </c>
      <c r="K210" s="49" t="s">
        <v>7702</v>
      </c>
      <c r="L210" s="49" t="s">
        <v>7703</v>
      </c>
      <c r="M210" s="49" t="s">
        <v>7704</v>
      </c>
      <c r="N210" s="316">
        <v>44736</v>
      </c>
      <c r="O210" s="316" t="s">
        <v>264</v>
      </c>
      <c r="P210" s="316">
        <v>44736</v>
      </c>
      <c r="Q210" s="316">
        <v>44741</v>
      </c>
      <c r="R210" s="316" t="s">
        <v>6898</v>
      </c>
      <c r="S210" s="335" t="s">
        <v>28</v>
      </c>
      <c r="T210" s="335" t="s">
        <v>6879</v>
      </c>
      <c r="U210" s="322">
        <v>44763</v>
      </c>
      <c r="V210" s="317" t="s">
        <v>7705</v>
      </c>
      <c r="W210" s="317">
        <v>3</v>
      </c>
      <c r="X210" s="317" t="s">
        <v>4999</v>
      </c>
      <c r="Y210" s="322">
        <v>44771</v>
      </c>
      <c r="Z210" s="312" t="s">
        <v>6898</v>
      </c>
      <c r="AA210" s="312" t="s">
        <v>6898</v>
      </c>
      <c r="AB210" s="313">
        <v>44775</v>
      </c>
      <c r="AC210" s="314" t="s">
        <v>4999</v>
      </c>
    </row>
    <row r="211" spans="1:29" ht="25.5" x14ac:dyDescent="0.25">
      <c r="A211" s="306" t="str">
        <f t="shared" si="13"/>
        <v>OK</v>
      </c>
      <c r="B211" s="307" t="str">
        <f t="shared" si="11"/>
        <v>OK</v>
      </c>
      <c r="C211" s="308" t="str">
        <f>IF(OR(ISBLANK(AA211),ISBLANK(AB211),ISBLANK(#REF!))=TRUE,"P","OK")</f>
        <v>OK</v>
      </c>
      <c r="D211" s="28">
        <v>0</v>
      </c>
      <c r="E211" s="49" t="s">
        <v>7706</v>
      </c>
      <c r="F211" s="49" t="s">
        <v>7639</v>
      </c>
      <c r="G211" s="49">
        <v>182107</v>
      </c>
      <c r="H211" s="49" t="s">
        <v>7707</v>
      </c>
      <c r="I211" s="49" t="s">
        <v>6820</v>
      </c>
      <c r="J211" s="49" t="s">
        <v>4998</v>
      </c>
      <c r="K211" s="49" t="s">
        <v>147</v>
      </c>
      <c r="L211" s="49" t="s">
        <v>6195</v>
      </c>
      <c r="M211" s="49" t="s">
        <v>6196</v>
      </c>
      <c r="N211" s="316">
        <v>44763</v>
      </c>
      <c r="O211" s="316" t="s">
        <v>264</v>
      </c>
      <c r="P211" s="316">
        <v>44763</v>
      </c>
      <c r="Q211" s="316">
        <v>44764</v>
      </c>
      <c r="R211" s="316">
        <v>44764</v>
      </c>
      <c r="S211" s="335" t="s">
        <v>28</v>
      </c>
      <c r="T211" s="335" t="s">
        <v>6879</v>
      </c>
      <c r="U211" s="322">
        <v>44763</v>
      </c>
      <c r="V211" s="317" t="s">
        <v>7699</v>
      </c>
      <c r="W211" s="317">
        <v>1</v>
      </c>
      <c r="X211" s="317" t="s">
        <v>6898</v>
      </c>
      <c r="Y211" s="317" t="s">
        <v>6898</v>
      </c>
      <c r="Z211" s="312" t="s">
        <v>6898</v>
      </c>
      <c r="AA211" s="312" t="s">
        <v>6898</v>
      </c>
      <c r="AB211" s="313">
        <v>44777</v>
      </c>
      <c r="AC211" s="314" t="s">
        <v>4999</v>
      </c>
    </row>
    <row r="212" spans="1:29" ht="39" customHeight="1" thickBot="1" x14ac:dyDescent="0.3">
      <c r="A212" s="306" t="str">
        <f t="shared" si="13"/>
        <v>OK</v>
      </c>
      <c r="B212" s="307" t="str">
        <f t="shared" si="11"/>
        <v>OK</v>
      </c>
      <c r="C212" s="308" t="str">
        <f>IF(OR(ISBLANK(AA212),ISBLANK(AB212),ISBLANK(#REF!))=TRUE,"P","OK")</f>
        <v>OK</v>
      </c>
      <c r="D212" s="28">
        <v>0</v>
      </c>
      <c r="E212" s="49" t="s">
        <v>7708</v>
      </c>
      <c r="F212" s="49" t="s">
        <v>7639</v>
      </c>
      <c r="G212" s="49">
        <v>182019</v>
      </c>
      <c r="H212" s="49" t="s">
        <v>7709</v>
      </c>
      <c r="I212" s="49" t="s">
        <v>6820</v>
      </c>
      <c r="J212" s="49" t="s">
        <v>4998</v>
      </c>
      <c r="K212" s="49" t="s">
        <v>7710</v>
      </c>
      <c r="L212" s="332" t="s">
        <v>7711</v>
      </c>
      <c r="M212" s="49" t="s">
        <v>7712</v>
      </c>
      <c r="N212" s="316">
        <v>44810</v>
      </c>
      <c r="O212" s="316" t="s">
        <v>264</v>
      </c>
      <c r="P212" s="316">
        <v>44810</v>
      </c>
      <c r="Q212" s="316">
        <v>44812</v>
      </c>
      <c r="R212" s="316">
        <v>44812</v>
      </c>
      <c r="S212" s="317" t="s">
        <v>28</v>
      </c>
      <c r="T212" s="317" t="s">
        <v>28</v>
      </c>
      <c r="U212" s="322">
        <v>44817</v>
      </c>
      <c r="V212" s="317" t="s">
        <v>137</v>
      </c>
      <c r="W212" s="317">
        <v>1</v>
      </c>
      <c r="X212" s="317" t="s">
        <v>4999</v>
      </c>
      <c r="Y212" s="322">
        <v>44823</v>
      </c>
      <c r="Z212" s="312" t="s">
        <v>6825</v>
      </c>
      <c r="AA212" s="313">
        <v>44854</v>
      </c>
      <c r="AB212" s="313">
        <v>44854</v>
      </c>
      <c r="AC212" s="314" t="s">
        <v>4999</v>
      </c>
    </row>
    <row r="213" spans="1:29" ht="38.25" x14ac:dyDescent="0.25">
      <c r="A213" s="306" t="str">
        <f t="shared" si="13"/>
        <v>OK</v>
      </c>
      <c r="B213" s="307" t="str">
        <f t="shared" si="11"/>
        <v>OK</v>
      </c>
      <c r="C213" s="308" t="str">
        <f>IF(OR(ISBLANK(AA213),ISBLANK(AB213),ISBLANK(#REF!))=TRUE,"P","OK")</f>
        <v>OK</v>
      </c>
      <c r="D213" s="28">
        <v>0</v>
      </c>
      <c r="E213" s="49" t="s">
        <v>7713</v>
      </c>
      <c r="F213" s="49" t="s">
        <v>7639</v>
      </c>
      <c r="G213" s="49">
        <v>182020</v>
      </c>
      <c r="H213" s="49" t="s">
        <v>7714</v>
      </c>
      <c r="I213" s="49" t="s">
        <v>6820</v>
      </c>
      <c r="J213" s="49" t="s">
        <v>4998</v>
      </c>
      <c r="K213" s="49" t="s">
        <v>7715</v>
      </c>
      <c r="L213" s="49" t="s">
        <v>7716</v>
      </c>
      <c r="M213" s="49" t="s">
        <v>7717</v>
      </c>
      <c r="N213" s="316">
        <v>44810</v>
      </c>
      <c r="O213" s="316" t="s">
        <v>264</v>
      </c>
      <c r="P213" s="316">
        <v>44810</v>
      </c>
      <c r="Q213" s="316">
        <v>44812</v>
      </c>
      <c r="R213" s="316" t="s">
        <v>6898</v>
      </c>
      <c r="S213" s="317" t="s">
        <v>28</v>
      </c>
      <c r="T213" s="317" t="s">
        <v>28</v>
      </c>
      <c r="U213" s="322">
        <v>44817</v>
      </c>
      <c r="V213" s="317">
        <v>22354</v>
      </c>
      <c r="W213" s="317">
        <v>3</v>
      </c>
      <c r="X213" s="317" t="s">
        <v>4999</v>
      </c>
      <c r="Y213" s="322">
        <v>44825</v>
      </c>
      <c r="Z213" s="313" t="s">
        <v>264</v>
      </c>
      <c r="AA213" s="313">
        <v>44825</v>
      </c>
      <c r="AB213" s="313">
        <v>44825</v>
      </c>
      <c r="AC213" s="314" t="s">
        <v>4999</v>
      </c>
    </row>
    <row r="214" spans="1:29" ht="25.5" x14ac:dyDescent="0.25">
      <c r="A214" s="306" t="str">
        <f t="shared" si="13"/>
        <v>OK</v>
      </c>
      <c r="B214" s="307" t="str">
        <f t="shared" si="11"/>
        <v>OK</v>
      </c>
      <c r="C214" s="308" t="str">
        <f>IF(OR(ISBLANK(AA214),ISBLANK(AB214),ISBLANK(#REF!))=TRUE,"P","OK")</f>
        <v>OK</v>
      </c>
      <c r="D214" s="28">
        <v>0</v>
      </c>
      <c r="E214" s="49" t="s">
        <v>7718</v>
      </c>
      <c r="F214" s="49" t="s">
        <v>7639</v>
      </c>
      <c r="G214" s="49">
        <v>182160</v>
      </c>
      <c r="H214" s="49" t="s">
        <v>7719</v>
      </c>
      <c r="I214" s="49" t="s">
        <v>6820</v>
      </c>
      <c r="J214" s="49" t="s">
        <v>4998</v>
      </c>
      <c r="K214" s="49" t="s">
        <v>2868</v>
      </c>
      <c r="L214" s="49" t="s">
        <v>7720</v>
      </c>
      <c r="M214" s="49" t="s">
        <v>7721</v>
      </c>
      <c r="N214" s="316">
        <v>44783</v>
      </c>
      <c r="O214" s="316" t="s">
        <v>264</v>
      </c>
      <c r="P214" s="316">
        <v>44783</v>
      </c>
      <c r="Q214" s="316">
        <v>44784</v>
      </c>
      <c r="R214" s="316">
        <v>44784</v>
      </c>
      <c r="S214" s="335" t="s">
        <v>28</v>
      </c>
      <c r="T214" s="335" t="s">
        <v>6879</v>
      </c>
      <c r="U214" s="322">
        <v>44783</v>
      </c>
      <c r="V214" s="317" t="s">
        <v>7722</v>
      </c>
      <c r="W214" s="317">
        <v>1</v>
      </c>
      <c r="X214" s="317" t="s">
        <v>4999</v>
      </c>
      <c r="Y214" s="322">
        <v>44825</v>
      </c>
      <c r="Z214" s="312" t="s">
        <v>264</v>
      </c>
      <c r="AA214" s="313">
        <v>44809</v>
      </c>
      <c r="AB214" s="313">
        <v>44809</v>
      </c>
      <c r="AC214" s="314" t="s">
        <v>4999</v>
      </c>
    </row>
    <row r="215" spans="1:29" ht="26.25" customHeight="1" thickBot="1" x14ac:dyDescent="0.3">
      <c r="A215" s="306" t="str">
        <f t="shared" si="13"/>
        <v>OK</v>
      </c>
      <c r="B215" s="307" t="str">
        <f t="shared" si="11"/>
        <v>OK</v>
      </c>
      <c r="C215" s="308" t="str">
        <f>IF(OR(ISBLANK(AA215),ISBLANK(AB215),ISBLANK(#REF!))=TRUE,"P","OK")</f>
        <v>OK</v>
      </c>
      <c r="D215" s="28">
        <v>0</v>
      </c>
      <c r="E215" s="49" t="s">
        <v>7723</v>
      </c>
      <c r="F215" s="49" t="s">
        <v>7724</v>
      </c>
      <c r="G215" s="49">
        <v>181029</v>
      </c>
      <c r="H215" s="49" t="s">
        <v>7725</v>
      </c>
      <c r="I215" s="49" t="s">
        <v>6820</v>
      </c>
      <c r="J215" s="49" t="s">
        <v>6829</v>
      </c>
      <c r="K215" s="49" t="s">
        <v>7726</v>
      </c>
      <c r="L215" s="49" t="s">
        <v>7727</v>
      </c>
      <c r="M215" s="49" t="s">
        <v>7728</v>
      </c>
      <c r="N215" s="316">
        <v>44089</v>
      </c>
      <c r="O215" s="316" t="s">
        <v>7729</v>
      </c>
      <c r="P215" s="316">
        <v>44095</v>
      </c>
      <c r="Q215" s="316">
        <v>44095</v>
      </c>
      <c r="R215" s="316">
        <v>44119</v>
      </c>
      <c r="S215" s="335" t="s">
        <v>28</v>
      </c>
      <c r="T215" s="335" t="s">
        <v>28</v>
      </c>
      <c r="U215" s="340" t="s">
        <v>7730</v>
      </c>
      <c r="V215" s="335" t="s">
        <v>7731</v>
      </c>
      <c r="W215" s="335">
        <v>1</v>
      </c>
      <c r="X215" s="335" t="s">
        <v>4999</v>
      </c>
      <c r="Y215" s="337">
        <v>44593</v>
      </c>
      <c r="Z215" s="38" t="s">
        <v>6825</v>
      </c>
      <c r="AA215" s="313">
        <v>44594</v>
      </c>
      <c r="AB215" s="313">
        <v>44594</v>
      </c>
      <c r="AC215" s="314" t="s">
        <v>4999</v>
      </c>
    </row>
    <row r="216" spans="1:29" ht="26.25" customHeight="1" thickBot="1" x14ac:dyDescent="0.3">
      <c r="A216" s="306" t="str">
        <f t="shared" si="13"/>
        <v>OK</v>
      </c>
      <c r="B216" s="307" t="str">
        <f t="shared" si="11"/>
        <v>OK</v>
      </c>
      <c r="C216" s="308" t="str">
        <f>IF(OR(ISBLANK(AA216),ISBLANK(AB216),ISBLANK(#REF!))=TRUE,"P","OK")</f>
        <v>OK</v>
      </c>
      <c r="D216" s="28">
        <v>0</v>
      </c>
      <c r="E216" s="49" t="s">
        <v>7732</v>
      </c>
      <c r="F216" s="49" t="s">
        <v>1854</v>
      </c>
      <c r="G216" s="49">
        <v>181779</v>
      </c>
      <c r="H216" s="49" t="s">
        <v>7733</v>
      </c>
      <c r="I216" s="1" t="s">
        <v>6820</v>
      </c>
      <c r="J216" s="1" t="s">
        <v>6829</v>
      </c>
      <c r="K216" s="49" t="s">
        <v>3310</v>
      </c>
      <c r="L216" s="49" t="s">
        <v>7734</v>
      </c>
      <c r="M216" s="49" t="s">
        <v>4237</v>
      </c>
      <c r="N216" s="316">
        <v>44602</v>
      </c>
      <c r="O216" s="316" t="s">
        <v>264</v>
      </c>
      <c r="P216" s="316">
        <v>44602</v>
      </c>
      <c r="Q216" s="316">
        <v>44602</v>
      </c>
      <c r="R216" s="316" t="s">
        <v>5683</v>
      </c>
      <c r="S216" s="335" t="s">
        <v>6837</v>
      </c>
      <c r="T216" s="335" t="s">
        <v>6837</v>
      </c>
      <c r="U216" s="322">
        <v>44606</v>
      </c>
      <c r="V216" s="317" t="s">
        <v>7735</v>
      </c>
      <c r="W216" s="317">
        <v>10</v>
      </c>
      <c r="X216" s="317" t="s">
        <v>4999</v>
      </c>
      <c r="Y216" s="322">
        <v>44607</v>
      </c>
      <c r="Z216" s="38" t="s">
        <v>6825</v>
      </c>
      <c r="AA216" s="313">
        <v>44607</v>
      </c>
      <c r="AB216" s="313">
        <v>44607</v>
      </c>
      <c r="AC216" s="314" t="s">
        <v>4999</v>
      </c>
    </row>
    <row r="217" spans="1:29" ht="26.25" customHeight="1" thickBot="1" x14ac:dyDescent="0.3">
      <c r="A217" s="306" t="str">
        <f t="shared" si="13"/>
        <v>OK</v>
      </c>
      <c r="B217" s="307" t="str">
        <f t="shared" si="11"/>
        <v>OK</v>
      </c>
      <c r="C217" s="308" t="str">
        <f>IF(OR(ISBLANK(AA217),ISBLANK(AB217),ISBLANK(#REF!))=TRUE,"P","OK")</f>
        <v>OK</v>
      </c>
      <c r="D217" s="28">
        <v>0</v>
      </c>
      <c r="E217" s="49" t="s">
        <v>7736</v>
      </c>
      <c r="F217" s="49" t="s">
        <v>1854</v>
      </c>
      <c r="G217" s="49">
        <v>181779</v>
      </c>
      <c r="H217" s="49" t="s">
        <v>7737</v>
      </c>
      <c r="I217" s="1" t="s">
        <v>6820</v>
      </c>
      <c r="J217" s="1" t="s">
        <v>6829</v>
      </c>
      <c r="K217" s="49" t="s">
        <v>2717</v>
      </c>
      <c r="L217" s="49" t="s">
        <v>7738</v>
      </c>
      <c r="M217" s="49" t="s">
        <v>4237</v>
      </c>
      <c r="N217" s="316">
        <v>44602</v>
      </c>
      <c r="O217" s="316" t="s">
        <v>264</v>
      </c>
      <c r="P217" s="316">
        <v>44602</v>
      </c>
      <c r="Q217" s="316">
        <v>44602</v>
      </c>
      <c r="R217" s="316" t="s">
        <v>5683</v>
      </c>
      <c r="S217" s="335" t="s">
        <v>6837</v>
      </c>
      <c r="T217" s="335" t="s">
        <v>6837</v>
      </c>
      <c r="U217" s="322">
        <v>44606</v>
      </c>
      <c r="V217" s="317" t="s">
        <v>7739</v>
      </c>
      <c r="W217" s="317">
        <v>1</v>
      </c>
      <c r="X217" s="317" t="s">
        <v>4999</v>
      </c>
      <c r="Y217" s="322">
        <v>44606</v>
      </c>
      <c r="Z217" s="38" t="s">
        <v>6825</v>
      </c>
      <c r="AA217" s="313">
        <v>44607</v>
      </c>
      <c r="AB217" s="313">
        <v>44607</v>
      </c>
      <c r="AC217" s="314" t="s">
        <v>4999</v>
      </c>
    </row>
    <row r="218" spans="1:29" ht="26.25" customHeight="1" thickBot="1" x14ac:dyDescent="0.3">
      <c r="A218" s="306" t="str">
        <f t="shared" si="13"/>
        <v>OK</v>
      </c>
      <c r="B218" s="307" t="str">
        <f t="shared" si="11"/>
        <v>OK</v>
      </c>
      <c r="C218" s="308" t="str">
        <f>IF(OR(ISBLANK(AA218),ISBLANK(AB218),ISBLANK(#REF!))=TRUE,"P","OK")</f>
        <v>OK</v>
      </c>
      <c r="D218" s="28">
        <v>0</v>
      </c>
      <c r="E218" s="49" t="s">
        <v>7740</v>
      </c>
      <c r="F218" s="49" t="s">
        <v>1854</v>
      </c>
      <c r="G218" s="49">
        <v>181779</v>
      </c>
      <c r="H218" s="49" t="s">
        <v>7741</v>
      </c>
      <c r="I218" s="1" t="s">
        <v>6820</v>
      </c>
      <c r="J218" s="1" t="s">
        <v>6829</v>
      </c>
      <c r="K218" s="49" t="s">
        <v>7742</v>
      </c>
      <c r="L218" s="49" t="s">
        <v>7743</v>
      </c>
      <c r="M218" s="49" t="s">
        <v>4233</v>
      </c>
      <c r="N218" s="316">
        <v>44602</v>
      </c>
      <c r="O218" s="316" t="s">
        <v>264</v>
      </c>
      <c r="P218" s="316">
        <v>44602</v>
      </c>
      <c r="Q218" s="316">
        <v>44602</v>
      </c>
      <c r="R218" s="316" t="s">
        <v>5683</v>
      </c>
      <c r="S218" s="335" t="s">
        <v>6837</v>
      </c>
      <c r="T218" s="335" t="s">
        <v>6837</v>
      </c>
      <c r="U218" s="322">
        <v>44606</v>
      </c>
      <c r="V218" s="317" t="s">
        <v>7744</v>
      </c>
      <c r="W218" s="317">
        <v>1</v>
      </c>
      <c r="X218" s="317" t="s">
        <v>4999</v>
      </c>
      <c r="Y218" s="322">
        <v>44606</v>
      </c>
      <c r="Z218" s="38" t="s">
        <v>6825</v>
      </c>
      <c r="AA218" s="313">
        <v>44607</v>
      </c>
      <c r="AB218" s="313">
        <v>44607</v>
      </c>
      <c r="AC218" s="314" t="s">
        <v>4999</v>
      </c>
    </row>
    <row r="219" spans="1:29" ht="26.25" customHeight="1" thickBot="1" x14ac:dyDescent="0.3">
      <c r="A219" s="306" t="str">
        <f t="shared" si="13"/>
        <v>OK</v>
      </c>
      <c r="B219" s="307" t="str">
        <f t="shared" si="11"/>
        <v>OK</v>
      </c>
      <c r="C219" s="308" t="str">
        <f>IF(OR(ISBLANK(AA219),ISBLANK(AB219),ISBLANK(#REF!))=TRUE,"P","OK")</f>
        <v>OK</v>
      </c>
      <c r="D219" s="28">
        <v>0</v>
      </c>
      <c r="E219" s="49" t="s">
        <v>7745</v>
      </c>
      <c r="F219" s="49" t="s">
        <v>1854</v>
      </c>
      <c r="G219" s="49">
        <v>181799</v>
      </c>
      <c r="H219" s="49" t="s">
        <v>7746</v>
      </c>
      <c r="I219" s="1" t="s">
        <v>6820</v>
      </c>
      <c r="J219" s="1" t="s">
        <v>6829</v>
      </c>
      <c r="K219" s="49" t="s">
        <v>547</v>
      </c>
      <c r="L219" s="49" t="s">
        <v>7747</v>
      </c>
      <c r="M219" s="49" t="s">
        <v>149</v>
      </c>
      <c r="N219" s="316">
        <v>44615</v>
      </c>
      <c r="O219" s="316" t="s">
        <v>7026</v>
      </c>
      <c r="P219" s="316">
        <v>44615</v>
      </c>
      <c r="Q219" s="316">
        <v>44615</v>
      </c>
      <c r="R219" s="316">
        <v>44617</v>
      </c>
      <c r="S219" s="335" t="s">
        <v>28</v>
      </c>
      <c r="T219" s="317" t="s">
        <v>7026</v>
      </c>
      <c r="U219" s="322">
        <v>44613</v>
      </c>
      <c r="V219" s="317" t="s">
        <v>7748</v>
      </c>
      <c r="W219" s="317">
        <v>3</v>
      </c>
      <c r="X219" s="317" t="s">
        <v>4999</v>
      </c>
      <c r="Y219" s="322">
        <v>44622</v>
      </c>
      <c r="Z219" s="38" t="s">
        <v>6825</v>
      </c>
      <c r="AA219" s="313">
        <v>44623</v>
      </c>
      <c r="AB219" s="313">
        <v>44623</v>
      </c>
      <c r="AC219" s="314" t="s">
        <v>4999</v>
      </c>
    </row>
    <row r="220" spans="1:29" ht="26.25" customHeight="1" thickBot="1" x14ac:dyDescent="0.3">
      <c r="A220" s="306" t="str">
        <f t="shared" si="13"/>
        <v>OK</v>
      </c>
      <c r="B220" s="307" t="str">
        <f t="shared" si="11"/>
        <v>OK</v>
      </c>
      <c r="C220" s="308" t="str">
        <f>IF(OR(ISBLANK(AA220),ISBLANK(AB220),ISBLANK(#REF!))=TRUE,"P","OK")</f>
        <v>OK</v>
      </c>
      <c r="D220" s="28">
        <v>0</v>
      </c>
      <c r="E220" s="49" t="s">
        <v>7749</v>
      </c>
      <c r="F220" s="49" t="s">
        <v>1854</v>
      </c>
      <c r="G220" s="49">
        <v>181799</v>
      </c>
      <c r="H220" s="49" t="s">
        <v>7750</v>
      </c>
      <c r="I220" s="1" t="s">
        <v>6820</v>
      </c>
      <c r="J220" s="1" t="s">
        <v>6829</v>
      </c>
      <c r="K220" s="49" t="s">
        <v>547</v>
      </c>
      <c r="L220" s="49" t="s">
        <v>5924</v>
      </c>
      <c r="M220" s="49" t="s">
        <v>149</v>
      </c>
      <c r="N220" s="316">
        <v>44615</v>
      </c>
      <c r="O220" s="316" t="s">
        <v>7026</v>
      </c>
      <c r="P220" s="316">
        <v>44615</v>
      </c>
      <c r="Q220" s="316">
        <v>44615</v>
      </c>
      <c r="R220" s="316">
        <v>44617</v>
      </c>
      <c r="S220" s="335" t="s">
        <v>28</v>
      </c>
      <c r="T220" s="317" t="s">
        <v>7026</v>
      </c>
      <c r="U220" s="322">
        <v>44614</v>
      </c>
      <c r="V220" s="317" t="s">
        <v>7751</v>
      </c>
      <c r="W220" s="317">
        <v>1</v>
      </c>
      <c r="X220" s="317" t="s">
        <v>4999</v>
      </c>
      <c r="Y220" s="322">
        <v>44622</v>
      </c>
      <c r="Z220" s="38" t="s">
        <v>6825</v>
      </c>
      <c r="AA220" s="313">
        <v>44623</v>
      </c>
      <c r="AB220" s="313">
        <v>44623</v>
      </c>
      <c r="AC220" s="314" t="s">
        <v>4999</v>
      </c>
    </row>
    <row r="221" spans="1:29" ht="172.5" customHeight="1" thickBot="1" x14ac:dyDescent="0.3">
      <c r="A221" s="306" t="str">
        <f t="shared" si="13"/>
        <v>OK</v>
      </c>
      <c r="B221" s="307" t="str">
        <f t="shared" si="11"/>
        <v>OK</v>
      </c>
      <c r="C221" s="308" t="str">
        <f>IF(OR(ISBLANK(AA221),ISBLANK(AB221),ISBLANK(#REF!))=TRUE,"P","OK")</f>
        <v>OK</v>
      </c>
      <c r="D221" s="28">
        <v>0</v>
      </c>
      <c r="E221" s="49" t="s">
        <v>7752</v>
      </c>
      <c r="F221" s="49" t="s">
        <v>1854</v>
      </c>
      <c r="G221" s="49">
        <v>181821</v>
      </c>
      <c r="H221" s="49" t="s">
        <v>7753</v>
      </c>
      <c r="I221" s="49" t="s">
        <v>7152</v>
      </c>
      <c r="J221" s="49" t="s">
        <v>6829</v>
      </c>
      <c r="K221" s="49" t="s">
        <v>5351</v>
      </c>
      <c r="L221" s="49" t="s">
        <v>7754</v>
      </c>
      <c r="M221" s="49" t="s">
        <v>7755</v>
      </c>
      <c r="N221" s="316">
        <v>44638</v>
      </c>
      <c r="O221" s="316" t="s">
        <v>6850</v>
      </c>
      <c r="P221" s="316">
        <v>44638</v>
      </c>
      <c r="Q221" s="316">
        <v>44610</v>
      </c>
      <c r="R221" s="316">
        <v>44643</v>
      </c>
      <c r="S221" s="335" t="s">
        <v>6837</v>
      </c>
      <c r="T221" s="335" t="s">
        <v>6837</v>
      </c>
      <c r="U221" s="322">
        <v>44643</v>
      </c>
      <c r="V221" s="317" t="s">
        <v>7756</v>
      </c>
      <c r="W221" s="317">
        <v>10</v>
      </c>
      <c r="X221" s="317" t="s">
        <v>4999</v>
      </c>
      <c r="Y221" s="322">
        <v>44643</v>
      </c>
      <c r="Z221" s="38" t="s">
        <v>6825</v>
      </c>
      <c r="AA221" s="313">
        <v>44643</v>
      </c>
      <c r="AB221" s="313">
        <v>44643</v>
      </c>
      <c r="AC221" s="314" t="s">
        <v>7757</v>
      </c>
    </row>
    <row r="222" spans="1:29" ht="26.25" customHeight="1" thickBot="1" x14ac:dyDescent="0.3">
      <c r="A222" s="306" t="str">
        <f t="shared" si="13"/>
        <v>OK</v>
      </c>
      <c r="B222" s="307" t="str">
        <f t="shared" si="11"/>
        <v>OK</v>
      </c>
      <c r="C222" s="308" t="str">
        <f>IF(OR(ISBLANK(AA222),ISBLANK(AB222),ISBLANK(#REF!))=TRUE,"P","OK")</f>
        <v>OK</v>
      </c>
      <c r="D222" s="28">
        <v>0</v>
      </c>
      <c r="E222" s="49" t="s">
        <v>7758</v>
      </c>
      <c r="F222" s="49" t="s">
        <v>1854</v>
      </c>
      <c r="G222" s="49">
        <v>181856</v>
      </c>
      <c r="H222" s="49" t="s">
        <v>7759</v>
      </c>
      <c r="I222" s="49" t="s">
        <v>6820</v>
      </c>
      <c r="J222" s="49" t="s">
        <v>6829</v>
      </c>
      <c r="K222" s="49" t="s">
        <v>7760</v>
      </c>
      <c r="L222" s="49" t="s">
        <v>7761</v>
      </c>
      <c r="M222" s="49" t="s">
        <v>7762</v>
      </c>
      <c r="N222" s="316">
        <v>44656</v>
      </c>
      <c r="O222" s="316" t="s">
        <v>5683</v>
      </c>
      <c r="P222" s="316" t="s">
        <v>5683</v>
      </c>
      <c r="Q222" s="316">
        <v>44656</v>
      </c>
      <c r="R222" s="316">
        <v>44657</v>
      </c>
      <c r="S222" s="335" t="s">
        <v>6837</v>
      </c>
      <c r="T222" s="335" t="s">
        <v>6837</v>
      </c>
      <c r="U222" s="331">
        <v>44657</v>
      </c>
      <c r="V222" s="330" t="s">
        <v>7763</v>
      </c>
      <c r="W222" s="330">
        <v>1</v>
      </c>
      <c r="X222" s="330" t="s">
        <v>4999</v>
      </c>
      <c r="Y222" s="331">
        <v>44657</v>
      </c>
      <c r="Z222" s="38" t="s">
        <v>6825</v>
      </c>
      <c r="AA222" s="313">
        <v>44657</v>
      </c>
      <c r="AB222" s="313">
        <v>44657</v>
      </c>
      <c r="AC222" s="314" t="s">
        <v>4999</v>
      </c>
    </row>
    <row r="223" spans="1:29" ht="26.25" customHeight="1" thickBot="1" x14ac:dyDescent="0.3">
      <c r="A223" s="306" t="str">
        <f t="shared" si="13"/>
        <v>OK</v>
      </c>
      <c r="B223" s="307" t="str">
        <f t="shared" si="11"/>
        <v>OK</v>
      </c>
      <c r="C223" s="308" t="str">
        <f>IF(OR(ISBLANK(AA223),ISBLANK(AB223),ISBLANK(#REF!))=TRUE,"P","OK")</f>
        <v>OK</v>
      </c>
      <c r="D223" s="28">
        <v>0</v>
      </c>
      <c r="E223" s="49" t="s">
        <v>7764</v>
      </c>
      <c r="F223" s="49" t="s">
        <v>1854</v>
      </c>
      <c r="G223" s="49">
        <v>181861</v>
      </c>
      <c r="H223" s="49" t="s">
        <v>7765</v>
      </c>
      <c r="I223" s="49" t="s">
        <v>6820</v>
      </c>
      <c r="J223" s="49" t="s">
        <v>6829</v>
      </c>
      <c r="K223" s="49" t="s">
        <v>5351</v>
      </c>
      <c r="L223" s="49" t="s">
        <v>7766</v>
      </c>
      <c r="M223" s="49" t="s">
        <v>7766</v>
      </c>
      <c r="N223" s="316">
        <v>44664</v>
      </c>
      <c r="O223" s="316" t="s">
        <v>5683</v>
      </c>
      <c r="P223" s="316" t="s">
        <v>5683</v>
      </c>
      <c r="Q223" s="316">
        <v>44669</v>
      </c>
      <c r="R223" s="316" t="s">
        <v>5683</v>
      </c>
      <c r="S223" s="335" t="s">
        <v>6837</v>
      </c>
      <c r="T223" s="335" t="s">
        <v>6837</v>
      </c>
      <c r="U223" s="322">
        <v>44676</v>
      </c>
      <c r="V223" s="317" t="s">
        <v>7767</v>
      </c>
      <c r="W223" s="317">
        <v>2</v>
      </c>
      <c r="X223" s="317" t="s">
        <v>4999</v>
      </c>
      <c r="Y223" s="322">
        <v>44676</v>
      </c>
      <c r="Z223" s="38" t="s">
        <v>6825</v>
      </c>
      <c r="AA223" s="313">
        <v>44676</v>
      </c>
      <c r="AB223" s="313">
        <v>44676</v>
      </c>
      <c r="AC223" s="314" t="s">
        <v>4999</v>
      </c>
    </row>
    <row r="224" spans="1:29" ht="26.25" customHeight="1" thickBot="1" x14ac:dyDescent="0.3">
      <c r="A224" s="306" t="str">
        <f t="shared" si="13"/>
        <v>OK</v>
      </c>
      <c r="B224" s="307" t="str">
        <f t="shared" si="11"/>
        <v>OK</v>
      </c>
      <c r="C224" s="308" t="str">
        <f>IF(OR(ISBLANK(AA224),ISBLANK(AB224),ISBLANK(#REF!))=TRUE,"P","OK")</f>
        <v>OK</v>
      </c>
      <c r="D224" s="28">
        <v>0</v>
      </c>
      <c r="E224" s="49" t="s">
        <v>7768</v>
      </c>
      <c r="F224" s="49" t="s">
        <v>1854</v>
      </c>
      <c r="G224" s="49">
        <v>181915</v>
      </c>
      <c r="H224" s="49" t="s">
        <v>7769</v>
      </c>
      <c r="I224" s="49" t="s">
        <v>6820</v>
      </c>
      <c r="J224" s="49" t="s">
        <v>6829</v>
      </c>
      <c r="K224" s="49" t="s">
        <v>1874</v>
      </c>
      <c r="L224" s="49" t="s">
        <v>7770</v>
      </c>
      <c r="M224" s="49" t="s">
        <v>1869</v>
      </c>
      <c r="N224" s="316">
        <v>44700</v>
      </c>
      <c r="O224" s="316" t="s">
        <v>264</v>
      </c>
      <c r="P224" s="316">
        <v>44700</v>
      </c>
      <c r="Q224" s="316">
        <v>44701</v>
      </c>
      <c r="R224" s="316">
        <v>44704</v>
      </c>
      <c r="S224" s="335" t="s">
        <v>6837</v>
      </c>
      <c r="T224" s="335" t="s">
        <v>6837</v>
      </c>
      <c r="U224" s="322">
        <v>44706</v>
      </c>
      <c r="V224" s="317" t="s">
        <v>1876</v>
      </c>
      <c r="W224" s="317">
        <v>5</v>
      </c>
      <c r="X224" s="317" t="s">
        <v>4999</v>
      </c>
      <c r="Y224" s="322">
        <v>44706</v>
      </c>
      <c r="Z224" s="38" t="s">
        <v>6825</v>
      </c>
      <c r="AA224" s="313">
        <v>44706</v>
      </c>
      <c r="AB224" s="313">
        <v>44706</v>
      </c>
      <c r="AC224" s="314" t="s">
        <v>4999</v>
      </c>
    </row>
    <row r="225" spans="1:29" ht="26.25" customHeight="1" thickBot="1" x14ac:dyDescent="0.3">
      <c r="A225" s="306" t="str">
        <f t="shared" si="13"/>
        <v>OK</v>
      </c>
      <c r="B225" s="307" t="str">
        <f t="shared" si="11"/>
        <v>OK</v>
      </c>
      <c r="C225" s="308" t="str">
        <f>IF(OR(ISBLANK(AA225),ISBLANK(AB225),ISBLANK(#REF!))=TRUE,"P","OK")</f>
        <v>OK</v>
      </c>
      <c r="D225" s="28">
        <v>0</v>
      </c>
      <c r="E225" s="49" t="s">
        <v>7771</v>
      </c>
      <c r="F225" s="49" t="s">
        <v>1854</v>
      </c>
      <c r="G225" s="49">
        <v>181915</v>
      </c>
      <c r="H225" s="49" t="s">
        <v>7772</v>
      </c>
      <c r="I225" s="49" t="s">
        <v>6820</v>
      </c>
      <c r="J225" s="49" t="s">
        <v>6829</v>
      </c>
      <c r="K225" s="49" t="s">
        <v>7773</v>
      </c>
      <c r="L225" s="49" t="s">
        <v>7743</v>
      </c>
      <c r="M225" s="49" t="s">
        <v>1869</v>
      </c>
      <c r="N225" s="316">
        <v>44700</v>
      </c>
      <c r="O225" s="316" t="s">
        <v>264</v>
      </c>
      <c r="P225" s="316">
        <v>44700</v>
      </c>
      <c r="Q225" s="316">
        <v>44701</v>
      </c>
      <c r="R225" s="316">
        <v>44704</v>
      </c>
      <c r="S225" s="335" t="s">
        <v>6837</v>
      </c>
      <c r="T225" s="335" t="s">
        <v>6837</v>
      </c>
      <c r="U225" s="322">
        <v>44706</v>
      </c>
      <c r="V225" s="317" t="s">
        <v>7774</v>
      </c>
      <c r="W225" s="317">
        <v>1</v>
      </c>
      <c r="X225" s="317" t="s">
        <v>4999</v>
      </c>
      <c r="Y225" s="322">
        <v>44706</v>
      </c>
      <c r="Z225" s="38" t="s">
        <v>6825</v>
      </c>
      <c r="AA225" s="313">
        <v>44706</v>
      </c>
      <c r="AB225" s="313">
        <v>44706</v>
      </c>
      <c r="AC225" s="314" t="s">
        <v>4999</v>
      </c>
    </row>
    <row r="226" spans="1:29" ht="25.5" x14ac:dyDescent="0.25">
      <c r="A226" s="306" t="str">
        <f t="shared" si="13"/>
        <v>OK</v>
      </c>
      <c r="B226" s="307" t="str">
        <f t="shared" si="11"/>
        <v>OK</v>
      </c>
      <c r="C226" s="308" t="str">
        <f>IF(OR(ISBLANK(AA226),ISBLANK(AB226),ISBLANK(#REF!))=TRUE,"P","OK")</f>
        <v>OK</v>
      </c>
      <c r="D226" s="28">
        <v>0</v>
      </c>
      <c r="E226" s="49" t="s">
        <v>7775</v>
      </c>
      <c r="F226" s="49" t="s">
        <v>1854</v>
      </c>
      <c r="G226" s="49">
        <v>182132</v>
      </c>
      <c r="H226" s="49" t="s">
        <v>7776</v>
      </c>
      <c r="I226" s="49" t="s">
        <v>6820</v>
      </c>
      <c r="J226" s="49" t="s">
        <v>4998</v>
      </c>
      <c r="K226" s="49" t="s">
        <v>7777</v>
      </c>
      <c r="L226" s="49" t="s">
        <v>7778</v>
      </c>
      <c r="M226" s="49" t="s">
        <v>1869</v>
      </c>
      <c r="N226" s="316">
        <v>44774</v>
      </c>
      <c r="O226" s="316" t="s">
        <v>6898</v>
      </c>
      <c r="P226" s="316" t="s">
        <v>6898</v>
      </c>
      <c r="Q226" s="316">
        <v>44774</v>
      </c>
      <c r="R226" s="316">
        <v>44775</v>
      </c>
      <c r="S226" s="335" t="s">
        <v>28</v>
      </c>
      <c r="T226" s="335" t="s">
        <v>6879</v>
      </c>
      <c r="U226" s="322">
        <v>44767</v>
      </c>
      <c r="V226" s="317" t="s">
        <v>7779</v>
      </c>
      <c r="W226" s="317">
        <v>1</v>
      </c>
      <c r="X226" s="317" t="s">
        <v>6898</v>
      </c>
      <c r="Y226" s="317" t="s">
        <v>6898</v>
      </c>
      <c r="Z226" s="312" t="s">
        <v>6898</v>
      </c>
      <c r="AA226" s="312" t="s">
        <v>6898</v>
      </c>
      <c r="AB226" s="313">
        <v>44782</v>
      </c>
      <c r="AC226" s="314" t="s">
        <v>4999</v>
      </c>
    </row>
    <row r="227" spans="1:29" ht="25.5" x14ac:dyDescent="0.25">
      <c r="A227" s="306" t="str">
        <f t="shared" si="13"/>
        <v>OK</v>
      </c>
      <c r="B227" s="307" t="str">
        <f t="shared" si="11"/>
        <v>OK</v>
      </c>
      <c r="C227" s="308" t="str">
        <f>IF(OR(ISBLANK(AA227),ISBLANK(AB227),ISBLANK(#REF!))=TRUE,"P","OK")</f>
        <v>OK</v>
      </c>
      <c r="D227" s="28">
        <v>0</v>
      </c>
      <c r="E227" s="49" t="s">
        <v>7780</v>
      </c>
      <c r="F227" s="49" t="s">
        <v>1854</v>
      </c>
      <c r="G227" s="49">
        <v>182051</v>
      </c>
      <c r="H227" s="49" t="s">
        <v>7781</v>
      </c>
      <c r="I227" s="49" t="s">
        <v>6820</v>
      </c>
      <c r="J227" s="49" t="s">
        <v>4998</v>
      </c>
      <c r="K227" s="49" t="s">
        <v>1406</v>
      </c>
      <c r="L227" s="49" t="s">
        <v>7782</v>
      </c>
      <c r="M227" s="49" t="s">
        <v>149</v>
      </c>
      <c r="N227" s="316">
        <v>44739</v>
      </c>
      <c r="O227" s="316" t="s">
        <v>264</v>
      </c>
      <c r="P227" s="316">
        <v>44739</v>
      </c>
      <c r="Q227" s="316">
        <v>44740</v>
      </c>
      <c r="R227" s="316" t="s">
        <v>6898</v>
      </c>
      <c r="S227" s="335" t="s">
        <v>28</v>
      </c>
      <c r="T227" s="335" t="s">
        <v>6879</v>
      </c>
      <c r="U227" s="322">
        <v>44742</v>
      </c>
      <c r="V227" s="317" t="s">
        <v>154</v>
      </c>
      <c r="W227" s="317">
        <v>1</v>
      </c>
      <c r="X227" s="317" t="s">
        <v>4999</v>
      </c>
      <c r="Y227" s="322">
        <v>44748</v>
      </c>
      <c r="Z227" s="312" t="s">
        <v>264</v>
      </c>
      <c r="AA227" s="313">
        <v>44748</v>
      </c>
      <c r="AB227" s="313">
        <v>44748</v>
      </c>
      <c r="AC227" s="314" t="s">
        <v>4999</v>
      </c>
    </row>
    <row r="228" spans="1:29" ht="25.5" x14ac:dyDescent="0.25">
      <c r="A228" s="306" t="str">
        <f t="shared" si="13"/>
        <v>OK</v>
      </c>
      <c r="B228" s="307" t="str">
        <f t="shared" si="11"/>
        <v>OK</v>
      </c>
      <c r="C228" s="308" t="str">
        <f>IF(OR(ISBLANK(AA228),ISBLANK(AB228),ISBLANK(#REF!))=TRUE,"P","OK")</f>
        <v>OK</v>
      </c>
      <c r="D228" s="28">
        <v>0</v>
      </c>
      <c r="E228" s="49" t="s">
        <v>7783</v>
      </c>
      <c r="F228" s="49" t="s">
        <v>1854</v>
      </c>
      <c r="G228" s="49">
        <v>182051</v>
      </c>
      <c r="H228" s="49" t="s">
        <v>7784</v>
      </c>
      <c r="I228" s="49" t="s">
        <v>6820</v>
      </c>
      <c r="J228" s="49" t="s">
        <v>4998</v>
      </c>
      <c r="K228" s="49" t="s">
        <v>7785</v>
      </c>
      <c r="L228" s="49" t="s">
        <v>7786</v>
      </c>
      <c r="M228" s="49" t="s">
        <v>149</v>
      </c>
      <c r="N228" s="316">
        <v>44739</v>
      </c>
      <c r="O228" s="316" t="s">
        <v>264</v>
      </c>
      <c r="P228" s="316">
        <v>44739</v>
      </c>
      <c r="Q228" s="316">
        <v>44740</v>
      </c>
      <c r="R228" s="316">
        <v>44741</v>
      </c>
      <c r="S228" s="335" t="s">
        <v>28</v>
      </c>
      <c r="T228" s="335" t="s">
        <v>6879</v>
      </c>
      <c r="U228" s="322">
        <v>44742</v>
      </c>
      <c r="V228" s="317" t="s">
        <v>1858</v>
      </c>
      <c r="W228" s="317">
        <v>2</v>
      </c>
      <c r="X228" s="317" t="s">
        <v>4999</v>
      </c>
      <c r="Y228" s="322">
        <v>44748</v>
      </c>
      <c r="Z228" s="312" t="s">
        <v>264</v>
      </c>
      <c r="AA228" s="313">
        <v>44748</v>
      </c>
      <c r="AB228" s="313">
        <v>44748</v>
      </c>
      <c r="AC228" s="314" t="s">
        <v>4999</v>
      </c>
    </row>
    <row r="229" spans="1:29" ht="25.5" x14ac:dyDescent="0.25">
      <c r="A229" s="306" t="str">
        <f t="shared" si="13"/>
        <v>OK</v>
      </c>
      <c r="B229" s="307" t="str">
        <f t="shared" si="11"/>
        <v>OK</v>
      </c>
      <c r="C229" s="308" t="str">
        <f>IF(OR(ISBLANK(AA229),ISBLANK(AB229),ISBLANK(#REF!))=TRUE,"P","OK")</f>
        <v>OK</v>
      </c>
      <c r="D229" s="28">
        <v>0</v>
      </c>
      <c r="E229" s="49" t="s">
        <v>7787</v>
      </c>
      <c r="F229" s="49" t="s">
        <v>1854</v>
      </c>
      <c r="G229" s="49">
        <v>182051</v>
      </c>
      <c r="H229" s="49" t="s">
        <v>7788</v>
      </c>
      <c r="I229" s="49" t="s">
        <v>6820</v>
      </c>
      <c r="J229" s="49" t="s">
        <v>4998</v>
      </c>
      <c r="K229" s="49" t="s">
        <v>7789</v>
      </c>
      <c r="L229" s="49" t="s">
        <v>7790</v>
      </c>
      <c r="M229" s="49" t="s">
        <v>149</v>
      </c>
      <c r="N229" s="316">
        <v>44739</v>
      </c>
      <c r="O229" s="316" t="s">
        <v>264</v>
      </c>
      <c r="P229" s="316">
        <v>44739</v>
      </c>
      <c r="Q229" s="316">
        <v>44740</v>
      </c>
      <c r="R229" s="316">
        <v>44741</v>
      </c>
      <c r="S229" s="335" t="s">
        <v>28</v>
      </c>
      <c r="T229" s="335" t="s">
        <v>6879</v>
      </c>
      <c r="U229" s="322">
        <v>44742</v>
      </c>
      <c r="V229" s="317" t="s">
        <v>48</v>
      </c>
      <c r="W229" s="317">
        <v>1</v>
      </c>
      <c r="X229" s="317" t="s">
        <v>4999</v>
      </c>
      <c r="Y229" s="322">
        <v>44748</v>
      </c>
      <c r="Z229" s="312" t="s">
        <v>264</v>
      </c>
      <c r="AA229" s="313">
        <v>44748</v>
      </c>
      <c r="AB229" s="313">
        <v>44748</v>
      </c>
      <c r="AC229" s="314" t="s">
        <v>4999</v>
      </c>
    </row>
    <row r="230" spans="1:29" ht="25.5" x14ac:dyDescent="0.25">
      <c r="A230" s="306" t="str">
        <f t="shared" si="13"/>
        <v>OK</v>
      </c>
      <c r="B230" s="307" t="str">
        <f t="shared" si="11"/>
        <v>OK</v>
      </c>
      <c r="C230" s="308" t="str">
        <f>IF(OR(ISBLANK(AA230),ISBLANK(AB230),ISBLANK(#REF!))=TRUE,"P","OK")</f>
        <v>OK</v>
      </c>
      <c r="D230" s="28">
        <v>0</v>
      </c>
      <c r="E230" s="49" t="s">
        <v>7791</v>
      </c>
      <c r="F230" s="49" t="s">
        <v>1854</v>
      </c>
      <c r="G230" s="49">
        <v>182204</v>
      </c>
      <c r="H230" s="49" t="s">
        <v>7792</v>
      </c>
      <c r="I230" s="49" t="s">
        <v>6820</v>
      </c>
      <c r="J230" s="49" t="s">
        <v>4998</v>
      </c>
      <c r="K230" s="49" t="s">
        <v>7793</v>
      </c>
      <c r="L230" s="49" t="s">
        <v>7794</v>
      </c>
      <c r="M230" s="49" t="s">
        <v>7795</v>
      </c>
      <c r="N230" s="316">
        <v>44804</v>
      </c>
      <c r="O230" s="316" t="s">
        <v>264</v>
      </c>
      <c r="P230" s="316">
        <v>44804</v>
      </c>
      <c r="Q230" s="316">
        <v>44804</v>
      </c>
      <c r="R230" s="316">
        <v>44805</v>
      </c>
      <c r="S230" s="335" t="s">
        <v>28</v>
      </c>
      <c r="T230" s="335" t="s">
        <v>6879</v>
      </c>
      <c r="U230" s="322">
        <v>44803</v>
      </c>
      <c r="V230" s="317" t="s">
        <v>6782</v>
      </c>
      <c r="W230" s="317">
        <v>2</v>
      </c>
      <c r="X230" s="317" t="s">
        <v>4999</v>
      </c>
      <c r="Y230" s="322">
        <v>44818</v>
      </c>
      <c r="Z230" s="312" t="s">
        <v>264</v>
      </c>
      <c r="AA230" s="313">
        <v>44818</v>
      </c>
      <c r="AB230" s="313">
        <v>44818</v>
      </c>
      <c r="AC230" s="314" t="s">
        <v>4999</v>
      </c>
    </row>
    <row r="231" spans="1:29" ht="25.5" x14ac:dyDescent="0.25">
      <c r="A231" s="306" t="str">
        <f t="shared" si="13"/>
        <v>OK</v>
      </c>
      <c r="B231" s="307" t="str">
        <f t="shared" ref="B231:B294" si="14">IF(OR(ISBLANK(S231),ISBLANK(T231),ISBLANK(U231),ISBLANK(V231),ISBLANK(W231),ISBLANK(X231),ISBLANK(Y231),ISBLANK(Z231))=TRUE,"P","OK")</f>
        <v>OK</v>
      </c>
      <c r="C231" s="308" t="str">
        <f>IF(OR(ISBLANK(AA231),ISBLANK(AB231),ISBLANK(#REF!))=TRUE,"P","OK")</f>
        <v>OK</v>
      </c>
      <c r="D231" s="28">
        <v>0</v>
      </c>
      <c r="E231" s="49" t="s">
        <v>7796</v>
      </c>
      <c r="F231" s="49" t="s">
        <v>1854</v>
      </c>
      <c r="G231" s="49">
        <v>182204</v>
      </c>
      <c r="H231" s="49" t="s">
        <v>7797</v>
      </c>
      <c r="I231" s="49" t="s">
        <v>6820</v>
      </c>
      <c r="J231" s="49" t="s">
        <v>4998</v>
      </c>
      <c r="K231" s="49" t="s">
        <v>5723</v>
      </c>
      <c r="L231" s="49" t="s">
        <v>5723</v>
      </c>
      <c r="M231" s="49" t="s">
        <v>7795</v>
      </c>
      <c r="N231" s="316">
        <v>44804</v>
      </c>
      <c r="O231" s="316" t="s">
        <v>264</v>
      </c>
      <c r="P231" s="316">
        <v>44804</v>
      </c>
      <c r="Q231" s="316">
        <v>44804</v>
      </c>
      <c r="R231" s="316">
        <v>44805</v>
      </c>
      <c r="S231" s="335" t="s">
        <v>28</v>
      </c>
      <c r="T231" s="335" t="s">
        <v>6879</v>
      </c>
      <c r="U231" s="322">
        <v>44803</v>
      </c>
      <c r="V231" s="317" t="s">
        <v>5724</v>
      </c>
      <c r="W231" s="317">
        <v>14</v>
      </c>
      <c r="X231" s="317" t="s">
        <v>4999</v>
      </c>
      <c r="Y231" s="322">
        <v>44818</v>
      </c>
      <c r="Z231" s="312" t="s">
        <v>264</v>
      </c>
      <c r="AA231" s="313">
        <v>44818</v>
      </c>
      <c r="AB231" s="313">
        <v>44818</v>
      </c>
      <c r="AC231" s="314" t="s">
        <v>4999</v>
      </c>
    </row>
    <row r="232" spans="1:29" ht="25.5" x14ac:dyDescent="0.25">
      <c r="A232" s="306" t="str">
        <f t="shared" si="13"/>
        <v>OK</v>
      </c>
      <c r="B232" s="307" t="str">
        <f t="shared" si="14"/>
        <v>OK</v>
      </c>
      <c r="C232" s="308" t="str">
        <f>IF(OR(ISBLANK(AA232),ISBLANK(AB232),ISBLANK(#REF!))=TRUE,"P","OK")</f>
        <v>OK</v>
      </c>
      <c r="D232" s="28">
        <v>0</v>
      </c>
      <c r="E232" s="49" t="s">
        <v>7798</v>
      </c>
      <c r="F232" s="49" t="s">
        <v>1854</v>
      </c>
      <c r="G232" s="49">
        <v>182204</v>
      </c>
      <c r="H232" s="49" t="s">
        <v>7799</v>
      </c>
      <c r="I232" s="49" t="s">
        <v>6820</v>
      </c>
      <c r="J232" s="49" t="s">
        <v>4998</v>
      </c>
      <c r="K232" s="49" t="s">
        <v>5667</v>
      </c>
      <c r="L232" s="49" t="s">
        <v>7800</v>
      </c>
      <c r="M232" s="49" t="s">
        <v>7795</v>
      </c>
      <c r="N232" s="316">
        <v>44804</v>
      </c>
      <c r="O232" s="316" t="s">
        <v>264</v>
      </c>
      <c r="P232" s="316">
        <v>44804</v>
      </c>
      <c r="Q232" s="316">
        <v>44804</v>
      </c>
      <c r="R232" s="316">
        <v>44805</v>
      </c>
      <c r="S232" s="335" t="s">
        <v>28</v>
      </c>
      <c r="T232" s="335" t="s">
        <v>6879</v>
      </c>
      <c r="U232" s="322">
        <v>44803</v>
      </c>
      <c r="V232" s="317" t="s">
        <v>5792</v>
      </c>
      <c r="W232" s="317">
        <v>20</v>
      </c>
      <c r="X232" s="317" t="s">
        <v>4999</v>
      </c>
      <c r="Y232" s="322">
        <v>44818</v>
      </c>
      <c r="Z232" s="312" t="s">
        <v>264</v>
      </c>
      <c r="AA232" s="313">
        <v>44818</v>
      </c>
      <c r="AB232" s="313">
        <v>44818</v>
      </c>
      <c r="AC232" s="314" t="s">
        <v>4999</v>
      </c>
    </row>
    <row r="233" spans="1:29" ht="51.75" customHeight="1" thickBot="1" x14ac:dyDescent="0.3">
      <c r="A233" s="306" t="str">
        <f t="shared" si="13"/>
        <v>OK</v>
      </c>
      <c r="B233" s="307" t="str">
        <f t="shared" si="14"/>
        <v>OK</v>
      </c>
      <c r="C233" s="308" t="str">
        <f>IF(OR(ISBLANK(AA233),ISBLANK(AB233),ISBLANK(#REF!))=TRUE,"P","OK")</f>
        <v>OK</v>
      </c>
      <c r="D233" s="28">
        <v>0</v>
      </c>
      <c r="E233" s="49" t="s">
        <v>7801</v>
      </c>
      <c r="F233" s="49" t="s">
        <v>156</v>
      </c>
      <c r="G233" s="49">
        <v>181857</v>
      </c>
      <c r="H233" s="49" t="s">
        <v>7802</v>
      </c>
      <c r="I233" s="49" t="s">
        <v>6820</v>
      </c>
      <c r="J233" s="49" t="s">
        <v>6829</v>
      </c>
      <c r="K233" s="49" t="s">
        <v>7803</v>
      </c>
      <c r="L233" s="49" t="s">
        <v>7804</v>
      </c>
      <c r="M233" s="49" t="s">
        <v>160</v>
      </c>
      <c r="N233" s="316">
        <v>44656</v>
      </c>
      <c r="O233" s="316" t="s">
        <v>264</v>
      </c>
      <c r="P233" s="316">
        <v>44656</v>
      </c>
      <c r="Q233" s="316">
        <v>44656</v>
      </c>
      <c r="R233" s="316" t="s">
        <v>5683</v>
      </c>
      <c r="S233" s="335" t="s">
        <v>6837</v>
      </c>
      <c r="T233" s="335" t="s">
        <v>6837</v>
      </c>
      <c r="U233" s="322">
        <v>44659</v>
      </c>
      <c r="V233" s="317" t="s">
        <v>7805</v>
      </c>
      <c r="W233" s="317">
        <v>5</v>
      </c>
      <c r="X233" s="317" t="s">
        <v>4999</v>
      </c>
      <c r="Y233" s="322">
        <v>44685</v>
      </c>
      <c r="Z233" s="38" t="s">
        <v>6825</v>
      </c>
      <c r="AA233" s="313">
        <v>44685</v>
      </c>
      <c r="AB233" s="313">
        <v>44685</v>
      </c>
      <c r="AC233" s="314" t="s">
        <v>4999</v>
      </c>
    </row>
    <row r="234" spans="1:29" ht="13.7" customHeight="1" thickBot="1" x14ac:dyDescent="0.3">
      <c r="A234" s="306" t="str">
        <f t="shared" si="13"/>
        <v>OK</v>
      </c>
      <c r="B234" s="307" t="str">
        <f t="shared" si="14"/>
        <v>OK</v>
      </c>
      <c r="C234" s="308" t="str">
        <f>IF(OR(ISBLANK(AA234),ISBLANK(AB234),ISBLANK(#REF!))=TRUE,"P","OK")</f>
        <v>OK</v>
      </c>
      <c r="D234" s="28">
        <v>0</v>
      </c>
      <c r="E234" s="49" t="s">
        <v>7806</v>
      </c>
      <c r="F234" s="49" t="s">
        <v>156</v>
      </c>
      <c r="G234" s="49">
        <v>181909</v>
      </c>
      <c r="H234" s="49" t="s">
        <v>7807</v>
      </c>
      <c r="I234" s="49" t="s">
        <v>6820</v>
      </c>
      <c r="J234" s="49" t="s">
        <v>6829</v>
      </c>
      <c r="K234" s="49" t="s">
        <v>7808</v>
      </c>
      <c r="L234" s="49" t="s">
        <v>7809</v>
      </c>
      <c r="M234" s="49" t="s">
        <v>160</v>
      </c>
      <c r="N234" s="316">
        <v>44698</v>
      </c>
      <c r="O234" s="316" t="s">
        <v>264</v>
      </c>
      <c r="P234" s="316">
        <v>44698</v>
      </c>
      <c r="Q234" s="316">
        <v>44699</v>
      </c>
      <c r="R234" s="316">
        <v>44700</v>
      </c>
      <c r="S234" s="335" t="s">
        <v>6837</v>
      </c>
      <c r="T234" s="335" t="s">
        <v>6837</v>
      </c>
      <c r="U234" s="322">
        <v>44714</v>
      </c>
      <c r="V234" s="317" t="s">
        <v>161</v>
      </c>
      <c r="W234" s="317">
        <v>3</v>
      </c>
      <c r="X234" s="317" t="s">
        <v>4999</v>
      </c>
      <c r="Y234" s="322">
        <v>44714</v>
      </c>
      <c r="Z234" s="38" t="s">
        <v>6825</v>
      </c>
      <c r="AA234" s="313">
        <v>44718</v>
      </c>
      <c r="AB234" s="313">
        <v>44718</v>
      </c>
      <c r="AC234" s="314" t="s">
        <v>4999</v>
      </c>
    </row>
    <row r="235" spans="1:29" x14ac:dyDescent="0.25">
      <c r="A235" s="306" t="str">
        <f t="shared" si="13"/>
        <v>OK</v>
      </c>
      <c r="B235" s="307" t="str">
        <f t="shared" si="14"/>
        <v>OK</v>
      </c>
      <c r="C235" s="308" t="str">
        <f>IF(OR(ISBLANK(AA235),ISBLANK(AB235),ISBLANK(#REF!))=TRUE,"P","OK")</f>
        <v>OK</v>
      </c>
      <c r="D235" s="28">
        <v>0</v>
      </c>
      <c r="E235" s="49" t="s">
        <v>7810</v>
      </c>
      <c r="F235" s="49" t="s">
        <v>1345</v>
      </c>
      <c r="G235" s="49">
        <v>181825</v>
      </c>
      <c r="H235" s="49" t="s">
        <v>7811</v>
      </c>
      <c r="I235" s="49" t="s">
        <v>6820</v>
      </c>
      <c r="J235" s="49" t="s">
        <v>4998</v>
      </c>
      <c r="K235" s="49" t="s">
        <v>1406</v>
      </c>
      <c r="L235" s="49" t="s">
        <v>7812</v>
      </c>
      <c r="M235" s="49" t="s">
        <v>1379</v>
      </c>
      <c r="N235" s="316">
        <v>44808</v>
      </c>
      <c r="O235" s="316" t="s">
        <v>264</v>
      </c>
      <c r="P235" s="316">
        <v>44808</v>
      </c>
      <c r="Q235" s="316">
        <v>44808</v>
      </c>
      <c r="R235" s="316">
        <v>44808</v>
      </c>
      <c r="S235" s="317" t="s">
        <v>28</v>
      </c>
      <c r="T235" s="317" t="s">
        <v>28</v>
      </c>
      <c r="U235" s="322">
        <v>44823</v>
      </c>
      <c r="V235" s="317" t="s">
        <v>5132</v>
      </c>
      <c r="W235" s="317">
        <v>1</v>
      </c>
      <c r="X235" s="317" t="s">
        <v>4999</v>
      </c>
      <c r="Y235" s="322">
        <v>44824</v>
      </c>
      <c r="Z235" s="312" t="s">
        <v>6898</v>
      </c>
      <c r="AA235" s="312" t="s">
        <v>6898</v>
      </c>
      <c r="AB235" s="313">
        <v>44826</v>
      </c>
      <c r="AC235" s="314" t="s">
        <v>4999</v>
      </c>
    </row>
    <row r="236" spans="1:29" x14ac:dyDescent="0.25">
      <c r="A236" s="306" t="str">
        <f>IF(OR(ISBLANK(D236),ISBLANK(E236),ISBLANK(F237),ISBLANK(G236),ISBLANK(H236),ISBLANK(I236),ISBLANK(J236),ISBLANK(K236),ISBLANK(L236),ISBLANK(M236),ISBLANK(N236),ISBLANK(O236),ISBLANK(P236),ISBLANK(Q236),ISBLANK(R236))=TRUE,"P","OK")</f>
        <v>OK</v>
      </c>
      <c r="B236" s="307" t="str">
        <f t="shared" si="14"/>
        <v>OK</v>
      </c>
      <c r="C236" s="308" t="str">
        <f>IF(OR(ISBLANK(AA236),ISBLANK(AB236),ISBLANK(#REF!))=TRUE,"P","OK")</f>
        <v>OK</v>
      </c>
      <c r="D236" s="28">
        <v>0</v>
      </c>
      <c r="E236" s="49" t="s">
        <v>7813</v>
      </c>
      <c r="F236" s="49" t="s">
        <v>1345</v>
      </c>
      <c r="G236" s="49">
        <v>181825</v>
      </c>
      <c r="H236" s="49" t="s">
        <v>7814</v>
      </c>
      <c r="I236" s="49" t="s">
        <v>6820</v>
      </c>
      <c r="J236" s="49" t="s">
        <v>4998</v>
      </c>
      <c r="K236" s="49" t="s">
        <v>5143</v>
      </c>
      <c r="L236" s="49" t="s">
        <v>7815</v>
      </c>
      <c r="M236" s="49" t="s">
        <v>6878</v>
      </c>
      <c r="N236" s="316" t="s">
        <v>5683</v>
      </c>
      <c r="O236" s="316" t="s">
        <v>5683</v>
      </c>
      <c r="P236" s="316" t="s">
        <v>5683</v>
      </c>
      <c r="Q236" s="316" t="s">
        <v>5683</v>
      </c>
      <c r="R236" s="316" t="s">
        <v>5683</v>
      </c>
      <c r="S236" s="317" t="s">
        <v>28</v>
      </c>
      <c r="T236" s="317" t="s">
        <v>28</v>
      </c>
      <c r="U236" s="322">
        <v>44824</v>
      </c>
      <c r="V236" s="317">
        <v>57020</v>
      </c>
      <c r="W236" s="317">
        <v>4</v>
      </c>
      <c r="X236" s="317" t="s">
        <v>4999</v>
      </c>
      <c r="Y236" s="322">
        <v>44826</v>
      </c>
      <c r="Z236" s="312" t="s">
        <v>6898</v>
      </c>
      <c r="AA236" s="312" t="s">
        <v>6898</v>
      </c>
      <c r="AB236" s="313">
        <v>44827</v>
      </c>
      <c r="AC236" s="314" t="s">
        <v>4999</v>
      </c>
    </row>
    <row r="237" spans="1:29" ht="25.5" x14ac:dyDescent="0.25">
      <c r="A237" s="306" t="str">
        <f>IF(OR(ISBLANK(D237),ISBLANK(E237),ISBLANK(#REF!),ISBLANK(G237),ISBLANK(H237),ISBLANK(I237),ISBLANK(J237),ISBLANK(K237),ISBLANK(L237),ISBLANK(M237),ISBLANK(N237),ISBLANK(O237),ISBLANK(P237),ISBLANK(Q237),ISBLANK(R237))=TRUE,"P","OK")</f>
        <v>OK</v>
      </c>
      <c r="B237" s="307" t="str">
        <f t="shared" si="14"/>
        <v>OK</v>
      </c>
      <c r="C237" s="308" t="str">
        <f>IF(OR(ISBLANK(AA237),ISBLANK(AB237),ISBLANK(#REF!))=TRUE,"P","OK")</f>
        <v>OK</v>
      </c>
      <c r="D237" s="28">
        <v>0</v>
      </c>
      <c r="E237" s="49" t="s">
        <v>7816</v>
      </c>
      <c r="F237" s="49" t="s">
        <v>1345</v>
      </c>
      <c r="G237" s="49">
        <v>181825</v>
      </c>
      <c r="H237" s="49" t="s">
        <v>7817</v>
      </c>
      <c r="I237" s="49" t="s">
        <v>7152</v>
      </c>
      <c r="J237" s="49" t="s">
        <v>4998</v>
      </c>
      <c r="K237" s="49" t="s">
        <v>1406</v>
      </c>
      <c r="L237" s="49" t="s">
        <v>7818</v>
      </c>
      <c r="M237" s="49" t="s">
        <v>5062</v>
      </c>
      <c r="N237" s="316">
        <v>44808</v>
      </c>
      <c r="O237" s="316" t="s">
        <v>264</v>
      </c>
      <c r="P237" s="316">
        <v>44808</v>
      </c>
      <c r="Q237" s="316">
        <v>44808</v>
      </c>
      <c r="R237" s="316">
        <v>44808</v>
      </c>
      <c r="S237" s="317" t="s">
        <v>28</v>
      </c>
      <c r="T237" s="317" t="s">
        <v>28</v>
      </c>
      <c r="U237" s="322">
        <v>44824</v>
      </c>
      <c r="V237" s="317" t="s">
        <v>2209</v>
      </c>
      <c r="W237" s="317">
        <v>1</v>
      </c>
      <c r="X237" s="317" t="s">
        <v>4999</v>
      </c>
      <c r="Y237" s="322">
        <v>44826</v>
      </c>
      <c r="Z237" s="312" t="s">
        <v>6898</v>
      </c>
      <c r="AA237" s="312" t="s">
        <v>6898</v>
      </c>
      <c r="AB237" s="313">
        <v>44827</v>
      </c>
      <c r="AC237" s="314" t="s">
        <v>4999</v>
      </c>
    </row>
    <row r="238" spans="1:29" ht="39" customHeight="1" thickBot="1" x14ac:dyDescent="0.3">
      <c r="A238" s="306" t="str">
        <f t="shared" si="13"/>
        <v>OK</v>
      </c>
      <c r="B238" s="307" t="str">
        <f t="shared" si="14"/>
        <v>OK</v>
      </c>
      <c r="C238" s="308" t="str">
        <f>IF(OR(ISBLANK(AA238),ISBLANK(AB238),ISBLANK(#REF!))=TRUE,"P","OK")</f>
        <v>OK</v>
      </c>
      <c r="D238" s="28">
        <v>0</v>
      </c>
      <c r="E238" s="49" t="s">
        <v>7819</v>
      </c>
      <c r="F238" s="49" t="s">
        <v>5001</v>
      </c>
      <c r="G238" s="49">
        <v>182022</v>
      </c>
      <c r="H238" s="49" t="s">
        <v>7820</v>
      </c>
      <c r="I238" s="49" t="s">
        <v>6820</v>
      </c>
      <c r="J238" s="49" t="s">
        <v>4998</v>
      </c>
      <c r="K238" s="49" t="s">
        <v>7821</v>
      </c>
      <c r="L238" s="49" t="s">
        <v>7822</v>
      </c>
      <c r="M238" s="49" t="s">
        <v>7823</v>
      </c>
      <c r="N238" s="316">
        <v>44818</v>
      </c>
      <c r="O238" s="316" t="s">
        <v>264</v>
      </c>
      <c r="P238" s="316">
        <v>44818</v>
      </c>
      <c r="Q238" s="316">
        <v>44819</v>
      </c>
      <c r="R238" s="316">
        <v>44824</v>
      </c>
      <c r="S238" s="317" t="s">
        <v>28</v>
      </c>
      <c r="T238" s="317" t="s">
        <v>28</v>
      </c>
      <c r="U238" s="322">
        <v>44858</v>
      </c>
      <c r="V238" s="317" t="s">
        <v>3236</v>
      </c>
      <c r="W238" s="317">
        <v>3</v>
      </c>
      <c r="X238" s="317" t="s">
        <v>4999</v>
      </c>
      <c r="Y238" s="322">
        <v>44914</v>
      </c>
      <c r="Z238" s="312" t="s">
        <v>264</v>
      </c>
      <c r="AA238" s="313">
        <v>44914</v>
      </c>
      <c r="AB238" s="313">
        <v>44914</v>
      </c>
      <c r="AC238" s="314" t="s">
        <v>4999</v>
      </c>
    </row>
    <row r="239" spans="1:29" x14ac:dyDescent="0.25">
      <c r="A239" s="306" t="str">
        <f t="shared" si="13"/>
        <v>OK</v>
      </c>
      <c r="B239" s="307" t="str">
        <f t="shared" si="14"/>
        <v>OK</v>
      </c>
      <c r="C239" s="308" t="str">
        <f>IF(OR(ISBLANK(AA239),ISBLANK(AB239),ISBLANK(#REF!))=TRUE,"P","OK")</f>
        <v>OK</v>
      </c>
      <c r="D239" s="28">
        <v>0</v>
      </c>
      <c r="E239" s="49" t="s">
        <v>7824</v>
      </c>
      <c r="F239" s="49" t="s">
        <v>1345</v>
      </c>
      <c r="G239" s="49">
        <v>181825</v>
      </c>
      <c r="H239" s="49" t="s">
        <v>7825</v>
      </c>
      <c r="I239" s="49" t="s">
        <v>6820</v>
      </c>
      <c r="J239" s="49" t="s">
        <v>4998</v>
      </c>
      <c r="K239" s="49" t="s">
        <v>547</v>
      </c>
      <c r="L239" s="49" t="s">
        <v>7826</v>
      </c>
      <c r="M239" s="49" t="s">
        <v>2419</v>
      </c>
      <c r="N239" s="316" t="s">
        <v>5683</v>
      </c>
      <c r="O239" s="316" t="s">
        <v>5683</v>
      </c>
      <c r="P239" s="316" t="s">
        <v>5683</v>
      </c>
      <c r="Q239" s="316" t="s">
        <v>5683</v>
      </c>
      <c r="R239" s="316" t="s">
        <v>5683</v>
      </c>
      <c r="S239" s="317" t="s">
        <v>28</v>
      </c>
      <c r="T239" s="317" t="s">
        <v>28</v>
      </c>
      <c r="U239" s="322">
        <v>44826</v>
      </c>
      <c r="V239" s="317" t="s">
        <v>5103</v>
      </c>
      <c r="W239" s="317">
        <v>1</v>
      </c>
      <c r="X239" s="317" t="s">
        <v>4999</v>
      </c>
      <c r="Y239" s="322">
        <v>44826</v>
      </c>
      <c r="Z239" s="312" t="s">
        <v>6898</v>
      </c>
      <c r="AA239" s="312" t="s">
        <v>6898</v>
      </c>
      <c r="AB239" s="313">
        <v>44827</v>
      </c>
      <c r="AC239" s="314" t="s">
        <v>4999</v>
      </c>
    </row>
    <row r="240" spans="1:29" ht="25.5" x14ac:dyDescent="0.25">
      <c r="A240" s="306" t="str">
        <f t="shared" si="13"/>
        <v>OK</v>
      </c>
      <c r="B240" s="307" t="str">
        <f t="shared" si="14"/>
        <v>OK</v>
      </c>
      <c r="C240" s="308" t="str">
        <f>IF(OR(ISBLANK(AA240),ISBLANK(AB240),ISBLANK(#REF!))=TRUE,"P","OK")</f>
        <v>OK</v>
      </c>
      <c r="D240" s="28">
        <v>0</v>
      </c>
      <c r="E240" s="49" t="s">
        <v>7827</v>
      </c>
      <c r="F240" s="49" t="s">
        <v>7639</v>
      </c>
      <c r="G240" s="49">
        <v>182232</v>
      </c>
      <c r="H240" s="49" t="s">
        <v>7828</v>
      </c>
      <c r="I240" s="49" t="s">
        <v>6820</v>
      </c>
      <c r="J240" s="49" t="s">
        <v>4998</v>
      </c>
      <c r="K240" s="49" t="s">
        <v>7829</v>
      </c>
      <c r="L240" s="49">
        <v>729111311</v>
      </c>
      <c r="M240" s="49" t="s">
        <v>7830</v>
      </c>
      <c r="N240" s="316">
        <v>44825</v>
      </c>
      <c r="O240" s="316" t="s">
        <v>264</v>
      </c>
      <c r="P240" s="316">
        <v>44825</v>
      </c>
      <c r="Q240" s="316">
        <v>44825</v>
      </c>
      <c r="R240" s="316">
        <v>44825</v>
      </c>
      <c r="S240" s="317" t="s">
        <v>28</v>
      </c>
      <c r="T240" s="317" t="s">
        <v>28</v>
      </c>
      <c r="U240" s="322">
        <v>44826</v>
      </c>
      <c r="V240" s="317" t="s">
        <v>3324</v>
      </c>
      <c r="W240" s="317">
        <v>2</v>
      </c>
      <c r="X240" s="317" t="s">
        <v>4999</v>
      </c>
      <c r="Y240" s="322">
        <v>44831</v>
      </c>
      <c r="Z240" s="312" t="s">
        <v>6898</v>
      </c>
      <c r="AA240" s="312" t="s">
        <v>6898</v>
      </c>
      <c r="AB240" s="313">
        <v>44831</v>
      </c>
      <c r="AC240" s="314" t="s">
        <v>4999</v>
      </c>
    </row>
    <row r="241" spans="1:29" x14ac:dyDescent="0.25">
      <c r="A241" s="306" t="str">
        <f t="shared" si="13"/>
        <v>OK</v>
      </c>
      <c r="B241" s="307" t="str">
        <f t="shared" si="14"/>
        <v>OK</v>
      </c>
      <c r="C241" s="308" t="str">
        <f>IF(OR(ISBLANK(AA241),ISBLANK(AB241),ISBLANK(#REF!))=TRUE,"P","OK")</f>
        <v>OK</v>
      </c>
      <c r="D241" s="28">
        <v>0</v>
      </c>
      <c r="E241" s="49" t="s">
        <v>7831</v>
      </c>
      <c r="F241" s="49" t="s">
        <v>1345</v>
      </c>
      <c r="G241" s="49">
        <v>181825</v>
      </c>
      <c r="H241" s="49" t="s">
        <v>7832</v>
      </c>
      <c r="I241" s="49" t="s">
        <v>6820</v>
      </c>
      <c r="J241" s="49" t="s">
        <v>4998</v>
      </c>
      <c r="K241" s="49" t="s">
        <v>547</v>
      </c>
      <c r="L241" s="49" t="s">
        <v>7826</v>
      </c>
      <c r="M241" s="49" t="s">
        <v>2419</v>
      </c>
      <c r="N241" s="316" t="s">
        <v>5683</v>
      </c>
      <c r="O241" s="316" t="s">
        <v>5683</v>
      </c>
      <c r="P241" s="316" t="s">
        <v>5683</v>
      </c>
      <c r="Q241" s="316" t="s">
        <v>5683</v>
      </c>
      <c r="R241" s="316" t="s">
        <v>5683</v>
      </c>
      <c r="S241" s="317" t="s">
        <v>28</v>
      </c>
      <c r="T241" s="317" t="s">
        <v>28</v>
      </c>
      <c r="U241" s="322">
        <v>44826</v>
      </c>
      <c r="V241" s="317" t="s">
        <v>5103</v>
      </c>
      <c r="W241" s="317">
        <v>1</v>
      </c>
      <c r="X241" s="317" t="s">
        <v>4999</v>
      </c>
      <c r="Y241" s="322">
        <v>44830</v>
      </c>
      <c r="Z241" s="312" t="s">
        <v>6898</v>
      </c>
      <c r="AA241" s="312" t="s">
        <v>6898</v>
      </c>
      <c r="AB241" s="313">
        <v>44831</v>
      </c>
      <c r="AC241" s="314" t="s">
        <v>4999</v>
      </c>
    </row>
    <row r="242" spans="1:29" x14ac:dyDescent="0.25">
      <c r="A242" s="306" t="str">
        <f t="shared" si="13"/>
        <v>OK</v>
      </c>
      <c r="B242" s="307" t="str">
        <f t="shared" si="14"/>
        <v>OK</v>
      </c>
      <c r="C242" s="308" t="str">
        <f>IF(OR(ISBLANK(AA242),ISBLANK(AB242),ISBLANK(#REF!))=TRUE,"P","OK")</f>
        <v>OK</v>
      </c>
      <c r="D242" s="28">
        <v>0</v>
      </c>
      <c r="E242" s="49" t="s">
        <v>7833</v>
      </c>
      <c r="F242" s="49" t="s">
        <v>1345</v>
      </c>
      <c r="G242" s="49">
        <v>181825</v>
      </c>
      <c r="H242" s="49" t="s">
        <v>7834</v>
      </c>
      <c r="I242" s="49" t="s">
        <v>6820</v>
      </c>
      <c r="J242" s="49" t="s">
        <v>4998</v>
      </c>
      <c r="K242" s="49" t="s">
        <v>34</v>
      </c>
      <c r="L242" s="49" t="s">
        <v>6991</v>
      </c>
      <c r="M242" s="49" t="s">
        <v>1379</v>
      </c>
      <c r="N242" s="316" t="s">
        <v>5683</v>
      </c>
      <c r="O242" s="316" t="s">
        <v>5683</v>
      </c>
      <c r="P242" s="316" t="s">
        <v>5683</v>
      </c>
      <c r="Q242" s="316" t="s">
        <v>5683</v>
      </c>
      <c r="R242" s="316" t="s">
        <v>5683</v>
      </c>
      <c r="S242" s="317" t="s">
        <v>28</v>
      </c>
      <c r="T242" s="317" t="s">
        <v>28</v>
      </c>
      <c r="U242" s="322">
        <v>44826</v>
      </c>
      <c r="V242" s="317" t="s">
        <v>5103</v>
      </c>
      <c r="W242" s="317">
        <v>1</v>
      </c>
      <c r="X242" s="317" t="s">
        <v>4999</v>
      </c>
      <c r="Y242" s="322">
        <v>44830</v>
      </c>
      <c r="Z242" s="312" t="s">
        <v>6898</v>
      </c>
      <c r="AA242" s="312" t="s">
        <v>6898</v>
      </c>
      <c r="AB242" s="313">
        <v>44831</v>
      </c>
      <c r="AC242" s="314" t="s">
        <v>4999</v>
      </c>
    </row>
    <row r="243" spans="1:29" x14ac:dyDescent="0.25">
      <c r="A243" s="306" t="str">
        <f t="shared" si="13"/>
        <v>OK</v>
      </c>
      <c r="B243" s="307" t="str">
        <f t="shared" si="14"/>
        <v>OK</v>
      </c>
      <c r="C243" s="308" t="str">
        <f>IF(OR(ISBLANK(AA243),ISBLANK(AB243),ISBLANK(#REF!))=TRUE,"P","OK")</f>
        <v>OK</v>
      </c>
      <c r="D243" s="28">
        <v>0</v>
      </c>
      <c r="E243" s="49" t="s">
        <v>7835</v>
      </c>
      <c r="F243" s="49" t="s">
        <v>1345</v>
      </c>
      <c r="G243" s="49">
        <v>181825</v>
      </c>
      <c r="H243" s="49" t="s">
        <v>7836</v>
      </c>
      <c r="I243" s="49" t="s">
        <v>6820</v>
      </c>
      <c r="J243" s="49" t="s">
        <v>4998</v>
      </c>
      <c r="K243" s="49" t="s">
        <v>7837</v>
      </c>
      <c r="L243" s="49" t="s">
        <v>7838</v>
      </c>
      <c r="M243" s="49" t="s">
        <v>7839</v>
      </c>
      <c r="N243" s="316" t="s">
        <v>5683</v>
      </c>
      <c r="O243" s="316" t="s">
        <v>5683</v>
      </c>
      <c r="P243" s="316" t="s">
        <v>5683</v>
      </c>
      <c r="Q243" s="316" t="s">
        <v>5683</v>
      </c>
      <c r="R243" s="316" t="s">
        <v>5683</v>
      </c>
      <c r="S243" s="317" t="s">
        <v>6898</v>
      </c>
      <c r="T243" s="317" t="s">
        <v>6898</v>
      </c>
      <c r="U243" s="317" t="s">
        <v>6898</v>
      </c>
      <c r="V243" s="317" t="s">
        <v>1466</v>
      </c>
      <c r="W243" s="317">
        <v>1</v>
      </c>
      <c r="X243" s="317" t="s">
        <v>6898</v>
      </c>
      <c r="Y243" s="317" t="s">
        <v>6898</v>
      </c>
      <c r="Z243" s="312" t="s">
        <v>6898</v>
      </c>
      <c r="AA243" s="312" t="s">
        <v>6898</v>
      </c>
      <c r="AB243" s="313">
        <v>44833</v>
      </c>
      <c r="AC243" s="314" t="s">
        <v>4999</v>
      </c>
    </row>
    <row r="244" spans="1:29" x14ac:dyDescent="0.25">
      <c r="A244" s="306" t="str">
        <f t="shared" si="13"/>
        <v>OK</v>
      </c>
      <c r="B244" s="307" t="str">
        <f t="shared" si="14"/>
        <v>OK</v>
      </c>
      <c r="C244" s="308" t="str">
        <f>IF(OR(ISBLANK(AA244),ISBLANK(AB244),ISBLANK(#REF!))=TRUE,"P","OK")</f>
        <v>OK</v>
      </c>
      <c r="D244" s="28">
        <v>0</v>
      </c>
      <c r="E244" s="49" t="s">
        <v>7840</v>
      </c>
      <c r="F244" s="49" t="s">
        <v>7841</v>
      </c>
      <c r="G244" s="49">
        <v>182080</v>
      </c>
      <c r="H244" s="49" t="s">
        <v>7842</v>
      </c>
      <c r="I244" s="49" t="s">
        <v>6820</v>
      </c>
      <c r="J244" s="49" t="s">
        <v>4998</v>
      </c>
      <c r="K244" s="49" t="s">
        <v>7843</v>
      </c>
      <c r="L244" s="49" t="s">
        <v>7844</v>
      </c>
      <c r="M244" s="49" t="s">
        <v>7845</v>
      </c>
      <c r="N244" s="316">
        <v>44750</v>
      </c>
      <c r="O244" s="316" t="s">
        <v>264</v>
      </c>
      <c r="P244" s="316">
        <v>44750</v>
      </c>
      <c r="Q244" s="316">
        <v>44750</v>
      </c>
      <c r="R244" s="316" t="s">
        <v>5683</v>
      </c>
      <c r="S244" s="317" t="s">
        <v>28</v>
      </c>
      <c r="T244" s="317" t="s">
        <v>28</v>
      </c>
      <c r="U244" s="322">
        <v>44835</v>
      </c>
      <c r="V244" s="317" t="s">
        <v>1891</v>
      </c>
      <c r="W244" s="317">
        <v>5</v>
      </c>
      <c r="X244" s="317" t="s">
        <v>4999</v>
      </c>
      <c r="Y244" s="322">
        <v>44840</v>
      </c>
      <c r="Z244" s="312" t="s">
        <v>264</v>
      </c>
      <c r="AA244" s="313">
        <v>44840</v>
      </c>
      <c r="AB244" s="313">
        <v>44840</v>
      </c>
      <c r="AC244" s="314" t="s">
        <v>4999</v>
      </c>
    </row>
    <row r="245" spans="1:29" ht="25.5" x14ac:dyDescent="0.25">
      <c r="A245" s="306" t="str">
        <f t="shared" si="13"/>
        <v>OK</v>
      </c>
      <c r="B245" s="307" t="str">
        <f t="shared" si="14"/>
        <v>OK</v>
      </c>
      <c r="C245" s="308" t="str">
        <f>IF(OR(ISBLANK(AA245),ISBLANK(AB245),ISBLANK(#REF!))=TRUE,"P","OK")</f>
        <v>OK</v>
      </c>
      <c r="D245" s="28">
        <v>0</v>
      </c>
      <c r="E245" s="49" t="s">
        <v>7846</v>
      </c>
      <c r="F245" s="49" t="s">
        <v>3758</v>
      </c>
      <c r="G245" s="49">
        <v>182236</v>
      </c>
      <c r="H245" s="49" t="s">
        <v>7847</v>
      </c>
      <c r="I245" s="49" t="s">
        <v>6820</v>
      </c>
      <c r="J245" s="49" t="s">
        <v>4998</v>
      </c>
      <c r="K245" s="49" t="s">
        <v>7226</v>
      </c>
      <c r="L245" s="49" t="s">
        <v>5561</v>
      </c>
      <c r="M245" s="49" t="s">
        <v>3758</v>
      </c>
      <c r="N245" s="316">
        <v>44827</v>
      </c>
      <c r="O245" s="316" t="s">
        <v>264</v>
      </c>
      <c r="P245" s="316">
        <v>44827</v>
      </c>
      <c r="Q245" s="316">
        <v>44831</v>
      </c>
      <c r="R245" s="316">
        <v>44833</v>
      </c>
      <c r="S245" s="317" t="s">
        <v>28</v>
      </c>
      <c r="T245" s="317" t="s">
        <v>28</v>
      </c>
      <c r="U245" s="322">
        <v>44844</v>
      </c>
      <c r="V245" s="317">
        <v>5014669</v>
      </c>
      <c r="W245" s="317">
        <v>2</v>
      </c>
      <c r="X245" s="317" t="s">
        <v>4999</v>
      </c>
      <c r="Y245" s="322">
        <v>44844</v>
      </c>
      <c r="Z245" s="312" t="s">
        <v>264</v>
      </c>
      <c r="AA245" s="313">
        <v>44847</v>
      </c>
      <c r="AB245" s="313">
        <v>44847</v>
      </c>
      <c r="AC245" s="314" t="s">
        <v>4999</v>
      </c>
    </row>
    <row r="246" spans="1:29" ht="25.5" x14ac:dyDescent="0.25">
      <c r="A246" s="306" t="str">
        <f t="shared" si="13"/>
        <v>OK</v>
      </c>
      <c r="B246" s="307" t="str">
        <f t="shared" si="14"/>
        <v>OK</v>
      </c>
      <c r="C246" s="308" t="str">
        <f>IF(OR(ISBLANK(AA246),ISBLANK(AB246),ISBLANK(#REF!))=TRUE,"P","OK")</f>
        <v>OK</v>
      </c>
      <c r="D246" s="28">
        <v>0</v>
      </c>
      <c r="E246" s="49" t="s">
        <v>7848</v>
      </c>
      <c r="F246" s="49" t="s">
        <v>3758</v>
      </c>
      <c r="G246" s="49">
        <v>182236</v>
      </c>
      <c r="H246" s="49" t="s">
        <v>7849</v>
      </c>
      <c r="I246" s="49" t="s">
        <v>6820</v>
      </c>
      <c r="J246" s="49" t="s">
        <v>4998</v>
      </c>
      <c r="K246" s="49" t="s">
        <v>7850</v>
      </c>
      <c r="L246" s="49" t="s">
        <v>7851</v>
      </c>
      <c r="M246" s="49" t="s">
        <v>3758</v>
      </c>
      <c r="N246" s="316">
        <v>44827</v>
      </c>
      <c r="O246" s="316" t="s">
        <v>264</v>
      </c>
      <c r="P246" s="316">
        <v>44827</v>
      </c>
      <c r="Q246" s="316">
        <v>44831</v>
      </c>
      <c r="R246" s="316">
        <v>44833</v>
      </c>
      <c r="S246" s="317" t="s">
        <v>28</v>
      </c>
      <c r="T246" s="317" t="s">
        <v>28</v>
      </c>
      <c r="U246" s="322">
        <v>44844</v>
      </c>
      <c r="V246" s="317" t="s">
        <v>7852</v>
      </c>
      <c r="W246" s="317">
        <v>2</v>
      </c>
      <c r="X246" s="317" t="s">
        <v>4999</v>
      </c>
      <c r="Y246" s="322">
        <v>44844</v>
      </c>
      <c r="Z246" s="312" t="s">
        <v>264</v>
      </c>
      <c r="AA246" s="313">
        <v>44847</v>
      </c>
      <c r="AB246" s="313">
        <v>44847</v>
      </c>
      <c r="AC246" s="314" t="s">
        <v>4999</v>
      </c>
    </row>
    <row r="247" spans="1:29" ht="26.25" customHeight="1" thickBot="1" x14ac:dyDescent="0.3">
      <c r="A247" s="306" t="str">
        <f t="shared" si="13"/>
        <v>OK</v>
      </c>
      <c r="B247" s="307" t="str">
        <f t="shared" si="14"/>
        <v>OK</v>
      </c>
      <c r="C247" s="308" t="str">
        <f>IF(OR(ISBLANK(AA247),ISBLANK(AB247),ISBLANK(#REF!))=TRUE,"P","OK")</f>
        <v>OK</v>
      </c>
      <c r="D247" s="28">
        <v>0</v>
      </c>
      <c r="E247" s="49" t="s">
        <v>7853</v>
      </c>
      <c r="F247" s="49" t="s">
        <v>3758</v>
      </c>
      <c r="G247" s="49">
        <v>182236</v>
      </c>
      <c r="H247" s="49" t="s">
        <v>7854</v>
      </c>
      <c r="I247" s="49" t="s">
        <v>6820</v>
      </c>
      <c r="J247" s="49" t="s">
        <v>4998</v>
      </c>
      <c r="K247" s="49" t="s">
        <v>7855</v>
      </c>
      <c r="L247" s="49" t="s">
        <v>7856</v>
      </c>
      <c r="M247" s="49" t="s">
        <v>389</v>
      </c>
      <c r="N247" s="316">
        <v>44827</v>
      </c>
      <c r="O247" s="316" t="s">
        <v>264</v>
      </c>
      <c r="P247" s="316">
        <v>44827</v>
      </c>
      <c r="Q247" s="316">
        <v>44831</v>
      </c>
      <c r="R247" s="316">
        <v>44833</v>
      </c>
      <c r="S247" s="317" t="s">
        <v>28</v>
      </c>
      <c r="T247" s="317" t="s">
        <v>28</v>
      </c>
      <c r="U247" s="322">
        <v>44894</v>
      </c>
      <c r="V247" s="317">
        <v>5014669</v>
      </c>
      <c r="W247" s="317">
        <v>1</v>
      </c>
      <c r="X247" s="317" t="s">
        <v>4999</v>
      </c>
      <c r="Y247" s="322">
        <v>44894</v>
      </c>
      <c r="Z247" s="312" t="s">
        <v>6825</v>
      </c>
      <c r="AA247" s="313">
        <v>44895</v>
      </c>
      <c r="AB247" s="313">
        <v>44895</v>
      </c>
      <c r="AC247" s="314" t="s">
        <v>4999</v>
      </c>
    </row>
    <row r="248" spans="1:29" ht="25.5" x14ac:dyDescent="0.25">
      <c r="A248" s="306" t="str">
        <f t="shared" si="13"/>
        <v>OK</v>
      </c>
      <c r="B248" s="307" t="str">
        <f t="shared" si="14"/>
        <v>OK</v>
      </c>
      <c r="C248" s="308" t="str">
        <f>IF(OR(ISBLANK(AA248),ISBLANK(AB248),ISBLANK(#REF!))=TRUE,"P","OK")</f>
        <v>OK</v>
      </c>
      <c r="D248" s="28">
        <v>0</v>
      </c>
      <c r="E248" s="49" t="s">
        <v>7857</v>
      </c>
      <c r="F248" s="49" t="s">
        <v>1345</v>
      </c>
      <c r="G248" s="49">
        <v>181825</v>
      </c>
      <c r="H248" s="49" t="s">
        <v>7858</v>
      </c>
      <c r="I248" s="49" t="s">
        <v>6820</v>
      </c>
      <c r="J248" s="49" t="s">
        <v>4998</v>
      </c>
      <c r="K248" s="49" t="s">
        <v>1406</v>
      </c>
      <c r="L248" s="49" t="s">
        <v>6111</v>
      </c>
      <c r="M248" s="49" t="s">
        <v>2419</v>
      </c>
      <c r="N248" s="316" t="s">
        <v>5683</v>
      </c>
      <c r="O248" s="316" t="s">
        <v>5683</v>
      </c>
      <c r="P248" s="316" t="s">
        <v>5683</v>
      </c>
      <c r="Q248" s="316" t="s">
        <v>5683</v>
      </c>
      <c r="R248" s="316" t="s">
        <v>5683</v>
      </c>
      <c r="S248" s="317" t="s">
        <v>28</v>
      </c>
      <c r="T248" s="317" t="s">
        <v>28</v>
      </c>
      <c r="U248" s="322">
        <v>44839</v>
      </c>
      <c r="V248" s="317" t="s">
        <v>2209</v>
      </c>
      <c r="W248" s="317">
        <v>5</v>
      </c>
      <c r="X248" s="317" t="s">
        <v>4999</v>
      </c>
      <c r="Y248" s="322">
        <v>44839</v>
      </c>
      <c r="Z248" s="312" t="s">
        <v>6898</v>
      </c>
      <c r="AA248" s="312" t="s">
        <v>6898</v>
      </c>
      <c r="AB248" s="313">
        <v>44841</v>
      </c>
      <c r="AC248" s="314" t="s">
        <v>4999</v>
      </c>
    </row>
    <row r="249" spans="1:29" ht="38.25" x14ac:dyDescent="0.25">
      <c r="A249" s="306" t="str">
        <f t="shared" si="13"/>
        <v>OK</v>
      </c>
      <c r="B249" s="307" t="str">
        <f t="shared" si="14"/>
        <v>OK</v>
      </c>
      <c r="C249" s="308" t="str">
        <f>IF(OR(ISBLANK(AA249),ISBLANK(AB249),ISBLANK(#REF!))=TRUE,"P","OK")</f>
        <v>OK</v>
      </c>
      <c r="D249" s="28">
        <v>0</v>
      </c>
      <c r="E249" s="49" t="s">
        <v>7859</v>
      </c>
      <c r="F249" s="50" t="s">
        <v>7632</v>
      </c>
      <c r="G249" s="50">
        <v>182275</v>
      </c>
      <c r="H249" s="50" t="s">
        <v>7860</v>
      </c>
      <c r="I249" s="49" t="s">
        <v>6820</v>
      </c>
      <c r="J249" s="49" t="s">
        <v>4998</v>
      </c>
      <c r="K249" s="50" t="s">
        <v>2136</v>
      </c>
      <c r="L249" s="50" t="s">
        <v>7861</v>
      </c>
      <c r="M249" s="50" t="s">
        <v>2858</v>
      </c>
      <c r="N249" s="316">
        <v>44839</v>
      </c>
      <c r="O249" s="316" t="s">
        <v>264</v>
      </c>
      <c r="P249" s="316">
        <v>44839</v>
      </c>
      <c r="Q249" s="316">
        <v>44840</v>
      </c>
      <c r="R249" s="316">
        <v>44840</v>
      </c>
      <c r="S249" s="317" t="s">
        <v>28</v>
      </c>
      <c r="T249" s="317" t="s">
        <v>28</v>
      </c>
      <c r="U249" s="322">
        <v>44845</v>
      </c>
      <c r="V249" s="317" t="s">
        <v>2859</v>
      </c>
      <c r="W249" s="317">
        <v>1</v>
      </c>
      <c r="X249" s="317" t="s">
        <v>4999</v>
      </c>
      <c r="Y249" s="322">
        <v>44848</v>
      </c>
      <c r="Z249" s="312" t="s">
        <v>264</v>
      </c>
      <c r="AA249" s="313">
        <v>44848</v>
      </c>
      <c r="AB249" s="313">
        <v>44848</v>
      </c>
      <c r="AC249" s="314" t="s">
        <v>4999</v>
      </c>
    </row>
    <row r="250" spans="1:29" ht="25.5" x14ac:dyDescent="0.25">
      <c r="A250" s="306" t="str">
        <f t="shared" si="13"/>
        <v>OK</v>
      </c>
      <c r="B250" s="307" t="str">
        <f t="shared" si="14"/>
        <v>OK</v>
      </c>
      <c r="C250" s="308" t="str">
        <f>IF(OR(ISBLANK(AA250),ISBLANK(AB250),ISBLANK(#REF!))=TRUE,"P","OK")</f>
        <v>OK</v>
      </c>
      <c r="D250" s="28">
        <v>0</v>
      </c>
      <c r="E250" s="49" t="s">
        <v>7862</v>
      </c>
      <c r="F250" s="49" t="s">
        <v>1854</v>
      </c>
      <c r="G250" s="49">
        <v>182276</v>
      </c>
      <c r="H250" s="49" t="s">
        <v>7863</v>
      </c>
      <c r="I250" s="49" t="s">
        <v>6820</v>
      </c>
      <c r="J250" s="49" t="s">
        <v>4998</v>
      </c>
      <c r="K250" s="49" t="s">
        <v>1147</v>
      </c>
      <c r="L250" s="49" t="s">
        <v>5723</v>
      </c>
      <c r="M250" s="49" t="s">
        <v>1869</v>
      </c>
      <c r="N250" s="316">
        <v>44840</v>
      </c>
      <c r="O250" s="316" t="s">
        <v>264</v>
      </c>
      <c r="P250" s="316">
        <v>44840</v>
      </c>
      <c r="Q250" s="316">
        <v>44840</v>
      </c>
      <c r="R250" s="316">
        <v>44841</v>
      </c>
      <c r="S250" s="317" t="s">
        <v>28</v>
      </c>
      <c r="T250" s="317" t="s">
        <v>28</v>
      </c>
      <c r="U250" s="322">
        <v>44844</v>
      </c>
      <c r="V250" s="317" t="s">
        <v>5724</v>
      </c>
      <c r="W250" s="317">
        <v>4</v>
      </c>
      <c r="X250" s="317" t="s">
        <v>4999</v>
      </c>
      <c r="Y250" s="322">
        <v>44846</v>
      </c>
      <c r="Z250" s="312" t="s">
        <v>264</v>
      </c>
      <c r="AA250" s="313">
        <v>44847</v>
      </c>
      <c r="AB250" s="313">
        <v>44847</v>
      </c>
      <c r="AC250" s="314" t="s">
        <v>4999</v>
      </c>
    </row>
    <row r="251" spans="1:29" ht="26.25" customHeight="1" thickBot="1" x14ac:dyDescent="0.3">
      <c r="A251" s="306" t="str">
        <f t="shared" si="13"/>
        <v>OK</v>
      </c>
      <c r="B251" s="307" t="str">
        <f t="shared" si="14"/>
        <v>OK</v>
      </c>
      <c r="C251" s="308" t="str">
        <f>IF(OR(ISBLANK(AA251),ISBLANK(AB251),ISBLANK(#REF!))=TRUE,"P","OK")</f>
        <v>OK</v>
      </c>
      <c r="D251" s="28">
        <v>0</v>
      </c>
      <c r="E251" s="49" t="s">
        <v>7864</v>
      </c>
      <c r="F251" s="49" t="s">
        <v>5525</v>
      </c>
      <c r="G251" s="49">
        <v>182274</v>
      </c>
      <c r="H251" s="49" t="s">
        <v>7865</v>
      </c>
      <c r="I251" s="49" t="s">
        <v>6820</v>
      </c>
      <c r="J251" s="49" t="s">
        <v>4998</v>
      </c>
      <c r="K251" s="49" t="s">
        <v>7866</v>
      </c>
      <c r="L251" s="49" t="s">
        <v>7867</v>
      </c>
      <c r="M251" s="49" t="s">
        <v>5529</v>
      </c>
      <c r="N251" s="316">
        <v>44840</v>
      </c>
      <c r="O251" s="316" t="s">
        <v>264</v>
      </c>
      <c r="P251" s="316">
        <v>44840</v>
      </c>
      <c r="Q251" s="316">
        <v>44840</v>
      </c>
      <c r="R251" s="316">
        <v>44851</v>
      </c>
      <c r="S251" s="317" t="s">
        <v>28</v>
      </c>
      <c r="T251" s="317" t="s">
        <v>28</v>
      </c>
      <c r="U251" s="322">
        <v>44855</v>
      </c>
      <c r="V251" s="317" t="s">
        <v>7149</v>
      </c>
      <c r="W251" s="317">
        <v>2</v>
      </c>
      <c r="X251" s="317" t="s">
        <v>4999</v>
      </c>
      <c r="Y251" s="322">
        <v>44860</v>
      </c>
      <c r="Z251" s="312" t="s">
        <v>6825</v>
      </c>
      <c r="AA251" s="313">
        <v>44860</v>
      </c>
      <c r="AB251" s="313">
        <v>44860</v>
      </c>
      <c r="AC251" s="314" t="s">
        <v>7145</v>
      </c>
    </row>
    <row r="252" spans="1:29" ht="26.25" customHeight="1" thickBot="1" x14ac:dyDescent="0.3">
      <c r="A252" s="306" t="str">
        <f t="shared" si="13"/>
        <v>OK</v>
      </c>
      <c r="B252" s="307" t="str">
        <f t="shared" si="14"/>
        <v>OK</v>
      </c>
      <c r="C252" s="308" t="str">
        <f>IF(OR(ISBLANK(AA252),ISBLANK(AB252),ISBLANK(#REF!))=TRUE,"P","OK")</f>
        <v>OK</v>
      </c>
      <c r="D252" s="28">
        <v>0</v>
      </c>
      <c r="E252" s="49" t="s">
        <v>7868</v>
      </c>
      <c r="F252" s="49" t="s">
        <v>5525</v>
      </c>
      <c r="G252" s="49">
        <v>182274</v>
      </c>
      <c r="H252" s="49" t="s">
        <v>7869</v>
      </c>
      <c r="I252" s="49" t="s">
        <v>6820</v>
      </c>
      <c r="J252" s="49" t="s">
        <v>4998</v>
      </c>
      <c r="K252" s="49" t="s">
        <v>7170</v>
      </c>
      <c r="L252" s="49" t="s">
        <v>7870</v>
      </c>
      <c r="M252" s="49" t="s">
        <v>5529</v>
      </c>
      <c r="N252" s="316">
        <v>44840</v>
      </c>
      <c r="O252" s="316" t="s">
        <v>264</v>
      </c>
      <c r="P252" s="316">
        <v>44840</v>
      </c>
      <c r="Q252" s="316">
        <v>44840</v>
      </c>
      <c r="R252" s="316">
        <v>44851</v>
      </c>
      <c r="S252" s="317" t="s">
        <v>28</v>
      </c>
      <c r="T252" s="317" t="s">
        <v>28</v>
      </c>
      <c r="U252" s="322">
        <v>44855</v>
      </c>
      <c r="V252" s="317" t="s">
        <v>7871</v>
      </c>
      <c r="W252" s="317">
        <v>2</v>
      </c>
      <c r="X252" s="317" t="s">
        <v>4999</v>
      </c>
      <c r="Y252" s="322">
        <v>44860</v>
      </c>
      <c r="Z252" s="312" t="s">
        <v>6825</v>
      </c>
      <c r="AA252" s="313">
        <v>44860</v>
      </c>
      <c r="AB252" s="313">
        <v>44860</v>
      </c>
      <c r="AC252" s="314" t="s">
        <v>7145</v>
      </c>
    </row>
    <row r="253" spans="1:29" ht="26.25" customHeight="1" thickBot="1" x14ac:dyDescent="0.3">
      <c r="A253" s="306" t="str">
        <f t="shared" si="13"/>
        <v>OK</v>
      </c>
      <c r="B253" s="307" t="str">
        <f t="shared" si="14"/>
        <v>OK</v>
      </c>
      <c r="C253" s="308" t="str">
        <f>IF(OR(ISBLANK(AA253),ISBLANK(AB253),ISBLANK(#REF!))=TRUE,"P","OK")</f>
        <v>OK</v>
      </c>
      <c r="D253" s="28">
        <v>0</v>
      </c>
      <c r="E253" s="49" t="s">
        <v>7872</v>
      </c>
      <c r="F253" s="49" t="s">
        <v>5525</v>
      </c>
      <c r="G253" s="49">
        <v>182274</v>
      </c>
      <c r="H253" s="49" t="s">
        <v>7873</v>
      </c>
      <c r="I253" s="49" t="s">
        <v>6820</v>
      </c>
      <c r="J253" s="49" t="s">
        <v>4998</v>
      </c>
      <c r="K253" s="49" t="s">
        <v>7874</v>
      </c>
      <c r="L253" s="49" t="s">
        <v>7875</v>
      </c>
      <c r="M253" s="49" t="s">
        <v>5529</v>
      </c>
      <c r="N253" s="316">
        <v>44840</v>
      </c>
      <c r="O253" s="316" t="s">
        <v>264</v>
      </c>
      <c r="P253" s="316">
        <v>44840</v>
      </c>
      <c r="Q253" s="316">
        <v>44840</v>
      </c>
      <c r="R253" s="316">
        <v>44851</v>
      </c>
      <c r="S253" s="317" t="s">
        <v>28</v>
      </c>
      <c r="T253" s="317" t="s">
        <v>28</v>
      </c>
      <c r="U253" s="322">
        <v>44855</v>
      </c>
      <c r="V253" s="317" t="s">
        <v>7876</v>
      </c>
      <c r="W253" s="317">
        <v>1</v>
      </c>
      <c r="X253" s="317" t="s">
        <v>4999</v>
      </c>
      <c r="Y253" s="322">
        <v>44860</v>
      </c>
      <c r="Z253" s="312" t="s">
        <v>6825</v>
      </c>
      <c r="AA253" s="313">
        <v>44860</v>
      </c>
      <c r="AB253" s="313">
        <v>44860</v>
      </c>
      <c r="AC253" s="314" t="s">
        <v>7145</v>
      </c>
    </row>
    <row r="254" spans="1:29" ht="13.7" customHeight="1" thickBot="1" x14ac:dyDescent="0.3">
      <c r="A254" s="306" t="str">
        <f t="shared" si="13"/>
        <v>P</v>
      </c>
      <c r="B254" s="307" t="str">
        <f t="shared" si="14"/>
        <v>P</v>
      </c>
      <c r="C254" s="308" t="str">
        <f>IF(OR(ISBLANK(AA254),ISBLANK(AB254),ISBLANK(#REF!))=TRUE,"P","OK")</f>
        <v>P</v>
      </c>
      <c r="D254" s="28">
        <v>0</v>
      </c>
      <c r="E254" s="49" t="s">
        <v>7877</v>
      </c>
      <c r="F254" s="1"/>
      <c r="G254" s="49"/>
      <c r="H254" s="49"/>
      <c r="I254" s="49"/>
      <c r="J254" s="49"/>
      <c r="K254" s="49"/>
      <c r="L254" s="49"/>
      <c r="M254" s="49"/>
      <c r="N254" s="316"/>
      <c r="O254" s="316"/>
      <c r="P254" s="316"/>
      <c r="Q254" s="316"/>
      <c r="R254" s="316"/>
      <c r="S254" s="317"/>
      <c r="T254" s="317"/>
      <c r="U254" s="317"/>
      <c r="V254" s="317"/>
      <c r="W254" s="317"/>
      <c r="X254" s="317"/>
      <c r="Y254" s="317"/>
      <c r="Z254" s="312"/>
      <c r="AA254" s="312"/>
      <c r="AB254" s="312"/>
      <c r="AC254" s="314" t="s">
        <v>4999</v>
      </c>
    </row>
    <row r="255" spans="1:29" x14ac:dyDescent="0.25">
      <c r="A255" s="306" t="str">
        <f t="shared" si="13"/>
        <v>OK</v>
      </c>
      <c r="B255" s="307" t="str">
        <f t="shared" si="14"/>
        <v>OK</v>
      </c>
      <c r="C255" s="308" t="str">
        <f>IF(OR(ISBLANK(AA255),ISBLANK(AB255),ISBLANK(#REF!))=TRUE,"P","OK")</f>
        <v>OK</v>
      </c>
      <c r="D255" s="28">
        <v>0</v>
      </c>
      <c r="E255" s="49" t="s">
        <v>7878</v>
      </c>
      <c r="F255" s="49" t="s">
        <v>2470</v>
      </c>
      <c r="G255" s="49">
        <v>182271</v>
      </c>
      <c r="H255" s="49" t="s">
        <v>7879</v>
      </c>
      <c r="I255" s="49" t="s">
        <v>6820</v>
      </c>
      <c r="J255" s="49" t="s">
        <v>4998</v>
      </c>
      <c r="K255" s="49" t="s">
        <v>7272</v>
      </c>
      <c r="L255" s="49" t="s">
        <v>7880</v>
      </c>
      <c r="M255" s="49" t="s">
        <v>7881</v>
      </c>
      <c r="N255" s="316">
        <v>44839</v>
      </c>
      <c r="O255" s="316" t="s">
        <v>264</v>
      </c>
      <c r="P255" s="316">
        <v>44839</v>
      </c>
      <c r="Q255" s="316">
        <v>44839</v>
      </c>
      <c r="R255" s="316">
        <v>44840</v>
      </c>
      <c r="S255" s="317" t="s">
        <v>28</v>
      </c>
      <c r="T255" s="317" t="s">
        <v>28</v>
      </c>
      <c r="U255" s="322">
        <v>44845</v>
      </c>
      <c r="V255" s="317" t="s">
        <v>3375</v>
      </c>
      <c r="W255" s="317">
        <v>20</v>
      </c>
      <c r="X255" s="317" t="s">
        <v>4999</v>
      </c>
      <c r="Y255" s="322">
        <v>44847</v>
      </c>
      <c r="Z255" s="312" t="s">
        <v>264</v>
      </c>
      <c r="AA255" s="313">
        <v>44848</v>
      </c>
      <c r="AB255" s="313">
        <v>44848</v>
      </c>
      <c r="AC255" s="314" t="s">
        <v>4999</v>
      </c>
    </row>
    <row r="256" spans="1:29" ht="25.5" x14ac:dyDescent="0.25">
      <c r="A256" s="306" t="str">
        <f t="shared" si="13"/>
        <v>OK</v>
      </c>
      <c r="B256" s="307" t="str">
        <f t="shared" si="14"/>
        <v>OK</v>
      </c>
      <c r="C256" s="308" t="str">
        <f>IF(OR(ISBLANK(AA256),ISBLANK(AB256),ISBLANK(#REF!))=TRUE,"P","OK")</f>
        <v>OK</v>
      </c>
      <c r="D256" s="28">
        <v>0</v>
      </c>
      <c r="E256" s="49" t="s">
        <v>7882</v>
      </c>
      <c r="F256" s="49" t="s">
        <v>1345</v>
      </c>
      <c r="G256" s="49">
        <v>181825</v>
      </c>
      <c r="H256" s="49" t="s">
        <v>7883</v>
      </c>
      <c r="I256" s="49" t="s">
        <v>6820</v>
      </c>
      <c r="J256" s="49" t="s">
        <v>4998</v>
      </c>
      <c r="K256" s="49" t="s">
        <v>7884</v>
      </c>
      <c r="L256" s="49" t="s">
        <v>7885</v>
      </c>
      <c r="M256" s="49" t="s">
        <v>5083</v>
      </c>
      <c r="N256" s="316">
        <v>44841</v>
      </c>
      <c r="O256" s="316" t="s">
        <v>264</v>
      </c>
      <c r="P256" s="316">
        <v>44841</v>
      </c>
      <c r="Q256" s="316">
        <v>44841</v>
      </c>
      <c r="R256" s="316">
        <v>44841</v>
      </c>
      <c r="S256" s="317" t="s">
        <v>28</v>
      </c>
      <c r="T256" s="317" t="s">
        <v>28</v>
      </c>
      <c r="U256" s="322">
        <v>44841</v>
      </c>
      <c r="V256" s="317" t="s">
        <v>1412</v>
      </c>
      <c r="W256" s="317">
        <v>1</v>
      </c>
      <c r="X256" s="317" t="s">
        <v>4999</v>
      </c>
      <c r="Y256" s="322">
        <v>44844</v>
      </c>
      <c r="Z256" s="312" t="s">
        <v>6898</v>
      </c>
      <c r="AA256" s="312" t="s">
        <v>6898</v>
      </c>
      <c r="AB256" s="313">
        <v>44847</v>
      </c>
      <c r="AC256" s="314" t="s">
        <v>4999</v>
      </c>
    </row>
    <row r="257" spans="1:29" ht="26.25" customHeight="1" thickBot="1" x14ac:dyDescent="0.3">
      <c r="A257" s="306" t="str">
        <f t="shared" si="13"/>
        <v>OK</v>
      </c>
      <c r="B257" s="307" t="str">
        <f t="shared" si="14"/>
        <v>OK</v>
      </c>
      <c r="C257" s="308" t="str">
        <f>IF(OR(ISBLANK(AA257),ISBLANK(AB257),ISBLANK(#REF!))=TRUE,"P","OK")</f>
        <v>OK</v>
      </c>
      <c r="D257" s="28">
        <v>0</v>
      </c>
      <c r="E257" s="49" t="s">
        <v>7886</v>
      </c>
      <c r="F257" s="49" t="s">
        <v>7639</v>
      </c>
      <c r="G257" s="49">
        <v>182278</v>
      </c>
      <c r="H257" s="49" t="s">
        <v>7887</v>
      </c>
      <c r="I257" s="49" t="s">
        <v>6820</v>
      </c>
      <c r="J257" s="49" t="s">
        <v>4998</v>
      </c>
      <c r="K257" s="49" t="s">
        <v>7888</v>
      </c>
      <c r="L257" s="49" t="s">
        <v>7889</v>
      </c>
      <c r="M257" s="49" t="s">
        <v>7890</v>
      </c>
      <c r="N257" s="316">
        <v>44841</v>
      </c>
      <c r="O257" s="316" t="s">
        <v>264</v>
      </c>
      <c r="P257" s="316">
        <v>44841</v>
      </c>
      <c r="Q257" s="316">
        <v>44844</v>
      </c>
      <c r="R257" s="316">
        <v>44844</v>
      </c>
      <c r="S257" s="317" t="s">
        <v>28</v>
      </c>
      <c r="T257" s="317" t="s">
        <v>28</v>
      </c>
      <c r="U257" s="322">
        <v>44845</v>
      </c>
      <c r="V257" s="317" t="s">
        <v>2513</v>
      </c>
      <c r="W257" s="317">
        <v>1</v>
      </c>
      <c r="X257" s="317" t="s">
        <v>4999</v>
      </c>
      <c r="Y257" s="322">
        <v>44854</v>
      </c>
      <c r="Z257" s="312" t="s">
        <v>6825</v>
      </c>
      <c r="AA257" s="313">
        <v>44854</v>
      </c>
      <c r="AB257" s="313">
        <v>44854</v>
      </c>
      <c r="AC257" s="314" t="s">
        <v>4999</v>
      </c>
    </row>
    <row r="258" spans="1:29" ht="26.25" customHeight="1" thickBot="1" x14ac:dyDescent="0.3">
      <c r="A258" s="306" t="str">
        <f t="shared" si="13"/>
        <v>OK</v>
      </c>
      <c r="B258" s="307" t="str">
        <f t="shared" si="14"/>
        <v>OK</v>
      </c>
      <c r="C258" s="308" t="str">
        <f>IF(OR(ISBLANK(AA258),ISBLANK(AB258),ISBLANK(#REF!))=TRUE,"P","OK")</f>
        <v>OK</v>
      </c>
      <c r="D258" s="28">
        <v>0</v>
      </c>
      <c r="E258" s="49" t="s">
        <v>7891</v>
      </c>
      <c r="F258" s="49" t="s">
        <v>7639</v>
      </c>
      <c r="G258" s="49">
        <v>182279</v>
      </c>
      <c r="H258" s="49" t="s">
        <v>7892</v>
      </c>
      <c r="I258" s="49" t="s">
        <v>6820</v>
      </c>
      <c r="J258" s="49" t="s">
        <v>4998</v>
      </c>
      <c r="K258" s="49" t="s">
        <v>7893</v>
      </c>
      <c r="L258" s="49" t="s">
        <v>7894</v>
      </c>
      <c r="M258" s="49" t="s">
        <v>7895</v>
      </c>
      <c r="N258" s="316">
        <v>44841</v>
      </c>
      <c r="O258" s="316" t="s">
        <v>264</v>
      </c>
      <c r="P258" s="316">
        <v>44841</v>
      </c>
      <c r="Q258" s="316">
        <v>44844</v>
      </c>
      <c r="R258" s="316">
        <v>44844</v>
      </c>
      <c r="S258" s="317" t="s">
        <v>28</v>
      </c>
      <c r="T258" s="317" t="s">
        <v>28</v>
      </c>
      <c r="U258" s="322">
        <v>44845</v>
      </c>
      <c r="V258" s="317" t="s">
        <v>7896</v>
      </c>
      <c r="W258" s="317">
        <v>4</v>
      </c>
      <c r="X258" s="317" t="s">
        <v>4999</v>
      </c>
      <c r="Y258" s="322">
        <v>44853</v>
      </c>
      <c r="Z258" s="312" t="s">
        <v>6825</v>
      </c>
      <c r="AA258" s="313">
        <v>44853</v>
      </c>
      <c r="AB258" s="313">
        <v>44853</v>
      </c>
      <c r="AC258" s="314" t="s">
        <v>4999</v>
      </c>
    </row>
    <row r="259" spans="1:29" ht="13.7" customHeight="1" thickBot="1" x14ac:dyDescent="0.3">
      <c r="A259" s="306" t="str">
        <f t="shared" si="13"/>
        <v>OK</v>
      </c>
      <c r="B259" s="307" t="str">
        <f t="shared" si="14"/>
        <v>OK</v>
      </c>
      <c r="C259" s="308" t="str">
        <f>IF(OR(ISBLANK(AA259),ISBLANK(AB259),ISBLANK(#REF!))=TRUE,"P","OK")</f>
        <v>OK</v>
      </c>
      <c r="D259" s="28">
        <v>0</v>
      </c>
      <c r="E259" s="49" t="s">
        <v>7897</v>
      </c>
      <c r="F259" s="49" t="s">
        <v>1345</v>
      </c>
      <c r="G259" s="49">
        <v>181825</v>
      </c>
      <c r="H259" s="49" t="s">
        <v>7898</v>
      </c>
      <c r="I259" s="49" t="s">
        <v>6820</v>
      </c>
      <c r="J259" s="49" t="s">
        <v>4998</v>
      </c>
      <c r="K259" s="49" t="s">
        <v>7899</v>
      </c>
      <c r="L259" s="49" t="s">
        <v>7900</v>
      </c>
      <c r="M259" s="49" t="s">
        <v>1517</v>
      </c>
      <c r="N259" s="316">
        <v>44844</v>
      </c>
      <c r="O259" s="316" t="s">
        <v>264</v>
      </c>
      <c r="P259" s="316">
        <v>44844</v>
      </c>
      <c r="Q259" s="316">
        <v>44844</v>
      </c>
      <c r="R259" s="316">
        <v>44844</v>
      </c>
      <c r="S259" s="317" t="s">
        <v>28</v>
      </c>
      <c r="T259" s="317" t="s">
        <v>28</v>
      </c>
      <c r="U259" s="322">
        <v>44844</v>
      </c>
      <c r="V259" s="317" t="s">
        <v>1466</v>
      </c>
      <c r="W259" s="317">
        <v>2</v>
      </c>
      <c r="X259" s="317" t="s">
        <v>4999</v>
      </c>
      <c r="Y259" s="322">
        <v>44847</v>
      </c>
      <c r="Z259" s="312" t="s">
        <v>6825</v>
      </c>
      <c r="AA259" s="313">
        <v>44853</v>
      </c>
      <c r="AB259" s="313">
        <v>44853</v>
      </c>
      <c r="AC259" s="314" t="s">
        <v>4999</v>
      </c>
    </row>
    <row r="260" spans="1:29" ht="13.7" customHeight="1" thickBot="1" x14ac:dyDescent="0.3">
      <c r="A260" s="306" t="str">
        <f t="shared" si="13"/>
        <v>OK</v>
      </c>
      <c r="B260" s="307" t="str">
        <f t="shared" si="14"/>
        <v>OK</v>
      </c>
      <c r="C260" s="308" t="str">
        <f>IF(OR(ISBLANK(AA260),ISBLANK(AB260),ISBLANK(#REF!))=TRUE,"P","OK")</f>
        <v>OK</v>
      </c>
      <c r="D260" s="28">
        <v>0</v>
      </c>
      <c r="E260" s="49" t="s">
        <v>7901</v>
      </c>
      <c r="F260" s="49" t="s">
        <v>7902</v>
      </c>
      <c r="G260" s="49">
        <v>181602</v>
      </c>
      <c r="H260" s="49" t="s">
        <v>7903</v>
      </c>
      <c r="I260" s="49" t="s">
        <v>6820</v>
      </c>
      <c r="J260" s="49" t="s">
        <v>4998</v>
      </c>
      <c r="K260" s="49" t="s">
        <v>487</v>
      </c>
      <c r="L260" s="49" t="s">
        <v>7904</v>
      </c>
      <c r="M260" s="49" t="s">
        <v>489</v>
      </c>
      <c r="N260" s="316">
        <v>44432</v>
      </c>
      <c r="O260" s="316" t="s">
        <v>264</v>
      </c>
      <c r="P260" s="316">
        <v>44432</v>
      </c>
      <c r="Q260" s="316">
        <v>44432</v>
      </c>
      <c r="R260" s="316">
        <v>44435</v>
      </c>
      <c r="S260" s="317" t="s">
        <v>28</v>
      </c>
      <c r="T260" s="317" t="s">
        <v>28</v>
      </c>
      <c r="U260" s="322">
        <v>44837</v>
      </c>
      <c r="V260" s="317" t="s">
        <v>490</v>
      </c>
      <c r="W260" s="317">
        <v>20</v>
      </c>
      <c r="X260" s="317" t="s">
        <v>4999</v>
      </c>
      <c r="Y260" s="322">
        <v>44858</v>
      </c>
      <c r="Z260" s="312" t="s">
        <v>264</v>
      </c>
      <c r="AA260" s="313">
        <v>44859</v>
      </c>
      <c r="AB260" s="313">
        <v>44859</v>
      </c>
      <c r="AC260" s="314" t="s">
        <v>4999</v>
      </c>
    </row>
    <row r="261" spans="1:29" ht="38.25" x14ac:dyDescent="0.25">
      <c r="A261" s="306" t="str">
        <f t="shared" si="13"/>
        <v>OK</v>
      </c>
      <c r="B261" s="307" t="str">
        <f t="shared" si="14"/>
        <v>OK</v>
      </c>
      <c r="C261" s="308" t="str">
        <f>IF(OR(ISBLANK(AA261),ISBLANK(AB261),ISBLANK(#REF!))=TRUE,"P","OK")</f>
        <v>OK</v>
      </c>
      <c r="D261" s="28">
        <v>0</v>
      </c>
      <c r="E261" s="49" t="s">
        <v>7905</v>
      </c>
      <c r="F261" s="49" t="s">
        <v>7906</v>
      </c>
      <c r="G261" s="49">
        <v>182288</v>
      </c>
      <c r="H261" s="49" t="s">
        <v>7907</v>
      </c>
      <c r="I261" s="49" t="s">
        <v>6820</v>
      </c>
      <c r="J261" s="49" t="s">
        <v>4998</v>
      </c>
      <c r="K261" s="49" t="s">
        <v>5679</v>
      </c>
      <c r="L261" s="49" t="s">
        <v>7908</v>
      </c>
      <c r="M261" s="49" t="s">
        <v>5681</v>
      </c>
      <c r="N261" s="316">
        <v>44847</v>
      </c>
      <c r="O261" s="316" t="s">
        <v>264</v>
      </c>
      <c r="P261" s="316">
        <v>44847</v>
      </c>
      <c r="Q261" s="316">
        <v>44847</v>
      </c>
      <c r="R261" s="316" t="s">
        <v>6898</v>
      </c>
      <c r="S261" s="317" t="s">
        <v>5683</v>
      </c>
      <c r="T261" s="317" t="s">
        <v>5683</v>
      </c>
      <c r="U261" s="317" t="s">
        <v>5683</v>
      </c>
      <c r="V261" s="317" t="s">
        <v>5683</v>
      </c>
      <c r="W261" s="317" t="s">
        <v>5683</v>
      </c>
      <c r="X261" s="317" t="s">
        <v>5683</v>
      </c>
      <c r="Y261" s="317" t="s">
        <v>5683</v>
      </c>
      <c r="Z261" s="312" t="s">
        <v>6898</v>
      </c>
      <c r="AA261" s="312" t="s">
        <v>6898</v>
      </c>
      <c r="AB261" s="313">
        <v>44860</v>
      </c>
      <c r="AC261" s="314" t="s">
        <v>4999</v>
      </c>
    </row>
    <row r="262" spans="1:29" ht="26.25" customHeight="1" thickBot="1" x14ac:dyDescent="0.3">
      <c r="A262" s="306" t="str">
        <f t="shared" si="13"/>
        <v>OK</v>
      </c>
      <c r="B262" s="307" t="str">
        <f t="shared" si="14"/>
        <v>OK</v>
      </c>
      <c r="C262" s="308" t="str">
        <f>IF(OR(ISBLANK(AA262),ISBLANK(AB262),ISBLANK(#REF!))=TRUE,"P","OK")</f>
        <v>OK</v>
      </c>
      <c r="D262" s="28">
        <v>0</v>
      </c>
      <c r="E262" s="49" t="s">
        <v>7909</v>
      </c>
      <c r="F262" s="49" t="s">
        <v>5525</v>
      </c>
      <c r="G262" s="49">
        <v>182282</v>
      </c>
      <c r="H262" s="49" t="s">
        <v>7910</v>
      </c>
      <c r="I262" s="49" t="s">
        <v>6820</v>
      </c>
      <c r="J262" s="49" t="s">
        <v>4998</v>
      </c>
      <c r="K262" s="49" t="s">
        <v>291</v>
      </c>
      <c r="L262" s="49" t="s">
        <v>7911</v>
      </c>
      <c r="M262" s="49" t="s">
        <v>5529</v>
      </c>
      <c r="N262" s="316">
        <v>44844</v>
      </c>
      <c r="O262" s="316" t="s">
        <v>264</v>
      </c>
      <c r="P262" s="316">
        <v>44844</v>
      </c>
      <c r="Q262" s="316">
        <v>44847</v>
      </c>
      <c r="R262" s="316">
        <v>44854</v>
      </c>
      <c r="S262" s="317" t="s">
        <v>28</v>
      </c>
      <c r="T262" s="317" t="s">
        <v>28</v>
      </c>
      <c r="U262" s="322">
        <v>44872</v>
      </c>
      <c r="V262" s="317" t="s">
        <v>7912</v>
      </c>
      <c r="W262" s="317">
        <v>20</v>
      </c>
      <c r="X262" s="317" t="s">
        <v>4999</v>
      </c>
      <c r="Y262" s="322">
        <v>44879</v>
      </c>
      <c r="Z262" s="312" t="s">
        <v>6825</v>
      </c>
      <c r="AA262" s="313">
        <v>44881</v>
      </c>
      <c r="AB262" s="313">
        <v>44881</v>
      </c>
      <c r="AC262" s="314" t="s">
        <v>4999</v>
      </c>
    </row>
    <row r="263" spans="1:29" ht="26.25" customHeight="1" thickBot="1" x14ac:dyDescent="0.3">
      <c r="A263" s="306" t="str">
        <f t="shared" ref="A263:A327" si="15">IF(OR(ISBLANK(D263),ISBLANK(E263),ISBLANK(F263),ISBLANK(G263),ISBLANK(H263),ISBLANK(I263),ISBLANK(J263),ISBLANK(K263),ISBLANK(L263),ISBLANK(M263),ISBLANK(N263),ISBLANK(O263),ISBLANK(P263),ISBLANK(Q263),ISBLANK(R263))=TRUE,"P","OK")</f>
        <v>OK</v>
      </c>
      <c r="B263" s="307" t="str">
        <f t="shared" si="14"/>
        <v>OK</v>
      </c>
      <c r="C263" s="308" t="str">
        <f>IF(OR(ISBLANK(AA263),ISBLANK(AB263),ISBLANK(#REF!))=TRUE,"P","OK")</f>
        <v>OK</v>
      </c>
      <c r="D263" s="28">
        <v>0</v>
      </c>
      <c r="E263" s="49" t="s">
        <v>7913</v>
      </c>
      <c r="F263" s="49" t="s">
        <v>1802</v>
      </c>
      <c r="G263" s="49">
        <v>182018</v>
      </c>
      <c r="H263" s="49" t="s">
        <v>7914</v>
      </c>
      <c r="I263" s="49" t="s">
        <v>6820</v>
      </c>
      <c r="J263" s="49" t="s">
        <v>4998</v>
      </c>
      <c r="K263" s="49" t="s">
        <v>2622</v>
      </c>
      <c r="L263" s="49">
        <v>5100</v>
      </c>
      <c r="M263" s="49" t="s">
        <v>7915</v>
      </c>
      <c r="N263" s="316">
        <v>44799</v>
      </c>
      <c r="O263" s="316" t="s">
        <v>264</v>
      </c>
      <c r="P263" s="316">
        <v>44799</v>
      </c>
      <c r="Q263" s="316">
        <v>44809</v>
      </c>
      <c r="R263" s="316">
        <v>44819</v>
      </c>
      <c r="S263" s="317" t="s">
        <v>28</v>
      </c>
      <c r="T263" s="317" t="s">
        <v>28</v>
      </c>
      <c r="U263" s="322">
        <v>44852</v>
      </c>
      <c r="V263" s="317">
        <v>3158356</v>
      </c>
      <c r="W263" s="317">
        <v>1</v>
      </c>
      <c r="X263" s="317" t="s">
        <v>4999</v>
      </c>
      <c r="Y263" s="322">
        <v>44858</v>
      </c>
      <c r="Z263" s="312" t="s">
        <v>6825</v>
      </c>
      <c r="AA263" s="313">
        <v>44860</v>
      </c>
      <c r="AB263" s="313">
        <v>44860</v>
      </c>
      <c r="AC263" s="314" t="s">
        <v>4999</v>
      </c>
    </row>
    <row r="264" spans="1:29" ht="26.25" customHeight="1" thickBot="1" x14ac:dyDescent="0.3">
      <c r="A264" s="306"/>
      <c r="B264" s="307"/>
      <c r="C264" s="308"/>
      <c r="D264" s="28"/>
      <c r="E264" s="49" t="s">
        <v>7913</v>
      </c>
      <c r="F264" s="49" t="s">
        <v>1802</v>
      </c>
      <c r="G264" s="49">
        <v>182018</v>
      </c>
      <c r="H264" s="49" t="s">
        <v>7916</v>
      </c>
      <c r="I264" s="49" t="s">
        <v>6820</v>
      </c>
      <c r="J264" s="49" t="s">
        <v>4998</v>
      </c>
      <c r="K264" s="49" t="s">
        <v>2622</v>
      </c>
      <c r="L264" s="49">
        <v>5101</v>
      </c>
      <c r="M264" s="49" t="s">
        <v>7915</v>
      </c>
      <c r="N264" s="316">
        <v>44872</v>
      </c>
      <c r="O264" s="316" t="s">
        <v>264</v>
      </c>
      <c r="P264" s="316">
        <v>44872</v>
      </c>
      <c r="Q264" s="316">
        <v>44872</v>
      </c>
      <c r="R264" s="316">
        <v>44872</v>
      </c>
      <c r="S264" s="317" t="s">
        <v>28</v>
      </c>
      <c r="T264" s="317" t="s">
        <v>28</v>
      </c>
      <c r="U264" s="322">
        <v>44873</v>
      </c>
      <c r="V264" s="317">
        <v>3158356</v>
      </c>
      <c r="W264" s="317">
        <v>1</v>
      </c>
      <c r="X264" s="317" t="s">
        <v>4999</v>
      </c>
      <c r="Y264" s="322">
        <v>44873</v>
      </c>
      <c r="Z264" s="312" t="s">
        <v>6825</v>
      </c>
      <c r="AA264" s="313">
        <v>44874</v>
      </c>
      <c r="AB264" s="313">
        <v>44874</v>
      </c>
      <c r="AC264" s="314" t="s">
        <v>4999</v>
      </c>
    </row>
    <row r="265" spans="1:29" ht="13.7" customHeight="1" thickBot="1" x14ac:dyDescent="0.3">
      <c r="A265" s="306" t="str">
        <f t="shared" si="15"/>
        <v>OK</v>
      </c>
      <c r="B265" s="307" t="str">
        <f t="shared" si="14"/>
        <v>OK</v>
      </c>
      <c r="C265" s="308" t="str">
        <f>IF(OR(ISBLANK(AA265),ISBLANK(AB265),ISBLANK(#REF!))=TRUE,"P","OK")</f>
        <v>OK</v>
      </c>
      <c r="D265" s="28">
        <v>0</v>
      </c>
      <c r="E265" s="49" t="s">
        <v>7917</v>
      </c>
      <c r="F265" s="1" t="s">
        <v>1680</v>
      </c>
      <c r="G265" s="49">
        <v>181202</v>
      </c>
      <c r="H265" s="49" t="s">
        <v>7918</v>
      </c>
      <c r="I265" s="49" t="s">
        <v>6820</v>
      </c>
      <c r="J265" s="49" t="s">
        <v>4998</v>
      </c>
      <c r="K265" s="49" t="s">
        <v>141</v>
      </c>
      <c r="L265" s="49" t="s">
        <v>7919</v>
      </c>
      <c r="M265" s="49" t="s">
        <v>143</v>
      </c>
      <c r="N265" s="316">
        <v>44853</v>
      </c>
      <c r="O265" s="316" t="s">
        <v>264</v>
      </c>
      <c r="P265" s="316">
        <v>44853</v>
      </c>
      <c r="Q265" s="316">
        <v>44853</v>
      </c>
      <c r="R265" s="316">
        <v>44853</v>
      </c>
      <c r="S265" s="317" t="s">
        <v>28</v>
      </c>
      <c r="T265" s="317" t="s">
        <v>28</v>
      </c>
      <c r="U265" s="322">
        <v>44854</v>
      </c>
      <c r="V265" s="317" t="s">
        <v>7129</v>
      </c>
      <c r="W265" s="317">
        <v>1</v>
      </c>
      <c r="X265" s="317" t="s">
        <v>4999</v>
      </c>
      <c r="Y265" s="322">
        <v>44854</v>
      </c>
      <c r="Z265" s="312" t="s">
        <v>6825</v>
      </c>
      <c r="AA265" s="313">
        <v>44854</v>
      </c>
      <c r="AB265" s="313">
        <v>44854</v>
      </c>
      <c r="AC265" s="314" t="s">
        <v>4999</v>
      </c>
    </row>
    <row r="266" spans="1:29" ht="51.75" customHeight="1" thickBot="1" x14ac:dyDescent="0.3">
      <c r="A266" s="306" t="str">
        <f t="shared" si="15"/>
        <v>OK</v>
      </c>
      <c r="B266" s="307" t="str">
        <f t="shared" si="14"/>
        <v>OK</v>
      </c>
      <c r="C266" s="308" t="str">
        <f>IF(OR(ISBLANK(AA266),ISBLANK(AB266),ISBLANK(#REF!))=TRUE,"P","OK")</f>
        <v>OK</v>
      </c>
      <c r="D266" s="28">
        <v>0</v>
      </c>
      <c r="E266" s="49" t="s">
        <v>7920</v>
      </c>
      <c r="F266" s="49" t="s">
        <v>1854</v>
      </c>
      <c r="G266" s="49">
        <v>182295</v>
      </c>
      <c r="H266" s="49" t="s">
        <v>7921</v>
      </c>
      <c r="I266" s="49" t="s">
        <v>6820</v>
      </c>
      <c r="J266" s="49" t="s">
        <v>4998</v>
      </c>
      <c r="K266" s="49" t="s">
        <v>147</v>
      </c>
      <c r="L266" s="49" t="s">
        <v>7922</v>
      </c>
      <c r="M266" s="49" t="s">
        <v>4237</v>
      </c>
      <c r="N266" s="316">
        <v>44848</v>
      </c>
      <c r="O266" s="316" t="s">
        <v>264</v>
      </c>
      <c r="P266" s="316">
        <v>44848</v>
      </c>
      <c r="Q266" s="316">
        <v>44853</v>
      </c>
      <c r="R266" s="316">
        <v>44853</v>
      </c>
      <c r="S266" s="317" t="s">
        <v>28</v>
      </c>
      <c r="T266" s="317" t="s">
        <v>28</v>
      </c>
      <c r="U266" s="322">
        <v>44847</v>
      </c>
      <c r="V266" s="317" t="s">
        <v>3107</v>
      </c>
      <c r="W266" s="317">
        <v>2</v>
      </c>
      <c r="X266" s="317" t="s">
        <v>4999</v>
      </c>
      <c r="Y266" s="322">
        <v>44858</v>
      </c>
      <c r="Z266" s="312" t="s">
        <v>6825</v>
      </c>
      <c r="AA266" s="313">
        <v>44860</v>
      </c>
      <c r="AB266" s="313">
        <v>44860</v>
      </c>
      <c r="AC266" s="314" t="s">
        <v>4999</v>
      </c>
    </row>
    <row r="267" spans="1:29" ht="13.7" customHeight="1" thickBot="1" x14ac:dyDescent="0.3">
      <c r="A267" s="306" t="str">
        <f t="shared" si="15"/>
        <v>OK</v>
      </c>
      <c r="B267" s="307" t="str">
        <f t="shared" si="14"/>
        <v>OK</v>
      </c>
      <c r="C267" s="308" t="str">
        <f>IF(OR(ISBLANK(AA267),ISBLANK(AB267),ISBLANK(#REF!))=TRUE,"P","OK")</f>
        <v>OK</v>
      </c>
      <c r="D267" s="28">
        <v>0</v>
      </c>
      <c r="E267" s="49" t="s">
        <v>7923</v>
      </c>
      <c r="F267" s="1" t="s">
        <v>1680</v>
      </c>
      <c r="G267" s="49">
        <v>181202</v>
      </c>
      <c r="H267" s="49" t="s">
        <v>7924</v>
      </c>
      <c r="I267" s="49" t="s">
        <v>6820</v>
      </c>
      <c r="J267" s="49" t="s">
        <v>4998</v>
      </c>
      <c r="K267" s="49" t="s">
        <v>7925</v>
      </c>
      <c r="L267" s="49" t="s">
        <v>5078</v>
      </c>
      <c r="M267" s="49" t="s">
        <v>1684</v>
      </c>
      <c r="N267" s="316">
        <v>44853</v>
      </c>
      <c r="O267" s="316" t="s">
        <v>264</v>
      </c>
      <c r="P267" s="316">
        <v>44853</v>
      </c>
      <c r="Q267" s="316">
        <v>44853</v>
      </c>
      <c r="R267" s="316">
        <v>44853</v>
      </c>
      <c r="S267" s="317" t="s">
        <v>28</v>
      </c>
      <c r="T267" s="317" t="s">
        <v>28</v>
      </c>
      <c r="U267" s="322">
        <v>44865</v>
      </c>
      <c r="V267" s="317" t="s">
        <v>3191</v>
      </c>
      <c r="W267" s="317">
        <v>1</v>
      </c>
      <c r="X267" s="317" t="s">
        <v>4999</v>
      </c>
      <c r="Y267" s="322">
        <v>44865</v>
      </c>
      <c r="Z267" s="312" t="s">
        <v>6825</v>
      </c>
      <c r="AA267" s="313">
        <v>44866</v>
      </c>
      <c r="AB267" s="313">
        <v>44866</v>
      </c>
      <c r="AC267" s="314" t="s">
        <v>4999</v>
      </c>
    </row>
    <row r="268" spans="1:29" ht="26.25" customHeight="1" thickBot="1" x14ac:dyDescent="0.3">
      <c r="A268" s="306" t="str">
        <f t="shared" si="15"/>
        <v>OK</v>
      </c>
      <c r="B268" s="307" t="str">
        <f t="shared" si="14"/>
        <v>OK</v>
      </c>
      <c r="C268" s="308" t="str">
        <f>IF(OR(ISBLANK(AA268),ISBLANK(AB268),ISBLANK(#REF!))=TRUE,"P","OK")</f>
        <v>OK</v>
      </c>
      <c r="D268" s="28">
        <v>0</v>
      </c>
      <c r="E268" s="49" t="s">
        <v>7926</v>
      </c>
      <c r="F268" s="49" t="s">
        <v>156</v>
      </c>
      <c r="G268" s="49">
        <v>182294</v>
      </c>
      <c r="H268" s="49" t="s">
        <v>7927</v>
      </c>
      <c r="I268" s="49" t="s">
        <v>6820</v>
      </c>
      <c r="J268" s="49" t="s">
        <v>4998</v>
      </c>
      <c r="K268" s="49" t="s">
        <v>7928</v>
      </c>
      <c r="L268" s="49" t="s">
        <v>7929</v>
      </c>
      <c r="M268" s="49" t="s">
        <v>7930</v>
      </c>
      <c r="N268" s="316">
        <v>44851</v>
      </c>
      <c r="O268" s="316" t="s">
        <v>264</v>
      </c>
      <c r="P268" s="316">
        <v>44851</v>
      </c>
      <c r="Q268" s="316">
        <v>44852</v>
      </c>
      <c r="R268" s="316">
        <v>44854</v>
      </c>
      <c r="S268" s="317" t="s">
        <v>28</v>
      </c>
      <c r="T268" s="317" t="s">
        <v>28</v>
      </c>
      <c r="U268" s="322">
        <v>44861</v>
      </c>
      <c r="V268" s="317" t="s">
        <v>7931</v>
      </c>
      <c r="W268" s="317">
        <v>4</v>
      </c>
      <c r="X268" s="317" t="s">
        <v>4999</v>
      </c>
      <c r="Y268" s="322">
        <v>44868</v>
      </c>
      <c r="Z268" s="312" t="s">
        <v>6825</v>
      </c>
      <c r="AA268" s="313">
        <v>44872</v>
      </c>
      <c r="AB268" s="313">
        <v>44872</v>
      </c>
      <c r="AC268" s="314" t="s">
        <v>4999</v>
      </c>
    </row>
    <row r="269" spans="1:29" ht="26.25" customHeight="1" thickBot="1" x14ac:dyDescent="0.3">
      <c r="A269" s="306" t="str">
        <f t="shared" si="15"/>
        <v>OK</v>
      </c>
      <c r="B269" s="307" t="str">
        <f t="shared" si="14"/>
        <v>OK</v>
      </c>
      <c r="C269" s="308" t="str">
        <f>IF(OR(ISBLANK(AA269),ISBLANK(AB269),ISBLANK(#REF!))=TRUE,"P","OK")</f>
        <v>OK</v>
      </c>
      <c r="D269" s="28">
        <v>0</v>
      </c>
      <c r="E269" s="49" t="s">
        <v>7932</v>
      </c>
      <c r="F269" s="49" t="s">
        <v>5001</v>
      </c>
      <c r="G269" s="49">
        <v>182155</v>
      </c>
      <c r="H269" s="49" t="s">
        <v>7933</v>
      </c>
      <c r="I269" s="49" t="s">
        <v>6820</v>
      </c>
      <c r="J269" s="49" t="s">
        <v>4998</v>
      </c>
      <c r="K269" s="49" t="s">
        <v>7934</v>
      </c>
      <c r="L269" s="49" t="s">
        <v>7935</v>
      </c>
      <c r="M269" s="49" t="s">
        <v>5508</v>
      </c>
      <c r="N269" s="316">
        <v>44799</v>
      </c>
      <c r="O269" s="316" t="s">
        <v>264</v>
      </c>
      <c r="P269" s="316">
        <v>44799</v>
      </c>
      <c r="Q269" s="316">
        <v>44802</v>
      </c>
      <c r="R269" s="316">
        <v>44802</v>
      </c>
      <c r="S269" s="317" t="s">
        <v>28</v>
      </c>
      <c r="T269" s="317" t="s">
        <v>28</v>
      </c>
      <c r="U269" s="322">
        <v>44858</v>
      </c>
      <c r="V269" s="317" t="s">
        <v>54</v>
      </c>
      <c r="W269" s="317">
        <v>1</v>
      </c>
      <c r="X269" s="317" t="s">
        <v>4999</v>
      </c>
      <c r="Y269" s="322">
        <v>44865</v>
      </c>
      <c r="Z269" s="312" t="s">
        <v>6825</v>
      </c>
      <c r="AA269" s="313">
        <v>44866</v>
      </c>
      <c r="AB269" s="313">
        <v>44866</v>
      </c>
      <c r="AC269" s="314" t="s">
        <v>4999</v>
      </c>
    </row>
    <row r="270" spans="1:29" ht="13.7" customHeight="1" thickBot="1" x14ac:dyDescent="0.3">
      <c r="A270" s="306" t="str">
        <f t="shared" si="15"/>
        <v>OK</v>
      </c>
      <c r="B270" s="307" t="str">
        <f t="shared" si="14"/>
        <v>OK</v>
      </c>
      <c r="C270" s="308" t="str">
        <f>IF(OR(ISBLANK(AA270),ISBLANK(AB270),ISBLANK(#REF!))=TRUE,"P","OK")</f>
        <v>OK</v>
      </c>
      <c r="D270" s="28">
        <v>0</v>
      </c>
      <c r="E270" s="49" t="s">
        <v>7936</v>
      </c>
      <c r="F270" s="49" t="s">
        <v>1345</v>
      </c>
      <c r="G270" s="49">
        <v>181825</v>
      </c>
      <c r="H270" s="49" t="s">
        <v>7937</v>
      </c>
      <c r="I270" s="49" t="s">
        <v>6820</v>
      </c>
      <c r="J270" s="49" t="s">
        <v>4998</v>
      </c>
      <c r="K270" s="49" t="s">
        <v>7938</v>
      </c>
      <c r="L270" s="49" t="s">
        <v>7939</v>
      </c>
      <c r="M270" s="49" t="s">
        <v>2419</v>
      </c>
      <c r="N270" s="316">
        <v>44856</v>
      </c>
      <c r="O270" s="316" t="s">
        <v>264</v>
      </c>
      <c r="P270" s="316">
        <v>44856</v>
      </c>
      <c r="Q270" s="316">
        <v>44856</v>
      </c>
      <c r="R270" s="316">
        <v>44856</v>
      </c>
      <c r="S270" s="317" t="s">
        <v>28</v>
      </c>
      <c r="T270" s="317" t="s">
        <v>28</v>
      </c>
      <c r="U270" s="322">
        <v>44858</v>
      </c>
      <c r="V270" s="317" t="s">
        <v>5103</v>
      </c>
      <c r="W270" s="317">
        <v>2</v>
      </c>
      <c r="X270" s="317" t="s">
        <v>4999</v>
      </c>
      <c r="Y270" s="317" t="s">
        <v>4999</v>
      </c>
      <c r="Z270" s="312" t="s">
        <v>6825</v>
      </c>
      <c r="AA270" s="313">
        <v>44860</v>
      </c>
      <c r="AB270" s="313">
        <v>44860</v>
      </c>
      <c r="AC270" s="314" t="s">
        <v>4999</v>
      </c>
    </row>
    <row r="271" spans="1:29" ht="26.25" customHeight="1" thickBot="1" x14ac:dyDescent="0.3">
      <c r="A271" s="306" t="str">
        <f t="shared" si="15"/>
        <v>OK</v>
      </c>
      <c r="B271" s="307" t="str">
        <f t="shared" si="14"/>
        <v>OK</v>
      </c>
      <c r="C271" s="308" t="str">
        <f>IF(OR(ISBLANK(AA271),ISBLANK(AB271),ISBLANK(#REF!))=TRUE,"P","OK")</f>
        <v>OK</v>
      </c>
      <c r="D271" s="28">
        <v>0</v>
      </c>
      <c r="E271" s="49" t="s">
        <v>7940</v>
      </c>
      <c r="F271" s="49" t="s">
        <v>1345</v>
      </c>
      <c r="G271" s="49">
        <v>181825</v>
      </c>
      <c r="H271" s="49" t="s">
        <v>7941</v>
      </c>
      <c r="I271" s="49" t="s">
        <v>6820</v>
      </c>
      <c r="J271" s="49" t="s">
        <v>4998</v>
      </c>
      <c r="K271" s="49" t="s">
        <v>1520</v>
      </c>
      <c r="L271" s="49" t="s">
        <v>7942</v>
      </c>
      <c r="M271" s="49" t="s">
        <v>5083</v>
      </c>
      <c r="N271" s="316">
        <v>44856</v>
      </c>
      <c r="O271" s="316" t="s">
        <v>264</v>
      </c>
      <c r="P271" s="316">
        <v>44856</v>
      </c>
      <c r="Q271" s="316">
        <v>44856</v>
      </c>
      <c r="R271" s="316">
        <v>44856</v>
      </c>
      <c r="S271" s="317" t="s">
        <v>28</v>
      </c>
      <c r="T271" s="317" t="s">
        <v>28</v>
      </c>
      <c r="U271" s="322">
        <v>44858</v>
      </c>
      <c r="V271" s="317" t="s">
        <v>5149</v>
      </c>
      <c r="W271" s="317">
        <v>2</v>
      </c>
      <c r="X271" s="317" t="s">
        <v>4999</v>
      </c>
      <c r="Y271" s="322">
        <v>44858</v>
      </c>
      <c r="Z271" s="312" t="s">
        <v>6825</v>
      </c>
      <c r="AA271" s="313">
        <v>44860</v>
      </c>
      <c r="AB271" s="313">
        <v>44860</v>
      </c>
      <c r="AC271" s="314" t="s">
        <v>4999</v>
      </c>
    </row>
    <row r="272" spans="1:29" ht="13.7" customHeight="1" thickBot="1" x14ac:dyDescent="0.3">
      <c r="A272" s="306" t="str">
        <f t="shared" si="15"/>
        <v>OK</v>
      </c>
      <c r="B272" s="307" t="str">
        <f t="shared" si="14"/>
        <v>OK</v>
      </c>
      <c r="C272" s="308" t="str">
        <f>IF(OR(ISBLANK(AA272),ISBLANK(AB272),ISBLANK(#REF!))=TRUE,"P","OK")</f>
        <v>OK</v>
      </c>
      <c r="D272" s="28">
        <v>0</v>
      </c>
      <c r="E272" s="49" t="s">
        <v>7943</v>
      </c>
      <c r="F272" s="49" t="s">
        <v>1345</v>
      </c>
      <c r="G272" s="49">
        <v>181825</v>
      </c>
      <c r="H272" s="49" t="s">
        <v>7944</v>
      </c>
      <c r="I272" s="49" t="s">
        <v>6820</v>
      </c>
      <c r="J272" s="49" t="s">
        <v>4998</v>
      </c>
      <c r="K272" s="49" t="s">
        <v>7945</v>
      </c>
      <c r="L272" s="49" t="s">
        <v>5203</v>
      </c>
      <c r="M272" s="49" t="s">
        <v>5083</v>
      </c>
      <c r="N272" s="316">
        <v>44858</v>
      </c>
      <c r="O272" s="316" t="s">
        <v>264</v>
      </c>
      <c r="P272" s="316">
        <v>44858</v>
      </c>
      <c r="Q272" s="316">
        <v>44858</v>
      </c>
      <c r="R272" s="316">
        <v>44858</v>
      </c>
      <c r="S272" s="317" t="s">
        <v>28</v>
      </c>
      <c r="T272" s="317" t="s">
        <v>28</v>
      </c>
      <c r="U272" s="322">
        <v>44859</v>
      </c>
      <c r="V272" s="317" t="s">
        <v>7946</v>
      </c>
      <c r="W272" s="317">
        <v>4</v>
      </c>
      <c r="X272" s="317" t="s">
        <v>4999</v>
      </c>
      <c r="Y272" s="322">
        <v>44860</v>
      </c>
      <c r="Z272" s="312" t="s">
        <v>6825</v>
      </c>
      <c r="AA272" s="313">
        <v>44861</v>
      </c>
      <c r="AB272" s="313">
        <v>44861</v>
      </c>
      <c r="AC272" s="314" t="s">
        <v>4999</v>
      </c>
    </row>
    <row r="273" spans="1:29" ht="77.25" customHeight="1" thickBot="1" x14ac:dyDescent="0.3">
      <c r="A273" s="306" t="str">
        <f t="shared" si="15"/>
        <v>OK</v>
      </c>
      <c r="B273" s="307" t="str">
        <f t="shared" si="14"/>
        <v>OK</v>
      </c>
      <c r="C273" s="308" t="str">
        <f>IF(OR(ISBLANK(AA273),ISBLANK(AB273),ISBLANK(#REF!))=TRUE,"P","OK")</f>
        <v>OK</v>
      </c>
      <c r="D273" s="28">
        <v>0</v>
      </c>
      <c r="E273" s="49" t="s">
        <v>7947</v>
      </c>
      <c r="F273" s="49" t="s">
        <v>1345</v>
      </c>
      <c r="G273" s="49">
        <v>181825</v>
      </c>
      <c r="H273" s="49" t="s">
        <v>7948</v>
      </c>
      <c r="I273" s="49" t="s">
        <v>6820</v>
      </c>
      <c r="J273" s="49" t="s">
        <v>4998</v>
      </c>
      <c r="K273" s="49" t="s">
        <v>1406</v>
      </c>
      <c r="L273" s="49" t="s">
        <v>7949</v>
      </c>
      <c r="M273" s="49" t="s">
        <v>5083</v>
      </c>
      <c r="N273" s="316">
        <v>44858</v>
      </c>
      <c r="O273" s="316" t="s">
        <v>264</v>
      </c>
      <c r="P273" s="316">
        <v>44858</v>
      </c>
      <c r="Q273" s="316">
        <v>44858</v>
      </c>
      <c r="R273" s="316">
        <v>44858</v>
      </c>
      <c r="S273" s="317" t="s">
        <v>28</v>
      </c>
      <c r="T273" s="317" t="s">
        <v>28</v>
      </c>
      <c r="U273" s="322">
        <v>44859</v>
      </c>
      <c r="V273" s="317" t="s">
        <v>5149</v>
      </c>
      <c r="W273" s="317">
        <v>6</v>
      </c>
      <c r="X273" s="317" t="s">
        <v>4999</v>
      </c>
      <c r="Y273" s="322">
        <v>44859</v>
      </c>
      <c r="Z273" s="312" t="s">
        <v>6825</v>
      </c>
      <c r="AA273" s="313">
        <v>44861</v>
      </c>
      <c r="AB273" s="313">
        <v>44861</v>
      </c>
      <c r="AC273" s="314" t="s">
        <v>4999</v>
      </c>
    </row>
    <row r="274" spans="1:29" ht="26.25" customHeight="1" thickBot="1" x14ac:dyDescent="0.3">
      <c r="A274" s="306" t="str">
        <f t="shared" si="15"/>
        <v>OK</v>
      </c>
      <c r="B274" s="307" t="str">
        <f t="shared" si="14"/>
        <v>OK</v>
      </c>
      <c r="C274" s="308" t="str">
        <f>IF(OR(ISBLANK(AA274),ISBLANK(AB274),ISBLANK(#REF!))=TRUE,"P","OK")</f>
        <v>OK</v>
      </c>
      <c r="D274" s="28">
        <v>0</v>
      </c>
      <c r="E274" s="49" t="s">
        <v>7950</v>
      </c>
      <c r="F274" s="49" t="s">
        <v>1345</v>
      </c>
      <c r="G274" s="49">
        <v>181825</v>
      </c>
      <c r="H274" s="49" t="s">
        <v>7951</v>
      </c>
      <c r="I274" s="49" t="s">
        <v>6820</v>
      </c>
      <c r="J274" s="49" t="s">
        <v>4998</v>
      </c>
      <c r="K274" s="49" t="s">
        <v>147</v>
      </c>
      <c r="L274" s="49" t="s">
        <v>7952</v>
      </c>
      <c r="M274" s="49" t="s">
        <v>5083</v>
      </c>
      <c r="N274" s="316">
        <v>44858</v>
      </c>
      <c r="O274" s="316" t="s">
        <v>264</v>
      </c>
      <c r="P274" s="316">
        <v>44858</v>
      </c>
      <c r="Q274" s="316">
        <v>44858</v>
      </c>
      <c r="R274" s="316">
        <v>44858</v>
      </c>
      <c r="S274" s="317" t="s">
        <v>28</v>
      </c>
      <c r="T274" s="317" t="s">
        <v>28</v>
      </c>
      <c r="U274" s="322">
        <v>44859</v>
      </c>
      <c r="V274" s="317" t="s">
        <v>5084</v>
      </c>
      <c r="W274" s="317">
        <v>2</v>
      </c>
      <c r="X274" s="317" t="s">
        <v>4999</v>
      </c>
      <c r="Y274" s="322">
        <v>44859</v>
      </c>
      <c r="Z274" s="312" t="s">
        <v>6825</v>
      </c>
      <c r="AA274" s="313">
        <v>44861</v>
      </c>
      <c r="AB274" s="313">
        <v>44861</v>
      </c>
      <c r="AC274" s="314" t="s">
        <v>4999</v>
      </c>
    </row>
    <row r="275" spans="1:29" ht="13.7" customHeight="1" thickBot="1" x14ac:dyDescent="0.3">
      <c r="A275" s="306" t="str">
        <f t="shared" si="15"/>
        <v>OK</v>
      </c>
      <c r="B275" s="307" t="str">
        <f t="shared" si="14"/>
        <v>OK</v>
      </c>
      <c r="C275" s="308" t="str">
        <f>IF(OR(ISBLANK(AA275),ISBLANK(AB275),ISBLANK(#REF!))=TRUE,"P","OK")</f>
        <v>OK</v>
      </c>
      <c r="D275" s="28">
        <v>0</v>
      </c>
      <c r="E275" s="49" t="s">
        <v>7953</v>
      </c>
      <c r="F275" s="49" t="s">
        <v>1345</v>
      </c>
      <c r="G275" s="49">
        <v>181825</v>
      </c>
      <c r="H275" s="49" t="s">
        <v>7954</v>
      </c>
      <c r="I275" s="49" t="s">
        <v>6820</v>
      </c>
      <c r="J275" s="49" t="s">
        <v>4998</v>
      </c>
      <c r="K275" s="49" t="s">
        <v>1406</v>
      </c>
      <c r="L275" s="49" t="s">
        <v>7955</v>
      </c>
      <c r="M275" s="49" t="s">
        <v>5186</v>
      </c>
      <c r="N275" s="316">
        <v>44860</v>
      </c>
      <c r="O275" s="316" t="s">
        <v>264</v>
      </c>
      <c r="P275" s="316">
        <v>44860</v>
      </c>
      <c r="Q275" s="316">
        <v>44860</v>
      </c>
      <c r="R275" s="316">
        <v>44860</v>
      </c>
      <c r="S275" s="317" t="s">
        <v>28</v>
      </c>
      <c r="T275" s="317" t="s">
        <v>28</v>
      </c>
      <c r="U275" s="322">
        <v>44860</v>
      </c>
      <c r="V275" s="317" t="s">
        <v>7956</v>
      </c>
      <c r="W275" s="317">
        <v>1</v>
      </c>
      <c r="X275" s="317" t="s">
        <v>4999</v>
      </c>
      <c r="Y275" s="322">
        <v>44861</v>
      </c>
      <c r="Z275" s="312" t="s">
        <v>6825</v>
      </c>
      <c r="AA275" s="313">
        <v>44866</v>
      </c>
      <c r="AB275" s="313">
        <v>44866</v>
      </c>
      <c r="AC275" s="314" t="s">
        <v>4999</v>
      </c>
    </row>
    <row r="276" spans="1:29" ht="13.7" customHeight="1" thickBot="1" x14ac:dyDescent="0.3">
      <c r="A276" s="306" t="str">
        <f t="shared" si="15"/>
        <v>OK</v>
      </c>
      <c r="B276" s="307" t="str">
        <f t="shared" si="14"/>
        <v>OK</v>
      </c>
      <c r="C276" s="308" t="str">
        <f>IF(OR(ISBLANK(AA276),ISBLANK(AB276),ISBLANK(#REF!))=TRUE,"P","OK")</f>
        <v>OK</v>
      </c>
      <c r="D276" s="28">
        <v>0</v>
      </c>
      <c r="E276" s="49" t="s">
        <v>7957</v>
      </c>
      <c r="F276" s="49" t="s">
        <v>1345</v>
      </c>
      <c r="G276" s="49">
        <v>181825</v>
      </c>
      <c r="H276" s="49" t="s">
        <v>7958</v>
      </c>
      <c r="I276" s="49" t="s">
        <v>6820</v>
      </c>
      <c r="J276" s="49" t="s">
        <v>4998</v>
      </c>
      <c r="K276" s="49" t="s">
        <v>7959</v>
      </c>
      <c r="L276" s="49" t="s">
        <v>6994</v>
      </c>
      <c r="M276" s="49" t="s">
        <v>2419</v>
      </c>
      <c r="N276" s="316">
        <v>44861</v>
      </c>
      <c r="O276" s="316" t="s">
        <v>264</v>
      </c>
      <c r="P276" s="316">
        <v>44861</v>
      </c>
      <c r="Q276" s="316">
        <v>44861</v>
      </c>
      <c r="R276" s="316">
        <v>44861</v>
      </c>
      <c r="S276" s="317" t="s">
        <v>28</v>
      </c>
      <c r="T276" s="317" t="s">
        <v>28</v>
      </c>
      <c r="U276" s="322">
        <v>44861</v>
      </c>
      <c r="V276" s="317" t="s">
        <v>5103</v>
      </c>
      <c r="W276" s="317">
        <v>3</v>
      </c>
      <c r="X276" s="317" t="s">
        <v>4999</v>
      </c>
      <c r="Y276" s="322">
        <v>44862</v>
      </c>
      <c r="Z276" s="313" t="s">
        <v>6825</v>
      </c>
      <c r="AA276" s="313">
        <v>44862</v>
      </c>
      <c r="AB276" s="313">
        <v>44862</v>
      </c>
      <c r="AC276" s="314" t="s">
        <v>4999</v>
      </c>
    </row>
    <row r="277" spans="1:29" ht="13.7" customHeight="1" thickBot="1" x14ac:dyDescent="0.3">
      <c r="A277" s="306" t="str">
        <f t="shared" si="15"/>
        <v>OK</v>
      </c>
      <c r="B277" s="307" t="str">
        <f t="shared" si="14"/>
        <v>OK</v>
      </c>
      <c r="C277" s="308" t="str">
        <f>IF(OR(ISBLANK(AA277),ISBLANK(AB277),ISBLANK(#REF!))=TRUE,"P","OK")</f>
        <v>OK</v>
      </c>
      <c r="D277" s="28">
        <v>0</v>
      </c>
      <c r="E277" s="49" t="s">
        <v>7960</v>
      </c>
      <c r="F277" s="49" t="s">
        <v>1345</v>
      </c>
      <c r="G277" s="49">
        <v>181825</v>
      </c>
      <c r="H277" s="49" t="s">
        <v>7961</v>
      </c>
      <c r="I277" s="49" t="s">
        <v>6820</v>
      </c>
      <c r="J277" s="49" t="s">
        <v>4998</v>
      </c>
      <c r="K277" s="49" t="s">
        <v>7962</v>
      </c>
      <c r="L277" s="49" t="s">
        <v>7963</v>
      </c>
      <c r="M277" s="49" t="s">
        <v>2419</v>
      </c>
      <c r="N277" s="316">
        <v>44861</v>
      </c>
      <c r="O277" s="316" t="s">
        <v>264</v>
      </c>
      <c r="P277" s="316">
        <v>44861</v>
      </c>
      <c r="Q277" s="316">
        <v>44861</v>
      </c>
      <c r="R277" s="316">
        <v>44861</v>
      </c>
      <c r="S277" s="317" t="s">
        <v>28</v>
      </c>
      <c r="T277" s="317" t="s">
        <v>28</v>
      </c>
      <c r="U277" s="322">
        <v>44861</v>
      </c>
      <c r="V277" s="317" t="s">
        <v>5103</v>
      </c>
      <c r="W277" s="317">
        <v>2</v>
      </c>
      <c r="X277" s="317" t="s">
        <v>4999</v>
      </c>
      <c r="Y277" s="322">
        <v>44862</v>
      </c>
      <c r="Z277" s="312" t="s">
        <v>6825</v>
      </c>
      <c r="AA277" s="313">
        <v>44862</v>
      </c>
      <c r="AB277" s="313">
        <v>44862</v>
      </c>
      <c r="AC277" s="314" t="s">
        <v>4999</v>
      </c>
    </row>
    <row r="278" spans="1:29" ht="25.5" x14ac:dyDescent="0.25">
      <c r="A278" s="306" t="str">
        <f t="shared" si="15"/>
        <v>OK</v>
      </c>
      <c r="B278" s="307" t="str">
        <f t="shared" si="14"/>
        <v>OK</v>
      </c>
      <c r="C278" s="308" t="str">
        <f>IF(OR(ISBLANK(AA278),ISBLANK(AB278),ISBLANK(#REF!))=TRUE,"P","OK")</f>
        <v>OK</v>
      </c>
      <c r="D278" s="28">
        <v>0</v>
      </c>
      <c r="E278" s="49" t="s">
        <v>7964</v>
      </c>
      <c r="F278" s="49" t="s">
        <v>5490</v>
      </c>
      <c r="G278" s="49">
        <v>182318</v>
      </c>
      <c r="H278" s="49" t="s">
        <v>5496</v>
      </c>
      <c r="I278" s="49" t="s">
        <v>6820</v>
      </c>
      <c r="J278" s="49" t="s">
        <v>4998</v>
      </c>
      <c r="K278" s="49" t="s">
        <v>7261</v>
      </c>
      <c r="L278" s="49" t="s">
        <v>7965</v>
      </c>
      <c r="M278" s="49" t="s">
        <v>7966</v>
      </c>
      <c r="N278" s="316">
        <v>44847</v>
      </c>
      <c r="O278" s="316" t="s">
        <v>264</v>
      </c>
      <c r="P278" s="316">
        <v>44847</v>
      </c>
      <c r="Q278" s="316">
        <v>44852</v>
      </c>
      <c r="R278" s="316">
        <v>44862</v>
      </c>
      <c r="S278" s="317" t="s">
        <v>28</v>
      </c>
      <c r="T278" s="317" t="s">
        <v>28</v>
      </c>
      <c r="U278" s="322">
        <v>44957</v>
      </c>
      <c r="V278" s="317" t="s">
        <v>1925</v>
      </c>
      <c r="W278" s="317">
        <v>1</v>
      </c>
      <c r="X278" s="317" t="s">
        <v>4999</v>
      </c>
      <c r="Y278" s="322">
        <v>44957</v>
      </c>
      <c r="Z278" s="312" t="s">
        <v>264</v>
      </c>
      <c r="AA278" s="313">
        <v>44957</v>
      </c>
      <c r="AB278" s="313">
        <v>44957</v>
      </c>
      <c r="AC278" s="314" t="s">
        <v>4999</v>
      </c>
    </row>
    <row r="279" spans="1:29" ht="39" customHeight="1" thickBot="1" x14ac:dyDescent="0.3">
      <c r="A279" s="306" t="str">
        <f t="shared" si="15"/>
        <v>OK</v>
      </c>
      <c r="B279" s="307" t="str">
        <f t="shared" si="14"/>
        <v>OK</v>
      </c>
      <c r="C279" s="308" t="str">
        <f>IF(OR(ISBLANK(AA279),ISBLANK(AB279),ISBLANK(#REF!))=TRUE,"P","OK")</f>
        <v>OK</v>
      </c>
      <c r="D279" s="28">
        <v>0</v>
      </c>
      <c r="E279" s="49" t="s">
        <v>7967</v>
      </c>
      <c r="F279" s="1" t="s">
        <v>7568</v>
      </c>
      <c r="G279" s="49">
        <v>182312</v>
      </c>
      <c r="H279" s="49" t="s">
        <v>7968</v>
      </c>
      <c r="I279" s="49" t="s">
        <v>6820</v>
      </c>
      <c r="J279" s="49" t="s">
        <v>4998</v>
      </c>
      <c r="K279" s="49" t="s">
        <v>7969</v>
      </c>
      <c r="L279" s="49" t="s">
        <v>7970</v>
      </c>
      <c r="M279" s="49" t="s">
        <v>2618</v>
      </c>
      <c r="N279" s="316">
        <v>44855</v>
      </c>
      <c r="O279" s="316" t="s">
        <v>264</v>
      </c>
      <c r="P279" s="316">
        <v>44855</v>
      </c>
      <c r="Q279" s="316">
        <v>44859</v>
      </c>
      <c r="R279" s="316">
        <v>44860</v>
      </c>
      <c r="S279" s="317" t="s">
        <v>28</v>
      </c>
      <c r="T279" s="317" t="s">
        <v>28</v>
      </c>
      <c r="U279" s="322">
        <v>44865</v>
      </c>
      <c r="V279" s="317">
        <v>266373</v>
      </c>
      <c r="W279" s="317">
        <v>20</v>
      </c>
      <c r="X279" s="317" t="s">
        <v>4999</v>
      </c>
      <c r="Y279" s="322">
        <v>44868</v>
      </c>
      <c r="Z279" s="312" t="s">
        <v>6825</v>
      </c>
      <c r="AA279" s="313">
        <v>44873</v>
      </c>
      <c r="AB279" s="313">
        <v>44873</v>
      </c>
      <c r="AC279" s="314" t="s">
        <v>4999</v>
      </c>
    </row>
    <row r="280" spans="1:29" ht="13.7" customHeight="1" thickBot="1" x14ac:dyDescent="0.3">
      <c r="A280" s="306" t="str">
        <f t="shared" si="15"/>
        <v>OK</v>
      </c>
      <c r="B280" s="307" t="str">
        <f t="shared" si="14"/>
        <v>OK</v>
      </c>
      <c r="C280" s="308" t="str">
        <f>IF(OR(ISBLANK(AA280),ISBLANK(AB280),ISBLANK(#REF!))=TRUE,"P","OK")</f>
        <v>OK</v>
      </c>
      <c r="D280" s="28">
        <v>0</v>
      </c>
      <c r="E280" s="49" t="s">
        <v>7971</v>
      </c>
      <c r="F280" s="49" t="s">
        <v>69</v>
      </c>
      <c r="G280" s="49">
        <v>182060</v>
      </c>
      <c r="H280" s="49" t="s">
        <v>7972</v>
      </c>
      <c r="I280" s="49" t="s">
        <v>6820</v>
      </c>
      <c r="J280" s="49" t="s">
        <v>4998</v>
      </c>
      <c r="K280" s="49" t="s">
        <v>7973</v>
      </c>
      <c r="L280" s="49" t="s">
        <v>7974</v>
      </c>
      <c r="M280" s="49" t="s">
        <v>73</v>
      </c>
      <c r="N280" s="316">
        <v>44873</v>
      </c>
      <c r="O280" s="316" t="s">
        <v>264</v>
      </c>
      <c r="P280" s="316">
        <v>44873</v>
      </c>
      <c r="Q280" s="316">
        <v>44873</v>
      </c>
      <c r="R280" s="316">
        <v>44873</v>
      </c>
      <c r="S280" s="317" t="s">
        <v>28</v>
      </c>
      <c r="T280" s="317" t="s">
        <v>28</v>
      </c>
      <c r="U280" s="322">
        <v>44874</v>
      </c>
      <c r="V280" s="317" t="s">
        <v>7975</v>
      </c>
      <c r="W280" s="317">
        <v>3</v>
      </c>
      <c r="X280" s="317" t="s">
        <v>4999</v>
      </c>
      <c r="Y280" s="322">
        <v>44875</v>
      </c>
      <c r="Z280" s="312" t="s">
        <v>6825</v>
      </c>
      <c r="AA280" s="313">
        <v>44881</v>
      </c>
      <c r="AB280" s="313">
        <v>44881</v>
      </c>
      <c r="AC280" s="314" t="s">
        <v>4999</v>
      </c>
    </row>
    <row r="281" spans="1:29" ht="13.7" customHeight="1" thickBot="1" x14ac:dyDescent="0.3">
      <c r="A281" s="306" t="str">
        <f t="shared" si="15"/>
        <v>OK</v>
      </c>
      <c r="B281" s="307" t="str">
        <f t="shared" si="14"/>
        <v>OK</v>
      </c>
      <c r="C281" s="308" t="str">
        <f>IF(OR(ISBLANK(AA281),ISBLANK(AB281),ISBLANK(#REF!))=TRUE,"P","OK")</f>
        <v>OK</v>
      </c>
      <c r="D281" s="28">
        <v>0</v>
      </c>
      <c r="E281" s="49" t="s">
        <v>7976</v>
      </c>
      <c r="F281" s="49" t="s">
        <v>69</v>
      </c>
      <c r="G281" s="49">
        <v>182060</v>
      </c>
      <c r="H281" s="49" t="s">
        <v>7977</v>
      </c>
      <c r="I281" s="49" t="s">
        <v>6820</v>
      </c>
      <c r="J281" s="49" t="s">
        <v>4998</v>
      </c>
      <c r="K281" s="49" t="s">
        <v>291</v>
      </c>
      <c r="L281" s="49" t="s">
        <v>2688</v>
      </c>
      <c r="M281" s="49" t="s">
        <v>1730</v>
      </c>
      <c r="N281" s="316">
        <v>44865</v>
      </c>
      <c r="O281" s="316" t="s">
        <v>264</v>
      </c>
      <c r="P281" s="316">
        <v>44865</v>
      </c>
      <c r="Q281" s="316">
        <v>44865</v>
      </c>
      <c r="R281" s="316">
        <v>44865</v>
      </c>
      <c r="S281" s="317" t="s">
        <v>28</v>
      </c>
      <c r="T281" s="317" t="s">
        <v>28</v>
      </c>
      <c r="U281" s="322">
        <v>44865</v>
      </c>
      <c r="V281" s="317" t="s">
        <v>2690</v>
      </c>
      <c r="W281" s="317">
        <v>6</v>
      </c>
      <c r="X281" s="317" t="s">
        <v>4999</v>
      </c>
      <c r="Y281" s="322">
        <v>44873</v>
      </c>
      <c r="Z281" s="312" t="s">
        <v>6825</v>
      </c>
      <c r="AA281" s="313">
        <v>44873</v>
      </c>
      <c r="AB281" s="313">
        <v>44873</v>
      </c>
      <c r="AC281" s="314" t="s">
        <v>4999</v>
      </c>
    </row>
    <row r="282" spans="1:29" ht="13.7" customHeight="1" thickBot="1" x14ac:dyDescent="0.3">
      <c r="A282" s="306" t="str">
        <f t="shared" si="15"/>
        <v>OK</v>
      </c>
      <c r="B282" s="307" t="str">
        <f t="shared" si="14"/>
        <v>OK</v>
      </c>
      <c r="C282" s="308" t="str">
        <f>IF(OR(ISBLANK(AA282),ISBLANK(AB282),ISBLANK(#REF!))=TRUE,"P","OK")</f>
        <v>OK</v>
      </c>
      <c r="D282" s="28">
        <v>0</v>
      </c>
      <c r="E282" s="49" t="s">
        <v>7978</v>
      </c>
      <c r="F282" s="49" t="s">
        <v>69</v>
      </c>
      <c r="G282" s="49">
        <v>182060</v>
      </c>
      <c r="H282" s="49" t="s">
        <v>7979</v>
      </c>
      <c r="I282" s="49" t="s">
        <v>6820</v>
      </c>
      <c r="J282" s="49" t="s">
        <v>4998</v>
      </c>
      <c r="K282" s="49" t="s">
        <v>291</v>
      </c>
      <c r="L282" s="49" t="s">
        <v>2671</v>
      </c>
      <c r="M282" s="49" t="s">
        <v>3303</v>
      </c>
      <c r="N282" s="316">
        <v>44865</v>
      </c>
      <c r="O282" s="316" t="s">
        <v>264</v>
      </c>
      <c r="P282" s="316">
        <v>44865</v>
      </c>
      <c r="Q282" s="316">
        <v>44865</v>
      </c>
      <c r="R282" s="316">
        <v>44865</v>
      </c>
      <c r="S282" s="317" t="s">
        <v>28</v>
      </c>
      <c r="T282" s="317" t="s">
        <v>28</v>
      </c>
      <c r="U282" s="322">
        <v>44865</v>
      </c>
      <c r="V282" s="317" t="s">
        <v>5008</v>
      </c>
      <c r="W282" s="317">
        <v>2</v>
      </c>
      <c r="X282" s="317" t="s">
        <v>4999</v>
      </c>
      <c r="Y282" s="322">
        <v>44873</v>
      </c>
      <c r="Z282" s="312" t="s">
        <v>6825</v>
      </c>
      <c r="AA282" s="313">
        <v>44873</v>
      </c>
      <c r="AB282" s="313">
        <v>44873</v>
      </c>
      <c r="AC282" s="314" t="s">
        <v>4999</v>
      </c>
    </row>
    <row r="283" spans="1:29" ht="13.7" customHeight="1" thickBot="1" x14ac:dyDescent="0.3">
      <c r="A283" s="306" t="str">
        <f t="shared" si="15"/>
        <v>OK</v>
      </c>
      <c r="B283" s="307" t="str">
        <f t="shared" si="14"/>
        <v>OK</v>
      </c>
      <c r="C283" s="308" t="str">
        <f>IF(OR(ISBLANK(AA283),ISBLANK(AB283),ISBLANK(#REF!))=TRUE,"P","OK")</f>
        <v>OK</v>
      </c>
      <c r="D283" s="28">
        <v>0</v>
      </c>
      <c r="E283" s="49" t="s">
        <v>7980</v>
      </c>
      <c r="F283" s="49" t="s">
        <v>69</v>
      </c>
      <c r="G283" s="49">
        <v>182060</v>
      </c>
      <c r="H283" s="49" t="s">
        <v>7981</v>
      </c>
      <c r="I283" s="49" t="s">
        <v>6820</v>
      </c>
      <c r="J283" s="49" t="s">
        <v>4998</v>
      </c>
      <c r="K283" s="49" t="s">
        <v>291</v>
      </c>
      <c r="L283" s="49" t="s">
        <v>5424</v>
      </c>
      <c r="M283" s="49" t="s">
        <v>2689</v>
      </c>
      <c r="N283" s="316">
        <v>44865</v>
      </c>
      <c r="O283" s="316" t="s">
        <v>264</v>
      </c>
      <c r="P283" s="316">
        <v>44865</v>
      </c>
      <c r="Q283" s="316">
        <v>44865</v>
      </c>
      <c r="R283" s="316">
        <v>44865</v>
      </c>
      <c r="S283" s="317" t="s">
        <v>28</v>
      </c>
      <c r="T283" s="317" t="s">
        <v>28</v>
      </c>
      <c r="U283" s="322">
        <v>44865</v>
      </c>
      <c r="V283" s="317" t="s">
        <v>5425</v>
      </c>
      <c r="W283" s="317">
        <v>4</v>
      </c>
      <c r="X283" s="317" t="s">
        <v>4999</v>
      </c>
      <c r="Y283" s="322">
        <v>44873</v>
      </c>
      <c r="Z283" s="312" t="s">
        <v>6825</v>
      </c>
      <c r="AA283" s="313">
        <v>44881</v>
      </c>
      <c r="AB283" s="313">
        <v>44881</v>
      </c>
      <c r="AC283" s="314" t="s">
        <v>4999</v>
      </c>
    </row>
    <row r="284" spans="1:29" ht="13.7" customHeight="1" thickBot="1" x14ac:dyDescent="0.3">
      <c r="A284" s="306" t="str">
        <f t="shared" si="15"/>
        <v>OK</v>
      </c>
      <c r="B284" s="307" t="str">
        <f t="shared" si="14"/>
        <v>OK</v>
      </c>
      <c r="C284" s="308" t="str">
        <f>IF(OR(ISBLANK(AA284),ISBLANK(AB284),ISBLANK(#REF!))=TRUE,"P","OK")</f>
        <v>OK</v>
      </c>
      <c r="D284" s="28">
        <v>0</v>
      </c>
      <c r="E284" s="49" t="s">
        <v>7982</v>
      </c>
      <c r="F284" s="49" t="s">
        <v>69</v>
      </c>
      <c r="G284" s="49">
        <v>182060</v>
      </c>
      <c r="H284" s="49" t="s">
        <v>7983</v>
      </c>
      <c r="I284" s="49" t="s">
        <v>6820</v>
      </c>
      <c r="J284" s="49" t="s">
        <v>4998</v>
      </c>
      <c r="K284" s="49" t="s">
        <v>5025</v>
      </c>
      <c r="L284" s="49" t="s">
        <v>5026</v>
      </c>
      <c r="M284" s="49" t="s">
        <v>73</v>
      </c>
      <c r="N284" s="316">
        <v>44876</v>
      </c>
      <c r="O284" s="316" t="s">
        <v>264</v>
      </c>
      <c r="P284" s="316">
        <v>44876</v>
      </c>
      <c r="Q284" s="316">
        <v>44876</v>
      </c>
      <c r="R284" s="316">
        <v>44876</v>
      </c>
      <c r="S284" s="317" t="s">
        <v>28</v>
      </c>
      <c r="T284" s="317" t="s">
        <v>28</v>
      </c>
      <c r="U284" s="322">
        <v>44888</v>
      </c>
      <c r="V284" s="317" t="s">
        <v>5027</v>
      </c>
      <c r="W284" s="317">
        <v>2</v>
      </c>
      <c r="X284" s="317" t="s">
        <v>4999</v>
      </c>
      <c r="Y284" s="322">
        <v>44911</v>
      </c>
      <c r="Z284" s="312" t="s">
        <v>264</v>
      </c>
      <c r="AA284" s="313">
        <v>44914</v>
      </c>
      <c r="AB284" s="313">
        <v>44914</v>
      </c>
      <c r="AC284" s="314" t="s">
        <v>4999</v>
      </c>
    </row>
    <row r="285" spans="1:29" ht="13.7" customHeight="1" thickBot="1" x14ac:dyDescent="0.3">
      <c r="A285" s="306" t="str">
        <f t="shared" si="15"/>
        <v>OK</v>
      </c>
      <c r="B285" s="307" t="str">
        <f t="shared" si="14"/>
        <v>OK</v>
      </c>
      <c r="C285" s="308" t="str">
        <f>IF(OR(ISBLANK(AA285),ISBLANK(AB285),ISBLANK(#REF!))=TRUE,"P","OK")</f>
        <v>OK</v>
      </c>
      <c r="D285" s="28">
        <v>0</v>
      </c>
      <c r="E285" s="49" t="s">
        <v>7984</v>
      </c>
      <c r="F285" s="49" t="s">
        <v>69</v>
      </c>
      <c r="G285" s="49">
        <v>182060</v>
      </c>
      <c r="H285" s="49" t="s">
        <v>7985</v>
      </c>
      <c r="I285" s="49" t="s">
        <v>6820</v>
      </c>
      <c r="J285" s="49" t="s">
        <v>4998</v>
      </c>
      <c r="K285" s="49" t="s">
        <v>7485</v>
      </c>
      <c r="L285" s="49" t="s">
        <v>7986</v>
      </c>
      <c r="M285" s="49" t="s">
        <v>1730</v>
      </c>
      <c r="N285" s="316">
        <v>44894</v>
      </c>
      <c r="O285" s="316" t="s">
        <v>264</v>
      </c>
      <c r="P285" s="316">
        <v>44894</v>
      </c>
      <c r="Q285" s="316">
        <v>44894</v>
      </c>
      <c r="R285" s="316">
        <v>44894</v>
      </c>
      <c r="S285" s="317" t="s">
        <v>28</v>
      </c>
      <c r="T285" s="317" t="s">
        <v>28</v>
      </c>
      <c r="U285" s="322">
        <v>44901</v>
      </c>
      <c r="V285" s="317" t="s">
        <v>7487</v>
      </c>
      <c r="W285" s="317">
        <v>4</v>
      </c>
      <c r="X285" s="317" t="s">
        <v>4999</v>
      </c>
      <c r="Y285" s="322">
        <v>44901</v>
      </c>
      <c r="Z285" s="312" t="s">
        <v>6825</v>
      </c>
      <c r="AA285" s="313">
        <v>44902</v>
      </c>
      <c r="AB285" s="313">
        <v>44902</v>
      </c>
      <c r="AC285" s="314" t="s">
        <v>4999</v>
      </c>
    </row>
    <row r="286" spans="1:29" ht="26.25" customHeight="1" thickBot="1" x14ac:dyDescent="0.3">
      <c r="A286" s="306" t="str">
        <f t="shared" si="15"/>
        <v>OK</v>
      </c>
      <c r="B286" s="307" t="str">
        <f t="shared" si="14"/>
        <v>OK</v>
      </c>
      <c r="C286" s="308" t="str">
        <f>IF(OR(ISBLANK(AA286),ISBLANK(AB286),ISBLANK(#REF!))=TRUE,"P","OK")</f>
        <v>OK</v>
      </c>
      <c r="D286" s="28">
        <v>0</v>
      </c>
      <c r="E286" s="49" t="s">
        <v>7987</v>
      </c>
      <c r="F286" s="49" t="s">
        <v>69</v>
      </c>
      <c r="G286" s="49">
        <v>182060</v>
      </c>
      <c r="H286" s="49" t="s">
        <v>7988</v>
      </c>
      <c r="I286" s="49" t="s">
        <v>6820</v>
      </c>
      <c r="J286" s="49" t="s">
        <v>4998</v>
      </c>
      <c r="K286" s="49" t="s">
        <v>2136</v>
      </c>
      <c r="L286" s="49" t="s">
        <v>7989</v>
      </c>
      <c r="M286" s="49" t="s">
        <v>73</v>
      </c>
      <c r="N286" s="316">
        <v>44873</v>
      </c>
      <c r="O286" s="316" t="s">
        <v>264</v>
      </c>
      <c r="P286" s="316">
        <v>44873</v>
      </c>
      <c r="Q286" s="316">
        <v>44873</v>
      </c>
      <c r="R286" s="316">
        <v>44873</v>
      </c>
      <c r="S286" s="317" t="s">
        <v>28</v>
      </c>
      <c r="T286" s="317" t="s">
        <v>28</v>
      </c>
      <c r="U286" s="322">
        <v>44874</v>
      </c>
      <c r="V286" s="317" t="s">
        <v>2138</v>
      </c>
      <c r="W286" s="317">
        <v>18</v>
      </c>
      <c r="X286" s="317" t="s">
        <v>4999</v>
      </c>
      <c r="Y286" s="322">
        <v>44875</v>
      </c>
      <c r="Z286" s="312" t="s">
        <v>6825</v>
      </c>
      <c r="AA286" s="313">
        <v>44881</v>
      </c>
      <c r="AB286" s="313">
        <v>44881</v>
      </c>
      <c r="AC286" s="314" t="s">
        <v>4999</v>
      </c>
    </row>
    <row r="287" spans="1:29" ht="13.7" customHeight="1" thickBot="1" x14ac:dyDescent="0.3">
      <c r="A287" s="306" t="str">
        <f t="shared" si="15"/>
        <v>OK</v>
      </c>
      <c r="B287" s="307" t="str">
        <f t="shared" si="14"/>
        <v>OK</v>
      </c>
      <c r="C287" s="308" t="str">
        <f>IF(OR(ISBLANK(AA287),ISBLANK(AB287),ISBLANK(#REF!))=TRUE,"P","OK")</f>
        <v>OK</v>
      </c>
      <c r="D287" s="28">
        <v>0</v>
      </c>
      <c r="E287" s="49" t="s">
        <v>7990</v>
      </c>
      <c r="F287" s="49" t="s">
        <v>69</v>
      </c>
      <c r="G287" s="49">
        <v>182060</v>
      </c>
      <c r="H287" s="49" t="s">
        <v>7991</v>
      </c>
      <c r="I287" s="49" t="s">
        <v>6820</v>
      </c>
      <c r="J287" s="49" t="s">
        <v>4998</v>
      </c>
      <c r="K287" s="49" t="s">
        <v>71</v>
      </c>
      <c r="L287" s="49" t="s">
        <v>1762</v>
      </c>
      <c r="M287" s="49" t="s">
        <v>73</v>
      </c>
      <c r="N287" s="316">
        <v>44881</v>
      </c>
      <c r="O287" s="316" t="s">
        <v>264</v>
      </c>
      <c r="P287" s="316">
        <v>44881</v>
      </c>
      <c r="Q287" s="316">
        <v>44881</v>
      </c>
      <c r="R287" s="316">
        <v>44881</v>
      </c>
      <c r="S287" s="317" t="s">
        <v>28</v>
      </c>
      <c r="T287" s="317" t="s">
        <v>28</v>
      </c>
      <c r="U287" s="322">
        <v>44911</v>
      </c>
      <c r="V287" s="317" t="s">
        <v>74</v>
      </c>
      <c r="W287" s="317">
        <v>2</v>
      </c>
      <c r="X287" s="317" t="s">
        <v>4999</v>
      </c>
      <c r="Y287" s="322">
        <v>44914</v>
      </c>
      <c r="Z287" s="312" t="s">
        <v>264</v>
      </c>
      <c r="AA287" s="313">
        <v>44915</v>
      </c>
      <c r="AB287" s="313">
        <v>44915</v>
      </c>
      <c r="AC287" s="314" t="s">
        <v>4999</v>
      </c>
    </row>
    <row r="288" spans="1:29" ht="13.7" customHeight="1" thickBot="1" x14ac:dyDescent="0.3">
      <c r="A288" s="306" t="str">
        <f t="shared" si="15"/>
        <v>OK</v>
      </c>
      <c r="B288" s="307" t="str">
        <f t="shared" si="14"/>
        <v>OK</v>
      </c>
      <c r="C288" s="308" t="str">
        <f>IF(OR(ISBLANK(AA288),ISBLANK(AB288),ISBLANK(#REF!))=TRUE,"P","OK")</f>
        <v>OK</v>
      </c>
      <c r="D288" s="28">
        <v>0</v>
      </c>
      <c r="E288" s="49" t="s">
        <v>7992</v>
      </c>
      <c r="F288" s="49" t="s">
        <v>69</v>
      </c>
      <c r="G288" s="49">
        <v>182060</v>
      </c>
      <c r="H288" s="49" t="s">
        <v>7993</v>
      </c>
      <c r="I288" s="49" t="s">
        <v>6820</v>
      </c>
      <c r="J288" s="49" t="s">
        <v>4998</v>
      </c>
      <c r="K288" s="49" t="s">
        <v>5015</v>
      </c>
      <c r="L288" s="49" t="s">
        <v>7994</v>
      </c>
      <c r="M288" s="49" t="s">
        <v>7995</v>
      </c>
      <c r="N288" s="316">
        <v>44909</v>
      </c>
      <c r="O288" s="316" t="s">
        <v>264</v>
      </c>
      <c r="P288" s="316">
        <v>44909</v>
      </c>
      <c r="Q288" s="316">
        <v>44909</v>
      </c>
      <c r="R288" s="316">
        <v>44909</v>
      </c>
      <c r="S288" s="317" t="s">
        <v>28</v>
      </c>
      <c r="T288" s="317" t="s">
        <v>28</v>
      </c>
      <c r="U288" s="322">
        <v>44930</v>
      </c>
      <c r="V288" s="317">
        <v>3018335</v>
      </c>
      <c r="W288" s="317">
        <v>2</v>
      </c>
      <c r="X288" s="317" t="s">
        <v>4999</v>
      </c>
      <c r="Y288" s="322">
        <v>44930</v>
      </c>
      <c r="Z288" s="312" t="s">
        <v>264</v>
      </c>
      <c r="AA288" s="313">
        <v>44928</v>
      </c>
      <c r="AB288" s="313">
        <v>44931</v>
      </c>
      <c r="AC288" s="314" t="s">
        <v>4999</v>
      </c>
    </row>
    <row r="289" spans="1:29" ht="13.7" customHeight="1" thickBot="1" x14ac:dyDescent="0.3">
      <c r="A289" s="306" t="str">
        <f t="shared" si="15"/>
        <v>P</v>
      </c>
      <c r="B289" s="307" t="str">
        <f t="shared" si="14"/>
        <v>P</v>
      </c>
      <c r="C289" s="308" t="str">
        <f>IF(OR(ISBLANK(AA289),ISBLANK(AB289),ISBLANK(#REF!))=TRUE,"P","OK")</f>
        <v>P</v>
      </c>
      <c r="D289" s="28">
        <v>0</v>
      </c>
      <c r="E289" s="49" t="s">
        <v>7996</v>
      </c>
      <c r="F289" s="49" t="s">
        <v>69</v>
      </c>
      <c r="G289" s="49"/>
      <c r="H289" s="49"/>
      <c r="I289" s="49"/>
      <c r="J289" s="49"/>
      <c r="K289" s="49"/>
      <c r="L289" s="49"/>
      <c r="M289" s="49"/>
      <c r="N289" s="316"/>
      <c r="O289" s="316"/>
      <c r="P289" s="316"/>
      <c r="Q289" s="316"/>
      <c r="R289" s="316"/>
      <c r="S289" s="317"/>
      <c r="T289" s="317"/>
      <c r="U289" s="317"/>
      <c r="V289" s="317"/>
      <c r="W289" s="317"/>
      <c r="X289" s="317"/>
      <c r="Y289" s="317"/>
      <c r="Z289" s="312"/>
      <c r="AA289" s="312"/>
      <c r="AB289" s="312"/>
      <c r="AC289" s="314"/>
    </row>
    <row r="290" spans="1:29" ht="26.25" customHeight="1" thickBot="1" x14ac:dyDescent="0.3">
      <c r="A290" s="306" t="str">
        <f t="shared" si="15"/>
        <v>OK</v>
      </c>
      <c r="B290" s="307" t="str">
        <f t="shared" si="14"/>
        <v>OK</v>
      </c>
      <c r="C290" s="308" t="str">
        <f>IF(OR(ISBLANK(AA290),ISBLANK(AB290),ISBLANK(#REF!))=TRUE,"P","OK")</f>
        <v>OK</v>
      </c>
      <c r="D290" s="28">
        <v>0</v>
      </c>
      <c r="E290" s="49" t="s">
        <v>7997</v>
      </c>
      <c r="F290" s="49" t="s">
        <v>1854</v>
      </c>
      <c r="G290" s="49">
        <v>182320</v>
      </c>
      <c r="H290" s="49" t="s">
        <v>7998</v>
      </c>
      <c r="I290" s="49" t="s">
        <v>6820</v>
      </c>
      <c r="J290" s="49" t="s">
        <v>4998</v>
      </c>
      <c r="K290" s="49" t="s">
        <v>7542</v>
      </c>
      <c r="L290" s="49" t="s">
        <v>7999</v>
      </c>
      <c r="M290" s="49" t="s">
        <v>1869</v>
      </c>
      <c r="N290" s="316">
        <v>44861</v>
      </c>
      <c r="O290" s="316" t="s">
        <v>264</v>
      </c>
      <c r="P290" s="316">
        <v>44861</v>
      </c>
      <c r="Q290" s="316">
        <v>44861</v>
      </c>
      <c r="R290" s="316">
        <v>44862</v>
      </c>
      <c r="S290" s="317" t="s">
        <v>28</v>
      </c>
      <c r="T290" s="317" t="s">
        <v>28</v>
      </c>
      <c r="U290" s="322">
        <v>44866</v>
      </c>
      <c r="V290" s="317" t="s">
        <v>5625</v>
      </c>
      <c r="W290" s="317">
        <v>5</v>
      </c>
      <c r="X290" s="317" t="s">
        <v>4999</v>
      </c>
      <c r="Y290" s="322">
        <v>44869</v>
      </c>
      <c r="Z290" s="312" t="s">
        <v>6825</v>
      </c>
      <c r="AA290" s="313">
        <v>44873</v>
      </c>
      <c r="AB290" s="313">
        <v>44873</v>
      </c>
      <c r="AC290" s="314" t="s">
        <v>4999</v>
      </c>
    </row>
    <row r="291" spans="1:29" ht="26.25" customHeight="1" thickBot="1" x14ac:dyDescent="0.3">
      <c r="A291" s="306" t="str">
        <f t="shared" si="15"/>
        <v>OK</v>
      </c>
      <c r="B291" s="307" t="str">
        <f t="shared" si="14"/>
        <v>OK</v>
      </c>
      <c r="C291" s="308" t="str">
        <f>IF(OR(ISBLANK(AA291),ISBLANK(AB291),ISBLANK(#REF!))=TRUE,"P","OK")</f>
        <v>OK</v>
      </c>
      <c r="D291" s="28">
        <v>0</v>
      </c>
      <c r="E291" s="49" t="s">
        <v>8000</v>
      </c>
      <c r="F291" s="49" t="s">
        <v>1345</v>
      </c>
      <c r="G291" s="49">
        <v>181825</v>
      </c>
      <c r="H291" s="49" t="s">
        <v>8001</v>
      </c>
      <c r="I291" s="49" t="s">
        <v>6820</v>
      </c>
      <c r="J291" s="49" t="s">
        <v>4998</v>
      </c>
      <c r="K291" s="49" t="s">
        <v>8002</v>
      </c>
      <c r="L291" s="49" t="s">
        <v>8003</v>
      </c>
      <c r="M291" s="49" t="s">
        <v>5062</v>
      </c>
      <c r="N291" s="316">
        <v>44865</v>
      </c>
      <c r="O291" s="316" t="s">
        <v>264</v>
      </c>
      <c r="P291" s="316">
        <v>44865</v>
      </c>
      <c r="Q291" s="316">
        <v>44865</v>
      </c>
      <c r="R291" s="316">
        <v>44865</v>
      </c>
      <c r="S291" s="317" t="s">
        <v>28</v>
      </c>
      <c r="T291" s="317" t="s">
        <v>28</v>
      </c>
      <c r="U291" s="322">
        <v>44865</v>
      </c>
      <c r="V291" s="317" t="s">
        <v>8004</v>
      </c>
      <c r="W291" s="317">
        <v>1</v>
      </c>
      <c r="X291" s="317" t="s">
        <v>4999</v>
      </c>
      <c r="Y291" s="322">
        <v>44865</v>
      </c>
      <c r="Z291" s="312" t="s">
        <v>6825</v>
      </c>
      <c r="AA291" s="313">
        <v>44866</v>
      </c>
      <c r="AB291" s="313">
        <v>44866</v>
      </c>
      <c r="AC291" s="314" t="s">
        <v>4999</v>
      </c>
    </row>
    <row r="292" spans="1:29" ht="13.7" customHeight="1" thickBot="1" x14ac:dyDescent="0.3">
      <c r="A292" s="306" t="str">
        <f t="shared" si="15"/>
        <v>OK</v>
      </c>
      <c r="B292" s="307" t="str">
        <f t="shared" si="14"/>
        <v>OK</v>
      </c>
      <c r="C292" s="308" t="str">
        <f>IF(OR(ISBLANK(AA292),ISBLANK(AB292),ISBLANK(#REF!))=TRUE,"P","OK")</f>
        <v>OK</v>
      </c>
      <c r="D292" s="28">
        <v>0</v>
      </c>
      <c r="E292" s="49" t="s">
        <v>8005</v>
      </c>
      <c r="F292" s="49" t="s">
        <v>1345</v>
      </c>
      <c r="G292" s="49">
        <v>181825</v>
      </c>
      <c r="H292" s="49" t="s">
        <v>8006</v>
      </c>
      <c r="I292" s="49" t="s">
        <v>6820</v>
      </c>
      <c r="J292" s="49" t="s">
        <v>4998</v>
      </c>
      <c r="K292" s="49" t="s">
        <v>1406</v>
      </c>
      <c r="L292" s="49" t="s">
        <v>5251</v>
      </c>
      <c r="M292" s="49" t="s">
        <v>5083</v>
      </c>
      <c r="N292" s="316">
        <v>44865</v>
      </c>
      <c r="O292" s="316" t="s">
        <v>264</v>
      </c>
      <c r="P292" s="316">
        <v>44865</v>
      </c>
      <c r="Q292" s="316">
        <v>44865</v>
      </c>
      <c r="R292" s="316">
        <v>44865</v>
      </c>
      <c r="S292" s="317" t="s">
        <v>28</v>
      </c>
      <c r="T292" s="317" t="s">
        <v>28</v>
      </c>
      <c r="U292" s="322">
        <v>44865</v>
      </c>
      <c r="V292" s="317" t="s">
        <v>5149</v>
      </c>
      <c r="W292" s="317">
        <v>1</v>
      </c>
      <c r="X292" s="317" t="s">
        <v>4999</v>
      </c>
      <c r="Y292" s="322">
        <v>44866</v>
      </c>
      <c r="Z292" s="312" t="s">
        <v>6825</v>
      </c>
      <c r="AA292" s="313">
        <v>44868</v>
      </c>
      <c r="AB292" s="313">
        <v>44868</v>
      </c>
      <c r="AC292" s="314" t="s">
        <v>4999</v>
      </c>
    </row>
    <row r="293" spans="1:29" ht="26.25" customHeight="1" thickBot="1" x14ac:dyDescent="0.3">
      <c r="A293" s="306" t="str">
        <f t="shared" si="15"/>
        <v>OK</v>
      </c>
      <c r="B293" s="307" t="str">
        <f t="shared" si="14"/>
        <v>OK</v>
      </c>
      <c r="C293" s="308" t="str">
        <f>IF(OR(ISBLANK(AA293),ISBLANK(AB293),ISBLANK(#REF!))=TRUE,"P","OK")</f>
        <v>OK</v>
      </c>
      <c r="D293" s="28">
        <v>0</v>
      </c>
      <c r="E293" s="49" t="s">
        <v>8007</v>
      </c>
      <c r="F293" s="49" t="s">
        <v>1854</v>
      </c>
      <c r="G293" s="49">
        <v>182330</v>
      </c>
      <c r="H293" s="49" t="s">
        <v>8008</v>
      </c>
      <c r="I293" s="49" t="s">
        <v>6820</v>
      </c>
      <c r="J293" s="49" t="s">
        <v>4998</v>
      </c>
      <c r="K293" s="49" t="s">
        <v>8009</v>
      </c>
      <c r="L293" s="49" t="s">
        <v>8010</v>
      </c>
      <c r="M293" s="49" t="s">
        <v>1869</v>
      </c>
      <c r="N293" s="316">
        <v>44867</v>
      </c>
      <c r="O293" s="316" t="s">
        <v>264</v>
      </c>
      <c r="P293" s="316">
        <v>44867</v>
      </c>
      <c r="Q293" s="316">
        <v>44869</v>
      </c>
      <c r="R293" s="316">
        <v>44869</v>
      </c>
      <c r="S293" s="317" t="s">
        <v>28</v>
      </c>
      <c r="T293" s="317" t="s">
        <v>28</v>
      </c>
      <c r="U293" s="322">
        <v>44862</v>
      </c>
      <c r="V293" s="317" t="s">
        <v>8011</v>
      </c>
      <c r="W293" s="317">
        <v>7</v>
      </c>
      <c r="X293" s="317" t="s">
        <v>4999</v>
      </c>
      <c r="Y293" s="322">
        <v>44873</v>
      </c>
      <c r="Z293" s="312" t="s">
        <v>6825</v>
      </c>
      <c r="AA293" s="313">
        <v>44873</v>
      </c>
      <c r="AB293" s="313">
        <v>44873</v>
      </c>
      <c r="AC293" s="314" t="s">
        <v>4999</v>
      </c>
    </row>
    <row r="294" spans="1:29" ht="26.25" customHeight="1" thickBot="1" x14ac:dyDescent="0.3">
      <c r="A294" s="306" t="str">
        <f t="shared" si="15"/>
        <v>OK</v>
      </c>
      <c r="B294" s="307" t="str">
        <f t="shared" si="14"/>
        <v>OK</v>
      </c>
      <c r="C294" s="308" t="str">
        <f>IF(OR(ISBLANK(AA294),ISBLANK(AB294),ISBLANK(#REF!))=TRUE,"P","OK")</f>
        <v>OK</v>
      </c>
      <c r="D294" s="28">
        <v>0</v>
      </c>
      <c r="E294" s="49" t="s">
        <v>8012</v>
      </c>
      <c r="F294" s="49" t="s">
        <v>4066</v>
      </c>
      <c r="G294" s="49">
        <v>182326</v>
      </c>
      <c r="H294" s="49" t="s">
        <v>8013</v>
      </c>
      <c r="I294" s="49" t="s">
        <v>6820</v>
      </c>
      <c r="J294" s="49" t="s">
        <v>4998</v>
      </c>
      <c r="K294" s="49" t="s">
        <v>8014</v>
      </c>
      <c r="L294" s="49" t="s">
        <v>8015</v>
      </c>
      <c r="M294" s="49" t="s">
        <v>8016</v>
      </c>
      <c r="N294" s="316">
        <v>44865</v>
      </c>
      <c r="O294" s="316" t="s">
        <v>264</v>
      </c>
      <c r="P294" s="316">
        <v>44865</v>
      </c>
      <c r="Q294" s="316">
        <v>44866</v>
      </c>
      <c r="R294" s="316">
        <v>44866</v>
      </c>
      <c r="S294" s="317" t="s">
        <v>28</v>
      </c>
      <c r="T294" s="317" t="s">
        <v>28</v>
      </c>
      <c r="U294" s="322">
        <v>44868</v>
      </c>
      <c r="V294" s="317" t="s">
        <v>8017</v>
      </c>
      <c r="W294" s="317">
        <v>14</v>
      </c>
      <c r="X294" s="317" t="s">
        <v>4999</v>
      </c>
      <c r="Y294" s="322">
        <v>44869</v>
      </c>
      <c r="Z294" s="312" t="s">
        <v>6825</v>
      </c>
      <c r="AA294" s="313">
        <v>44873</v>
      </c>
      <c r="AB294" s="313">
        <v>44873</v>
      </c>
      <c r="AC294" s="314" t="s">
        <v>4999</v>
      </c>
    </row>
    <row r="295" spans="1:29" ht="26.25" customHeight="1" thickBot="1" x14ac:dyDescent="0.3">
      <c r="A295" s="306" t="str">
        <f t="shared" si="15"/>
        <v>OK</v>
      </c>
      <c r="B295" s="307" t="str">
        <f t="shared" ref="B295:B357" si="16">IF(OR(ISBLANK(S295),ISBLANK(T295),ISBLANK(U295),ISBLANK(V295),ISBLANK(W295),ISBLANK(X295),ISBLANK(Y295),ISBLANK(Z295))=TRUE,"P","OK")</f>
        <v>OK</v>
      </c>
      <c r="C295" s="308" t="str">
        <f>IF(OR(ISBLANK(AA295),ISBLANK(AB295),ISBLANK(#REF!))=TRUE,"P","OK")</f>
        <v>OK</v>
      </c>
      <c r="D295" s="28">
        <v>0</v>
      </c>
      <c r="E295" s="49" t="s">
        <v>8018</v>
      </c>
      <c r="F295" s="1" t="s">
        <v>1680</v>
      </c>
      <c r="G295" s="49">
        <v>181202</v>
      </c>
      <c r="H295" s="49" t="s">
        <v>8019</v>
      </c>
      <c r="I295" s="49" t="s">
        <v>6820</v>
      </c>
      <c r="J295" s="49" t="s">
        <v>4998</v>
      </c>
      <c r="K295" s="49" t="s">
        <v>8020</v>
      </c>
      <c r="L295" s="49" t="s">
        <v>8021</v>
      </c>
      <c r="M295" s="49" t="s">
        <v>7115</v>
      </c>
      <c r="N295" s="316">
        <v>44755</v>
      </c>
      <c r="O295" s="316" t="s">
        <v>264</v>
      </c>
      <c r="P295" s="316">
        <v>44755</v>
      </c>
      <c r="Q295" s="316">
        <v>44755</v>
      </c>
      <c r="R295" s="316">
        <v>44755</v>
      </c>
      <c r="S295" s="334" t="s">
        <v>28</v>
      </c>
      <c r="T295" s="334" t="s">
        <v>28</v>
      </c>
      <c r="U295" s="322">
        <v>44868</v>
      </c>
      <c r="V295" s="317" t="s">
        <v>3384</v>
      </c>
      <c r="W295" s="317">
        <v>1</v>
      </c>
      <c r="X295" s="317" t="s">
        <v>4999</v>
      </c>
      <c r="Y295" s="322">
        <v>44873</v>
      </c>
      <c r="Z295" s="343" t="s">
        <v>6825</v>
      </c>
      <c r="AA295" s="313">
        <v>44874</v>
      </c>
      <c r="AB295" s="313">
        <v>44874</v>
      </c>
      <c r="AC295" s="314" t="s">
        <v>4999</v>
      </c>
    </row>
    <row r="296" spans="1:29" ht="51.75" customHeight="1" thickBot="1" x14ac:dyDescent="0.3">
      <c r="A296" s="306" t="str">
        <f t="shared" si="15"/>
        <v>OK</v>
      </c>
      <c r="B296" s="307" t="str">
        <f t="shared" si="16"/>
        <v>OK</v>
      </c>
      <c r="C296" s="308" t="str">
        <f>IF(OR(ISBLANK(AA296),ISBLANK(AB296),ISBLANK(#REF!))=TRUE,"P","OK")</f>
        <v>OK</v>
      </c>
      <c r="D296" s="28">
        <v>0</v>
      </c>
      <c r="E296" s="49" t="s">
        <v>8022</v>
      </c>
      <c r="F296" s="49" t="s">
        <v>1854</v>
      </c>
      <c r="G296" s="49">
        <v>182339</v>
      </c>
      <c r="H296" s="49" t="s">
        <v>8023</v>
      </c>
      <c r="I296" s="49" t="s">
        <v>6820</v>
      </c>
      <c r="J296" s="49" t="s">
        <v>4998</v>
      </c>
      <c r="K296" s="49" t="s">
        <v>1406</v>
      </c>
      <c r="L296" s="49" t="s">
        <v>8024</v>
      </c>
      <c r="M296" s="49" t="s">
        <v>8025</v>
      </c>
      <c r="N296" s="316">
        <v>44869</v>
      </c>
      <c r="O296" s="316" t="s">
        <v>264</v>
      </c>
      <c r="P296" s="316">
        <v>44869</v>
      </c>
      <c r="Q296" s="316">
        <v>44872</v>
      </c>
      <c r="R296" s="316">
        <v>44874</v>
      </c>
      <c r="S296" s="317" t="s">
        <v>28</v>
      </c>
      <c r="T296" s="317" t="s">
        <v>28</v>
      </c>
      <c r="U296" s="322">
        <v>44873</v>
      </c>
      <c r="V296" s="317" t="s">
        <v>3107</v>
      </c>
      <c r="W296" s="317">
        <v>2</v>
      </c>
      <c r="X296" s="317" t="s">
        <v>4999</v>
      </c>
      <c r="Y296" s="322">
        <v>44875</v>
      </c>
      <c r="Z296" s="312" t="s">
        <v>6825</v>
      </c>
      <c r="AA296" s="313">
        <v>44876</v>
      </c>
      <c r="AB296" s="313">
        <v>44876</v>
      </c>
      <c r="AC296" s="314" t="s">
        <v>4999</v>
      </c>
    </row>
    <row r="297" spans="1:29" ht="13.7" customHeight="1" thickBot="1" x14ac:dyDescent="0.3">
      <c r="A297" s="306" t="str">
        <f t="shared" si="15"/>
        <v>OK</v>
      </c>
      <c r="B297" s="307" t="str">
        <f t="shared" si="16"/>
        <v>OK</v>
      </c>
      <c r="C297" s="308" t="str">
        <f>IF(OR(ISBLANK(AA297),ISBLANK(AB297),ISBLANK(#REF!))=TRUE,"P","OK")</f>
        <v>OK</v>
      </c>
      <c r="D297" s="28">
        <v>0</v>
      </c>
      <c r="E297" s="49" t="s">
        <v>8026</v>
      </c>
      <c r="F297" s="49" t="s">
        <v>1345</v>
      </c>
      <c r="G297" s="49">
        <v>181825</v>
      </c>
      <c r="H297" s="49" t="s">
        <v>8027</v>
      </c>
      <c r="I297" s="49" t="s">
        <v>6820</v>
      </c>
      <c r="J297" s="49" t="s">
        <v>4998</v>
      </c>
      <c r="K297" s="49" t="s">
        <v>547</v>
      </c>
      <c r="L297" s="49" t="s">
        <v>8028</v>
      </c>
      <c r="M297" s="49" t="s">
        <v>5062</v>
      </c>
      <c r="N297" s="316">
        <v>44873</v>
      </c>
      <c r="O297" s="316" t="s">
        <v>264</v>
      </c>
      <c r="P297" s="316">
        <v>44873</v>
      </c>
      <c r="Q297" s="316">
        <v>44873</v>
      </c>
      <c r="R297" s="316">
        <v>44873</v>
      </c>
      <c r="S297" s="317" t="s">
        <v>28</v>
      </c>
      <c r="T297" s="317" t="s">
        <v>28</v>
      </c>
      <c r="U297" s="322">
        <v>44873</v>
      </c>
      <c r="V297" s="317" t="s">
        <v>8029</v>
      </c>
      <c r="W297" s="317">
        <v>1</v>
      </c>
      <c r="X297" s="317" t="s">
        <v>4999</v>
      </c>
      <c r="Y297" s="322">
        <v>44873</v>
      </c>
      <c r="Z297" s="312" t="s">
        <v>6825</v>
      </c>
      <c r="AA297" s="313">
        <v>44874</v>
      </c>
      <c r="AB297" s="313">
        <v>44874</v>
      </c>
      <c r="AC297" s="314" t="s">
        <v>4999</v>
      </c>
    </row>
    <row r="298" spans="1:29" ht="13.7" customHeight="1" thickBot="1" x14ac:dyDescent="0.3">
      <c r="A298" s="306" t="str">
        <f t="shared" si="15"/>
        <v>OK</v>
      </c>
      <c r="B298" s="307" t="str">
        <f t="shared" si="16"/>
        <v>OK</v>
      </c>
      <c r="C298" s="308" t="str">
        <f>IF(OR(ISBLANK(AA298),ISBLANK(AB298),ISBLANK(#REF!))=TRUE,"P","OK")</f>
        <v>OK</v>
      </c>
      <c r="D298" s="28">
        <v>0</v>
      </c>
      <c r="E298" s="49" t="s">
        <v>8030</v>
      </c>
      <c r="F298" s="49" t="s">
        <v>1345</v>
      </c>
      <c r="G298" s="49">
        <v>181825</v>
      </c>
      <c r="H298" s="49" t="s">
        <v>8031</v>
      </c>
      <c r="I298" s="49" t="s">
        <v>6820</v>
      </c>
      <c r="J298" s="49" t="s">
        <v>4998</v>
      </c>
      <c r="K298" s="49" t="s">
        <v>44</v>
      </c>
      <c r="L298" s="49" t="s">
        <v>5159</v>
      </c>
      <c r="M298" s="49" t="s">
        <v>8032</v>
      </c>
      <c r="N298" s="316">
        <v>44873</v>
      </c>
      <c r="O298" s="316" t="s">
        <v>264</v>
      </c>
      <c r="P298" s="316">
        <v>44873</v>
      </c>
      <c r="Q298" s="316">
        <v>44873</v>
      </c>
      <c r="R298" s="316">
        <v>44873</v>
      </c>
      <c r="S298" s="317" t="s">
        <v>28</v>
      </c>
      <c r="T298" s="317" t="s">
        <v>28</v>
      </c>
      <c r="U298" s="322">
        <v>44873</v>
      </c>
      <c r="V298" s="317" t="s">
        <v>5149</v>
      </c>
      <c r="W298" s="317">
        <v>1</v>
      </c>
      <c r="X298" s="317" t="s">
        <v>4999</v>
      </c>
      <c r="Y298" s="322">
        <v>44874</v>
      </c>
      <c r="Z298" s="312" t="s">
        <v>6825</v>
      </c>
      <c r="AA298" s="313">
        <v>44874</v>
      </c>
      <c r="AB298" s="313">
        <v>44874</v>
      </c>
      <c r="AC298" s="314" t="s">
        <v>7145</v>
      </c>
    </row>
    <row r="299" spans="1:29" ht="26.25" customHeight="1" thickBot="1" x14ac:dyDescent="0.3">
      <c r="A299" s="306" t="str">
        <f t="shared" si="15"/>
        <v>OK</v>
      </c>
      <c r="B299" s="307" t="str">
        <f t="shared" si="16"/>
        <v>OK</v>
      </c>
      <c r="C299" s="308" t="str">
        <f>IF(OR(ISBLANK(AA299),ISBLANK(AB299),ISBLANK(#REF!))=TRUE,"P","OK")</f>
        <v>OK</v>
      </c>
      <c r="D299" s="28">
        <v>0</v>
      </c>
      <c r="E299" s="49" t="s">
        <v>8033</v>
      </c>
      <c r="F299" s="49" t="s">
        <v>1345</v>
      </c>
      <c r="G299" s="49">
        <v>181825</v>
      </c>
      <c r="H299" s="49" t="s">
        <v>8034</v>
      </c>
      <c r="I299" s="49" t="s">
        <v>6820</v>
      </c>
      <c r="J299" s="49" t="s">
        <v>4998</v>
      </c>
      <c r="K299" s="49" t="s">
        <v>44</v>
      </c>
      <c r="L299" s="49" t="s">
        <v>8035</v>
      </c>
      <c r="M299" s="49" t="s">
        <v>8032</v>
      </c>
      <c r="N299" s="316">
        <v>44874</v>
      </c>
      <c r="O299" s="316" t="s">
        <v>264</v>
      </c>
      <c r="P299" s="316">
        <v>44874</v>
      </c>
      <c r="Q299" s="316">
        <v>44874</v>
      </c>
      <c r="R299" s="316">
        <v>44874</v>
      </c>
      <c r="S299" s="317" t="s">
        <v>28</v>
      </c>
      <c r="T299" s="317" t="s">
        <v>28</v>
      </c>
      <c r="U299" s="322">
        <v>44874</v>
      </c>
      <c r="V299" s="317" t="s">
        <v>5149</v>
      </c>
      <c r="W299" s="317">
        <v>2</v>
      </c>
      <c r="X299" s="317" t="s">
        <v>4999</v>
      </c>
      <c r="Y299" s="322">
        <v>44874</v>
      </c>
      <c r="Z299" s="312" t="s">
        <v>6825</v>
      </c>
      <c r="AA299" s="313">
        <v>44876</v>
      </c>
      <c r="AB299" s="313">
        <v>44876</v>
      </c>
      <c r="AC299" s="314" t="s">
        <v>4999</v>
      </c>
    </row>
    <row r="300" spans="1:29" ht="13.7" customHeight="1" thickBot="1" x14ac:dyDescent="0.3">
      <c r="A300" s="306" t="str">
        <f t="shared" si="15"/>
        <v>OK</v>
      </c>
      <c r="B300" s="307" t="str">
        <f t="shared" si="16"/>
        <v>OK</v>
      </c>
      <c r="C300" s="308" t="str">
        <f>IF(OR(ISBLANK(AA300),ISBLANK(AB300),ISBLANK(#REF!))=TRUE,"P","OK")</f>
        <v>OK</v>
      </c>
      <c r="D300" s="28">
        <v>0</v>
      </c>
      <c r="E300" s="49" t="s">
        <v>8036</v>
      </c>
      <c r="F300" s="49" t="s">
        <v>8037</v>
      </c>
      <c r="G300" s="49">
        <v>182346</v>
      </c>
      <c r="H300" s="49" t="s">
        <v>5631</v>
      </c>
      <c r="I300" s="49" t="s">
        <v>6820</v>
      </c>
      <c r="J300" s="49" t="s">
        <v>4998</v>
      </c>
      <c r="K300" s="49" t="s">
        <v>8038</v>
      </c>
      <c r="L300" s="49" t="s">
        <v>5633</v>
      </c>
      <c r="M300" s="49" t="s">
        <v>279</v>
      </c>
      <c r="N300" s="316">
        <v>44872</v>
      </c>
      <c r="O300" s="316" t="s">
        <v>264</v>
      </c>
      <c r="P300" s="316">
        <v>44872</v>
      </c>
      <c r="Q300" s="316">
        <v>44874</v>
      </c>
      <c r="R300" s="316">
        <v>44875</v>
      </c>
      <c r="S300" s="317" t="s">
        <v>28</v>
      </c>
      <c r="T300" s="317" t="s">
        <v>28</v>
      </c>
      <c r="U300" s="317" t="s">
        <v>8039</v>
      </c>
      <c r="V300" s="317" t="s">
        <v>5634</v>
      </c>
      <c r="W300" s="317">
        <v>9</v>
      </c>
      <c r="X300" s="317" t="s">
        <v>4999</v>
      </c>
      <c r="Y300" s="322">
        <v>44935</v>
      </c>
      <c r="Z300" s="312" t="s">
        <v>264</v>
      </c>
      <c r="AA300" s="313">
        <v>44937</v>
      </c>
      <c r="AB300" s="313">
        <v>44937</v>
      </c>
      <c r="AC300" s="314" t="s">
        <v>4999</v>
      </c>
    </row>
    <row r="301" spans="1:29" ht="39" customHeight="1" thickBot="1" x14ac:dyDescent="0.3">
      <c r="A301" s="306" t="str">
        <f t="shared" si="15"/>
        <v>OK</v>
      </c>
      <c r="B301" s="307" t="str">
        <f t="shared" si="16"/>
        <v>OK</v>
      </c>
      <c r="C301" s="308" t="str">
        <f>IF(OR(ISBLANK(AA301),ISBLANK(AB301),ISBLANK(#REF!))=TRUE,"P","OK")</f>
        <v>OK</v>
      </c>
      <c r="D301" s="28">
        <v>0</v>
      </c>
      <c r="E301" s="49" t="s">
        <v>8040</v>
      </c>
      <c r="F301" s="49" t="s">
        <v>1345</v>
      </c>
      <c r="G301" s="49">
        <v>181825</v>
      </c>
      <c r="H301" s="49" t="s">
        <v>8041</v>
      </c>
      <c r="I301" s="49" t="s">
        <v>6820</v>
      </c>
      <c r="J301" s="49" t="s">
        <v>4998</v>
      </c>
      <c r="K301" s="49" t="s">
        <v>547</v>
      </c>
      <c r="L301" s="49" t="s">
        <v>8042</v>
      </c>
      <c r="M301" s="49" t="s">
        <v>1379</v>
      </c>
      <c r="N301" s="316">
        <v>44876</v>
      </c>
      <c r="O301" s="316" t="s">
        <v>264</v>
      </c>
      <c r="P301" s="316">
        <v>44876</v>
      </c>
      <c r="Q301" s="316">
        <v>44876</v>
      </c>
      <c r="R301" s="316">
        <v>44876</v>
      </c>
      <c r="S301" s="317" t="s">
        <v>28</v>
      </c>
      <c r="T301" s="317" t="s">
        <v>28</v>
      </c>
      <c r="U301" s="322">
        <v>44876</v>
      </c>
      <c r="V301" s="317" t="s">
        <v>5103</v>
      </c>
      <c r="W301" s="317">
        <v>10</v>
      </c>
      <c r="X301" s="317" t="s">
        <v>4999</v>
      </c>
      <c r="Y301" s="322">
        <v>44882</v>
      </c>
      <c r="Z301" s="312" t="s">
        <v>6825</v>
      </c>
      <c r="AA301" s="313">
        <v>44883</v>
      </c>
      <c r="AB301" s="313">
        <v>44882</v>
      </c>
      <c r="AC301" s="314" t="s">
        <v>4999</v>
      </c>
    </row>
    <row r="302" spans="1:29" ht="13.7" customHeight="1" thickBot="1" x14ac:dyDescent="0.3">
      <c r="A302" s="306" t="str">
        <f t="shared" si="15"/>
        <v>OK</v>
      </c>
      <c r="B302" s="307" t="str">
        <f t="shared" si="16"/>
        <v>OK</v>
      </c>
      <c r="C302" s="308" t="str">
        <f>IF(OR(ISBLANK(AA302),ISBLANK(AB302),ISBLANK(#REF!))=TRUE,"P","OK")</f>
        <v>OK</v>
      </c>
      <c r="D302" s="28">
        <v>0</v>
      </c>
      <c r="E302" s="49" t="s">
        <v>8043</v>
      </c>
      <c r="F302" s="49" t="s">
        <v>1680</v>
      </c>
      <c r="G302" s="49">
        <v>181202</v>
      </c>
      <c r="H302" s="49" t="s">
        <v>8044</v>
      </c>
      <c r="I302" s="49" t="s">
        <v>6820</v>
      </c>
      <c r="J302" s="49" t="s">
        <v>4998</v>
      </c>
      <c r="K302" s="49" t="s">
        <v>141</v>
      </c>
      <c r="L302" s="49" t="s">
        <v>8045</v>
      </c>
      <c r="M302" s="49" t="s">
        <v>4050</v>
      </c>
      <c r="N302" s="316">
        <v>44875</v>
      </c>
      <c r="O302" s="316" t="s">
        <v>264</v>
      </c>
      <c r="P302" s="316">
        <v>44875</v>
      </c>
      <c r="Q302" s="316">
        <v>44875</v>
      </c>
      <c r="R302" s="316">
        <v>44875</v>
      </c>
      <c r="S302" s="317" t="s">
        <v>28</v>
      </c>
      <c r="T302" s="317" t="s">
        <v>28</v>
      </c>
      <c r="U302" s="322">
        <v>44907</v>
      </c>
      <c r="V302" s="317" t="s">
        <v>7129</v>
      </c>
      <c r="W302" s="317">
        <v>2</v>
      </c>
      <c r="X302" s="317" t="s">
        <v>4999</v>
      </c>
      <c r="Y302" s="322">
        <v>44907</v>
      </c>
      <c r="Z302" s="312" t="s">
        <v>6825</v>
      </c>
      <c r="AA302" s="313">
        <v>44908</v>
      </c>
      <c r="AB302" s="313">
        <v>44908</v>
      </c>
      <c r="AC302" s="314" t="s">
        <v>4999</v>
      </c>
    </row>
    <row r="303" spans="1:29" ht="26.25" customHeight="1" thickBot="1" x14ac:dyDescent="0.3">
      <c r="A303" s="306" t="str">
        <f t="shared" si="15"/>
        <v>OK</v>
      </c>
      <c r="B303" s="307" t="str">
        <f t="shared" si="16"/>
        <v>OK</v>
      </c>
      <c r="C303" s="308" t="str">
        <f>IF(OR(ISBLANK(AA303),ISBLANK(AB303),ISBLANK(#REF!))=TRUE,"P","OK")</f>
        <v>OK</v>
      </c>
      <c r="D303" s="28">
        <v>0</v>
      </c>
      <c r="E303" s="49" t="s">
        <v>8046</v>
      </c>
      <c r="F303" s="49" t="s">
        <v>1345</v>
      </c>
      <c r="G303" s="49">
        <v>181825</v>
      </c>
      <c r="H303" s="49" t="s">
        <v>8047</v>
      </c>
      <c r="I303" s="49" t="s">
        <v>6820</v>
      </c>
      <c r="J303" s="49" t="s">
        <v>4998</v>
      </c>
      <c r="K303" s="49" t="s">
        <v>1406</v>
      </c>
      <c r="L303" s="49" t="s">
        <v>8048</v>
      </c>
      <c r="M303" s="49" t="s">
        <v>8032</v>
      </c>
      <c r="N303" s="316">
        <v>44876</v>
      </c>
      <c r="O303" s="316" t="s">
        <v>264</v>
      </c>
      <c r="P303" s="316">
        <v>44876</v>
      </c>
      <c r="Q303" s="316">
        <v>44876</v>
      </c>
      <c r="R303" s="316">
        <v>44876</v>
      </c>
      <c r="S303" s="317" t="s">
        <v>28</v>
      </c>
      <c r="T303" s="317" t="s">
        <v>28</v>
      </c>
      <c r="U303" s="322">
        <v>44875</v>
      </c>
      <c r="V303" s="317" t="s">
        <v>5149</v>
      </c>
      <c r="W303" s="317">
        <v>2</v>
      </c>
      <c r="X303" s="317" t="s">
        <v>4999</v>
      </c>
      <c r="Y303" s="322">
        <v>44879</v>
      </c>
      <c r="Z303" s="312" t="s">
        <v>6825</v>
      </c>
      <c r="AA303" s="313">
        <v>44881</v>
      </c>
      <c r="AB303" s="313">
        <v>44881</v>
      </c>
      <c r="AC303" s="314" t="s">
        <v>4999</v>
      </c>
    </row>
    <row r="304" spans="1:29" ht="13.7" customHeight="1" thickBot="1" x14ac:dyDescent="0.3">
      <c r="A304" s="306" t="str">
        <f t="shared" si="15"/>
        <v>P</v>
      </c>
      <c r="B304" s="307" t="str">
        <f t="shared" si="16"/>
        <v>P</v>
      </c>
      <c r="C304" s="308" t="str">
        <f>IF(OR(ISBLANK(AA304),ISBLANK(AB304),ISBLANK(#REF!))=TRUE,"P","OK")</f>
        <v>P</v>
      </c>
      <c r="D304" s="28">
        <v>0</v>
      </c>
      <c r="E304" s="49" t="s">
        <v>8049</v>
      </c>
      <c r="F304" s="49"/>
      <c r="G304" s="49">
        <v>18</v>
      </c>
      <c r="H304" s="49"/>
      <c r="I304" s="49"/>
      <c r="J304" s="49"/>
      <c r="K304" s="49"/>
      <c r="L304" s="49"/>
      <c r="M304" s="49"/>
      <c r="N304" s="316"/>
      <c r="O304" s="316"/>
      <c r="P304" s="316"/>
      <c r="Q304" s="316"/>
      <c r="R304" s="316"/>
      <c r="S304" s="317"/>
      <c r="T304" s="317"/>
      <c r="U304" s="317"/>
      <c r="V304" s="317"/>
      <c r="W304" s="317"/>
      <c r="X304" s="317"/>
      <c r="Y304" s="317"/>
      <c r="Z304" s="312"/>
      <c r="AA304" s="312"/>
      <c r="AB304" s="312"/>
      <c r="AC304" s="314"/>
    </row>
    <row r="305" spans="1:30 16384:16384" ht="26.25" customHeight="1" thickBot="1" x14ac:dyDescent="0.3">
      <c r="A305" s="306" t="str">
        <f t="shared" si="15"/>
        <v>OK</v>
      </c>
      <c r="B305" s="307" t="str">
        <f t="shared" si="16"/>
        <v>OK</v>
      </c>
      <c r="C305" s="308" t="str">
        <f>IF(OR(ISBLANK(AA305),ISBLANK(AB305),ISBLANK(#REF!))=TRUE,"P","OK")</f>
        <v>OK</v>
      </c>
      <c r="D305" s="28">
        <v>0</v>
      </c>
      <c r="E305" s="49" t="s">
        <v>8050</v>
      </c>
      <c r="F305" s="49" t="s">
        <v>4066</v>
      </c>
      <c r="G305" s="49">
        <v>182365</v>
      </c>
      <c r="H305" s="49" t="s">
        <v>8051</v>
      </c>
      <c r="I305" s="49" t="s">
        <v>6820</v>
      </c>
      <c r="J305" s="49" t="s">
        <v>4998</v>
      </c>
      <c r="K305" s="49" t="s">
        <v>8052</v>
      </c>
      <c r="L305" s="49" t="s">
        <v>8053</v>
      </c>
      <c r="M305" s="49" t="s">
        <v>8054</v>
      </c>
      <c r="N305" s="316">
        <v>44876</v>
      </c>
      <c r="O305" s="316" t="s">
        <v>264</v>
      </c>
      <c r="P305" s="316">
        <v>44876</v>
      </c>
      <c r="Q305" s="316">
        <v>44876</v>
      </c>
      <c r="R305" s="316">
        <v>44879</v>
      </c>
      <c r="S305" s="317" t="s">
        <v>28</v>
      </c>
      <c r="T305" s="317" t="s">
        <v>28</v>
      </c>
      <c r="U305" s="322">
        <v>44882</v>
      </c>
      <c r="V305" s="317">
        <v>3041110</v>
      </c>
      <c r="W305" s="317">
        <v>8</v>
      </c>
      <c r="X305" s="317" t="s">
        <v>4999</v>
      </c>
      <c r="Y305" s="322">
        <v>44887</v>
      </c>
      <c r="Z305" s="312" t="s">
        <v>6825</v>
      </c>
      <c r="AA305" s="313">
        <v>44888</v>
      </c>
      <c r="AB305" s="313">
        <v>44888</v>
      </c>
      <c r="AC305" s="314" t="s">
        <v>4999</v>
      </c>
    </row>
    <row r="306" spans="1:30 16384:16384" ht="13.7" customHeight="1" thickBot="1" x14ac:dyDescent="0.3">
      <c r="A306" s="306" t="str">
        <f t="shared" si="15"/>
        <v>OK</v>
      </c>
      <c r="B306" s="307" t="str">
        <f t="shared" si="16"/>
        <v>OK</v>
      </c>
      <c r="C306" s="308" t="str">
        <f>IF(OR(ISBLANK(AA306),ISBLANK(AB306),ISBLANK(#REF!))=TRUE,"P","OK")</f>
        <v>OK</v>
      </c>
      <c r="D306" s="28">
        <v>0</v>
      </c>
      <c r="E306" s="49" t="s">
        <v>8055</v>
      </c>
      <c r="F306" s="49" t="s">
        <v>7276</v>
      </c>
      <c r="G306" s="49">
        <v>182377</v>
      </c>
      <c r="H306" s="49" t="s">
        <v>8056</v>
      </c>
      <c r="I306" s="49" t="s">
        <v>6820</v>
      </c>
      <c r="J306" s="49" t="s">
        <v>4998</v>
      </c>
      <c r="K306" s="49" t="s">
        <v>2581</v>
      </c>
      <c r="L306" s="49" t="s">
        <v>8057</v>
      </c>
      <c r="M306" s="49" t="s">
        <v>1902</v>
      </c>
      <c r="N306" s="316">
        <v>44883</v>
      </c>
      <c r="O306" s="316" t="s">
        <v>264</v>
      </c>
      <c r="P306" s="316">
        <v>44883</v>
      </c>
      <c r="Q306" s="316">
        <v>44883</v>
      </c>
      <c r="R306" s="316">
        <v>44894</v>
      </c>
      <c r="S306" s="317" t="s">
        <v>28</v>
      </c>
      <c r="T306" s="317" t="s">
        <v>28</v>
      </c>
      <c r="U306" s="322">
        <v>44889</v>
      </c>
      <c r="V306" s="317" t="s">
        <v>235</v>
      </c>
      <c r="W306" s="317">
        <v>15</v>
      </c>
      <c r="X306" s="317" t="s">
        <v>4999</v>
      </c>
      <c r="Y306" s="322">
        <v>44897</v>
      </c>
      <c r="Z306" s="312" t="s">
        <v>6825</v>
      </c>
      <c r="AA306" s="313">
        <v>44901</v>
      </c>
      <c r="AB306" s="313">
        <v>44901</v>
      </c>
      <c r="AC306" s="314" t="s">
        <v>4999</v>
      </c>
    </row>
    <row r="307" spans="1:30 16384:16384" ht="13.7" customHeight="1" thickBot="1" x14ac:dyDescent="0.3">
      <c r="A307" s="306" t="str">
        <f t="shared" si="15"/>
        <v>OK</v>
      </c>
      <c r="B307" s="307" t="str">
        <f t="shared" si="16"/>
        <v>OK</v>
      </c>
      <c r="C307" s="308" t="str">
        <f>IF(OR(ISBLANK(AA307),ISBLANK(AB307),ISBLANK(#REF!))=TRUE,"P","OK")</f>
        <v>OK</v>
      </c>
      <c r="D307" s="28">
        <v>0</v>
      </c>
      <c r="E307" s="49" t="s">
        <v>8058</v>
      </c>
      <c r="F307" s="49" t="s">
        <v>7276</v>
      </c>
      <c r="G307" s="49">
        <v>182377</v>
      </c>
      <c r="H307" s="49" t="s">
        <v>8059</v>
      </c>
      <c r="I307" s="49" t="s">
        <v>6820</v>
      </c>
      <c r="J307" s="49" t="s">
        <v>4998</v>
      </c>
      <c r="K307" s="49" t="s">
        <v>2581</v>
      </c>
      <c r="L307" s="49" t="s">
        <v>8060</v>
      </c>
      <c r="M307" s="49" t="s">
        <v>1902</v>
      </c>
      <c r="N307" s="316">
        <v>44883</v>
      </c>
      <c r="O307" s="316" t="s">
        <v>264</v>
      </c>
      <c r="P307" s="316">
        <v>44883</v>
      </c>
      <c r="Q307" s="316">
        <v>44883</v>
      </c>
      <c r="R307" s="316">
        <v>44894</v>
      </c>
      <c r="S307" s="317" t="s">
        <v>28</v>
      </c>
      <c r="T307" s="317" t="s">
        <v>28</v>
      </c>
      <c r="U307" s="322">
        <v>44888</v>
      </c>
      <c r="V307" s="317" t="s">
        <v>8061</v>
      </c>
      <c r="W307" s="317">
        <v>3</v>
      </c>
      <c r="X307" s="317" t="s">
        <v>4999</v>
      </c>
      <c r="Y307" s="322">
        <v>44897</v>
      </c>
      <c r="Z307" s="312" t="s">
        <v>6825</v>
      </c>
      <c r="AA307" s="313">
        <v>44901</v>
      </c>
      <c r="AB307" s="313">
        <v>44901</v>
      </c>
      <c r="AC307" s="314" t="s">
        <v>4999</v>
      </c>
    </row>
    <row r="308" spans="1:30 16384:16384" ht="13.7" customHeight="1" thickBot="1" x14ac:dyDescent="0.3">
      <c r="A308" s="306" t="str">
        <f t="shared" si="15"/>
        <v>OK</v>
      </c>
      <c r="B308" s="307" t="str">
        <f t="shared" si="16"/>
        <v>OK</v>
      </c>
      <c r="C308" s="308" t="str">
        <f>IF(OR(ISBLANK(AA308),ISBLANK(AB308),ISBLANK(#REF!))=TRUE,"P","OK")</f>
        <v>OK</v>
      </c>
      <c r="D308" s="28">
        <v>0</v>
      </c>
      <c r="E308" s="49" t="s">
        <v>8062</v>
      </c>
      <c r="F308" s="49" t="s">
        <v>7276</v>
      </c>
      <c r="G308" s="49">
        <v>182377</v>
      </c>
      <c r="H308" s="49" t="s">
        <v>8063</v>
      </c>
      <c r="I308" s="49" t="s">
        <v>6820</v>
      </c>
      <c r="J308" s="49" t="s">
        <v>4998</v>
      </c>
      <c r="K308" s="49" t="s">
        <v>1909</v>
      </c>
      <c r="L308" s="49" t="s">
        <v>8064</v>
      </c>
      <c r="M308" s="49" t="s">
        <v>1902</v>
      </c>
      <c r="N308" s="316">
        <v>44883</v>
      </c>
      <c r="O308" s="316" t="s">
        <v>264</v>
      </c>
      <c r="P308" s="316">
        <v>44883</v>
      </c>
      <c r="Q308" s="316">
        <v>44883</v>
      </c>
      <c r="R308" s="316">
        <v>44894</v>
      </c>
      <c r="S308" s="317" t="s">
        <v>28</v>
      </c>
      <c r="T308" s="317" t="s">
        <v>28</v>
      </c>
      <c r="U308" s="322">
        <v>44888</v>
      </c>
      <c r="V308" s="317" t="s">
        <v>1911</v>
      </c>
      <c r="W308" s="317">
        <v>4</v>
      </c>
      <c r="X308" s="317" t="s">
        <v>4999</v>
      </c>
      <c r="Y308" s="322">
        <v>44901</v>
      </c>
      <c r="Z308" s="312" t="s">
        <v>6825</v>
      </c>
      <c r="AA308" s="313">
        <v>44901</v>
      </c>
      <c r="AB308" s="313">
        <v>44901</v>
      </c>
      <c r="AC308" s="314" t="s">
        <v>4999</v>
      </c>
    </row>
    <row r="309" spans="1:30 16384:16384" ht="13.7" customHeight="1" thickBot="1" x14ac:dyDescent="0.3">
      <c r="A309" s="306" t="str">
        <f t="shared" si="15"/>
        <v>OK</v>
      </c>
      <c r="B309" s="307" t="str">
        <f t="shared" si="16"/>
        <v>OK</v>
      </c>
      <c r="C309" s="308" t="str">
        <f>IF(OR(ISBLANK(AA309),ISBLANK(AB309),ISBLANK(#REF!))=TRUE,"P","OK")</f>
        <v>OK</v>
      </c>
      <c r="D309" s="28">
        <v>0</v>
      </c>
      <c r="E309" s="49" t="s">
        <v>8065</v>
      </c>
      <c r="F309" s="49" t="s">
        <v>7276</v>
      </c>
      <c r="G309" s="49">
        <v>182377</v>
      </c>
      <c r="H309" s="49" t="s">
        <v>8066</v>
      </c>
      <c r="I309" s="49" t="s">
        <v>6820</v>
      </c>
      <c r="J309" s="49" t="s">
        <v>4998</v>
      </c>
      <c r="K309" s="49" t="s">
        <v>6630</v>
      </c>
      <c r="L309" s="49" t="s">
        <v>8067</v>
      </c>
      <c r="M309" s="49" t="s">
        <v>1902</v>
      </c>
      <c r="N309" s="316">
        <v>44883</v>
      </c>
      <c r="O309" s="316" t="s">
        <v>264</v>
      </c>
      <c r="P309" s="316">
        <v>44883</v>
      </c>
      <c r="Q309" s="316">
        <v>44883</v>
      </c>
      <c r="R309" s="316">
        <v>44894</v>
      </c>
      <c r="S309" s="317" t="s">
        <v>28</v>
      </c>
      <c r="T309" s="317" t="s">
        <v>28</v>
      </c>
      <c r="U309" s="322">
        <v>44889</v>
      </c>
      <c r="V309" s="317" t="s">
        <v>6632</v>
      </c>
      <c r="W309" s="317">
        <v>8</v>
      </c>
      <c r="X309" s="317" t="s">
        <v>4999</v>
      </c>
      <c r="Y309" s="322">
        <v>44901</v>
      </c>
      <c r="Z309" s="312" t="s">
        <v>6825</v>
      </c>
      <c r="AA309" s="313">
        <v>44901</v>
      </c>
      <c r="AB309" s="313">
        <v>44901</v>
      </c>
      <c r="AC309" s="314" t="s">
        <v>4999</v>
      </c>
    </row>
    <row r="310" spans="1:30 16384:16384" ht="13.7" customHeight="1" thickBot="1" x14ac:dyDescent="0.3">
      <c r="A310" s="306" t="str">
        <f t="shared" si="15"/>
        <v>OK</v>
      </c>
      <c r="B310" s="307" t="str">
        <f t="shared" si="16"/>
        <v>OK</v>
      </c>
      <c r="C310" s="308" t="str">
        <f>IF(OR(ISBLANK(AA310),ISBLANK(AB310),ISBLANK(#REF!))=TRUE,"P","OK")</f>
        <v>OK</v>
      </c>
      <c r="D310" s="28">
        <v>0</v>
      </c>
      <c r="E310" s="49" t="s">
        <v>8068</v>
      </c>
      <c r="F310" s="49" t="s">
        <v>1345</v>
      </c>
      <c r="G310" s="49">
        <v>181825</v>
      </c>
      <c r="H310" s="49" t="s">
        <v>8069</v>
      </c>
      <c r="I310" s="49" t="s">
        <v>6820</v>
      </c>
      <c r="J310" s="49" t="s">
        <v>4998</v>
      </c>
      <c r="K310" s="49" t="s">
        <v>1540</v>
      </c>
      <c r="L310" s="49" t="s">
        <v>8070</v>
      </c>
      <c r="M310" s="49" t="s">
        <v>1379</v>
      </c>
      <c r="N310" s="316">
        <v>44883</v>
      </c>
      <c r="O310" s="316" t="s">
        <v>264</v>
      </c>
      <c r="P310" s="316">
        <v>44883</v>
      </c>
      <c r="Q310" s="316">
        <v>44883</v>
      </c>
      <c r="R310" s="316">
        <v>44883</v>
      </c>
      <c r="S310" s="317" t="s">
        <v>28</v>
      </c>
      <c r="T310" s="317" t="s">
        <v>28</v>
      </c>
      <c r="U310" s="322">
        <v>44883</v>
      </c>
      <c r="V310" s="317" t="s">
        <v>5103</v>
      </c>
      <c r="W310" s="317">
        <v>2</v>
      </c>
      <c r="X310" s="317" t="s">
        <v>4999</v>
      </c>
      <c r="Y310" s="322">
        <v>44886</v>
      </c>
      <c r="Z310" s="312" t="s">
        <v>6825</v>
      </c>
      <c r="AA310" s="313">
        <v>44886</v>
      </c>
      <c r="AB310" s="313">
        <v>44886</v>
      </c>
      <c r="AC310" s="314" t="s">
        <v>4999</v>
      </c>
    </row>
    <row r="311" spans="1:30 16384:16384" ht="26.25" customHeight="1" thickBot="1" x14ac:dyDescent="0.3">
      <c r="A311" s="306" t="str">
        <f t="shared" si="15"/>
        <v>OK</v>
      </c>
      <c r="B311" s="307" t="str">
        <f t="shared" si="16"/>
        <v>OK</v>
      </c>
      <c r="C311" s="308" t="str">
        <f>IF(OR(ISBLANK(AA311),ISBLANK(AB311),ISBLANK(#REF!))=TRUE,"P","OK")</f>
        <v>OK</v>
      </c>
      <c r="D311" s="28">
        <v>0</v>
      </c>
      <c r="E311" s="49" t="s">
        <v>8071</v>
      </c>
      <c r="F311" s="49" t="s">
        <v>5525</v>
      </c>
      <c r="G311" s="49">
        <v>182379</v>
      </c>
      <c r="H311" s="49" t="s">
        <v>8072</v>
      </c>
      <c r="I311" s="49" t="s">
        <v>6820</v>
      </c>
      <c r="J311" s="49" t="s">
        <v>4998</v>
      </c>
      <c r="K311" s="49" t="s">
        <v>5686</v>
      </c>
      <c r="L311" s="49" t="s">
        <v>5687</v>
      </c>
      <c r="M311" s="49" t="s">
        <v>5529</v>
      </c>
      <c r="N311" s="316">
        <v>44883</v>
      </c>
      <c r="O311" s="316" t="s">
        <v>264</v>
      </c>
      <c r="P311" s="316">
        <v>44883</v>
      </c>
      <c r="Q311" s="316">
        <v>44883</v>
      </c>
      <c r="R311" s="316">
        <v>44895</v>
      </c>
      <c r="S311" s="317" t="s">
        <v>28</v>
      </c>
      <c r="T311" s="317" t="s">
        <v>28</v>
      </c>
      <c r="U311" s="322">
        <v>44895</v>
      </c>
      <c r="V311" s="317" t="s">
        <v>5688</v>
      </c>
      <c r="W311" s="317">
        <v>2</v>
      </c>
      <c r="X311" s="317" t="s">
        <v>4999</v>
      </c>
      <c r="Y311" s="322">
        <v>44901</v>
      </c>
      <c r="Z311" s="312" t="s">
        <v>6825</v>
      </c>
      <c r="AA311" s="313">
        <v>44902</v>
      </c>
      <c r="AB311" s="313">
        <v>44902</v>
      </c>
      <c r="AC311" s="314" t="s">
        <v>4999</v>
      </c>
    </row>
    <row r="312" spans="1:30 16384:16384" ht="13.7" customHeight="1" thickBot="1" x14ac:dyDescent="0.3">
      <c r="A312" s="306" t="str">
        <f t="shared" si="15"/>
        <v>OK</v>
      </c>
      <c r="B312" s="307" t="str">
        <f t="shared" si="16"/>
        <v>OK</v>
      </c>
      <c r="C312" s="308" t="str">
        <f>IF(OR(ISBLANK(AA312),ISBLANK(AB312),ISBLANK(#REF!))=TRUE,"P","OK")</f>
        <v>OK</v>
      </c>
      <c r="D312" s="28">
        <v>0</v>
      </c>
      <c r="E312" s="49" t="s">
        <v>8073</v>
      </c>
      <c r="F312" s="49" t="s">
        <v>1345</v>
      </c>
      <c r="G312" s="49">
        <v>181825</v>
      </c>
      <c r="H312" s="49" t="s">
        <v>8074</v>
      </c>
      <c r="I312" s="49" t="s">
        <v>6820</v>
      </c>
      <c r="J312" s="49" t="s">
        <v>4998</v>
      </c>
      <c r="K312" s="49" t="s">
        <v>147</v>
      </c>
      <c r="L312" s="49" t="s">
        <v>8075</v>
      </c>
      <c r="M312" s="49" t="s">
        <v>2419</v>
      </c>
      <c r="N312" s="316">
        <v>44884</v>
      </c>
      <c r="O312" s="316" t="s">
        <v>264</v>
      </c>
      <c r="P312" s="316">
        <v>44884</v>
      </c>
      <c r="Q312" s="316">
        <v>44884</v>
      </c>
      <c r="R312" s="316">
        <v>44884</v>
      </c>
      <c r="S312" s="317" t="s">
        <v>28</v>
      </c>
      <c r="T312" s="317" t="s">
        <v>28</v>
      </c>
      <c r="U312" s="322">
        <v>44886</v>
      </c>
      <c r="V312" s="317" t="s">
        <v>1380</v>
      </c>
      <c r="W312" s="317">
        <v>1</v>
      </c>
      <c r="X312" s="317" t="s">
        <v>4999</v>
      </c>
      <c r="Y312" s="322">
        <v>44891</v>
      </c>
      <c r="Z312" s="312" t="s">
        <v>6825</v>
      </c>
      <c r="AA312" s="313">
        <v>44894</v>
      </c>
      <c r="AB312" s="313">
        <v>44893</v>
      </c>
      <c r="AC312" s="314" t="s">
        <v>4999</v>
      </c>
    </row>
    <row r="313" spans="1:30 16384:16384" ht="26.25" customHeight="1" thickBot="1" x14ac:dyDescent="0.3">
      <c r="A313" s="306" t="str">
        <f t="shared" si="15"/>
        <v>OK</v>
      </c>
      <c r="B313" s="307" t="str">
        <f t="shared" si="16"/>
        <v>OK</v>
      </c>
      <c r="C313" s="308" t="str">
        <f>IF(OR(ISBLANK(AA313),ISBLANK(AB313),ISBLANK(#REF!))=TRUE,"P","OK")</f>
        <v>OK</v>
      </c>
      <c r="D313" s="28">
        <v>0</v>
      </c>
      <c r="E313" s="49" t="s">
        <v>8076</v>
      </c>
      <c r="F313" s="49" t="s">
        <v>5472</v>
      </c>
      <c r="G313" s="49">
        <v>182382</v>
      </c>
      <c r="H313" s="49" t="s">
        <v>8077</v>
      </c>
      <c r="I313" s="49" t="s">
        <v>6820</v>
      </c>
      <c r="J313" s="49" t="s">
        <v>4998</v>
      </c>
      <c r="K313" s="49" t="s">
        <v>8078</v>
      </c>
      <c r="L313" s="49" t="s">
        <v>8079</v>
      </c>
      <c r="M313" s="49" t="s">
        <v>8080</v>
      </c>
      <c r="N313" s="316">
        <v>44883</v>
      </c>
      <c r="O313" s="316" t="s">
        <v>264</v>
      </c>
      <c r="P313" s="316">
        <v>44883</v>
      </c>
      <c r="Q313" s="316">
        <v>44886</v>
      </c>
      <c r="R313" s="316">
        <v>44887</v>
      </c>
      <c r="S313" s="317" t="s">
        <v>8081</v>
      </c>
      <c r="T313" s="317" t="s">
        <v>8081</v>
      </c>
      <c r="U313" s="322">
        <v>44888</v>
      </c>
      <c r="V313" s="317" t="s">
        <v>8082</v>
      </c>
      <c r="W313" s="317">
        <v>2</v>
      </c>
      <c r="X313" s="317" t="s">
        <v>4999</v>
      </c>
      <c r="Y313" s="322">
        <v>44889</v>
      </c>
      <c r="Z313" s="312" t="s">
        <v>6825</v>
      </c>
      <c r="AA313" s="313">
        <v>44890</v>
      </c>
      <c r="AB313" s="313">
        <v>44890</v>
      </c>
      <c r="AC313" s="314" t="s">
        <v>4999</v>
      </c>
    </row>
    <row r="314" spans="1:30 16384:16384" ht="25.5" x14ac:dyDescent="0.25">
      <c r="A314" s="306" t="str">
        <f t="shared" si="15"/>
        <v>OK</v>
      </c>
      <c r="B314" s="307" t="str">
        <f t="shared" si="16"/>
        <v>OK</v>
      </c>
      <c r="C314" s="308" t="str">
        <f>IF(OR(ISBLANK(AA314),ISBLANK(AB314),ISBLANK(#REF!))=TRUE,"P","OK")</f>
        <v>OK</v>
      </c>
      <c r="D314" s="28">
        <v>0</v>
      </c>
      <c r="E314" s="49" t="s">
        <v>8083</v>
      </c>
      <c r="F314" s="49" t="s">
        <v>1802</v>
      </c>
      <c r="G314" s="49">
        <v>182385</v>
      </c>
      <c r="H314" s="49" t="s">
        <v>8084</v>
      </c>
      <c r="I314" s="49" t="s">
        <v>6820</v>
      </c>
      <c r="J314" s="49" t="s">
        <v>4998</v>
      </c>
      <c r="K314" s="49" t="s">
        <v>2622</v>
      </c>
      <c r="L314" s="49" t="s">
        <v>8085</v>
      </c>
      <c r="M314" s="49" t="s">
        <v>1805</v>
      </c>
      <c r="N314" s="316">
        <v>44882</v>
      </c>
      <c r="O314" s="316" t="s">
        <v>264</v>
      </c>
      <c r="P314" s="316">
        <v>44882</v>
      </c>
      <c r="Q314" s="316">
        <v>44886</v>
      </c>
      <c r="R314" s="316">
        <v>44887</v>
      </c>
      <c r="S314" s="317" t="s">
        <v>28</v>
      </c>
      <c r="T314" s="317" t="s">
        <v>28</v>
      </c>
      <c r="U314" s="322">
        <v>44887</v>
      </c>
      <c r="V314" s="317" t="s">
        <v>1997</v>
      </c>
      <c r="W314" s="317">
        <v>4</v>
      </c>
      <c r="X314" s="317" t="s">
        <v>6898</v>
      </c>
      <c r="Y314" s="317" t="s">
        <v>6898</v>
      </c>
      <c r="Z314" s="312" t="s">
        <v>6898</v>
      </c>
      <c r="AA314" s="312" t="s">
        <v>6898</v>
      </c>
      <c r="AB314" s="312" t="s">
        <v>6898</v>
      </c>
      <c r="AC314" s="314" t="s">
        <v>6898</v>
      </c>
    </row>
    <row r="315" spans="1:30 16384:16384" ht="25.5" x14ac:dyDescent="0.25">
      <c r="A315" s="306" t="str">
        <f t="shared" si="15"/>
        <v>OK</v>
      </c>
      <c r="B315" s="307" t="str">
        <f t="shared" si="16"/>
        <v>OK</v>
      </c>
      <c r="C315" s="308" t="str">
        <f>IF(OR(ISBLANK(AA315),ISBLANK(AB315),ISBLANK(#REF!))=TRUE,"P","OK")</f>
        <v>OK</v>
      </c>
      <c r="D315" s="28">
        <v>0</v>
      </c>
      <c r="E315" s="49" t="s">
        <v>8086</v>
      </c>
      <c r="F315" s="49" t="s">
        <v>1802</v>
      </c>
      <c r="G315" s="49">
        <v>182385</v>
      </c>
      <c r="H315" s="49" t="s">
        <v>8087</v>
      </c>
      <c r="I315" s="49" t="s">
        <v>6820</v>
      </c>
      <c r="J315" s="49" t="s">
        <v>4998</v>
      </c>
      <c r="K315" s="49" t="s">
        <v>8088</v>
      </c>
      <c r="L315" s="49" t="s">
        <v>2497</v>
      </c>
      <c r="M315" s="49" t="s">
        <v>8089</v>
      </c>
      <c r="N315" s="316">
        <v>44882</v>
      </c>
      <c r="O315" s="316" t="s">
        <v>264</v>
      </c>
      <c r="P315" s="316">
        <v>44882</v>
      </c>
      <c r="Q315" s="316">
        <v>44886</v>
      </c>
      <c r="R315" s="316">
        <v>44887</v>
      </c>
      <c r="S315" s="317" t="s">
        <v>28</v>
      </c>
      <c r="T315" s="317" t="s">
        <v>28</v>
      </c>
      <c r="U315" s="322">
        <v>44887</v>
      </c>
      <c r="V315" s="317" t="s">
        <v>5983</v>
      </c>
      <c r="W315" s="317">
        <v>4</v>
      </c>
      <c r="X315" s="317" t="s">
        <v>6898</v>
      </c>
      <c r="Y315" s="317" t="s">
        <v>6898</v>
      </c>
      <c r="Z315" s="312" t="s">
        <v>6898</v>
      </c>
      <c r="AA315" s="312" t="s">
        <v>6898</v>
      </c>
      <c r="AB315" s="312" t="s">
        <v>6898</v>
      </c>
      <c r="AC315" s="314" t="s">
        <v>6898</v>
      </c>
    </row>
    <row r="316" spans="1:30 16384:16384" ht="26.25" customHeight="1" thickBot="1" x14ac:dyDescent="0.3">
      <c r="A316" s="306" t="str">
        <f t="shared" si="15"/>
        <v>OK</v>
      </c>
      <c r="B316" s="307" t="str">
        <f t="shared" si="16"/>
        <v>OK</v>
      </c>
      <c r="C316" s="308" t="str">
        <f>IF(OR(ISBLANK(AA316),ISBLANK(AB316),ISBLANK(#REF!))=TRUE,"P","OK")</f>
        <v>OK</v>
      </c>
      <c r="D316" s="28">
        <v>0</v>
      </c>
      <c r="E316" s="49" t="s">
        <v>8090</v>
      </c>
      <c r="F316" s="49" t="s">
        <v>1345</v>
      </c>
      <c r="G316" s="49">
        <v>181825</v>
      </c>
      <c r="H316" s="49" t="s">
        <v>8091</v>
      </c>
      <c r="I316" s="49" t="s">
        <v>6820</v>
      </c>
      <c r="J316" s="49" t="s">
        <v>4998</v>
      </c>
      <c r="K316" s="49" t="s">
        <v>1406</v>
      </c>
      <c r="L316" s="49" t="s">
        <v>8092</v>
      </c>
      <c r="M316" s="49" t="s">
        <v>5083</v>
      </c>
      <c r="N316" s="316">
        <v>44887</v>
      </c>
      <c r="O316" s="316" t="s">
        <v>264</v>
      </c>
      <c r="P316" s="316">
        <v>44887</v>
      </c>
      <c r="Q316" s="316">
        <v>44887</v>
      </c>
      <c r="R316" s="316">
        <v>44887</v>
      </c>
      <c r="S316" s="317" t="s">
        <v>28</v>
      </c>
      <c r="T316" s="317" t="s">
        <v>28</v>
      </c>
      <c r="U316" s="322">
        <v>44888</v>
      </c>
      <c r="V316" s="317" t="s">
        <v>5084</v>
      </c>
      <c r="W316" s="317">
        <v>1</v>
      </c>
      <c r="X316" s="317" t="s">
        <v>4999</v>
      </c>
      <c r="Y316" s="322">
        <v>44888</v>
      </c>
      <c r="Z316" s="312" t="s">
        <v>6825</v>
      </c>
      <c r="AA316" s="313">
        <v>44888</v>
      </c>
      <c r="AB316" s="313">
        <v>44888</v>
      </c>
      <c r="AC316" s="314" t="s">
        <v>4999</v>
      </c>
      <c r="AD316" s="380"/>
    </row>
    <row r="317" spans="1:30 16384:16384" ht="13.7" customHeight="1" thickBot="1" x14ac:dyDescent="0.3">
      <c r="A317" s="306" t="str">
        <f t="shared" si="15"/>
        <v>OK</v>
      </c>
      <c r="B317" s="307" t="str">
        <f t="shared" si="16"/>
        <v>OK</v>
      </c>
      <c r="C317" s="308" t="str">
        <f>IF(OR(ISBLANK(AA317),ISBLANK(AB317),ISBLANK(#REF!))=TRUE,"P","OK")</f>
        <v>OK</v>
      </c>
      <c r="D317" s="28">
        <v>0</v>
      </c>
      <c r="E317" s="49" t="s">
        <v>8093</v>
      </c>
      <c r="F317" s="49" t="s">
        <v>1345</v>
      </c>
      <c r="G317" s="49">
        <v>181825</v>
      </c>
      <c r="H317" s="49" t="s">
        <v>8094</v>
      </c>
      <c r="I317" s="49" t="s">
        <v>6820</v>
      </c>
      <c r="J317" s="49" t="s">
        <v>4998</v>
      </c>
      <c r="K317" s="49" t="s">
        <v>1406</v>
      </c>
      <c r="L317" s="49" t="s">
        <v>5137</v>
      </c>
      <c r="M317" s="49" t="s">
        <v>1379</v>
      </c>
      <c r="N317" s="316">
        <v>44887</v>
      </c>
      <c r="O317" s="316" t="s">
        <v>264</v>
      </c>
      <c r="P317" s="316">
        <v>44887</v>
      </c>
      <c r="Q317" s="316">
        <v>44887</v>
      </c>
      <c r="R317" s="316">
        <v>44887</v>
      </c>
      <c r="S317" s="317" t="s">
        <v>28</v>
      </c>
      <c r="T317" s="317" t="s">
        <v>28</v>
      </c>
      <c r="U317" s="322">
        <v>44888</v>
      </c>
      <c r="V317" s="317" t="s">
        <v>1380</v>
      </c>
      <c r="W317" s="317">
        <v>8</v>
      </c>
      <c r="X317" s="317" t="s">
        <v>4999</v>
      </c>
      <c r="Y317" s="322">
        <v>44888</v>
      </c>
      <c r="Z317" s="312" t="s">
        <v>6825</v>
      </c>
      <c r="AA317" s="313">
        <v>44888</v>
      </c>
      <c r="AB317" s="313">
        <v>44888</v>
      </c>
      <c r="AC317" s="314" t="s">
        <v>4999</v>
      </c>
      <c r="AD317" s="380"/>
    </row>
    <row r="318" spans="1:30 16384:16384" ht="26.25" customHeight="1" thickBot="1" x14ac:dyDescent="0.3">
      <c r="A318" s="306" t="str">
        <f t="shared" si="15"/>
        <v>OK</v>
      </c>
      <c r="B318" s="307" t="str">
        <f t="shared" si="16"/>
        <v>OK</v>
      </c>
      <c r="C318" s="308" t="str">
        <f>IF(OR(ISBLANK(AA318),ISBLANK(AB318),ISBLANK(#REF!))=TRUE,"P","OK")</f>
        <v>OK</v>
      </c>
      <c r="D318" s="28">
        <v>0</v>
      </c>
      <c r="E318" s="49" t="s">
        <v>8095</v>
      </c>
      <c r="F318" s="49" t="s">
        <v>5652</v>
      </c>
      <c r="G318" s="49">
        <v>182391</v>
      </c>
      <c r="H318" s="49" t="s">
        <v>8096</v>
      </c>
      <c r="I318" s="49" t="s">
        <v>6820</v>
      </c>
      <c r="J318" s="49" t="s">
        <v>4998</v>
      </c>
      <c r="K318" s="49" t="s">
        <v>8097</v>
      </c>
      <c r="L318" s="49" t="s">
        <v>8098</v>
      </c>
      <c r="M318" s="49" t="s">
        <v>127</v>
      </c>
      <c r="N318" s="316">
        <v>44887</v>
      </c>
      <c r="O318" s="316" t="s">
        <v>264</v>
      </c>
      <c r="P318" s="316">
        <v>44887</v>
      </c>
      <c r="Q318" s="316">
        <v>44888</v>
      </c>
      <c r="R318" s="316">
        <v>44888</v>
      </c>
      <c r="S318" s="317" t="s">
        <v>7026</v>
      </c>
      <c r="T318" s="317" t="s">
        <v>7026</v>
      </c>
      <c r="U318" s="322">
        <v>44903</v>
      </c>
      <c r="V318" s="317" t="s">
        <v>5995</v>
      </c>
      <c r="W318" s="317">
        <v>6</v>
      </c>
      <c r="X318" s="317" t="s">
        <v>4999</v>
      </c>
      <c r="Y318" s="322">
        <v>44903</v>
      </c>
      <c r="Z318" s="312" t="s">
        <v>6825</v>
      </c>
      <c r="AA318" s="313">
        <v>44903</v>
      </c>
      <c r="AB318" s="313">
        <v>44903</v>
      </c>
      <c r="AC318" s="314" t="s">
        <v>4999</v>
      </c>
      <c r="AD318" s="380"/>
    </row>
    <row r="319" spans="1:30 16384:16384" ht="13.7" customHeight="1" thickBot="1" x14ac:dyDescent="0.3">
      <c r="A319" s="306" t="str">
        <f t="shared" si="15"/>
        <v>P</v>
      </c>
      <c r="B319" s="307" t="str">
        <f t="shared" si="16"/>
        <v>P</v>
      </c>
      <c r="C319" s="308" t="str">
        <f>IF(OR(ISBLANK(AA319),ISBLANK(AB319),ISBLANK(#REF!))=TRUE,"P","OK")</f>
        <v>P</v>
      </c>
      <c r="D319" s="28">
        <v>0</v>
      </c>
      <c r="E319" s="49" t="s">
        <v>8099</v>
      </c>
      <c r="F319" s="49"/>
      <c r="G319" s="49"/>
      <c r="H319" s="49"/>
      <c r="I319" s="49"/>
      <c r="J319" s="49"/>
      <c r="K319" s="49"/>
      <c r="L319" s="49"/>
      <c r="M319" s="49"/>
      <c r="N319" s="316"/>
      <c r="O319" s="316"/>
      <c r="P319" s="316"/>
      <c r="Q319" s="316"/>
      <c r="R319" s="316"/>
      <c r="S319" s="317"/>
      <c r="T319" s="317"/>
      <c r="U319" s="322"/>
      <c r="V319" s="317"/>
      <c r="W319" s="317"/>
      <c r="X319" s="317"/>
      <c r="Y319" s="322"/>
      <c r="Z319" s="312"/>
      <c r="AA319" s="313"/>
      <c r="AB319" s="313"/>
      <c r="AC319" s="314"/>
      <c r="AD319" s="380"/>
    </row>
    <row r="320" spans="1:30 16384:16384" ht="25.5" x14ac:dyDescent="0.25">
      <c r="A320" s="306" t="str">
        <f t="shared" si="15"/>
        <v>OK</v>
      </c>
      <c r="B320" s="307" t="str">
        <f t="shared" si="16"/>
        <v>OK</v>
      </c>
      <c r="C320" s="308" t="str">
        <f>IF(OR(ISBLANK(AA320),ISBLANK(AB320),ISBLANK(#REF!))=TRUE,"P","OK")</f>
        <v>OK</v>
      </c>
      <c r="D320" s="28">
        <v>0</v>
      </c>
      <c r="E320" s="49" t="s">
        <v>8100</v>
      </c>
      <c r="F320" s="49" t="s">
        <v>1854</v>
      </c>
      <c r="G320" s="49">
        <v>182314</v>
      </c>
      <c r="H320" s="49" t="s">
        <v>8101</v>
      </c>
      <c r="I320" s="49" t="s">
        <v>6820</v>
      </c>
      <c r="J320" s="49" t="s">
        <v>4998</v>
      </c>
      <c r="K320" s="49" t="s">
        <v>1147</v>
      </c>
      <c r="L320" s="49" t="s">
        <v>5723</v>
      </c>
      <c r="M320" s="49" t="s">
        <v>1869</v>
      </c>
      <c r="N320" s="316">
        <v>44860</v>
      </c>
      <c r="O320" s="316" t="s">
        <v>264</v>
      </c>
      <c r="P320" s="316">
        <v>44860</v>
      </c>
      <c r="Q320" s="316">
        <v>44860</v>
      </c>
      <c r="R320" s="316">
        <v>44888</v>
      </c>
      <c r="S320" s="317" t="s">
        <v>28</v>
      </c>
      <c r="T320" s="317" t="s">
        <v>28</v>
      </c>
      <c r="U320" s="322">
        <v>44893</v>
      </c>
      <c r="V320" s="317" t="s">
        <v>5724</v>
      </c>
      <c r="W320" s="317">
        <v>16</v>
      </c>
      <c r="X320" s="317" t="s">
        <v>4999</v>
      </c>
      <c r="Y320" s="322">
        <v>44951</v>
      </c>
      <c r="Z320" s="312" t="s">
        <v>264</v>
      </c>
      <c r="AA320" s="313">
        <v>45255</v>
      </c>
      <c r="AB320" s="313">
        <v>44951</v>
      </c>
      <c r="AC320" s="314" t="s">
        <v>4999</v>
      </c>
      <c r="AD320" s="381"/>
      <c r="XFD320" s="382"/>
    </row>
    <row r="321" spans="1:30" ht="13.7" customHeight="1" thickBot="1" x14ac:dyDescent="0.3">
      <c r="A321" s="306" t="str">
        <f t="shared" si="15"/>
        <v>OK</v>
      </c>
      <c r="B321" s="307" t="str">
        <f t="shared" si="16"/>
        <v>OK</v>
      </c>
      <c r="C321" s="308" t="str">
        <f>IF(OR(ISBLANK(AA321),ISBLANK(AB321),ISBLANK(#REF!))=TRUE,"P","OK")</f>
        <v>OK</v>
      </c>
      <c r="D321" s="28">
        <v>0</v>
      </c>
      <c r="E321" s="49" t="s">
        <v>8102</v>
      </c>
      <c r="F321" s="49" t="s">
        <v>2470</v>
      </c>
      <c r="G321" s="49">
        <v>182380</v>
      </c>
      <c r="H321" s="49" t="s">
        <v>8103</v>
      </c>
      <c r="I321" s="49" t="s">
        <v>6820</v>
      </c>
      <c r="J321" s="49" t="s">
        <v>4998</v>
      </c>
      <c r="K321" s="49" t="s">
        <v>6706</v>
      </c>
      <c r="L321" s="49">
        <v>200501</v>
      </c>
      <c r="M321" s="49" t="s">
        <v>3965</v>
      </c>
      <c r="N321" s="316">
        <v>44883</v>
      </c>
      <c r="O321" s="316" t="s">
        <v>264</v>
      </c>
      <c r="P321" s="316">
        <v>44883</v>
      </c>
      <c r="Q321" s="316">
        <v>44886</v>
      </c>
      <c r="R321" s="316">
        <v>44887</v>
      </c>
      <c r="S321" s="317" t="s">
        <v>28</v>
      </c>
      <c r="T321" s="317" t="s">
        <v>28</v>
      </c>
      <c r="U321" s="322">
        <v>44889</v>
      </c>
      <c r="V321" s="317" t="s">
        <v>8104</v>
      </c>
      <c r="W321" s="317">
        <v>20</v>
      </c>
      <c r="X321" s="317" t="s">
        <v>4999</v>
      </c>
      <c r="Y321" s="322">
        <v>44890</v>
      </c>
      <c r="Z321" s="312" t="s">
        <v>264</v>
      </c>
      <c r="AA321" s="313">
        <v>44894</v>
      </c>
      <c r="AB321" s="313">
        <v>44894</v>
      </c>
      <c r="AC321" s="314" t="s">
        <v>4999</v>
      </c>
      <c r="AD321" s="380"/>
    </row>
    <row r="322" spans="1:30" ht="13.7" customHeight="1" thickBot="1" x14ac:dyDescent="0.3">
      <c r="A322" s="306" t="str">
        <f t="shared" si="15"/>
        <v>P</v>
      </c>
      <c r="B322" s="307" t="str">
        <f t="shared" si="16"/>
        <v>P</v>
      </c>
      <c r="C322" s="308" t="str">
        <f>IF(OR(ISBLANK(AA322),ISBLANK(AB322),ISBLANK(#REF!))=TRUE,"P","OK")</f>
        <v>P</v>
      </c>
      <c r="D322" s="28">
        <v>0</v>
      </c>
      <c r="E322" s="49" t="s">
        <v>8105</v>
      </c>
      <c r="F322" s="49" t="s">
        <v>5921</v>
      </c>
      <c r="G322" s="49"/>
      <c r="H322" s="49"/>
      <c r="I322" s="49" t="s">
        <v>6820</v>
      </c>
      <c r="J322" s="49" t="s">
        <v>4998</v>
      </c>
      <c r="K322" s="49" t="s">
        <v>147</v>
      </c>
      <c r="L322" s="49" t="s">
        <v>8106</v>
      </c>
      <c r="M322" s="49"/>
      <c r="N322" s="316"/>
      <c r="O322" s="316"/>
      <c r="P322" s="316"/>
      <c r="Q322" s="316"/>
      <c r="R322" s="316"/>
      <c r="S322" s="317"/>
      <c r="T322" s="317"/>
      <c r="U322" s="317"/>
      <c r="V322" s="317"/>
      <c r="W322" s="317"/>
      <c r="X322" s="317"/>
      <c r="Y322" s="317"/>
      <c r="Z322" s="312"/>
      <c r="AA322" s="312"/>
      <c r="AB322" s="312"/>
      <c r="AC322" s="314"/>
      <c r="AD322" s="380"/>
    </row>
    <row r="323" spans="1:30" ht="13.7" customHeight="1" thickBot="1" x14ac:dyDescent="0.3">
      <c r="A323" s="306" t="str">
        <f t="shared" si="15"/>
        <v>P</v>
      </c>
      <c r="B323" s="307" t="str">
        <f t="shared" si="16"/>
        <v>P</v>
      </c>
      <c r="C323" s="308" t="str">
        <f>IF(OR(ISBLANK(AA323),ISBLANK(AB323),ISBLANK(#REF!))=TRUE,"P","OK")</f>
        <v>P</v>
      </c>
      <c r="D323" s="28">
        <v>0</v>
      </c>
      <c r="E323" s="49" t="s">
        <v>8107</v>
      </c>
      <c r="F323" s="49" t="s">
        <v>5921</v>
      </c>
      <c r="G323" s="49"/>
      <c r="H323" s="49"/>
      <c r="I323" s="49" t="s">
        <v>6820</v>
      </c>
      <c r="J323" s="49" t="s">
        <v>4998</v>
      </c>
      <c r="K323" s="49" t="s">
        <v>3818</v>
      </c>
      <c r="L323" s="49" t="s">
        <v>8108</v>
      </c>
      <c r="M323" s="49"/>
      <c r="N323" s="316"/>
      <c r="O323" s="316"/>
      <c r="P323" s="316"/>
      <c r="Q323" s="316"/>
      <c r="R323" s="316"/>
      <c r="S323" s="317"/>
      <c r="T323" s="317"/>
      <c r="U323" s="317"/>
      <c r="V323" s="317"/>
      <c r="W323" s="317"/>
      <c r="X323" s="317"/>
      <c r="Y323" s="317"/>
      <c r="Z323" s="312"/>
      <c r="AA323" s="312"/>
      <c r="AB323" s="312"/>
      <c r="AC323" s="314"/>
      <c r="AD323" s="380"/>
    </row>
    <row r="324" spans="1:30" ht="13.7" customHeight="1" thickBot="1" x14ac:dyDescent="0.3">
      <c r="A324" s="306" t="str">
        <f t="shared" si="15"/>
        <v>P</v>
      </c>
      <c r="B324" s="307" t="str">
        <f t="shared" si="16"/>
        <v>P</v>
      </c>
      <c r="C324" s="308" t="str">
        <f>IF(OR(ISBLANK(AA324),ISBLANK(AB324),ISBLANK(#REF!))=TRUE,"P","OK")</f>
        <v>P</v>
      </c>
      <c r="D324" s="28">
        <v>0</v>
      </c>
      <c r="E324" s="49" t="s">
        <v>8109</v>
      </c>
      <c r="F324" s="49" t="s">
        <v>5921</v>
      </c>
      <c r="G324" s="49"/>
      <c r="H324" s="49"/>
      <c r="I324" s="49" t="s">
        <v>6820</v>
      </c>
      <c r="J324" s="49" t="s">
        <v>4998</v>
      </c>
      <c r="K324" s="49" t="s">
        <v>8110</v>
      </c>
      <c r="L324" s="49" t="s">
        <v>8111</v>
      </c>
      <c r="M324" s="49"/>
      <c r="N324" s="316"/>
      <c r="O324" s="316"/>
      <c r="P324" s="316"/>
      <c r="Q324" s="316"/>
      <c r="R324" s="316"/>
      <c r="S324" s="317"/>
      <c r="T324" s="317"/>
      <c r="U324" s="317"/>
      <c r="V324" s="317"/>
      <c r="W324" s="317"/>
      <c r="X324" s="317"/>
      <c r="Y324" s="317"/>
      <c r="Z324" s="312"/>
      <c r="AA324" s="312"/>
      <c r="AB324" s="312"/>
      <c r="AC324" s="314"/>
      <c r="AD324" s="380"/>
    </row>
    <row r="325" spans="1:30" ht="26.25" customHeight="1" thickBot="1" x14ac:dyDescent="0.3">
      <c r="A325" s="306" t="str">
        <f t="shared" si="15"/>
        <v>OK</v>
      </c>
      <c r="B325" s="307" t="str">
        <f t="shared" si="16"/>
        <v>OK</v>
      </c>
      <c r="C325" s="308" t="str">
        <f>IF(OR(ISBLANK(AA325),ISBLANK(AB325),ISBLANK(#REF!))=TRUE,"P","OK")</f>
        <v>OK</v>
      </c>
      <c r="D325" s="28">
        <v>0</v>
      </c>
      <c r="E325" s="49" t="s">
        <v>8112</v>
      </c>
      <c r="F325" s="49" t="s">
        <v>8113</v>
      </c>
      <c r="G325" s="49">
        <v>182368</v>
      </c>
      <c r="H325" s="49" t="s">
        <v>8114</v>
      </c>
      <c r="I325" s="49" t="s">
        <v>6820</v>
      </c>
      <c r="J325" s="49" t="s">
        <v>4998</v>
      </c>
      <c r="K325" s="49" t="s">
        <v>8115</v>
      </c>
      <c r="L325" s="49" t="s">
        <v>8116</v>
      </c>
      <c r="M325" s="49" t="s">
        <v>6569</v>
      </c>
      <c r="N325" s="316">
        <v>44879</v>
      </c>
      <c r="O325" s="316" t="s">
        <v>264</v>
      </c>
      <c r="P325" s="316">
        <v>44879</v>
      </c>
      <c r="Q325" s="316">
        <v>44882</v>
      </c>
      <c r="R325" s="316">
        <v>44889</v>
      </c>
      <c r="S325" s="317" t="s">
        <v>28</v>
      </c>
      <c r="T325" s="317" t="s">
        <v>28</v>
      </c>
      <c r="U325" s="322">
        <v>44895</v>
      </c>
      <c r="V325" s="317" t="s">
        <v>274</v>
      </c>
      <c r="W325" s="317">
        <v>16</v>
      </c>
      <c r="X325" s="317" t="s">
        <v>4999</v>
      </c>
      <c r="Y325" s="322">
        <v>44909</v>
      </c>
      <c r="Z325" s="312" t="s">
        <v>264</v>
      </c>
      <c r="AA325" s="313">
        <v>44910</v>
      </c>
      <c r="AB325" s="313">
        <v>44910</v>
      </c>
      <c r="AC325" s="314" t="s">
        <v>4999</v>
      </c>
      <c r="AD325" s="380"/>
    </row>
    <row r="326" spans="1:30" ht="39" customHeight="1" thickBot="1" x14ac:dyDescent="0.3">
      <c r="A326" s="306" t="str">
        <f t="shared" si="15"/>
        <v>OK</v>
      </c>
      <c r="B326" s="307" t="str">
        <f t="shared" si="16"/>
        <v>P</v>
      </c>
      <c r="C326" s="308" t="str">
        <f>IF(OR(ISBLANK(AA326),ISBLANK(AB326),ISBLANK(#REF!))=TRUE,"P","OK")</f>
        <v>P</v>
      </c>
      <c r="D326" s="28">
        <v>0</v>
      </c>
      <c r="E326" s="49" t="s">
        <v>8117</v>
      </c>
      <c r="F326" s="1" t="s">
        <v>7568</v>
      </c>
      <c r="G326" s="49">
        <v>182403</v>
      </c>
      <c r="H326" s="49" t="s">
        <v>5862</v>
      </c>
      <c r="I326" s="49" t="s">
        <v>6820</v>
      </c>
      <c r="J326" s="49" t="s">
        <v>4998</v>
      </c>
      <c r="K326" s="49" t="s">
        <v>1793</v>
      </c>
      <c r="L326" s="49" t="s">
        <v>1794</v>
      </c>
      <c r="M326" s="49" t="s">
        <v>504</v>
      </c>
      <c r="N326" s="316">
        <v>44890</v>
      </c>
      <c r="O326" s="316" t="s">
        <v>264</v>
      </c>
      <c r="P326" s="316">
        <v>44890</v>
      </c>
      <c r="Q326" s="316">
        <v>44890</v>
      </c>
      <c r="R326" s="316">
        <v>44893</v>
      </c>
      <c r="S326" s="317" t="s">
        <v>28</v>
      </c>
      <c r="T326" s="317" t="s">
        <v>28</v>
      </c>
      <c r="U326" s="317"/>
      <c r="V326" s="317"/>
      <c r="W326" s="317"/>
      <c r="X326" s="317"/>
      <c r="Y326" s="317"/>
      <c r="Z326" s="312"/>
      <c r="AA326" s="312"/>
      <c r="AB326" s="312"/>
      <c r="AC326" s="314"/>
      <c r="AD326" s="380"/>
    </row>
    <row r="327" spans="1:30" ht="13.7" customHeight="1" thickBot="1" x14ac:dyDescent="0.3">
      <c r="A327" s="306" t="str">
        <f t="shared" si="15"/>
        <v>OK</v>
      </c>
      <c r="B327" s="307" t="str">
        <f t="shared" si="16"/>
        <v>OK</v>
      </c>
      <c r="C327" s="308" t="str">
        <f>IF(OR(ISBLANK(AA327),ISBLANK(AB327),ISBLANK(#REF!))=TRUE,"P","OK")</f>
        <v>OK</v>
      </c>
      <c r="D327" s="28">
        <v>0</v>
      </c>
      <c r="E327" s="49" t="s">
        <v>8118</v>
      </c>
      <c r="F327" s="49" t="s">
        <v>1680</v>
      </c>
      <c r="G327" s="49">
        <v>181202</v>
      </c>
      <c r="H327" s="49" t="s">
        <v>8119</v>
      </c>
      <c r="I327" s="49" t="s">
        <v>6820</v>
      </c>
      <c r="J327" s="49" t="s">
        <v>4998</v>
      </c>
      <c r="K327" s="49" t="s">
        <v>5532</v>
      </c>
      <c r="L327" s="49" t="s">
        <v>8120</v>
      </c>
      <c r="M327" s="49" t="s">
        <v>5534</v>
      </c>
      <c r="N327" s="316">
        <v>44888</v>
      </c>
      <c r="O327" s="316" t="s">
        <v>264</v>
      </c>
      <c r="P327" s="316">
        <v>44888</v>
      </c>
      <c r="Q327" s="316">
        <v>44363</v>
      </c>
      <c r="R327" s="316">
        <v>44888</v>
      </c>
      <c r="S327" s="317" t="s">
        <v>28</v>
      </c>
      <c r="T327" s="317" t="s">
        <v>28</v>
      </c>
      <c r="U327" s="322">
        <v>44893</v>
      </c>
      <c r="V327" s="317" t="s">
        <v>5535</v>
      </c>
      <c r="W327" s="317">
        <v>1</v>
      </c>
      <c r="X327" s="317" t="s">
        <v>4999</v>
      </c>
      <c r="Y327" s="322">
        <v>44894</v>
      </c>
      <c r="Z327" s="312" t="s">
        <v>264</v>
      </c>
      <c r="AA327" s="313">
        <v>44895</v>
      </c>
      <c r="AB327" s="313">
        <v>44895</v>
      </c>
      <c r="AC327" s="314" t="s">
        <v>4999</v>
      </c>
      <c r="AD327" s="380"/>
    </row>
    <row r="328" spans="1:30" ht="26.25" customHeight="1" thickBot="1" x14ac:dyDescent="0.3">
      <c r="A328" s="306" t="str">
        <f t="shared" ref="A328:A390" si="17">IF(OR(ISBLANK(D328),ISBLANK(E328),ISBLANK(F328),ISBLANK(G328),ISBLANK(H328),ISBLANK(I328),ISBLANK(J328),ISBLANK(K328),ISBLANK(L328),ISBLANK(M328),ISBLANK(N328),ISBLANK(O328),ISBLANK(P328),ISBLANK(Q328),ISBLANK(R328))=TRUE,"P","OK")</f>
        <v>OK</v>
      </c>
      <c r="B328" s="307" t="str">
        <f t="shared" si="16"/>
        <v>OK</v>
      </c>
      <c r="C328" s="308" t="str">
        <f>IF(OR(ISBLANK(AA328),ISBLANK(AB328),ISBLANK(#REF!))=TRUE,"P","OK")</f>
        <v>OK</v>
      </c>
      <c r="D328" s="28">
        <v>0</v>
      </c>
      <c r="E328" s="49" t="s">
        <v>8121</v>
      </c>
      <c r="F328" s="49" t="s">
        <v>5466</v>
      </c>
      <c r="G328" s="49">
        <v>182370</v>
      </c>
      <c r="H328" s="49" t="s">
        <v>8122</v>
      </c>
      <c r="I328" s="49" t="s">
        <v>6820</v>
      </c>
      <c r="J328" s="49" t="s">
        <v>4998</v>
      </c>
      <c r="K328" s="49" t="s">
        <v>2047</v>
      </c>
      <c r="L328" s="49" t="s">
        <v>8123</v>
      </c>
      <c r="M328" s="49" t="s">
        <v>3744</v>
      </c>
      <c r="N328" s="316">
        <v>44881</v>
      </c>
      <c r="O328" s="316" t="s">
        <v>264</v>
      </c>
      <c r="P328" s="316">
        <v>44881</v>
      </c>
      <c r="Q328" s="316">
        <v>44881</v>
      </c>
      <c r="R328" s="316">
        <v>44882</v>
      </c>
      <c r="S328" s="317" t="s">
        <v>28</v>
      </c>
      <c r="T328" s="317" t="s">
        <v>28</v>
      </c>
      <c r="U328" s="322">
        <v>44888</v>
      </c>
      <c r="V328" s="317" t="s">
        <v>8124</v>
      </c>
      <c r="W328" s="317">
        <v>1</v>
      </c>
      <c r="X328" s="317" t="s">
        <v>4999</v>
      </c>
      <c r="Y328" s="322">
        <v>44894</v>
      </c>
      <c r="Z328" s="312" t="s">
        <v>6825</v>
      </c>
      <c r="AA328" s="313">
        <v>44895</v>
      </c>
      <c r="AB328" s="313">
        <v>44895</v>
      </c>
      <c r="AC328" s="314" t="s">
        <v>4999</v>
      </c>
      <c r="AD328" s="380"/>
    </row>
    <row r="329" spans="1:30" ht="26.25" customHeight="1" thickBot="1" x14ac:dyDescent="0.3">
      <c r="A329" s="306" t="str">
        <f t="shared" si="17"/>
        <v>OK</v>
      </c>
      <c r="B329" s="307" t="str">
        <f t="shared" si="16"/>
        <v>OK</v>
      </c>
      <c r="C329" s="308" t="str">
        <f>IF(OR(ISBLANK(AA329),ISBLANK(AB329),ISBLANK(#REF!))=TRUE,"P","OK")</f>
        <v>OK</v>
      </c>
      <c r="D329" s="28">
        <v>0</v>
      </c>
      <c r="E329" s="49" t="s">
        <v>8125</v>
      </c>
      <c r="F329" s="49" t="s">
        <v>5466</v>
      </c>
      <c r="G329" s="49">
        <v>182370</v>
      </c>
      <c r="H329" s="49" t="s">
        <v>8126</v>
      </c>
      <c r="I329" s="49" t="s">
        <v>6820</v>
      </c>
      <c r="J329" s="49" t="s">
        <v>4998</v>
      </c>
      <c r="K329" s="49" t="s">
        <v>8127</v>
      </c>
      <c r="L329" s="49" t="s">
        <v>8128</v>
      </c>
      <c r="M329" s="49" t="s">
        <v>3744</v>
      </c>
      <c r="N329" s="316">
        <v>44881</v>
      </c>
      <c r="O329" s="316" t="s">
        <v>264</v>
      </c>
      <c r="P329" s="316">
        <v>44881</v>
      </c>
      <c r="Q329" s="316">
        <v>44881</v>
      </c>
      <c r="R329" s="316">
        <v>44882</v>
      </c>
      <c r="S329" s="317" t="s">
        <v>28</v>
      </c>
      <c r="T329" s="317" t="s">
        <v>28</v>
      </c>
      <c r="U329" s="322">
        <v>44888</v>
      </c>
      <c r="V329" s="317" t="s">
        <v>7347</v>
      </c>
      <c r="W329" s="317">
        <v>4</v>
      </c>
      <c r="X329" s="317" t="s">
        <v>4999</v>
      </c>
      <c r="Y329" s="322">
        <v>44894</v>
      </c>
      <c r="Z329" s="312" t="s">
        <v>6825</v>
      </c>
      <c r="AA329" s="313">
        <v>44895</v>
      </c>
      <c r="AB329" s="313">
        <v>44895</v>
      </c>
      <c r="AC329" s="314" t="s">
        <v>4999</v>
      </c>
      <c r="AD329" s="380"/>
    </row>
    <row r="330" spans="1:30" ht="26.25" customHeight="1" thickBot="1" x14ac:dyDescent="0.3">
      <c r="A330" s="306" t="str">
        <f t="shared" si="17"/>
        <v>OK</v>
      </c>
      <c r="B330" s="307" t="str">
        <f t="shared" si="16"/>
        <v>P</v>
      </c>
      <c r="C330" s="308" t="str">
        <f>IF(OR(ISBLANK(AA330),ISBLANK(AB330),ISBLANK(#REF!))=TRUE,"P","OK")</f>
        <v>OK</v>
      </c>
      <c r="D330" s="28">
        <v>0</v>
      </c>
      <c r="E330" s="49" t="s">
        <v>8129</v>
      </c>
      <c r="F330" s="49" t="s">
        <v>5472</v>
      </c>
      <c r="G330" s="49">
        <v>182409</v>
      </c>
      <c r="H330" s="49" t="s">
        <v>8130</v>
      </c>
      <c r="I330" s="49" t="s">
        <v>6820</v>
      </c>
      <c r="J330" s="49" t="s">
        <v>4998</v>
      </c>
      <c r="K330" s="49" t="s">
        <v>8131</v>
      </c>
      <c r="L330" s="49">
        <v>5650</v>
      </c>
      <c r="M330" s="49" t="s">
        <v>2504</v>
      </c>
      <c r="N330" s="316">
        <v>44894</v>
      </c>
      <c r="O330" s="316" t="s">
        <v>264</v>
      </c>
      <c r="P330" s="316">
        <v>44894</v>
      </c>
      <c r="Q330" s="316">
        <v>44895</v>
      </c>
      <c r="R330" s="316">
        <v>44896</v>
      </c>
      <c r="S330" s="317"/>
      <c r="T330" s="317"/>
      <c r="U330" s="317"/>
      <c r="V330" s="317"/>
      <c r="W330" s="317"/>
      <c r="X330" s="317"/>
      <c r="Y330" s="317"/>
      <c r="Z330" s="312" t="s">
        <v>264</v>
      </c>
      <c r="AA330" s="313">
        <v>44901</v>
      </c>
      <c r="AB330" s="313">
        <v>44901</v>
      </c>
      <c r="AC330" s="314" t="s">
        <v>4999</v>
      </c>
      <c r="AD330" s="380"/>
    </row>
    <row r="331" spans="1:30" ht="13.7" customHeight="1" thickBot="1" x14ac:dyDescent="0.3">
      <c r="A331" s="306" t="str">
        <f t="shared" si="17"/>
        <v>P</v>
      </c>
      <c r="B331" s="307" t="str">
        <f t="shared" si="16"/>
        <v>OK</v>
      </c>
      <c r="C331" s="308" t="str">
        <f>IF(OR(ISBLANK(AA331),ISBLANK(AB331),ISBLANK(#REF!))=TRUE,"P","OK")</f>
        <v>OK</v>
      </c>
      <c r="D331" s="28">
        <v>0</v>
      </c>
      <c r="E331" s="49" t="s">
        <v>8132</v>
      </c>
      <c r="F331" s="49" t="s">
        <v>7276</v>
      </c>
      <c r="G331" s="49">
        <v>182412</v>
      </c>
      <c r="H331" s="49" t="s">
        <v>8133</v>
      </c>
      <c r="I331" s="49" t="s">
        <v>6820</v>
      </c>
      <c r="J331" s="49" t="s">
        <v>4998</v>
      </c>
      <c r="K331" s="49" t="s">
        <v>2581</v>
      </c>
      <c r="L331" s="49" t="s">
        <v>8134</v>
      </c>
      <c r="M331" s="49" t="s">
        <v>8135</v>
      </c>
      <c r="N331" s="316">
        <v>44895</v>
      </c>
      <c r="O331" s="316" t="s">
        <v>264</v>
      </c>
      <c r="P331" s="316">
        <v>44895</v>
      </c>
      <c r="Q331" s="316">
        <v>44895</v>
      </c>
      <c r="R331" s="316"/>
      <c r="S331" s="317" t="s">
        <v>28</v>
      </c>
      <c r="T331" s="317" t="s">
        <v>28</v>
      </c>
      <c r="U331" s="322">
        <v>44916</v>
      </c>
      <c r="V331" s="317" t="s">
        <v>7304</v>
      </c>
      <c r="W331" s="317">
        <v>4</v>
      </c>
      <c r="X331" s="317" t="s">
        <v>4999</v>
      </c>
      <c r="Y331" s="322">
        <v>44923</v>
      </c>
      <c r="Z331" s="312" t="s">
        <v>264</v>
      </c>
      <c r="AA331" s="313">
        <v>44923</v>
      </c>
      <c r="AB331" s="313">
        <v>44923</v>
      </c>
      <c r="AC331" s="314" t="s">
        <v>4999</v>
      </c>
      <c r="AD331" s="380"/>
    </row>
    <row r="332" spans="1:30" ht="13.7" customHeight="1" thickBot="1" x14ac:dyDescent="0.3">
      <c r="A332" s="306" t="str">
        <f t="shared" si="17"/>
        <v>P</v>
      </c>
      <c r="B332" s="307" t="str">
        <f t="shared" si="16"/>
        <v>OK</v>
      </c>
      <c r="C332" s="308" t="str">
        <f>IF(OR(ISBLANK(AA332),ISBLANK(AB332),ISBLANK(#REF!))=TRUE,"P","OK")</f>
        <v>OK</v>
      </c>
      <c r="D332" s="28">
        <v>0</v>
      </c>
      <c r="E332" s="49" t="s">
        <v>8136</v>
      </c>
      <c r="F332" s="49" t="s">
        <v>7276</v>
      </c>
      <c r="G332" s="49">
        <v>182412</v>
      </c>
      <c r="H332" s="49" t="s">
        <v>8137</v>
      </c>
      <c r="I332" s="49" t="s">
        <v>6820</v>
      </c>
      <c r="J332" s="49" t="s">
        <v>4998</v>
      </c>
      <c r="K332" s="49" t="s">
        <v>6630</v>
      </c>
      <c r="L332" s="49" t="s">
        <v>8138</v>
      </c>
      <c r="M332" s="49" t="s">
        <v>8135</v>
      </c>
      <c r="N332" s="316">
        <v>44895</v>
      </c>
      <c r="O332" s="316" t="s">
        <v>264</v>
      </c>
      <c r="P332" s="316">
        <v>44895</v>
      </c>
      <c r="Q332" s="316">
        <v>44895</v>
      </c>
      <c r="R332" s="316"/>
      <c r="S332" s="317" t="s">
        <v>28</v>
      </c>
      <c r="T332" s="317" t="s">
        <v>28</v>
      </c>
      <c r="U332" s="322">
        <v>44916</v>
      </c>
      <c r="V332" s="317" t="s">
        <v>6632</v>
      </c>
      <c r="W332" s="317">
        <v>1</v>
      </c>
      <c r="X332" s="317" t="s">
        <v>4999</v>
      </c>
      <c r="Y332" s="322">
        <v>44923</v>
      </c>
      <c r="Z332" s="312" t="s">
        <v>264</v>
      </c>
      <c r="AA332" s="313">
        <v>44923</v>
      </c>
      <c r="AB332" s="313">
        <v>44923</v>
      </c>
      <c r="AC332" s="314" t="s">
        <v>4999</v>
      </c>
      <c r="AD332" s="380"/>
    </row>
    <row r="333" spans="1:30" ht="26.25" customHeight="1" thickBot="1" x14ac:dyDescent="0.3">
      <c r="A333" s="306" t="str">
        <f t="shared" si="17"/>
        <v>OK</v>
      </c>
      <c r="B333" s="307" t="str">
        <f t="shared" si="16"/>
        <v>OK</v>
      </c>
      <c r="C333" s="308" t="str">
        <f>IF(OR(ISBLANK(AA333),ISBLANK(AB333),ISBLANK(#REF!))=TRUE,"P","OK")</f>
        <v>OK</v>
      </c>
      <c r="D333" s="28">
        <v>0</v>
      </c>
      <c r="E333" s="49" t="s">
        <v>8139</v>
      </c>
      <c r="F333" s="49" t="s">
        <v>7632</v>
      </c>
      <c r="G333" s="49">
        <v>182407</v>
      </c>
      <c r="H333" s="49" t="s">
        <v>8140</v>
      </c>
      <c r="I333" s="49" t="s">
        <v>6820</v>
      </c>
      <c r="J333" s="49" t="s">
        <v>4998</v>
      </c>
      <c r="K333" s="49" t="s">
        <v>2856</v>
      </c>
      <c r="L333" s="49" t="s">
        <v>8141</v>
      </c>
      <c r="M333" s="49" t="s">
        <v>2858</v>
      </c>
      <c r="N333" s="316">
        <v>44894</v>
      </c>
      <c r="O333" s="316" t="s">
        <v>264</v>
      </c>
      <c r="P333" s="316">
        <v>44894</v>
      </c>
      <c r="Q333" s="316">
        <v>44894</v>
      </c>
      <c r="R333" s="316">
        <v>44895</v>
      </c>
      <c r="S333" s="317" t="s">
        <v>28</v>
      </c>
      <c r="T333" s="317" t="s">
        <v>28</v>
      </c>
      <c r="U333" s="322">
        <v>44896</v>
      </c>
      <c r="V333" s="317" t="s">
        <v>2859</v>
      </c>
      <c r="W333" s="317">
        <v>1</v>
      </c>
      <c r="X333" s="317" t="s">
        <v>4999</v>
      </c>
      <c r="Y333" s="322">
        <v>44900</v>
      </c>
      <c r="Z333" s="312" t="s">
        <v>6825</v>
      </c>
      <c r="AA333" s="313">
        <v>44901</v>
      </c>
      <c r="AB333" s="313">
        <v>44901</v>
      </c>
      <c r="AC333" s="314" t="s">
        <v>4999</v>
      </c>
      <c r="AD333" s="380"/>
    </row>
    <row r="334" spans="1:30" ht="26.25" customHeight="1" thickBot="1" x14ac:dyDescent="0.3">
      <c r="A334" s="306" t="str">
        <f t="shared" si="17"/>
        <v>P</v>
      </c>
      <c r="B334" s="307" t="str">
        <f t="shared" si="16"/>
        <v>P</v>
      </c>
      <c r="C334" s="308" t="str">
        <f>IF(OR(ISBLANK(AA334),ISBLANK(AB334),ISBLANK(#REF!))=TRUE,"P","OK")</f>
        <v>P</v>
      </c>
      <c r="D334" s="28">
        <v>0</v>
      </c>
      <c r="E334" s="49" t="s">
        <v>8142</v>
      </c>
      <c r="F334" s="75" t="s">
        <v>1345</v>
      </c>
      <c r="G334" s="49" t="s">
        <v>8143</v>
      </c>
      <c r="H334" s="49"/>
      <c r="I334" s="49" t="s">
        <v>6820</v>
      </c>
      <c r="J334" s="49" t="s">
        <v>4998</v>
      </c>
      <c r="K334" s="49"/>
      <c r="L334" s="49"/>
      <c r="M334" s="49"/>
      <c r="N334" s="316"/>
      <c r="O334" s="316"/>
      <c r="P334" s="316"/>
      <c r="Q334" s="316"/>
      <c r="R334" s="316"/>
      <c r="S334" s="317"/>
      <c r="T334" s="317"/>
      <c r="U334" s="317"/>
      <c r="V334" s="317"/>
      <c r="W334" s="317"/>
      <c r="X334" s="317"/>
      <c r="Y334" s="317"/>
      <c r="Z334" s="312"/>
      <c r="AA334" s="312"/>
      <c r="AB334" s="312"/>
      <c r="AC334" s="314"/>
      <c r="AD334" s="380"/>
    </row>
    <row r="335" spans="1:30" ht="26.25" customHeight="1" thickBot="1" x14ac:dyDescent="0.3">
      <c r="A335" s="306" t="str">
        <f t="shared" si="17"/>
        <v>OK</v>
      </c>
      <c r="B335" s="307" t="str">
        <f t="shared" si="16"/>
        <v>OK</v>
      </c>
      <c r="C335" s="308" t="str">
        <f>IF(OR(ISBLANK(AA335),ISBLANK(AB335),ISBLANK(#REF!))=TRUE,"P","OK")</f>
        <v>OK</v>
      </c>
      <c r="D335" s="28">
        <v>0</v>
      </c>
      <c r="E335" s="49" t="s">
        <v>8144</v>
      </c>
      <c r="F335" s="49" t="s">
        <v>1345</v>
      </c>
      <c r="G335" s="49">
        <v>181825</v>
      </c>
      <c r="H335" s="49" t="s">
        <v>8145</v>
      </c>
      <c r="I335" s="49" t="s">
        <v>6820</v>
      </c>
      <c r="J335" s="49" t="s">
        <v>4998</v>
      </c>
      <c r="K335" s="49" t="s">
        <v>1406</v>
      </c>
      <c r="L335" s="49" t="s">
        <v>8146</v>
      </c>
      <c r="M335" s="49" t="s">
        <v>5062</v>
      </c>
      <c r="N335" s="316">
        <v>44907</v>
      </c>
      <c r="O335" s="316" t="s">
        <v>264</v>
      </c>
      <c r="P335" s="316">
        <v>44907</v>
      </c>
      <c r="Q335" s="316">
        <v>44907</v>
      </c>
      <c r="R335" s="316">
        <v>44907</v>
      </c>
      <c r="S335" s="317" t="s">
        <v>28</v>
      </c>
      <c r="T335" s="317" t="s">
        <v>28</v>
      </c>
      <c r="U335" s="322">
        <v>44901</v>
      </c>
      <c r="V335" s="317" t="s">
        <v>2198</v>
      </c>
      <c r="W335" s="317">
        <v>2</v>
      </c>
      <c r="X335" s="317" t="s">
        <v>4999</v>
      </c>
      <c r="Y335" s="322">
        <v>44903</v>
      </c>
      <c r="Z335" s="312" t="s">
        <v>6825</v>
      </c>
      <c r="AA335" s="313">
        <v>44907</v>
      </c>
      <c r="AB335" s="313">
        <v>44907</v>
      </c>
      <c r="AC335" s="314" t="s">
        <v>4999</v>
      </c>
      <c r="AD335" s="380"/>
    </row>
    <row r="336" spans="1:30" ht="26.25" customHeight="1" thickBot="1" x14ac:dyDescent="0.3">
      <c r="A336" s="306" t="str">
        <f t="shared" si="17"/>
        <v>OK</v>
      </c>
      <c r="B336" s="307" t="str">
        <f t="shared" si="16"/>
        <v>OK</v>
      </c>
      <c r="C336" s="308" t="str">
        <f>IF(OR(ISBLANK(AA336),ISBLANK(AB336),ISBLANK(#REF!))=TRUE,"P","OK")</f>
        <v>OK</v>
      </c>
      <c r="D336" s="28">
        <v>0</v>
      </c>
      <c r="E336" s="49" t="s">
        <v>8147</v>
      </c>
      <c r="F336" s="49" t="s">
        <v>5472</v>
      </c>
      <c r="G336" s="49">
        <v>182421</v>
      </c>
      <c r="H336" s="49" t="s">
        <v>8148</v>
      </c>
      <c r="I336" s="49" t="s">
        <v>6820</v>
      </c>
      <c r="J336" s="49" t="s">
        <v>4998</v>
      </c>
      <c r="K336" s="49" t="s">
        <v>8149</v>
      </c>
      <c r="L336" s="49" t="s">
        <v>8150</v>
      </c>
      <c r="M336" s="49" t="s">
        <v>2504</v>
      </c>
      <c r="N336" s="316">
        <v>44902</v>
      </c>
      <c r="O336" s="316" t="s">
        <v>264</v>
      </c>
      <c r="P336" s="316">
        <v>44902</v>
      </c>
      <c r="Q336" s="316">
        <v>44902</v>
      </c>
      <c r="R336" s="316">
        <v>44902</v>
      </c>
      <c r="S336" s="317" t="s">
        <v>28</v>
      </c>
      <c r="T336" s="317" t="s">
        <v>28</v>
      </c>
      <c r="U336" s="322">
        <v>44916</v>
      </c>
      <c r="V336" s="317" t="s">
        <v>3315</v>
      </c>
      <c r="W336" s="317">
        <v>5</v>
      </c>
      <c r="X336" s="317" t="s">
        <v>4999</v>
      </c>
      <c r="Y336" s="322">
        <v>44916</v>
      </c>
      <c r="Z336" s="312" t="s">
        <v>264</v>
      </c>
      <c r="AA336" s="313">
        <v>44952</v>
      </c>
      <c r="AB336" s="313">
        <v>44952</v>
      </c>
      <c r="AC336" s="314" t="s">
        <v>4999</v>
      </c>
      <c r="AD336" s="380"/>
    </row>
    <row r="337" spans="1:29" ht="26.25" customHeight="1" thickBot="1" x14ac:dyDescent="0.3">
      <c r="A337" s="306" t="str">
        <f t="shared" si="17"/>
        <v>OK</v>
      </c>
      <c r="B337" s="307" t="str">
        <f t="shared" si="16"/>
        <v>OK</v>
      </c>
      <c r="C337" s="308" t="str">
        <f>IF(OR(ISBLANK(AA337),ISBLANK(AB337),ISBLANK(#REF!))=TRUE,"P","OK")</f>
        <v>OK</v>
      </c>
      <c r="D337" s="28">
        <v>0</v>
      </c>
      <c r="E337" s="49" t="s">
        <v>8151</v>
      </c>
      <c r="F337" s="49" t="s">
        <v>1345</v>
      </c>
      <c r="G337" s="49">
        <v>181825</v>
      </c>
      <c r="H337" s="49" t="s">
        <v>8152</v>
      </c>
      <c r="I337" s="49" t="s">
        <v>6820</v>
      </c>
      <c r="J337" s="49" t="s">
        <v>4998</v>
      </c>
      <c r="K337" s="49" t="s">
        <v>1406</v>
      </c>
      <c r="L337" s="49" t="s">
        <v>8153</v>
      </c>
      <c r="M337" s="49" t="s">
        <v>5062</v>
      </c>
      <c r="N337" s="316">
        <v>44903</v>
      </c>
      <c r="O337" s="316" t="s">
        <v>264</v>
      </c>
      <c r="P337" s="316">
        <v>44903</v>
      </c>
      <c r="Q337" s="316">
        <v>44903</v>
      </c>
      <c r="R337" s="316">
        <v>44903</v>
      </c>
      <c r="S337" s="317" t="s">
        <v>28</v>
      </c>
      <c r="T337" s="317" t="s">
        <v>28</v>
      </c>
      <c r="U337" s="322">
        <v>44904</v>
      </c>
      <c r="V337" s="317" t="s">
        <v>5084</v>
      </c>
      <c r="W337" s="317">
        <v>2</v>
      </c>
      <c r="X337" s="317" t="s">
        <v>4999</v>
      </c>
      <c r="Y337" s="322">
        <v>44907</v>
      </c>
      <c r="Z337" s="312" t="s">
        <v>6825</v>
      </c>
      <c r="AA337" s="313">
        <v>44908</v>
      </c>
      <c r="AB337" s="313">
        <v>44908</v>
      </c>
      <c r="AC337" s="314" t="s">
        <v>4999</v>
      </c>
    </row>
    <row r="338" spans="1:29" ht="13.7" customHeight="1" thickBot="1" x14ac:dyDescent="0.3">
      <c r="A338" s="306" t="str">
        <f t="shared" si="17"/>
        <v>OK</v>
      </c>
      <c r="B338" s="307" t="str">
        <f t="shared" si="16"/>
        <v>OK</v>
      </c>
      <c r="C338" s="308" t="str">
        <f>IF(OR(ISBLANK(AA338),ISBLANK(AB338),ISBLANK(#REF!))=TRUE,"P","OK")</f>
        <v>OK</v>
      </c>
      <c r="D338" s="28">
        <v>0</v>
      </c>
      <c r="E338" s="49" t="s">
        <v>8154</v>
      </c>
      <c r="F338" s="49" t="s">
        <v>1345</v>
      </c>
      <c r="G338" s="49">
        <v>181825</v>
      </c>
      <c r="H338" s="49" t="s">
        <v>8155</v>
      </c>
      <c r="I338" s="49" t="s">
        <v>6820</v>
      </c>
      <c r="J338" s="49" t="s">
        <v>4998</v>
      </c>
      <c r="K338" s="49" t="s">
        <v>1406</v>
      </c>
      <c r="L338" s="49" t="s">
        <v>5137</v>
      </c>
      <c r="M338" s="49" t="s">
        <v>1379</v>
      </c>
      <c r="N338" s="316">
        <v>44907</v>
      </c>
      <c r="O338" s="316" t="s">
        <v>264</v>
      </c>
      <c r="P338" s="316">
        <v>44907</v>
      </c>
      <c r="Q338" s="316">
        <v>44907</v>
      </c>
      <c r="R338" s="316">
        <v>44907</v>
      </c>
      <c r="S338" s="317" t="s">
        <v>28</v>
      </c>
      <c r="T338" s="317" t="s">
        <v>28</v>
      </c>
      <c r="U338" s="322">
        <v>44907</v>
      </c>
      <c r="V338" s="317" t="s">
        <v>1380</v>
      </c>
      <c r="W338" s="317">
        <v>3</v>
      </c>
      <c r="X338" s="317" t="s">
        <v>4999</v>
      </c>
      <c r="Y338" s="322">
        <v>44907</v>
      </c>
      <c r="Z338" s="312" t="s">
        <v>6825</v>
      </c>
      <c r="AA338" s="313">
        <v>44908</v>
      </c>
      <c r="AB338" s="313">
        <v>44908</v>
      </c>
      <c r="AC338" s="314" t="s">
        <v>4999</v>
      </c>
    </row>
    <row r="339" spans="1:29" x14ac:dyDescent="0.25">
      <c r="A339" s="306" t="str">
        <f t="shared" si="17"/>
        <v>OK</v>
      </c>
      <c r="B339" s="307" t="str">
        <f t="shared" si="16"/>
        <v>OK</v>
      </c>
      <c r="C339" s="308" t="str">
        <f>IF(OR(ISBLANK(AA339),ISBLANK(AB339),ISBLANK(#REF!))=TRUE,"P","OK")</f>
        <v>OK</v>
      </c>
      <c r="D339" s="28">
        <v>0</v>
      </c>
      <c r="E339" s="49" t="s">
        <v>8156</v>
      </c>
      <c r="F339" s="49" t="s">
        <v>69</v>
      </c>
      <c r="G339" s="49">
        <v>182060</v>
      </c>
      <c r="H339" s="49" t="s">
        <v>8157</v>
      </c>
      <c r="I339" s="49" t="s">
        <v>6820</v>
      </c>
      <c r="J339" s="49" t="s">
        <v>4998</v>
      </c>
      <c r="K339" s="49" t="s">
        <v>291</v>
      </c>
      <c r="L339" s="49" t="s">
        <v>1753</v>
      </c>
      <c r="M339" s="49" t="s">
        <v>1730</v>
      </c>
      <c r="N339" s="316">
        <v>44909</v>
      </c>
      <c r="O339" s="316" t="s">
        <v>264</v>
      </c>
      <c r="P339" s="316">
        <v>44909</v>
      </c>
      <c r="Q339" s="316">
        <v>44741</v>
      </c>
      <c r="R339" s="316">
        <v>44909</v>
      </c>
      <c r="S339" s="317" t="s">
        <v>28</v>
      </c>
      <c r="T339" s="317" t="s">
        <v>28</v>
      </c>
      <c r="U339" s="322">
        <v>44914</v>
      </c>
      <c r="V339" s="317" t="s">
        <v>7491</v>
      </c>
      <c r="W339" s="317">
        <v>7</v>
      </c>
      <c r="X339" s="317" t="s">
        <v>4999</v>
      </c>
      <c r="Y339" s="322">
        <v>44922</v>
      </c>
      <c r="Z339" s="312" t="s">
        <v>264</v>
      </c>
      <c r="AA339" s="313">
        <v>44929</v>
      </c>
      <c r="AB339" s="313">
        <v>44929</v>
      </c>
      <c r="AC339" s="314" t="s">
        <v>4999</v>
      </c>
    </row>
    <row r="340" spans="1:29" ht="13.7" customHeight="1" thickBot="1" x14ac:dyDescent="0.3">
      <c r="A340" s="306" t="str">
        <f t="shared" si="17"/>
        <v>OK</v>
      </c>
      <c r="B340" s="307" t="str">
        <f t="shared" si="16"/>
        <v>OK</v>
      </c>
      <c r="C340" s="308" t="str">
        <f>IF(OR(ISBLANK(AA340),ISBLANK(AB340),ISBLANK(#REF!))=TRUE,"P","OK")</f>
        <v>OK</v>
      </c>
      <c r="D340" s="28">
        <v>0</v>
      </c>
      <c r="E340" s="49" t="s">
        <v>8158</v>
      </c>
      <c r="F340" s="49" t="s">
        <v>69</v>
      </c>
      <c r="G340" s="49">
        <v>182060</v>
      </c>
      <c r="H340" s="49" t="s">
        <v>8159</v>
      </c>
      <c r="I340" s="49" t="s">
        <v>6820</v>
      </c>
      <c r="J340" s="49" t="s">
        <v>4998</v>
      </c>
      <c r="K340" s="49" t="s">
        <v>5041</v>
      </c>
      <c r="L340" s="49" t="s">
        <v>7500</v>
      </c>
      <c r="M340" s="49" t="s">
        <v>5043</v>
      </c>
      <c r="N340" s="316">
        <v>44909</v>
      </c>
      <c r="O340" s="316" t="s">
        <v>264</v>
      </c>
      <c r="P340" s="316">
        <v>44909</v>
      </c>
      <c r="Q340" s="316">
        <v>44741</v>
      </c>
      <c r="R340" s="316">
        <v>44909</v>
      </c>
      <c r="S340" s="317" t="s">
        <v>28</v>
      </c>
      <c r="T340" s="317" t="s">
        <v>28</v>
      </c>
      <c r="U340" s="322">
        <v>44914</v>
      </c>
      <c r="V340" s="317" t="s">
        <v>5044</v>
      </c>
      <c r="W340" s="317">
        <v>6</v>
      </c>
      <c r="X340" s="317" t="s">
        <v>4999</v>
      </c>
      <c r="Y340" s="322">
        <v>44929</v>
      </c>
      <c r="Z340" s="312" t="s">
        <v>264</v>
      </c>
      <c r="AA340" s="313">
        <v>44928</v>
      </c>
      <c r="AB340" s="313">
        <v>44931</v>
      </c>
      <c r="AC340" s="314" t="s">
        <v>4999</v>
      </c>
    </row>
    <row r="341" spans="1:29" ht="13.7" customHeight="1" thickBot="1" x14ac:dyDescent="0.3">
      <c r="A341" s="306" t="str">
        <f t="shared" si="17"/>
        <v>OK</v>
      </c>
      <c r="B341" s="307" t="str">
        <f t="shared" si="16"/>
        <v>OK</v>
      </c>
      <c r="C341" s="308" t="str">
        <f>IF(OR(ISBLANK(AA341),ISBLANK(AB341),ISBLANK(#REF!))=TRUE,"P","OK")</f>
        <v>OK</v>
      </c>
      <c r="D341" s="28">
        <v>0</v>
      </c>
      <c r="E341" s="49" t="s">
        <v>8160</v>
      </c>
      <c r="F341" s="49" t="s">
        <v>69</v>
      </c>
      <c r="G341" s="49">
        <v>182060</v>
      </c>
      <c r="H341" s="49" t="s">
        <v>8161</v>
      </c>
      <c r="I341" s="49" t="s">
        <v>6820</v>
      </c>
      <c r="J341" s="49" t="s">
        <v>4998</v>
      </c>
      <c r="K341" s="49" t="s">
        <v>5435</v>
      </c>
      <c r="L341" s="49" t="s">
        <v>1757</v>
      </c>
      <c r="M341" s="49" t="s">
        <v>1758</v>
      </c>
      <c r="N341" s="316">
        <v>44909</v>
      </c>
      <c r="O341" s="316" t="s">
        <v>264</v>
      </c>
      <c r="P341" s="316">
        <v>44909</v>
      </c>
      <c r="Q341" s="316">
        <v>44741</v>
      </c>
      <c r="R341" s="316">
        <v>44909</v>
      </c>
      <c r="S341" s="317" t="s">
        <v>28</v>
      </c>
      <c r="T341" s="317" t="s">
        <v>28</v>
      </c>
      <c r="U341" s="322">
        <v>44914</v>
      </c>
      <c r="V341" s="317" t="s">
        <v>1759</v>
      </c>
      <c r="W341" s="317">
        <v>22</v>
      </c>
      <c r="X341" s="317" t="s">
        <v>4999</v>
      </c>
      <c r="Y341" s="322">
        <v>44914</v>
      </c>
      <c r="Z341" s="312" t="s">
        <v>264</v>
      </c>
      <c r="AA341" s="313">
        <v>44915</v>
      </c>
      <c r="AB341" s="313">
        <v>44915</v>
      </c>
      <c r="AC341" s="314" t="s">
        <v>4999</v>
      </c>
    </row>
    <row r="342" spans="1:29" ht="25.5" x14ac:dyDescent="0.25">
      <c r="A342" s="306" t="str">
        <f t="shared" si="17"/>
        <v>OK</v>
      </c>
      <c r="B342" s="307" t="str">
        <f t="shared" si="16"/>
        <v>OK</v>
      </c>
      <c r="C342" s="308" t="str">
        <f>IF(OR(ISBLANK(AA342),ISBLANK(AB342),ISBLANK(#REF!))=TRUE,"P","OK")</f>
        <v>OK</v>
      </c>
      <c r="D342" s="28">
        <v>0</v>
      </c>
      <c r="E342" s="49" t="s">
        <v>8162</v>
      </c>
      <c r="F342" s="49" t="s">
        <v>1854</v>
      </c>
      <c r="G342" s="49">
        <v>182418</v>
      </c>
      <c r="H342" s="49" t="s">
        <v>8163</v>
      </c>
      <c r="I342" s="49" t="s">
        <v>6820</v>
      </c>
      <c r="J342" s="49" t="s">
        <v>4998</v>
      </c>
      <c r="K342" s="49" t="s">
        <v>8164</v>
      </c>
      <c r="L342" s="49" t="s">
        <v>8165</v>
      </c>
      <c r="M342" s="49" t="s">
        <v>1869</v>
      </c>
      <c r="N342" s="316">
        <v>44903</v>
      </c>
      <c r="O342" s="316" t="s">
        <v>264</v>
      </c>
      <c r="P342" s="316">
        <v>44903</v>
      </c>
      <c r="Q342" s="316">
        <v>44903</v>
      </c>
      <c r="R342" s="316">
        <v>44907</v>
      </c>
      <c r="S342" s="317" t="s">
        <v>8081</v>
      </c>
      <c r="T342" s="317" t="s">
        <v>8081</v>
      </c>
      <c r="U342" s="322">
        <v>44910</v>
      </c>
      <c r="V342" s="317" t="s">
        <v>8166</v>
      </c>
      <c r="W342" s="317">
        <v>1</v>
      </c>
      <c r="X342" s="317" t="s">
        <v>4999</v>
      </c>
      <c r="Y342" s="322">
        <v>44911</v>
      </c>
      <c r="Z342" s="312" t="s">
        <v>264</v>
      </c>
      <c r="AA342" s="313">
        <v>44911</v>
      </c>
      <c r="AB342" s="313">
        <v>44911</v>
      </c>
      <c r="AC342" s="314" t="s">
        <v>4999</v>
      </c>
    </row>
    <row r="343" spans="1:29" ht="26.25" customHeight="1" thickBot="1" x14ac:dyDescent="0.3">
      <c r="A343" s="306" t="str">
        <f t="shared" si="17"/>
        <v>OK</v>
      </c>
      <c r="B343" s="307" t="str">
        <f t="shared" si="16"/>
        <v>OK</v>
      </c>
      <c r="C343" s="308" t="str">
        <f>IF(OR(ISBLANK(AA343),ISBLANK(AB343),ISBLANK(#REF!))=TRUE,"P","OK")</f>
        <v>OK</v>
      </c>
      <c r="D343" s="28">
        <v>0</v>
      </c>
      <c r="E343" s="49" t="s">
        <v>8167</v>
      </c>
      <c r="F343" s="49" t="s">
        <v>5472</v>
      </c>
      <c r="G343" s="49">
        <v>182438</v>
      </c>
      <c r="H343" s="49" t="s">
        <v>8168</v>
      </c>
      <c r="I343" s="49" t="s">
        <v>6820</v>
      </c>
      <c r="J343" s="49" t="s">
        <v>4998</v>
      </c>
      <c r="K343" s="49" t="s">
        <v>8078</v>
      </c>
      <c r="L343" s="49" t="s">
        <v>8079</v>
      </c>
      <c r="M343" s="49" t="s">
        <v>8080</v>
      </c>
      <c r="N343" s="316">
        <v>44910</v>
      </c>
      <c r="O343" s="316" t="s">
        <v>264</v>
      </c>
      <c r="P343" s="316">
        <v>44910</v>
      </c>
      <c r="Q343" s="316">
        <v>44910</v>
      </c>
      <c r="R343" s="316">
        <v>44910</v>
      </c>
      <c r="S343" s="317" t="s">
        <v>8081</v>
      </c>
      <c r="T343" s="317" t="s">
        <v>8081</v>
      </c>
      <c r="U343" s="322">
        <v>44910</v>
      </c>
      <c r="V343" s="317" t="s">
        <v>8082</v>
      </c>
      <c r="W343" s="317">
        <v>6</v>
      </c>
      <c r="X343" s="317" t="s">
        <v>4999</v>
      </c>
      <c r="Y343" s="322">
        <v>44914</v>
      </c>
      <c r="Z343" s="312" t="s">
        <v>264</v>
      </c>
      <c r="AA343" s="313">
        <v>44937</v>
      </c>
      <c r="AB343" s="313">
        <v>44937</v>
      </c>
      <c r="AC343" s="314" t="s">
        <v>4999</v>
      </c>
    </row>
    <row r="344" spans="1:29" ht="13.7" customHeight="1" thickBot="1" x14ac:dyDescent="0.3">
      <c r="A344" s="306" t="str">
        <f t="shared" si="17"/>
        <v>OK</v>
      </c>
      <c r="B344" s="307" t="str">
        <f t="shared" si="16"/>
        <v>OK</v>
      </c>
      <c r="C344" s="308" t="str">
        <f>IF(OR(ISBLANK(AA344),ISBLANK(AB344),ISBLANK(#REF!))=TRUE,"P","OK")</f>
        <v>OK</v>
      </c>
      <c r="D344" s="28">
        <v>0</v>
      </c>
      <c r="E344" s="49" t="s">
        <v>8169</v>
      </c>
      <c r="F344" s="49" t="s">
        <v>1345</v>
      </c>
      <c r="G344" s="49">
        <v>181825</v>
      </c>
      <c r="H344" s="49" t="s">
        <v>8170</v>
      </c>
      <c r="I344" s="49" t="s">
        <v>6820</v>
      </c>
      <c r="J344" s="49" t="s">
        <v>4998</v>
      </c>
      <c r="K344" s="49" t="s">
        <v>1406</v>
      </c>
      <c r="L344" s="49" t="s">
        <v>8171</v>
      </c>
      <c r="M344" s="49" t="s">
        <v>5062</v>
      </c>
      <c r="N344" s="316">
        <v>44910</v>
      </c>
      <c r="O344" s="316" t="s">
        <v>264</v>
      </c>
      <c r="P344" s="316">
        <v>44910</v>
      </c>
      <c r="Q344" s="316">
        <v>44910</v>
      </c>
      <c r="R344" s="316">
        <v>44910</v>
      </c>
      <c r="S344" s="317" t="s">
        <v>28</v>
      </c>
      <c r="T344" s="317" t="s">
        <v>28</v>
      </c>
      <c r="U344" s="322">
        <v>44910</v>
      </c>
      <c r="V344" s="317" t="s">
        <v>8172</v>
      </c>
      <c r="W344" s="317">
        <v>2</v>
      </c>
      <c r="X344" s="317" t="s">
        <v>4999</v>
      </c>
      <c r="Y344" s="322">
        <v>44911</v>
      </c>
      <c r="Z344" s="312" t="s">
        <v>264</v>
      </c>
      <c r="AA344" s="313">
        <v>44914</v>
      </c>
      <c r="AB344" s="313">
        <v>44914</v>
      </c>
      <c r="AC344" s="314" t="s">
        <v>4999</v>
      </c>
    </row>
    <row r="345" spans="1:29" ht="26.25" customHeight="1" thickBot="1" x14ac:dyDescent="0.3">
      <c r="A345" s="306" t="str">
        <f t="shared" si="17"/>
        <v>OK</v>
      </c>
      <c r="B345" s="307" t="str">
        <f t="shared" si="16"/>
        <v>OK</v>
      </c>
      <c r="C345" s="308" t="str">
        <f>IF(OR(ISBLANK(AA345),ISBLANK(AB345),ISBLANK(#REF!))=TRUE,"P","OK")</f>
        <v>OK</v>
      </c>
      <c r="D345" s="28">
        <v>0</v>
      </c>
      <c r="E345" s="49" t="s">
        <v>8173</v>
      </c>
      <c r="F345" s="49" t="s">
        <v>1345</v>
      </c>
      <c r="G345" s="49">
        <v>181825</v>
      </c>
      <c r="H345" s="49" t="s">
        <v>8174</v>
      </c>
      <c r="I345" s="49" t="s">
        <v>6820</v>
      </c>
      <c r="J345" s="49" t="s">
        <v>4998</v>
      </c>
      <c r="K345" s="49" t="s">
        <v>1406</v>
      </c>
      <c r="L345" s="49" t="s">
        <v>8175</v>
      </c>
      <c r="M345" s="49" t="s">
        <v>5062</v>
      </c>
      <c r="N345" s="316">
        <v>44910</v>
      </c>
      <c r="O345" s="316" t="s">
        <v>264</v>
      </c>
      <c r="P345" s="316">
        <v>44910</v>
      </c>
      <c r="Q345" s="316">
        <v>44910</v>
      </c>
      <c r="R345" s="316">
        <v>44910</v>
      </c>
      <c r="S345" s="317" t="s">
        <v>28</v>
      </c>
      <c r="T345" s="317" t="s">
        <v>28</v>
      </c>
      <c r="U345" s="322">
        <v>44910</v>
      </c>
      <c r="V345" s="317" t="s">
        <v>2315</v>
      </c>
      <c r="W345" s="317">
        <v>2</v>
      </c>
      <c r="X345" s="317" t="s">
        <v>4999</v>
      </c>
      <c r="Y345" s="322">
        <v>44914</v>
      </c>
      <c r="Z345" s="312" t="s">
        <v>264</v>
      </c>
      <c r="AA345" s="313">
        <v>44914</v>
      </c>
      <c r="AB345" s="313">
        <v>44914</v>
      </c>
      <c r="AC345" s="314" t="s">
        <v>4999</v>
      </c>
    </row>
    <row r="346" spans="1:29" x14ac:dyDescent="0.25">
      <c r="A346" s="306" t="str">
        <f t="shared" si="17"/>
        <v>OK</v>
      </c>
      <c r="B346" s="307" t="str">
        <f t="shared" si="16"/>
        <v>OK</v>
      </c>
      <c r="C346" s="308" t="str">
        <f>IF(OR(ISBLANK(AA346),ISBLANK(AB346),ISBLANK(#REF!))=TRUE,"P","OK")</f>
        <v>OK</v>
      </c>
      <c r="D346" s="28">
        <v>0</v>
      </c>
      <c r="E346" s="49" t="s">
        <v>8176</v>
      </c>
      <c r="F346" s="49" t="s">
        <v>5001</v>
      </c>
      <c r="G346" s="49">
        <v>182411</v>
      </c>
      <c r="H346" s="49" t="s">
        <v>8177</v>
      </c>
      <c r="I346" s="49" t="s">
        <v>6820</v>
      </c>
      <c r="J346" s="49" t="s">
        <v>4998</v>
      </c>
      <c r="K346" s="49" t="s">
        <v>8178</v>
      </c>
      <c r="L346" s="49" t="s">
        <v>8179</v>
      </c>
      <c r="M346" s="49" t="s">
        <v>8180</v>
      </c>
      <c r="N346" s="316">
        <v>44895</v>
      </c>
      <c r="O346" s="316" t="s">
        <v>264</v>
      </c>
      <c r="P346" s="316">
        <v>44895</v>
      </c>
      <c r="Q346" s="316">
        <v>44895</v>
      </c>
      <c r="R346" s="316">
        <v>44901</v>
      </c>
      <c r="S346" s="317" t="s">
        <v>28</v>
      </c>
      <c r="T346" s="317" t="s">
        <v>28</v>
      </c>
      <c r="U346" s="322">
        <v>44902</v>
      </c>
      <c r="V346" s="317" t="s">
        <v>8181</v>
      </c>
      <c r="W346" s="317">
        <v>2</v>
      </c>
      <c r="X346" s="317" t="s">
        <v>4999</v>
      </c>
      <c r="Y346" s="322">
        <v>44924</v>
      </c>
      <c r="Z346" s="312" t="s">
        <v>264</v>
      </c>
      <c r="AA346" s="313">
        <v>44925</v>
      </c>
      <c r="AB346" s="313">
        <v>44925</v>
      </c>
      <c r="AC346" s="314" t="s">
        <v>4999</v>
      </c>
    </row>
    <row r="347" spans="1:29" ht="26.25" customHeight="1" thickBot="1" x14ac:dyDescent="0.3">
      <c r="A347" s="306" t="str">
        <f t="shared" si="17"/>
        <v>OK</v>
      </c>
      <c r="B347" s="307" t="str">
        <f t="shared" si="16"/>
        <v>OK</v>
      </c>
      <c r="C347" s="308" t="str">
        <f>IF(OR(ISBLANK(AA347),ISBLANK(AB347),ISBLANK(#REF!))=TRUE,"P","OK")</f>
        <v>OK</v>
      </c>
      <c r="D347" s="28">
        <v>0</v>
      </c>
      <c r="E347" s="49" t="s">
        <v>8182</v>
      </c>
      <c r="F347" s="49" t="s">
        <v>3758</v>
      </c>
      <c r="G347" s="49">
        <v>182426</v>
      </c>
      <c r="H347" s="49" t="s">
        <v>8183</v>
      </c>
      <c r="I347" s="49" t="s">
        <v>6820</v>
      </c>
      <c r="J347" s="49" t="s">
        <v>4998</v>
      </c>
      <c r="K347" s="49" t="s">
        <v>5560</v>
      </c>
      <c r="L347" s="49" t="s">
        <v>5561</v>
      </c>
      <c r="M347" s="49" t="s">
        <v>389</v>
      </c>
      <c r="N347" s="316">
        <v>44907</v>
      </c>
      <c r="O347" s="316" t="s">
        <v>264</v>
      </c>
      <c r="P347" s="316">
        <v>44907</v>
      </c>
      <c r="Q347" s="316">
        <v>44909</v>
      </c>
      <c r="R347" s="316">
        <v>44914</v>
      </c>
      <c r="S347" s="317" t="s">
        <v>28</v>
      </c>
      <c r="T347" s="317" t="s">
        <v>28</v>
      </c>
      <c r="U347" s="322">
        <v>44914</v>
      </c>
      <c r="V347" s="317" t="s">
        <v>3762</v>
      </c>
      <c r="W347" s="317">
        <v>3</v>
      </c>
      <c r="X347" s="317" t="s">
        <v>4999</v>
      </c>
      <c r="Y347" s="322">
        <v>44915</v>
      </c>
      <c r="Z347" s="312" t="s">
        <v>264</v>
      </c>
      <c r="AA347" s="313">
        <v>44915</v>
      </c>
      <c r="AB347" s="313">
        <v>44915</v>
      </c>
      <c r="AC347" s="314" t="s">
        <v>4999</v>
      </c>
    </row>
    <row r="348" spans="1:29" ht="25.5" x14ac:dyDescent="0.25">
      <c r="A348" s="306" t="str">
        <f t="shared" si="17"/>
        <v>OK</v>
      </c>
      <c r="B348" s="307" t="str">
        <f t="shared" si="16"/>
        <v>OK</v>
      </c>
      <c r="C348" s="308" t="str">
        <f>IF(OR(ISBLANK(AA348),ISBLANK(AB348),ISBLANK(#REF!))=TRUE,"P","OK")</f>
        <v>OK</v>
      </c>
      <c r="D348" s="28">
        <v>0</v>
      </c>
      <c r="E348" s="49" t="s">
        <v>8184</v>
      </c>
      <c r="F348" s="49" t="s">
        <v>1854</v>
      </c>
      <c r="G348" s="49">
        <v>182442</v>
      </c>
      <c r="H348" s="49" t="s">
        <v>8185</v>
      </c>
      <c r="I348" s="49" t="s">
        <v>6820</v>
      </c>
      <c r="J348" s="49" t="s">
        <v>4998</v>
      </c>
      <c r="K348" s="49" t="s">
        <v>547</v>
      </c>
      <c r="L348" s="49" t="s">
        <v>5924</v>
      </c>
      <c r="M348" s="49" t="s">
        <v>149</v>
      </c>
      <c r="N348" s="316">
        <v>44914</v>
      </c>
      <c r="O348" s="316" t="s">
        <v>264</v>
      </c>
      <c r="P348" s="316">
        <v>44914</v>
      </c>
      <c r="Q348" s="316">
        <v>44914</v>
      </c>
      <c r="R348" s="316">
        <v>44918</v>
      </c>
      <c r="S348" s="317" t="s">
        <v>28</v>
      </c>
      <c r="T348" s="317" t="s">
        <v>28</v>
      </c>
      <c r="U348" s="322">
        <v>44928</v>
      </c>
      <c r="V348" s="317" t="s">
        <v>154</v>
      </c>
      <c r="W348" s="317">
        <v>1</v>
      </c>
      <c r="X348" s="317" t="s">
        <v>4999</v>
      </c>
      <c r="Y348" s="322">
        <v>44929</v>
      </c>
      <c r="Z348" s="312" t="s">
        <v>264</v>
      </c>
      <c r="AA348" s="313">
        <v>44929</v>
      </c>
      <c r="AB348" s="313">
        <v>44929</v>
      </c>
      <c r="AC348" s="314" t="s">
        <v>4999</v>
      </c>
    </row>
    <row r="349" spans="1:29" ht="25.5" x14ac:dyDescent="0.25">
      <c r="A349" s="306" t="str">
        <f t="shared" si="17"/>
        <v>OK</v>
      </c>
      <c r="B349" s="307" t="str">
        <f t="shared" si="16"/>
        <v>OK</v>
      </c>
      <c r="C349" s="308" t="str">
        <f>IF(OR(ISBLANK(AA349),ISBLANK(AB349),ISBLANK(#REF!))=TRUE,"P","OK")</f>
        <v>OK</v>
      </c>
      <c r="D349" s="28">
        <v>0</v>
      </c>
      <c r="E349" s="49" t="s">
        <v>8186</v>
      </c>
      <c r="F349" s="49" t="s">
        <v>1854</v>
      </c>
      <c r="G349" s="49">
        <v>182442</v>
      </c>
      <c r="H349" s="49" t="s">
        <v>8187</v>
      </c>
      <c r="I349" s="49" t="s">
        <v>6820</v>
      </c>
      <c r="J349" s="49" t="s">
        <v>4998</v>
      </c>
      <c r="K349" s="49" t="s">
        <v>1406</v>
      </c>
      <c r="L349" s="49" t="s">
        <v>8188</v>
      </c>
      <c r="M349" s="49" t="s">
        <v>149</v>
      </c>
      <c r="N349" s="316">
        <v>44914</v>
      </c>
      <c r="O349" s="316" t="s">
        <v>264</v>
      </c>
      <c r="P349" s="316">
        <v>44914</v>
      </c>
      <c r="Q349" s="316">
        <v>44914</v>
      </c>
      <c r="R349" s="316">
        <v>44918</v>
      </c>
      <c r="S349" s="317" t="s">
        <v>28</v>
      </c>
      <c r="T349" s="317" t="s">
        <v>28</v>
      </c>
      <c r="U349" s="322">
        <v>44928</v>
      </c>
      <c r="V349" s="317" t="s">
        <v>6782</v>
      </c>
      <c r="W349" s="317">
        <v>4</v>
      </c>
      <c r="X349" s="317" t="s">
        <v>4999</v>
      </c>
      <c r="Y349" s="322">
        <v>44929</v>
      </c>
      <c r="Z349" s="312" t="s">
        <v>264</v>
      </c>
      <c r="AA349" s="313">
        <v>44929</v>
      </c>
      <c r="AB349" s="313">
        <v>44929</v>
      </c>
      <c r="AC349" s="314" t="s">
        <v>4999</v>
      </c>
    </row>
    <row r="350" spans="1:29" ht="51" x14ac:dyDescent="0.25">
      <c r="A350" s="306" t="str">
        <f t="shared" si="17"/>
        <v>OK</v>
      </c>
      <c r="B350" s="307" t="str">
        <f t="shared" si="16"/>
        <v>OK</v>
      </c>
      <c r="C350" s="308" t="str">
        <f>IF(OR(ISBLANK(AA350),ISBLANK(AB350),ISBLANK(#REF!))=TRUE,"P","OK")</f>
        <v>OK</v>
      </c>
      <c r="D350" s="28">
        <v>0</v>
      </c>
      <c r="E350" s="49" t="s">
        <v>8189</v>
      </c>
      <c r="F350" s="49" t="s">
        <v>1345</v>
      </c>
      <c r="G350" s="49">
        <v>181825</v>
      </c>
      <c r="H350" s="49" t="s">
        <v>8190</v>
      </c>
      <c r="I350" s="49" t="s">
        <v>6820</v>
      </c>
      <c r="J350" s="49" t="s">
        <v>4998</v>
      </c>
      <c r="K350" s="49" t="s">
        <v>1406</v>
      </c>
      <c r="L350" s="49" t="s">
        <v>8191</v>
      </c>
      <c r="M350" s="49" t="s">
        <v>5083</v>
      </c>
      <c r="N350" s="316">
        <v>44914</v>
      </c>
      <c r="O350" s="316" t="s">
        <v>264</v>
      </c>
      <c r="P350" s="316">
        <v>44914</v>
      </c>
      <c r="Q350" s="316">
        <v>44914</v>
      </c>
      <c r="R350" s="316">
        <v>44914</v>
      </c>
      <c r="S350" s="317" t="s">
        <v>28</v>
      </c>
      <c r="T350" s="317" t="s">
        <v>28</v>
      </c>
      <c r="U350" s="322">
        <v>44914</v>
      </c>
      <c r="V350" s="317" t="s">
        <v>2198</v>
      </c>
      <c r="W350" s="317">
        <v>5</v>
      </c>
      <c r="X350" s="317" t="s">
        <v>4999</v>
      </c>
      <c r="Y350" s="322">
        <v>44917</v>
      </c>
      <c r="Z350" s="312" t="s">
        <v>264</v>
      </c>
      <c r="AA350" s="313">
        <v>44918</v>
      </c>
      <c r="AB350" s="313">
        <v>44917</v>
      </c>
      <c r="AC350" s="314" t="s">
        <v>4999</v>
      </c>
    </row>
    <row r="351" spans="1:29" ht="25.5" x14ac:dyDescent="0.25">
      <c r="A351" s="306" t="str">
        <f t="shared" si="17"/>
        <v>OK</v>
      </c>
      <c r="B351" s="307" t="str">
        <f t="shared" si="16"/>
        <v>OK</v>
      </c>
      <c r="C351" s="308" t="str">
        <f>IF(OR(ISBLANK(AA351),ISBLANK(AB351),ISBLANK(#REF!))=TRUE,"P","OK")</f>
        <v>OK</v>
      </c>
      <c r="D351" s="28">
        <v>0</v>
      </c>
      <c r="E351" s="49" t="s">
        <v>8192</v>
      </c>
      <c r="F351" s="49" t="s">
        <v>1345</v>
      </c>
      <c r="G351" s="49">
        <v>181825</v>
      </c>
      <c r="H351" s="49" t="s">
        <v>8193</v>
      </c>
      <c r="I351" s="49" t="s">
        <v>6820</v>
      </c>
      <c r="J351" s="49" t="s">
        <v>4998</v>
      </c>
      <c r="K351" s="49" t="s">
        <v>1406</v>
      </c>
      <c r="L351" s="49" t="s">
        <v>8194</v>
      </c>
      <c r="M351" s="49" t="s">
        <v>5083</v>
      </c>
      <c r="N351" s="316">
        <v>44914</v>
      </c>
      <c r="O351" s="316" t="s">
        <v>264</v>
      </c>
      <c r="P351" s="316">
        <v>44914</v>
      </c>
      <c r="Q351" s="316">
        <v>44914</v>
      </c>
      <c r="R351" s="316">
        <v>44914</v>
      </c>
      <c r="S351" s="317" t="s">
        <v>28</v>
      </c>
      <c r="T351" s="317" t="s">
        <v>28</v>
      </c>
      <c r="U351" s="322">
        <v>44914</v>
      </c>
      <c r="V351" s="317" t="s">
        <v>2198</v>
      </c>
      <c r="W351" s="317">
        <v>1</v>
      </c>
      <c r="X351" s="317" t="s">
        <v>4999</v>
      </c>
      <c r="Y351" s="322">
        <v>44915</v>
      </c>
      <c r="Z351" s="312" t="s">
        <v>264</v>
      </c>
      <c r="AA351" s="313">
        <v>44915</v>
      </c>
      <c r="AB351" s="313">
        <v>44915</v>
      </c>
      <c r="AC351" s="314" t="s">
        <v>4999</v>
      </c>
    </row>
    <row r="352" spans="1:29" ht="25.5" x14ac:dyDescent="0.25">
      <c r="A352" s="306" t="str">
        <f t="shared" si="17"/>
        <v>OK</v>
      </c>
      <c r="B352" s="307" t="str">
        <f t="shared" si="16"/>
        <v>OK</v>
      </c>
      <c r="C352" s="308" t="str">
        <f>IF(OR(ISBLANK(AA352),ISBLANK(AB352),ISBLANK(#REF!))=TRUE,"P","OK")</f>
        <v>OK</v>
      </c>
      <c r="D352" s="28">
        <v>0</v>
      </c>
      <c r="E352" s="49" t="s">
        <v>8195</v>
      </c>
      <c r="F352" s="49" t="s">
        <v>1345</v>
      </c>
      <c r="G352" s="49">
        <v>181825</v>
      </c>
      <c r="H352" s="49" t="s">
        <v>8196</v>
      </c>
      <c r="I352" s="49" t="s">
        <v>6820</v>
      </c>
      <c r="J352" s="49" t="s">
        <v>4998</v>
      </c>
      <c r="K352" s="49" t="s">
        <v>1406</v>
      </c>
      <c r="L352" s="49" t="s">
        <v>8197</v>
      </c>
      <c r="M352" s="49" t="s">
        <v>5083</v>
      </c>
      <c r="N352" s="316">
        <v>44914</v>
      </c>
      <c r="O352" s="316" t="s">
        <v>264</v>
      </c>
      <c r="P352" s="316">
        <v>44914</v>
      </c>
      <c r="Q352" s="316">
        <v>44914</v>
      </c>
      <c r="R352" s="316">
        <v>44914</v>
      </c>
      <c r="S352" s="317" t="s">
        <v>28</v>
      </c>
      <c r="T352" s="317" t="s">
        <v>28</v>
      </c>
      <c r="U352" s="322">
        <v>44914</v>
      </c>
      <c r="V352" s="317" t="s">
        <v>2198</v>
      </c>
      <c r="W352" s="317">
        <v>1</v>
      </c>
      <c r="X352" s="317" t="s">
        <v>4999</v>
      </c>
      <c r="Y352" s="322">
        <v>44915</v>
      </c>
      <c r="Z352" s="312" t="s">
        <v>264</v>
      </c>
      <c r="AA352" s="313">
        <v>44915</v>
      </c>
      <c r="AB352" s="313">
        <v>44915</v>
      </c>
      <c r="AC352" s="314" t="s">
        <v>4999</v>
      </c>
    </row>
    <row r="353" spans="1:29" ht="25.5" x14ac:dyDescent="0.25">
      <c r="A353" s="306" t="str">
        <f t="shared" si="17"/>
        <v>OK</v>
      </c>
      <c r="B353" s="307" t="str">
        <f t="shared" si="16"/>
        <v>OK</v>
      </c>
      <c r="C353" s="308" t="str">
        <f>IF(OR(ISBLANK(AA353),ISBLANK(AB353),ISBLANK(#REF!))=TRUE,"P","OK")</f>
        <v>OK</v>
      </c>
      <c r="D353" s="28">
        <v>0</v>
      </c>
      <c r="E353" s="49" t="s">
        <v>8198</v>
      </c>
      <c r="F353" s="49" t="s">
        <v>5001</v>
      </c>
      <c r="G353" s="49">
        <v>182410</v>
      </c>
      <c r="H353" s="49" t="s">
        <v>8199</v>
      </c>
      <c r="I353" s="49" t="s">
        <v>6820</v>
      </c>
      <c r="J353" s="49" t="s">
        <v>4998</v>
      </c>
      <c r="K353" s="49" t="s">
        <v>7361</v>
      </c>
      <c r="L353" s="49" t="s">
        <v>8200</v>
      </c>
      <c r="M353" s="49" t="s">
        <v>2647</v>
      </c>
      <c r="N353" s="316">
        <v>44895</v>
      </c>
      <c r="O353" s="316" t="s">
        <v>264</v>
      </c>
      <c r="P353" s="316">
        <v>44895</v>
      </c>
      <c r="Q353" s="316">
        <v>44895</v>
      </c>
      <c r="R353" s="316">
        <v>44902</v>
      </c>
      <c r="S353" s="317" t="s">
        <v>28</v>
      </c>
      <c r="T353" s="317" t="s">
        <v>28</v>
      </c>
      <c r="U353" s="322">
        <v>44915</v>
      </c>
      <c r="V353" s="317" t="s">
        <v>8181</v>
      </c>
      <c r="W353" s="317">
        <v>1</v>
      </c>
      <c r="X353" s="317" t="s">
        <v>4999</v>
      </c>
      <c r="Y353" s="322">
        <v>44946</v>
      </c>
      <c r="Z353" s="312" t="s">
        <v>264</v>
      </c>
      <c r="AA353" s="313">
        <v>44952</v>
      </c>
      <c r="AB353" s="313">
        <v>44952</v>
      </c>
      <c r="AC353" s="314" t="s">
        <v>4999</v>
      </c>
    </row>
    <row r="354" spans="1:29" ht="38.25" x14ac:dyDescent="0.25">
      <c r="A354" s="306" t="str">
        <f t="shared" si="17"/>
        <v>OK</v>
      </c>
      <c r="B354" s="307" t="str">
        <f t="shared" si="16"/>
        <v>OK</v>
      </c>
      <c r="C354" s="308" t="str">
        <f>IF(OR(ISBLANK(AA354),ISBLANK(AB354),ISBLANK(#REF!))=TRUE,"P","OK")</f>
        <v>OK</v>
      </c>
      <c r="D354" s="28">
        <v>0</v>
      </c>
      <c r="E354" s="49" t="s">
        <v>8201</v>
      </c>
      <c r="F354" s="49" t="s">
        <v>1345</v>
      </c>
      <c r="G354" s="49">
        <v>181825</v>
      </c>
      <c r="H354" s="49" t="s">
        <v>8202</v>
      </c>
      <c r="I354" s="49" t="s">
        <v>6820</v>
      </c>
      <c r="J354" s="49" t="s">
        <v>4998</v>
      </c>
      <c r="K354" s="49" t="s">
        <v>1406</v>
      </c>
      <c r="L354" s="49" t="s">
        <v>8203</v>
      </c>
      <c r="M354" s="49" t="s">
        <v>5062</v>
      </c>
      <c r="N354" s="316">
        <v>44915</v>
      </c>
      <c r="O354" s="316" t="s">
        <v>264</v>
      </c>
      <c r="P354" s="316">
        <v>44915</v>
      </c>
      <c r="Q354" s="316">
        <v>44915</v>
      </c>
      <c r="R354" s="316">
        <v>44915</v>
      </c>
      <c r="S354" s="317" t="s">
        <v>28</v>
      </c>
      <c r="T354" s="317" t="s">
        <v>28</v>
      </c>
      <c r="U354" s="322">
        <v>44915</v>
      </c>
      <c r="V354" s="317" t="s">
        <v>5088</v>
      </c>
      <c r="W354" s="317">
        <v>3</v>
      </c>
      <c r="X354" s="317" t="s">
        <v>4999</v>
      </c>
      <c r="Y354" s="322">
        <v>44916</v>
      </c>
      <c r="Z354" s="312" t="s">
        <v>264</v>
      </c>
      <c r="AA354" s="313">
        <v>44916</v>
      </c>
      <c r="AB354" s="313">
        <v>44916</v>
      </c>
      <c r="AC354" s="314" t="s">
        <v>4999</v>
      </c>
    </row>
    <row r="355" spans="1:29" ht="25.5" x14ac:dyDescent="0.25">
      <c r="A355" s="306" t="str">
        <f t="shared" si="17"/>
        <v>OK</v>
      </c>
      <c r="B355" s="307" t="str">
        <f t="shared" si="16"/>
        <v>OK</v>
      </c>
      <c r="C355" s="308" t="str">
        <f>IF(OR(ISBLANK(AA355),ISBLANK(AB355),ISBLANK(#REF!))=TRUE,"P","OK")</f>
        <v>OK</v>
      </c>
      <c r="D355" s="28">
        <v>0</v>
      </c>
      <c r="E355" s="49" t="s">
        <v>8204</v>
      </c>
      <c r="F355" s="49" t="s">
        <v>1345</v>
      </c>
      <c r="G355" s="49">
        <v>181825</v>
      </c>
      <c r="H355" s="49" t="s">
        <v>8205</v>
      </c>
      <c r="I355" s="49" t="s">
        <v>6820</v>
      </c>
      <c r="J355" s="49" t="s">
        <v>4998</v>
      </c>
      <c r="K355" s="49" t="s">
        <v>1406</v>
      </c>
      <c r="L355" s="49" t="s">
        <v>8206</v>
      </c>
      <c r="M355" s="49" t="s">
        <v>5062</v>
      </c>
      <c r="N355" s="316">
        <v>44917</v>
      </c>
      <c r="O355" s="316" t="s">
        <v>264</v>
      </c>
      <c r="P355" s="316">
        <v>44917</v>
      </c>
      <c r="Q355" s="316">
        <v>44917</v>
      </c>
      <c r="R355" s="316">
        <v>44917</v>
      </c>
      <c r="S355" s="317" t="s">
        <v>28</v>
      </c>
      <c r="T355" s="317" t="s">
        <v>28</v>
      </c>
      <c r="U355" s="322">
        <v>44917</v>
      </c>
      <c r="V355" s="317" t="s">
        <v>2198</v>
      </c>
      <c r="W355" s="317">
        <v>1</v>
      </c>
      <c r="X355" s="317" t="s">
        <v>4999</v>
      </c>
      <c r="Y355" s="322">
        <v>44921</v>
      </c>
      <c r="Z355" s="312" t="s">
        <v>264</v>
      </c>
      <c r="AA355" s="313">
        <v>44922</v>
      </c>
      <c r="AB355" s="313">
        <v>44922</v>
      </c>
      <c r="AC355" s="314" t="s">
        <v>4999</v>
      </c>
    </row>
    <row r="356" spans="1:29" ht="25.5" x14ac:dyDescent="0.25">
      <c r="A356" s="306" t="str">
        <f t="shared" si="17"/>
        <v>OK</v>
      </c>
      <c r="B356" s="307" t="str">
        <f t="shared" si="16"/>
        <v>OK</v>
      </c>
      <c r="C356" s="308" t="str">
        <f>IF(OR(ISBLANK(AA356),ISBLANK(AB356),ISBLANK(#REF!))=TRUE,"P","OK")</f>
        <v>OK</v>
      </c>
      <c r="D356" s="28">
        <v>0</v>
      </c>
      <c r="E356" s="49" t="s">
        <v>8207</v>
      </c>
      <c r="F356" s="49" t="s">
        <v>1345</v>
      </c>
      <c r="G356" s="49">
        <v>181825</v>
      </c>
      <c r="H356" s="49" t="s">
        <v>8208</v>
      </c>
      <c r="I356" s="49" t="s">
        <v>6820</v>
      </c>
      <c r="J356" s="49" t="s">
        <v>4998</v>
      </c>
      <c r="K356" s="49" t="s">
        <v>1406</v>
      </c>
      <c r="L356" s="49" t="s">
        <v>8209</v>
      </c>
      <c r="M356" s="49" t="s">
        <v>5062</v>
      </c>
      <c r="N356" s="316">
        <v>44917</v>
      </c>
      <c r="O356" s="316" t="s">
        <v>264</v>
      </c>
      <c r="P356" s="316">
        <v>44917</v>
      </c>
      <c r="Q356" s="316">
        <v>44917</v>
      </c>
      <c r="R356" s="316">
        <v>44917</v>
      </c>
      <c r="S356" s="317" t="s">
        <v>28</v>
      </c>
      <c r="T356" s="317" t="s">
        <v>28</v>
      </c>
      <c r="U356" s="322">
        <v>44917</v>
      </c>
      <c r="V356" s="317" t="s">
        <v>2198</v>
      </c>
      <c r="W356" s="317">
        <v>1</v>
      </c>
      <c r="X356" s="317" t="s">
        <v>4999</v>
      </c>
      <c r="Y356" s="322">
        <v>44921</v>
      </c>
      <c r="Z356" s="312" t="s">
        <v>264</v>
      </c>
      <c r="AA356" s="313">
        <v>44922</v>
      </c>
      <c r="AB356" s="313">
        <v>44922</v>
      </c>
      <c r="AC356" s="314" t="s">
        <v>4999</v>
      </c>
    </row>
    <row r="357" spans="1:29" x14ac:dyDescent="0.25">
      <c r="A357" s="306" t="str">
        <f t="shared" si="17"/>
        <v>OK</v>
      </c>
      <c r="B357" s="307" t="str">
        <f t="shared" si="16"/>
        <v>OK</v>
      </c>
      <c r="C357" s="308" t="str">
        <f>IF(OR(ISBLANK(AA357),ISBLANK(AB357),ISBLANK(#REF!))=TRUE,"P","OK")</f>
        <v>OK</v>
      </c>
      <c r="D357" s="28">
        <v>0</v>
      </c>
      <c r="E357" s="49" t="s">
        <v>8210</v>
      </c>
      <c r="F357" s="49" t="s">
        <v>1345</v>
      </c>
      <c r="G357" s="49">
        <v>181825</v>
      </c>
      <c r="H357" s="49" t="s">
        <v>8211</v>
      </c>
      <c r="I357" s="49" t="s">
        <v>6820</v>
      </c>
      <c r="J357" s="49" t="s">
        <v>4998</v>
      </c>
      <c r="K357" s="49" t="s">
        <v>547</v>
      </c>
      <c r="L357" s="49" t="s">
        <v>2318</v>
      </c>
      <c r="M357" s="49" t="s">
        <v>5062</v>
      </c>
      <c r="N357" s="316">
        <v>44917</v>
      </c>
      <c r="O357" s="316" t="s">
        <v>264</v>
      </c>
      <c r="P357" s="316">
        <v>44917</v>
      </c>
      <c r="Q357" s="316">
        <v>44917</v>
      </c>
      <c r="R357" s="316">
        <v>44917</v>
      </c>
      <c r="S357" s="317" t="s">
        <v>28</v>
      </c>
      <c r="T357" s="317" t="s">
        <v>28</v>
      </c>
      <c r="U357" s="322">
        <v>44917</v>
      </c>
      <c r="V357" s="317" t="s">
        <v>2227</v>
      </c>
      <c r="W357" s="317">
        <v>2</v>
      </c>
      <c r="X357" s="317" t="s">
        <v>4999</v>
      </c>
      <c r="Y357" s="322">
        <v>44921</v>
      </c>
      <c r="Z357" s="312" t="s">
        <v>264</v>
      </c>
      <c r="AA357" s="313">
        <v>44922</v>
      </c>
      <c r="AB357" s="313">
        <v>44922</v>
      </c>
      <c r="AC357" s="314" t="s">
        <v>4999</v>
      </c>
    </row>
    <row r="358" spans="1:29" x14ac:dyDescent="0.25">
      <c r="A358" s="306" t="str">
        <f t="shared" si="17"/>
        <v>OK</v>
      </c>
      <c r="B358" s="307" t="str">
        <f t="shared" ref="B358:B421" si="18">IF(OR(ISBLANK(S358),ISBLANK(T358),ISBLANK(U358),ISBLANK(V358),ISBLANK(W358),ISBLANK(X358),ISBLANK(Y358),ISBLANK(Z358))=TRUE,"P","OK")</f>
        <v>P</v>
      </c>
      <c r="C358" s="308" t="str">
        <f>IF(OR(ISBLANK(AA358),ISBLANK(AB358),ISBLANK(#REF!))=TRUE,"P","OK")</f>
        <v>P</v>
      </c>
      <c r="D358" s="28">
        <v>0</v>
      </c>
      <c r="E358" s="49" t="s">
        <v>8212</v>
      </c>
      <c r="F358" s="49" t="s">
        <v>7276</v>
      </c>
      <c r="G358" s="49">
        <v>182454</v>
      </c>
      <c r="H358" s="49" t="s">
        <v>8213</v>
      </c>
      <c r="I358" s="49" t="s">
        <v>6820</v>
      </c>
      <c r="J358" s="49" t="s">
        <v>4998</v>
      </c>
      <c r="K358" s="49" t="s">
        <v>8214</v>
      </c>
      <c r="L358" s="49" t="s">
        <v>8215</v>
      </c>
      <c r="M358" s="49" t="s">
        <v>7296</v>
      </c>
      <c r="N358" s="316">
        <v>44921</v>
      </c>
      <c r="O358" s="316" t="s">
        <v>264</v>
      </c>
      <c r="P358" s="316">
        <v>44921</v>
      </c>
      <c r="Q358" s="316">
        <v>44921</v>
      </c>
      <c r="R358" s="316">
        <v>44921</v>
      </c>
      <c r="S358" s="317"/>
      <c r="T358" s="317"/>
      <c r="U358" s="317"/>
      <c r="V358" s="317"/>
      <c r="W358" s="317"/>
      <c r="X358" s="317"/>
      <c r="Y358" s="317"/>
      <c r="Z358" s="312"/>
      <c r="AA358" s="312"/>
      <c r="AB358" s="312"/>
      <c r="AC358" s="314"/>
    </row>
    <row r="359" spans="1:29" ht="25.5" x14ac:dyDescent="0.25">
      <c r="A359" s="306" t="str">
        <f t="shared" si="17"/>
        <v>OK</v>
      </c>
      <c r="B359" s="307" t="str">
        <f t="shared" si="18"/>
        <v>OK</v>
      </c>
      <c r="C359" s="308" t="str">
        <f>IF(OR(ISBLANK(AA359),ISBLANK(AB359),ISBLANK(#REF!))=TRUE,"P","OK")</f>
        <v>OK</v>
      </c>
      <c r="D359" s="28">
        <v>0</v>
      </c>
      <c r="E359" s="49" t="s">
        <v>8216</v>
      </c>
      <c r="F359" s="49" t="s">
        <v>1345</v>
      </c>
      <c r="G359" s="49">
        <v>181825</v>
      </c>
      <c r="H359" s="49" t="s">
        <v>8217</v>
      </c>
      <c r="I359" s="49" t="s">
        <v>6820</v>
      </c>
      <c r="J359" s="49" t="s">
        <v>4998</v>
      </c>
      <c r="K359" s="49" t="s">
        <v>1406</v>
      </c>
      <c r="L359" s="49" t="s">
        <v>8218</v>
      </c>
      <c r="M359" s="49" t="s">
        <v>5062</v>
      </c>
      <c r="N359" s="316">
        <v>44922</v>
      </c>
      <c r="O359" s="316" t="s">
        <v>264</v>
      </c>
      <c r="P359" s="316">
        <v>44922</v>
      </c>
      <c r="Q359" s="316">
        <v>44922</v>
      </c>
      <c r="R359" s="316">
        <v>44922</v>
      </c>
      <c r="S359" s="317" t="s">
        <v>28</v>
      </c>
      <c r="T359" s="317" t="s">
        <v>28</v>
      </c>
      <c r="U359" s="322">
        <v>44922</v>
      </c>
      <c r="V359" s="317" t="s">
        <v>2198</v>
      </c>
      <c r="W359" s="317">
        <v>1</v>
      </c>
      <c r="X359" s="317" t="s">
        <v>4999</v>
      </c>
      <c r="Y359" s="322">
        <v>44923</v>
      </c>
      <c r="Z359" s="312" t="s">
        <v>264</v>
      </c>
      <c r="AA359" s="313">
        <v>44923</v>
      </c>
      <c r="AB359" s="313">
        <v>44923</v>
      </c>
      <c r="AC359" s="314" t="s">
        <v>4999</v>
      </c>
    </row>
    <row r="360" spans="1:29" x14ac:dyDescent="0.25">
      <c r="A360" s="306" t="str">
        <f t="shared" si="17"/>
        <v>OK</v>
      </c>
      <c r="B360" s="307" t="str">
        <f t="shared" si="18"/>
        <v>OK</v>
      </c>
      <c r="C360" s="308" t="str">
        <f>IF(OR(ISBLANK(AA360),ISBLANK(AB360),ISBLANK(#REF!))=TRUE,"P","OK")</f>
        <v>OK</v>
      </c>
      <c r="D360" s="28">
        <v>0</v>
      </c>
      <c r="E360" s="49" t="s">
        <v>8219</v>
      </c>
      <c r="F360" s="49" t="s">
        <v>1345</v>
      </c>
      <c r="G360" s="49">
        <v>181825</v>
      </c>
      <c r="H360" s="49" t="s">
        <v>8220</v>
      </c>
      <c r="I360" s="49" t="s">
        <v>6820</v>
      </c>
      <c r="J360" s="49" t="s">
        <v>4998</v>
      </c>
      <c r="K360" s="49" t="s">
        <v>1406</v>
      </c>
      <c r="L360" s="49" t="s">
        <v>2413</v>
      </c>
      <c r="M360" s="49" t="s">
        <v>5062</v>
      </c>
      <c r="N360" s="316">
        <v>44923</v>
      </c>
      <c r="O360" s="316" t="s">
        <v>264</v>
      </c>
      <c r="P360" s="316">
        <v>44923</v>
      </c>
      <c r="Q360" s="316">
        <v>44923</v>
      </c>
      <c r="R360" s="316">
        <v>44923</v>
      </c>
      <c r="S360" s="317" t="s">
        <v>28</v>
      </c>
      <c r="T360" s="317" t="s">
        <v>28</v>
      </c>
      <c r="U360" s="322">
        <v>44923</v>
      </c>
      <c r="V360" s="317" t="s">
        <v>2216</v>
      </c>
      <c r="W360" s="317">
        <v>2</v>
      </c>
      <c r="X360" s="317" t="s">
        <v>4999</v>
      </c>
      <c r="Y360" s="322">
        <v>44923</v>
      </c>
      <c r="Z360" s="312" t="s">
        <v>264</v>
      </c>
      <c r="AA360" s="313">
        <v>44928</v>
      </c>
      <c r="AB360" s="313">
        <v>44929</v>
      </c>
      <c r="AC360" s="314" t="s">
        <v>4999</v>
      </c>
    </row>
    <row r="361" spans="1:29" ht="25.5" x14ac:dyDescent="0.25">
      <c r="A361" s="306" t="str">
        <f t="shared" si="17"/>
        <v>OK</v>
      </c>
      <c r="B361" s="307" t="str">
        <f t="shared" si="18"/>
        <v>OK</v>
      </c>
      <c r="C361" s="308" t="str">
        <f>IF(OR(ISBLANK(AA361),ISBLANK(AB361),ISBLANK(#REF!))=TRUE,"P","OK")</f>
        <v>OK</v>
      </c>
      <c r="D361" s="28">
        <v>0</v>
      </c>
      <c r="E361" s="49" t="s">
        <v>8221</v>
      </c>
      <c r="F361" s="49" t="s">
        <v>1854</v>
      </c>
      <c r="G361" s="49">
        <v>182460</v>
      </c>
      <c r="H361" s="49" t="s">
        <v>8222</v>
      </c>
      <c r="I361" s="49" t="s">
        <v>6820</v>
      </c>
      <c r="J361" s="49" t="s">
        <v>4998</v>
      </c>
      <c r="K361" s="49" t="s">
        <v>1406</v>
      </c>
      <c r="L361" s="49" t="s">
        <v>8223</v>
      </c>
      <c r="M361" s="49" t="s">
        <v>149</v>
      </c>
      <c r="N361" s="316">
        <v>44932</v>
      </c>
      <c r="O361" s="316" t="s">
        <v>264</v>
      </c>
      <c r="P361" s="316">
        <v>44932</v>
      </c>
      <c r="Q361" s="316">
        <v>44932</v>
      </c>
      <c r="R361" s="316">
        <v>44932</v>
      </c>
      <c r="S361" s="317" t="s">
        <v>28</v>
      </c>
      <c r="T361" s="317" t="s">
        <v>28</v>
      </c>
      <c r="U361" s="322">
        <v>44933</v>
      </c>
      <c r="V361" s="317" t="s">
        <v>150</v>
      </c>
      <c r="W361" s="317">
        <v>1</v>
      </c>
      <c r="X361" s="317" t="s">
        <v>4999</v>
      </c>
      <c r="Y361" s="322">
        <v>44935</v>
      </c>
      <c r="Z361" s="312" t="s">
        <v>264</v>
      </c>
      <c r="AA361" s="313">
        <v>44935</v>
      </c>
      <c r="AB361" s="313">
        <v>44935</v>
      </c>
      <c r="AC361" s="314" t="s">
        <v>4999</v>
      </c>
    </row>
    <row r="362" spans="1:29" ht="63.75" x14ac:dyDescent="0.25">
      <c r="A362" s="306" t="str">
        <f t="shared" si="17"/>
        <v>OK</v>
      </c>
      <c r="B362" s="307" t="str">
        <f t="shared" si="18"/>
        <v>OK</v>
      </c>
      <c r="C362" s="308" t="str">
        <f>IF(OR(ISBLANK(AA362),ISBLANK(AB362),ISBLANK(#REF!))=TRUE,"P","OK")</f>
        <v>OK</v>
      </c>
      <c r="D362" s="28">
        <v>0</v>
      </c>
      <c r="E362" s="49" t="s">
        <v>8224</v>
      </c>
      <c r="F362" s="49" t="s">
        <v>1854</v>
      </c>
      <c r="G362" s="49">
        <v>182460</v>
      </c>
      <c r="H362" s="49" t="s">
        <v>8225</v>
      </c>
      <c r="I362" s="49" t="s">
        <v>6820</v>
      </c>
      <c r="J362" s="49" t="s">
        <v>4998</v>
      </c>
      <c r="K362" s="49" t="s">
        <v>5502</v>
      </c>
      <c r="L362" s="49" t="s">
        <v>8226</v>
      </c>
      <c r="M362" s="49" t="s">
        <v>149</v>
      </c>
      <c r="N362" s="316">
        <v>44932</v>
      </c>
      <c r="O362" s="316" t="s">
        <v>264</v>
      </c>
      <c r="P362" s="316">
        <v>44932</v>
      </c>
      <c r="Q362" s="316">
        <v>44932</v>
      </c>
      <c r="R362" s="316">
        <v>44932</v>
      </c>
      <c r="S362" s="317" t="s">
        <v>28</v>
      </c>
      <c r="T362" s="317" t="s">
        <v>28</v>
      </c>
      <c r="U362" s="322">
        <v>44933</v>
      </c>
      <c r="V362" s="317" t="s">
        <v>384</v>
      </c>
      <c r="W362" s="317">
        <v>2</v>
      </c>
      <c r="X362" s="317" t="s">
        <v>4999</v>
      </c>
      <c r="Y362" s="322">
        <v>44935</v>
      </c>
      <c r="Z362" s="312" t="s">
        <v>264</v>
      </c>
      <c r="AA362" s="313">
        <v>44935</v>
      </c>
      <c r="AB362" s="313">
        <v>44935</v>
      </c>
      <c r="AC362" s="314" t="s">
        <v>4999</v>
      </c>
    </row>
    <row r="363" spans="1:29" ht="204" x14ac:dyDescent="0.25">
      <c r="A363" s="306" t="str">
        <f t="shared" si="17"/>
        <v>P</v>
      </c>
      <c r="B363" s="307" t="str">
        <f t="shared" si="18"/>
        <v>P</v>
      </c>
      <c r="C363" s="308" t="str">
        <f>IF(OR(ISBLANK(AA363),ISBLANK(AB363),ISBLANK(#REF!))=TRUE,"P","OK")</f>
        <v>P</v>
      </c>
      <c r="D363" s="28">
        <v>0</v>
      </c>
      <c r="E363" s="49">
        <v>181717</v>
      </c>
      <c r="F363" s="49" t="s">
        <v>8227</v>
      </c>
      <c r="G363" s="49" t="s">
        <v>8228</v>
      </c>
      <c r="H363" s="49" t="s">
        <v>8229</v>
      </c>
      <c r="I363" s="49" t="s">
        <v>8230</v>
      </c>
      <c r="J363" s="49" t="s">
        <v>8231</v>
      </c>
      <c r="K363" s="49" t="s">
        <v>8232</v>
      </c>
      <c r="L363" s="49" t="s">
        <v>8233</v>
      </c>
      <c r="M363" s="49" t="s">
        <v>8234</v>
      </c>
      <c r="N363" s="316"/>
      <c r="O363" s="316"/>
      <c r="P363" s="316"/>
      <c r="Q363" s="316"/>
      <c r="R363" s="316"/>
      <c r="S363" s="317"/>
      <c r="T363" s="317"/>
      <c r="U363" s="317"/>
      <c r="V363" s="317"/>
      <c r="W363" s="317"/>
      <c r="X363" s="317"/>
      <c r="Y363" s="317"/>
      <c r="Z363" s="312"/>
      <c r="AA363" s="312"/>
      <c r="AB363" s="312"/>
      <c r="AC363" s="314"/>
    </row>
    <row r="364" spans="1:29" x14ac:dyDescent="0.25">
      <c r="A364" s="306" t="str">
        <f t="shared" si="17"/>
        <v>P</v>
      </c>
      <c r="B364" s="307" t="str">
        <f t="shared" si="18"/>
        <v>P</v>
      </c>
      <c r="C364" s="308" t="str">
        <f>IF(OR(ISBLANK(AA364),ISBLANK(AB364),ISBLANK(#REF!))=TRUE,"P","OK")</f>
        <v>P</v>
      </c>
      <c r="D364" s="28">
        <v>0</v>
      </c>
      <c r="E364" s="49"/>
      <c r="F364" s="49"/>
      <c r="G364" s="49"/>
      <c r="H364" s="49"/>
      <c r="I364" s="49"/>
      <c r="J364" s="49"/>
      <c r="K364" s="49"/>
      <c r="L364" s="49"/>
      <c r="M364" s="49"/>
      <c r="N364" s="316"/>
      <c r="O364" s="316"/>
      <c r="P364" s="316"/>
      <c r="Q364" s="316"/>
      <c r="R364" s="316"/>
      <c r="S364" s="317"/>
      <c r="T364" s="317"/>
      <c r="U364" s="317"/>
      <c r="V364" s="317"/>
      <c r="W364" s="317"/>
      <c r="X364" s="317"/>
      <c r="Y364" s="317"/>
      <c r="Z364" s="312"/>
      <c r="AA364" s="312"/>
      <c r="AB364" s="312"/>
      <c r="AC364" s="314"/>
    </row>
    <row r="365" spans="1:29" x14ac:dyDescent="0.25">
      <c r="A365" s="306" t="str">
        <f t="shared" si="17"/>
        <v>P</v>
      </c>
      <c r="B365" s="307" t="str">
        <f t="shared" si="18"/>
        <v>P</v>
      </c>
      <c r="C365" s="308" t="str">
        <f>IF(OR(ISBLANK(AA365),ISBLANK(AB365),ISBLANK(#REF!))=TRUE,"P","OK")</f>
        <v>P</v>
      </c>
      <c r="D365" s="28">
        <v>0</v>
      </c>
      <c r="E365" s="49"/>
      <c r="F365" s="49"/>
      <c r="G365" s="49"/>
      <c r="H365" s="49"/>
      <c r="I365" s="49"/>
      <c r="J365" s="49"/>
      <c r="K365" s="49"/>
      <c r="L365" s="49"/>
      <c r="M365" s="49"/>
      <c r="N365" s="316"/>
      <c r="O365" s="316"/>
      <c r="P365" s="316"/>
      <c r="Q365" s="316"/>
      <c r="R365" s="316"/>
      <c r="S365" s="317"/>
      <c r="T365" s="317"/>
      <c r="U365" s="317"/>
      <c r="V365" s="317"/>
      <c r="W365" s="317"/>
      <c r="X365" s="317"/>
      <c r="Y365" s="317"/>
      <c r="Z365" s="312"/>
      <c r="AA365" s="312"/>
      <c r="AB365" s="312"/>
      <c r="AC365" s="314"/>
    </row>
    <row r="366" spans="1:29" x14ac:dyDescent="0.25">
      <c r="A366" s="306" t="str">
        <f t="shared" si="17"/>
        <v>P</v>
      </c>
      <c r="B366" s="307" t="str">
        <f t="shared" si="18"/>
        <v>P</v>
      </c>
      <c r="C366" s="308" t="str">
        <f>IF(OR(ISBLANK(AA366),ISBLANK(AB366),ISBLANK(#REF!))=TRUE,"P","OK")</f>
        <v>P</v>
      </c>
      <c r="D366" s="28">
        <v>0</v>
      </c>
      <c r="E366" s="49"/>
      <c r="F366" s="49"/>
      <c r="G366" s="49"/>
      <c r="H366" s="49"/>
      <c r="I366" s="49"/>
      <c r="J366" s="49"/>
      <c r="K366" s="49"/>
      <c r="L366" s="49"/>
      <c r="M366" s="49"/>
      <c r="N366" s="316"/>
      <c r="O366" s="316"/>
      <c r="P366" s="316"/>
      <c r="Q366" s="316"/>
      <c r="R366" s="316"/>
      <c r="S366" s="317"/>
      <c r="T366" s="317"/>
      <c r="U366" s="317"/>
      <c r="V366" s="317"/>
      <c r="W366" s="317"/>
      <c r="X366" s="317"/>
      <c r="Y366" s="317"/>
      <c r="Z366" s="312"/>
      <c r="AA366" s="312"/>
      <c r="AB366" s="312"/>
      <c r="AC366" s="314"/>
    </row>
    <row r="367" spans="1:29" x14ac:dyDescent="0.25">
      <c r="A367" s="306" t="str">
        <f t="shared" si="17"/>
        <v>P</v>
      </c>
      <c r="B367" s="307" t="str">
        <f t="shared" si="18"/>
        <v>P</v>
      </c>
      <c r="C367" s="308" t="str">
        <f>IF(OR(ISBLANK(AA367),ISBLANK(AB367),ISBLANK(#REF!))=TRUE,"P","OK")</f>
        <v>P</v>
      </c>
      <c r="D367" s="28">
        <v>0</v>
      </c>
      <c r="E367" s="49"/>
      <c r="F367" s="49"/>
      <c r="G367" s="49"/>
      <c r="H367" s="49"/>
      <c r="I367" s="49"/>
      <c r="J367" s="49"/>
      <c r="K367" s="49"/>
      <c r="L367" s="49"/>
      <c r="M367" s="49"/>
      <c r="N367" s="316"/>
      <c r="O367" s="316"/>
      <c r="P367" s="316"/>
      <c r="Q367" s="316"/>
      <c r="R367" s="316"/>
      <c r="S367" s="317"/>
      <c r="T367" s="317"/>
      <c r="U367" s="317"/>
      <c r="V367" s="317"/>
      <c r="W367" s="317"/>
      <c r="X367" s="317"/>
      <c r="Y367" s="317"/>
      <c r="Z367" s="312"/>
      <c r="AA367" s="312"/>
      <c r="AB367" s="312"/>
      <c r="AC367" s="314"/>
    </row>
    <row r="368" spans="1:29" x14ac:dyDescent="0.25">
      <c r="A368" s="306" t="str">
        <f t="shared" si="17"/>
        <v>P</v>
      </c>
      <c r="B368" s="307" t="str">
        <f t="shared" si="18"/>
        <v>P</v>
      </c>
      <c r="C368" s="308" t="str">
        <f>IF(OR(ISBLANK(AA368),ISBLANK(AB368),ISBLANK(#REF!))=TRUE,"P","OK")</f>
        <v>P</v>
      </c>
      <c r="D368" s="28">
        <v>0</v>
      </c>
      <c r="E368" s="49"/>
      <c r="F368" s="49"/>
      <c r="G368" s="49"/>
      <c r="H368" s="49"/>
      <c r="I368" s="49"/>
      <c r="J368" s="49"/>
      <c r="K368" s="49"/>
      <c r="L368" s="49"/>
      <c r="M368" s="49"/>
      <c r="N368" s="316"/>
      <c r="O368" s="316"/>
      <c r="P368" s="316"/>
      <c r="Q368" s="316"/>
      <c r="R368" s="316"/>
      <c r="S368" s="317"/>
      <c r="T368" s="317"/>
      <c r="U368" s="317"/>
      <c r="V368" s="317"/>
      <c r="W368" s="317"/>
      <c r="X368" s="317"/>
      <c r="Y368" s="317"/>
      <c r="Z368" s="312"/>
      <c r="AA368" s="312"/>
      <c r="AB368" s="312"/>
      <c r="AC368" s="314"/>
    </row>
    <row r="369" spans="1:29" x14ac:dyDescent="0.25">
      <c r="A369" s="306" t="str">
        <f t="shared" si="17"/>
        <v>P</v>
      </c>
      <c r="B369" s="307" t="str">
        <f t="shared" si="18"/>
        <v>P</v>
      </c>
      <c r="C369" s="308" t="str">
        <f>IF(OR(ISBLANK(AA369),ISBLANK(AB369),ISBLANK(#REF!))=TRUE,"P","OK")</f>
        <v>P</v>
      </c>
      <c r="D369" s="28">
        <v>0</v>
      </c>
      <c r="E369" s="49"/>
      <c r="F369" s="49"/>
      <c r="G369" s="49"/>
      <c r="H369" s="49"/>
      <c r="I369" s="49"/>
      <c r="J369" s="49"/>
      <c r="K369" s="49"/>
      <c r="L369" s="49"/>
      <c r="M369" s="49"/>
      <c r="N369" s="316"/>
      <c r="O369" s="316"/>
      <c r="P369" s="316"/>
      <c r="Q369" s="316"/>
      <c r="R369" s="316"/>
      <c r="S369" s="317"/>
      <c r="T369" s="317"/>
      <c r="U369" s="317"/>
      <c r="V369" s="317"/>
      <c r="W369" s="317"/>
      <c r="X369" s="317"/>
      <c r="Y369" s="317"/>
      <c r="Z369" s="312"/>
      <c r="AA369" s="312"/>
      <c r="AB369" s="312"/>
      <c r="AC369" s="314"/>
    </row>
    <row r="370" spans="1:29" x14ac:dyDescent="0.25">
      <c r="A370" s="306" t="str">
        <f t="shared" si="17"/>
        <v>P</v>
      </c>
      <c r="B370" s="307" t="str">
        <f t="shared" si="18"/>
        <v>P</v>
      </c>
      <c r="C370" s="308" t="str">
        <f>IF(OR(ISBLANK(AA370),ISBLANK(AB370),ISBLANK(#REF!))=TRUE,"P","OK")</f>
        <v>P</v>
      </c>
      <c r="D370" s="28">
        <v>0</v>
      </c>
      <c r="E370" s="49"/>
      <c r="F370" s="49"/>
      <c r="G370" s="49"/>
      <c r="H370" s="49"/>
      <c r="I370" s="49"/>
      <c r="J370" s="49"/>
      <c r="K370" s="49"/>
      <c r="L370" s="49"/>
      <c r="M370" s="49"/>
      <c r="N370" s="316"/>
      <c r="O370" s="316"/>
      <c r="P370" s="316"/>
      <c r="Q370" s="316"/>
      <c r="R370" s="316"/>
      <c r="S370" s="317"/>
      <c r="T370" s="317"/>
      <c r="U370" s="317"/>
      <c r="V370" s="317"/>
      <c r="W370" s="317"/>
      <c r="X370" s="317"/>
      <c r="Y370" s="317"/>
      <c r="Z370" s="312"/>
      <c r="AA370" s="312"/>
      <c r="AB370" s="312"/>
      <c r="AC370" s="314"/>
    </row>
    <row r="371" spans="1:29" x14ac:dyDescent="0.25">
      <c r="A371" s="306" t="str">
        <f t="shared" si="17"/>
        <v>P</v>
      </c>
      <c r="B371" s="307" t="str">
        <f t="shared" si="18"/>
        <v>P</v>
      </c>
      <c r="C371" s="308" t="str">
        <f>IF(OR(ISBLANK(AA371),ISBLANK(AB371),ISBLANK(#REF!))=TRUE,"P","OK")</f>
        <v>P</v>
      </c>
      <c r="D371" s="28">
        <v>0</v>
      </c>
      <c r="E371" s="49"/>
      <c r="F371" s="49"/>
      <c r="G371" s="49"/>
      <c r="H371" s="49"/>
      <c r="I371" s="49"/>
      <c r="J371" s="49"/>
      <c r="K371" s="49"/>
      <c r="L371" s="49"/>
      <c r="M371" s="49"/>
      <c r="N371" s="316"/>
      <c r="O371" s="316"/>
      <c r="P371" s="316"/>
      <c r="Q371" s="316"/>
      <c r="R371" s="316"/>
      <c r="S371" s="317"/>
      <c r="T371" s="317"/>
      <c r="U371" s="317"/>
      <c r="V371" s="317"/>
      <c r="W371" s="317"/>
      <c r="X371" s="317"/>
      <c r="Y371" s="317"/>
      <c r="Z371" s="312"/>
      <c r="AA371" s="312"/>
      <c r="AB371" s="312"/>
      <c r="AC371" s="314"/>
    </row>
    <row r="372" spans="1:29" x14ac:dyDescent="0.25">
      <c r="A372" s="306" t="str">
        <f t="shared" si="17"/>
        <v>P</v>
      </c>
      <c r="B372" s="307" t="str">
        <f t="shared" si="18"/>
        <v>P</v>
      </c>
      <c r="C372" s="308" t="str">
        <f>IF(OR(ISBLANK(AA372),ISBLANK(AB372),ISBLANK(#REF!))=TRUE,"P","OK")</f>
        <v>P</v>
      </c>
      <c r="D372" s="28">
        <v>0</v>
      </c>
      <c r="E372" s="49"/>
      <c r="F372" s="49"/>
      <c r="G372" s="49"/>
      <c r="H372" s="49"/>
      <c r="I372" s="49"/>
      <c r="J372" s="49"/>
      <c r="K372" s="49"/>
      <c r="L372" s="49"/>
      <c r="M372" s="49"/>
      <c r="N372" s="316"/>
      <c r="O372" s="316"/>
      <c r="P372" s="316"/>
      <c r="Q372" s="316"/>
      <c r="R372" s="316"/>
      <c r="S372" s="317"/>
      <c r="T372" s="317"/>
      <c r="U372" s="317"/>
      <c r="V372" s="317"/>
      <c r="W372" s="317"/>
      <c r="X372" s="317"/>
      <c r="Y372" s="317"/>
      <c r="Z372" s="312"/>
      <c r="AA372" s="312"/>
      <c r="AB372" s="312"/>
      <c r="AC372" s="314"/>
    </row>
    <row r="373" spans="1:29" x14ac:dyDescent="0.25">
      <c r="A373" s="306" t="str">
        <f t="shared" si="17"/>
        <v>P</v>
      </c>
      <c r="B373" s="307" t="str">
        <f t="shared" si="18"/>
        <v>P</v>
      </c>
      <c r="C373" s="308" t="str">
        <f>IF(OR(ISBLANK(AA373),ISBLANK(AB373),ISBLANK(#REF!))=TRUE,"P","OK")</f>
        <v>P</v>
      </c>
      <c r="D373" s="28">
        <v>0</v>
      </c>
      <c r="E373" s="49"/>
      <c r="F373" s="49"/>
      <c r="G373" s="49"/>
      <c r="H373" s="49"/>
      <c r="I373" s="49"/>
      <c r="J373" s="49"/>
      <c r="K373" s="49"/>
      <c r="L373" s="49"/>
      <c r="M373" s="49"/>
      <c r="N373" s="316"/>
      <c r="O373" s="316"/>
      <c r="P373" s="316"/>
      <c r="Q373" s="316"/>
      <c r="R373" s="316"/>
      <c r="S373" s="317"/>
      <c r="T373" s="317"/>
      <c r="U373" s="317"/>
      <c r="V373" s="317"/>
      <c r="W373" s="317"/>
      <c r="X373" s="317"/>
      <c r="Y373" s="317"/>
      <c r="Z373" s="312"/>
      <c r="AA373" s="312"/>
      <c r="AB373" s="312"/>
      <c r="AC373" s="314"/>
    </row>
    <row r="374" spans="1:29" x14ac:dyDescent="0.25">
      <c r="A374" s="306" t="str">
        <f t="shared" si="17"/>
        <v>P</v>
      </c>
      <c r="B374" s="307" t="str">
        <f t="shared" si="18"/>
        <v>P</v>
      </c>
      <c r="C374" s="308" t="str">
        <f>IF(OR(ISBLANK(AA374),ISBLANK(AB374),ISBLANK(#REF!))=TRUE,"P","OK")</f>
        <v>P</v>
      </c>
      <c r="D374" s="28">
        <v>0</v>
      </c>
      <c r="E374" s="49"/>
      <c r="F374" s="49"/>
      <c r="G374" s="49"/>
      <c r="H374" s="49"/>
      <c r="I374" s="49"/>
      <c r="J374" s="49"/>
      <c r="K374" s="49"/>
      <c r="L374" s="49"/>
      <c r="M374" s="49"/>
      <c r="N374" s="316"/>
      <c r="O374" s="316"/>
      <c r="P374" s="316"/>
      <c r="Q374" s="316"/>
      <c r="R374" s="316"/>
      <c r="S374" s="317"/>
      <c r="T374" s="317"/>
      <c r="U374" s="317"/>
      <c r="V374" s="317"/>
      <c r="W374" s="317"/>
      <c r="X374" s="317"/>
      <c r="Y374" s="317"/>
      <c r="Z374" s="312"/>
      <c r="AA374" s="312"/>
      <c r="AB374" s="312"/>
      <c r="AC374" s="314"/>
    </row>
    <row r="375" spans="1:29" x14ac:dyDescent="0.25">
      <c r="A375" s="306" t="str">
        <f t="shared" si="17"/>
        <v>P</v>
      </c>
      <c r="B375" s="307" t="str">
        <f t="shared" si="18"/>
        <v>P</v>
      </c>
      <c r="C375" s="308" t="str">
        <f>IF(OR(ISBLANK(AA375),ISBLANK(AB375),ISBLANK(#REF!))=TRUE,"P","OK")</f>
        <v>P</v>
      </c>
      <c r="D375" s="28">
        <v>0</v>
      </c>
      <c r="E375" s="49"/>
      <c r="F375" s="49"/>
      <c r="G375" s="49"/>
      <c r="H375" s="49"/>
      <c r="I375" s="49"/>
      <c r="J375" s="49"/>
      <c r="K375" s="49"/>
      <c r="L375" s="49"/>
      <c r="M375" s="49"/>
      <c r="N375" s="316"/>
      <c r="O375" s="316"/>
      <c r="P375" s="316"/>
      <c r="Q375" s="316"/>
      <c r="R375" s="316"/>
      <c r="S375" s="317"/>
      <c r="T375" s="317"/>
      <c r="U375" s="317"/>
      <c r="V375" s="317"/>
      <c r="W375" s="317"/>
      <c r="X375" s="317"/>
      <c r="Y375" s="317"/>
      <c r="Z375" s="312"/>
      <c r="AA375" s="312"/>
      <c r="AB375" s="312"/>
      <c r="AC375" s="314"/>
    </row>
    <row r="376" spans="1:29" x14ac:dyDescent="0.25">
      <c r="A376" s="306" t="str">
        <f t="shared" si="17"/>
        <v>P</v>
      </c>
      <c r="B376" s="307" t="str">
        <f t="shared" si="18"/>
        <v>P</v>
      </c>
      <c r="C376" s="308" t="str">
        <f>IF(OR(ISBLANK(AA376),ISBLANK(AB376),ISBLANK(#REF!))=TRUE,"P","OK")</f>
        <v>P</v>
      </c>
      <c r="D376" s="28">
        <v>0</v>
      </c>
      <c r="E376" s="49"/>
      <c r="F376" s="49"/>
      <c r="G376" s="49"/>
      <c r="H376" s="49"/>
      <c r="I376" s="49"/>
      <c r="J376" s="49"/>
      <c r="K376" s="49"/>
      <c r="L376" s="49"/>
      <c r="M376" s="49"/>
      <c r="N376" s="316"/>
      <c r="O376" s="316"/>
      <c r="P376" s="316"/>
      <c r="Q376" s="316"/>
      <c r="R376" s="316"/>
      <c r="S376" s="317"/>
      <c r="T376" s="317"/>
      <c r="U376" s="317"/>
      <c r="V376" s="317"/>
      <c r="W376" s="317"/>
      <c r="X376" s="317"/>
      <c r="Y376" s="317"/>
      <c r="Z376" s="312"/>
      <c r="AA376" s="312"/>
      <c r="AB376" s="312"/>
      <c r="AC376" s="314"/>
    </row>
    <row r="377" spans="1:29" x14ac:dyDescent="0.25">
      <c r="A377" s="306" t="str">
        <f t="shared" si="17"/>
        <v>P</v>
      </c>
      <c r="B377" s="307" t="str">
        <f t="shared" si="18"/>
        <v>P</v>
      </c>
      <c r="C377" s="308" t="str">
        <f>IF(OR(ISBLANK(AA377),ISBLANK(AB377),ISBLANK(#REF!))=TRUE,"P","OK")</f>
        <v>P</v>
      </c>
      <c r="D377" s="28">
        <v>0</v>
      </c>
      <c r="E377" s="49"/>
      <c r="F377" s="49"/>
      <c r="G377" s="49"/>
      <c r="H377" s="49"/>
      <c r="I377" s="49"/>
      <c r="J377" s="49"/>
      <c r="K377" s="49"/>
      <c r="L377" s="49"/>
      <c r="M377" s="49"/>
      <c r="N377" s="316"/>
      <c r="O377" s="316"/>
      <c r="P377" s="316"/>
      <c r="Q377" s="316"/>
      <c r="R377" s="316"/>
      <c r="S377" s="317"/>
      <c r="T377" s="317"/>
      <c r="U377" s="317"/>
      <c r="V377" s="317"/>
      <c r="W377" s="317"/>
      <c r="X377" s="317"/>
      <c r="Y377" s="317"/>
      <c r="Z377" s="312"/>
      <c r="AA377" s="312"/>
      <c r="AB377" s="312"/>
      <c r="AC377" s="314"/>
    </row>
    <row r="378" spans="1:29" x14ac:dyDescent="0.25">
      <c r="A378" s="306" t="str">
        <f t="shared" si="17"/>
        <v>P</v>
      </c>
      <c r="B378" s="307" t="str">
        <f t="shared" si="18"/>
        <v>P</v>
      </c>
      <c r="C378" s="308" t="str">
        <f>IF(OR(ISBLANK(AA378),ISBLANK(AB378),ISBLANK(#REF!))=TRUE,"P","OK")</f>
        <v>P</v>
      </c>
      <c r="D378" s="28">
        <v>0</v>
      </c>
      <c r="E378" s="49"/>
      <c r="F378" s="49"/>
      <c r="G378" s="49"/>
      <c r="H378" s="49"/>
      <c r="I378" s="49"/>
      <c r="J378" s="49"/>
      <c r="K378" s="49"/>
      <c r="L378" s="49"/>
      <c r="M378" s="49"/>
      <c r="N378" s="316"/>
      <c r="O378" s="316"/>
      <c r="P378" s="316"/>
      <c r="Q378" s="316"/>
      <c r="R378" s="316"/>
      <c r="S378" s="317"/>
      <c r="T378" s="317"/>
      <c r="U378" s="317"/>
      <c r="V378" s="317"/>
      <c r="W378" s="317"/>
      <c r="X378" s="317"/>
      <c r="Y378" s="317"/>
      <c r="Z378" s="312"/>
      <c r="AA378" s="312"/>
      <c r="AB378" s="312"/>
      <c r="AC378" s="314"/>
    </row>
    <row r="379" spans="1:29" x14ac:dyDescent="0.25">
      <c r="A379" s="306" t="str">
        <f t="shared" si="17"/>
        <v>P</v>
      </c>
      <c r="B379" s="307" t="str">
        <f t="shared" si="18"/>
        <v>P</v>
      </c>
      <c r="C379" s="308" t="str">
        <f>IF(OR(ISBLANK(AA379),ISBLANK(AB379),ISBLANK(#REF!))=TRUE,"P","OK")</f>
        <v>P</v>
      </c>
      <c r="D379" s="28">
        <v>0</v>
      </c>
      <c r="E379" s="49"/>
      <c r="F379" s="49"/>
      <c r="G379" s="49"/>
      <c r="H379" s="49"/>
      <c r="I379" s="49"/>
      <c r="J379" s="49"/>
      <c r="K379" s="49"/>
      <c r="L379" s="49"/>
      <c r="M379" s="49"/>
      <c r="N379" s="316"/>
      <c r="O379" s="316"/>
      <c r="P379" s="316"/>
      <c r="Q379" s="316"/>
      <c r="R379" s="316"/>
      <c r="S379" s="317"/>
      <c r="T379" s="317"/>
      <c r="U379" s="317"/>
      <c r="V379" s="317"/>
      <c r="W379" s="317"/>
      <c r="X379" s="317"/>
      <c r="Y379" s="317"/>
      <c r="Z379" s="312"/>
      <c r="AA379" s="312"/>
      <c r="AB379" s="312"/>
      <c r="AC379" s="314"/>
    </row>
    <row r="380" spans="1:29" x14ac:dyDescent="0.25">
      <c r="A380" s="306" t="str">
        <f t="shared" si="17"/>
        <v>P</v>
      </c>
      <c r="B380" s="307" t="str">
        <f t="shared" si="18"/>
        <v>P</v>
      </c>
      <c r="C380" s="308" t="str">
        <f>IF(OR(ISBLANK(AA380),ISBLANK(AB380),ISBLANK(#REF!))=TRUE,"P","OK")</f>
        <v>P</v>
      </c>
      <c r="D380" s="28">
        <v>0</v>
      </c>
      <c r="E380" s="49"/>
      <c r="F380" s="49"/>
      <c r="G380" s="49"/>
      <c r="H380" s="49"/>
      <c r="I380" s="49"/>
      <c r="J380" s="49"/>
      <c r="K380" s="49"/>
      <c r="L380" s="49"/>
      <c r="M380" s="49"/>
      <c r="N380" s="316"/>
      <c r="O380" s="316"/>
      <c r="P380" s="316"/>
      <c r="Q380" s="316"/>
      <c r="R380" s="316"/>
      <c r="S380" s="317"/>
      <c r="T380" s="317"/>
      <c r="U380" s="317"/>
      <c r="V380" s="317"/>
      <c r="W380" s="317"/>
      <c r="X380" s="317"/>
      <c r="Y380" s="317"/>
      <c r="Z380" s="312"/>
      <c r="AA380" s="312"/>
      <c r="AB380" s="312"/>
      <c r="AC380" s="314"/>
    </row>
    <row r="381" spans="1:29" x14ac:dyDescent="0.25">
      <c r="A381" s="306" t="str">
        <f t="shared" si="17"/>
        <v>P</v>
      </c>
      <c r="B381" s="307" t="str">
        <f t="shared" si="18"/>
        <v>P</v>
      </c>
      <c r="C381" s="308" t="str">
        <f>IF(OR(ISBLANK(AA381),ISBLANK(AB381),ISBLANK(#REF!))=TRUE,"P","OK")</f>
        <v>P</v>
      </c>
      <c r="D381" s="28">
        <v>0</v>
      </c>
      <c r="E381" s="49"/>
      <c r="F381" s="49"/>
      <c r="G381" s="49"/>
      <c r="H381" s="49"/>
      <c r="I381" s="49"/>
      <c r="J381" s="49"/>
      <c r="K381" s="49"/>
      <c r="L381" s="49"/>
      <c r="M381" s="49"/>
      <c r="N381" s="316"/>
      <c r="O381" s="316"/>
      <c r="P381" s="316"/>
      <c r="Q381" s="316"/>
      <c r="R381" s="316"/>
      <c r="S381" s="317"/>
      <c r="T381" s="317"/>
      <c r="U381" s="317"/>
      <c r="V381" s="317"/>
      <c r="W381" s="317"/>
      <c r="X381" s="317"/>
      <c r="Y381" s="317"/>
      <c r="Z381" s="312"/>
      <c r="AA381" s="312"/>
      <c r="AB381" s="312"/>
      <c r="AC381" s="314"/>
    </row>
    <row r="382" spans="1:29" x14ac:dyDescent="0.25">
      <c r="A382" s="306" t="str">
        <f t="shared" si="17"/>
        <v>P</v>
      </c>
      <c r="B382" s="307" t="str">
        <f t="shared" si="18"/>
        <v>P</v>
      </c>
      <c r="C382" s="308" t="str">
        <f>IF(OR(ISBLANK(AA382),ISBLANK(AB382),ISBLANK(#REF!))=TRUE,"P","OK")</f>
        <v>P</v>
      </c>
      <c r="D382" s="28">
        <v>0</v>
      </c>
      <c r="E382" s="49"/>
      <c r="F382" s="49"/>
      <c r="G382" s="49"/>
      <c r="H382" s="49"/>
      <c r="I382" s="49"/>
      <c r="J382" s="49"/>
      <c r="K382" s="49"/>
      <c r="L382" s="49"/>
      <c r="M382" s="49"/>
      <c r="N382" s="316"/>
      <c r="O382" s="316"/>
      <c r="P382" s="316"/>
      <c r="Q382" s="316"/>
      <c r="R382" s="316"/>
      <c r="S382" s="317"/>
      <c r="T382" s="317"/>
      <c r="U382" s="317"/>
      <c r="V382" s="317"/>
      <c r="W382" s="317"/>
      <c r="X382" s="317"/>
      <c r="Y382" s="317"/>
      <c r="Z382" s="312"/>
      <c r="AA382" s="312"/>
      <c r="AB382" s="312"/>
      <c r="AC382" s="314"/>
    </row>
    <row r="383" spans="1:29" x14ac:dyDescent="0.25">
      <c r="A383" s="306" t="str">
        <f t="shared" si="17"/>
        <v>P</v>
      </c>
      <c r="B383" s="307" t="str">
        <f t="shared" si="18"/>
        <v>P</v>
      </c>
      <c r="C383" s="308" t="str">
        <f>IF(OR(ISBLANK(AA383),ISBLANK(AB383),ISBLANK(#REF!))=TRUE,"P","OK")</f>
        <v>P</v>
      </c>
      <c r="D383" s="28">
        <v>0</v>
      </c>
      <c r="E383" s="49"/>
      <c r="F383" s="49"/>
      <c r="G383" s="49"/>
      <c r="H383" s="49"/>
      <c r="I383" s="49"/>
      <c r="J383" s="49"/>
      <c r="K383" s="49"/>
      <c r="L383" s="49"/>
      <c r="M383" s="49"/>
      <c r="N383" s="316"/>
      <c r="O383" s="316"/>
      <c r="P383" s="316"/>
      <c r="Q383" s="316"/>
      <c r="R383" s="316"/>
      <c r="S383" s="317"/>
      <c r="T383" s="317"/>
      <c r="U383" s="317"/>
      <c r="V383" s="317"/>
      <c r="W383" s="317"/>
      <c r="X383" s="317"/>
      <c r="Y383" s="317"/>
      <c r="Z383" s="312"/>
      <c r="AA383" s="312"/>
      <c r="AB383" s="312"/>
      <c r="AC383" s="314"/>
    </row>
    <row r="384" spans="1:29" x14ac:dyDescent="0.25">
      <c r="A384" s="306" t="str">
        <f t="shared" si="17"/>
        <v>P</v>
      </c>
      <c r="B384" s="307" t="str">
        <f t="shared" si="18"/>
        <v>P</v>
      </c>
      <c r="C384" s="308" t="str">
        <f>IF(OR(ISBLANK(AA384),ISBLANK(AB384),ISBLANK(#REF!))=TRUE,"P","OK")</f>
        <v>P</v>
      </c>
      <c r="D384" s="28">
        <v>0</v>
      </c>
      <c r="E384" s="49"/>
      <c r="F384" s="49"/>
      <c r="G384" s="49"/>
      <c r="H384" s="49"/>
      <c r="I384" s="49"/>
      <c r="J384" s="49"/>
      <c r="K384" s="49"/>
      <c r="L384" s="49"/>
      <c r="M384" s="49"/>
      <c r="N384" s="316"/>
      <c r="O384" s="316"/>
      <c r="P384" s="316"/>
      <c r="Q384" s="316"/>
      <c r="R384" s="316"/>
      <c r="S384" s="317"/>
      <c r="T384" s="317"/>
      <c r="U384" s="317"/>
      <c r="V384" s="317"/>
      <c r="W384" s="317"/>
      <c r="X384" s="317"/>
      <c r="Y384" s="317"/>
      <c r="Z384" s="312"/>
      <c r="AA384" s="312"/>
      <c r="AB384" s="312"/>
      <c r="AC384" s="314"/>
    </row>
    <row r="385" spans="1:29" x14ac:dyDescent="0.25">
      <c r="A385" s="306" t="str">
        <f t="shared" si="17"/>
        <v>P</v>
      </c>
      <c r="B385" s="307" t="str">
        <f t="shared" si="18"/>
        <v>P</v>
      </c>
      <c r="C385" s="308" t="str">
        <f>IF(OR(ISBLANK(AA385),ISBLANK(AB385),ISBLANK(#REF!))=TRUE,"P","OK")</f>
        <v>P</v>
      </c>
      <c r="D385" s="28">
        <v>0</v>
      </c>
      <c r="E385" s="49"/>
      <c r="F385" s="49"/>
      <c r="G385" s="49"/>
      <c r="H385" s="49"/>
      <c r="I385" s="49"/>
      <c r="J385" s="49"/>
      <c r="K385" s="49"/>
      <c r="L385" s="49"/>
      <c r="M385" s="49"/>
      <c r="N385" s="316"/>
      <c r="O385" s="316"/>
      <c r="P385" s="316"/>
      <c r="Q385" s="316"/>
      <c r="R385" s="316"/>
      <c r="S385" s="317"/>
      <c r="T385" s="317"/>
      <c r="U385" s="317"/>
      <c r="V385" s="317"/>
      <c r="W385" s="317"/>
      <c r="X385" s="317"/>
      <c r="Y385" s="317"/>
      <c r="Z385" s="312"/>
      <c r="AA385" s="312"/>
      <c r="AB385" s="312"/>
      <c r="AC385" s="314"/>
    </row>
    <row r="386" spans="1:29" x14ac:dyDescent="0.25">
      <c r="A386" s="306" t="str">
        <f t="shared" si="17"/>
        <v>P</v>
      </c>
      <c r="B386" s="307" t="str">
        <f t="shared" si="18"/>
        <v>P</v>
      </c>
      <c r="C386" s="308" t="str">
        <f>IF(OR(ISBLANK(AA386),ISBLANK(AB386),ISBLANK(#REF!))=TRUE,"P","OK")</f>
        <v>P</v>
      </c>
      <c r="D386" s="28">
        <v>0</v>
      </c>
      <c r="E386" s="49"/>
      <c r="F386" s="49"/>
      <c r="G386" s="49"/>
      <c r="H386" s="49"/>
      <c r="I386" s="49"/>
      <c r="J386" s="49"/>
      <c r="K386" s="49"/>
      <c r="L386" s="49"/>
      <c r="M386" s="49"/>
      <c r="N386" s="316"/>
      <c r="O386" s="316"/>
      <c r="P386" s="316"/>
      <c r="Q386" s="316"/>
      <c r="R386" s="316"/>
      <c r="S386" s="317"/>
      <c r="T386" s="317"/>
      <c r="U386" s="317"/>
      <c r="V386" s="317"/>
      <c r="W386" s="317"/>
      <c r="X386" s="317"/>
      <c r="Y386" s="317"/>
      <c r="Z386" s="312"/>
      <c r="AA386" s="312"/>
      <c r="AB386" s="312"/>
      <c r="AC386" s="314"/>
    </row>
    <row r="387" spans="1:29" x14ac:dyDescent="0.25">
      <c r="A387" s="306" t="str">
        <f t="shared" si="17"/>
        <v>P</v>
      </c>
      <c r="B387" s="307" t="str">
        <f t="shared" si="18"/>
        <v>P</v>
      </c>
      <c r="C387" s="308" t="str">
        <f>IF(OR(ISBLANK(AA387),ISBLANK(AB387),ISBLANK(#REF!))=TRUE,"P","OK")</f>
        <v>P</v>
      </c>
      <c r="D387" s="28">
        <v>0</v>
      </c>
      <c r="E387" s="49"/>
      <c r="F387" s="49"/>
      <c r="G387" s="49"/>
      <c r="H387" s="49"/>
      <c r="I387" s="49"/>
      <c r="J387" s="49"/>
      <c r="K387" s="49"/>
      <c r="L387" s="49"/>
      <c r="M387" s="49"/>
      <c r="N387" s="316"/>
      <c r="O387" s="316"/>
      <c r="P387" s="316"/>
      <c r="Q387" s="316"/>
      <c r="R387" s="316"/>
      <c r="S387" s="317"/>
      <c r="T387" s="317"/>
      <c r="U387" s="317"/>
      <c r="V387" s="317"/>
      <c r="W387" s="317"/>
      <c r="X387" s="317"/>
      <c r="Y387" s="317"/>
      <c r="Z387" s="312"/>
      <c r="AA387" s="312"/>
      <c r="AB387" s="312"/>
      <c r="AC387" s="314"/>
    </row>
    <row r="388" spans="1:29" x14ac:dyDescent="0.25">
      <c r="A388" s="306" t="str">
        <f t="shared" si="17"/>
        <v>P</v>
      </c>
      <c r="B388" s="307" t="str">
        <f t="shared" si="18"/>
        <v>P</v>
      </c>
      <c r="C388" s="308" t="str">
        <f>IF(OR(ISBLANK(AA388),ISBLANK(AB388),ISBLANK(#REF!))=TRUE,"P","OK")</f>
        <v>P</v>
      </c>
      <c r="D388" s="28">
        <v>0</v>
      </c>
      <c r="E388" s="49"/>
      <c r="F388" s="49"/>
      <c r="G388" s="49"/>
      <c r="H388" s="49"/>
      <c r="I388" s="49"/>
      <c r="J388" s="49"/>
      <c r="K388" s="49"/>
      <c r="L388" s="49"/>
      <c r="M388" s="49"/>
      <c r="N388" s="316"/>
      <c r="O388" s="316"/>
      <c r="P388" s="316"/>
      <c r="Q388" s="316"/>
      <c r="R388" s="316"/>
      <c r="S388" s="317"/>
      <c r="T388" s="317"/>
      <c r="U388" s="317"/>
      <c r="V388" s="317"/>
      <c r="W388" s="317"/>
      <c r="X388" s="317"/>
      <c r="Y388" s="317"/>
      <c r="Z388" s="312"/>
      <c r="AA388" s="312"/>
      <c r="AB388" s="312"/>
      <c r="AC388" s="314"/>
    </row>
    <row r="389" spans="1:29" x14ac:dyDescent="0.25">
      <c r="A389" s="306" t="str">
        <f t="shared" si="17"/>
        <v>P</v>
      </c>
      <c r="B389" s="307" t="str">
        <f t="shared" si="18"/>
        <v>P</v>
      </c>
      <c r="C389" s="308" t="str">
        <f>IF(OR(ISBLANK(AA389),ISBLANK(AB389),ISBLANK(#REF!))=TRUE,"P","OK")</f>
        <v>P</v>
      </c>
      <c r="D389" s="28">
        <v>0</v>
      </c>
      <c r="E389" s="49"/>
      <c r="F389" s="49"/>
      <c r="G389" s="49"/>
      <c r="H389" s="49"/>
      <c r="I389" s="49"/>
      <c r="J389" s="49"/>
      <c r="K389" s="49"/>
      <c r="L389" s="49"/>
      <c r="M389" s="49"/>
      <c r="N389" s="316"/>
      <c r="O389" s="316"/>
      <c r="P389" s="316"/>
      <c r="Q389" s="316"/>
      <c r="R389" s="316"/>
      <c r="S389" s="317"/>
      <c r="T389" s="317"/>
      <c r="U389" s="317"/>
      <c r="V389" s="317"/>
      <c r="W389" s="317"/>
      <c r="X389" s="317"/>
      <c r="Y389" s="317"/>
      <c r="Z389" s="312"/>
      <c r="AA389" s="312"/>
      <c r="AB389" s="312"/>
      <c r="AC389" s="314"/>
    </row>
    <row r="390" spans="1:29" x14ac:dyDescent="0.25">
      <c r="A390" s="306" t="str">
        <f t="shared" si="17"/>
        <v>P</v>
      </c>
      <c r="B390" s="307" t="str">
        <f t="shared" si="18"/>
        <v>P</v>
      </c>
      <c r="C390" s="308" t="str">
        <f>IF(OR(ISBLANK(AA390),ISBLANK(AB390),ISBLANK(#REF!))=TRUE,"P","OK")</f>
        <v>P</v>
      </c>
      <c r="D390" s="28">
        <v>0</v>
      </c>
      <c r="E390" s="49"/>
      <c r="F390" s="49"/>
      <c r="G390" s="49"/>
      <c r="H390" s="49"/>
      <c r="I390" s="49"/>
      <c r="J390" s="49"/>
      <c r="K390" s="49"/>
      <c r="L390" s="49"/>
      <c r="M390" s="49"/>
      <c r="N390" s="316"/>
      <c r="O390" s="316"/>
      <c r="P390" s="316"/>
      <c r="Q390" s="316"/>
      <c r="R390" s="316"/>
      <c r="S390" s="317"/>
      <c r="T390" s="317"/>
      <c r="U390" s="317"/>
      <c r="V390" s="317"/>
      <c r="W390" s="317"/>
      <c r="X390" s="317"/>
      <c r="Y390" s="317"/>
      <c r="Z390" s="312"/>
      <c r="AA390" s="312"/>
      <c r="AB390" s="312"/>
      <c r="AC390" s="314"/>
    </row>
    <row r="391" spans="1:29" x14ac:dyDescent="0.25">
      <c r="A391" s="306" t="str">
        <f t="shared" ref="A391:A421" si="19">IF(OR(ISBLANK(D391),ISBLANK(E391),ISBLANK(F391),ISBLANK(G391),ISBLANK(H391),ISBLANK(I391),ISBLANK(J391),ISBLANK(K391),ISBLANK(L391),ISBLANK(M391),ISBLANK(N391),ISBLANK(O391),ISBLANK(P391),ISBLANK(Q391),ISBLANK(R391))=TRUE,"P","OK")</f>
        <v>P</v>
      </c>
      <c r="B391" s="307" t="str">
        <f t="shared" si="18"/>
        <v>P</v>
      </c>
      <c r="C391" s="308" t="str">
        <f>IF(OR(ISBLANK(AA391),ISBLANK(AB391),ISBLANK(#REF!))=TRUE,"P","OK")</f>
        <v>P</v>
      </c>
      <c r="D391" s="28">
        <v>0</v>
      </c>
      <c r="E391" s="49"/>
      <c r="F391" s="49"/>
      <c r="G391" s="49"/>
      <c r="H391" s="49"/>
      <c r="I391" s="49"/>
      <c r="J391" s="49"/>
      <c r="K391" s="49"/>
      <c r="L391" s="49"/>
      <c r="M391" s="49"/>
      <c r="N391" s="316"/>
      <c r="O391" s="316"/>
      <c r="P391" s="316"/>
      <c r="Q391" s="316"/>
      <c r="R391" s="316"/>
      <c r="S391" s="317"/>
      <c r="T391" s="317"/>
      <c r="U391" s="317"/>
      <c r="V391" s="317"/>
      <c r="W391" s="317"/>
      <c r="X391" s="317"/>
      <c r="Y391" s="317"/>
      <c r="Z391" s="312"/>
      <c r="AA391" s="312"/>
      <c r="AB391" s="312"/>
      <c r="AC391" s="314"/>
    </row>
    <row r="392" spans="1:29" x14ac:dyDescent="0.25">
      <c r="A392" s="306" t="str">
        <f t="shared" si="19"/>
        <v>P</v>
      </c>
      <c r="B392" s="307" t="str">
        <f t="shared" si="18"/>
        <v>P</v>
      </c>
      <c r="C392" s="308" t="str">
        <f>IF(OR(ISBLANK(AA392),ISBLANK(AB392),ISBLANK(#REF!))=TRUE,"P","OK")</f>
        <v>P</v>
      </c>
      <c r="D392" s="28">
        <v>0</v>
      </c>
      <c r="E392" s="49"/>
      <c r="F392" s="49"/>
      <c r="G392" s="49"/>
      <c r="H392" s="49"/>
      <c r="I392" s="49"/>
      <c r="J392" s="49"/>
      <c r="K392" s="49"/>
      <c r="L392" s="49"/>
      <c r="M392" s="49"/>
      <c r="N392" s="316"/>
      <c r="O392" s="316"/>
      <c r="P392" s="316"/>
      <c r="Q392" s="316"/>
      <c r="R392" s="316"/>
      <c r="S392" s="317"/>
      <c r="T392" s="317"/>
      <c r="U392" s="317"/>
      <c r="V392" s="317"/>
      <c r="W392" s="317"/>
      <c r="X392" s="317"/>
      <c r="Y392" s="317"/>
      <c r="Z392" s="312"/>
      <c r="AA392" s="312"/>
      <c r="AB392" s="312"/>
      <c r="AC392" s="314"/>
    </row>
    <row r="393" spans="1:29" x14ac:dyDescent="0.25">
      <c r="A393" s="306" t="str">
        <f t="shared" si="19"/>
        <v>P</v>
      </c>
      <c r="B393" s="307" t="str">
        <f t="shared" si="18"/>
        <v>P</v>
      </c>
      <c r="C393" s="308" t="str">
        <f>IF(OR(ISBLANK(AA393),ISBLANK(AB393),ISBLANK(#REF!))=TRUE,"P","OK")</f>
        <v>P</v>
      </c>
      <c r="D393" s="28">
        <v>0</v>
      </c>
      <c r="E393" s="49"/>
      <c r="F393" s="49"/>
      <c r="G393" s="49"/>
      <c r="H393" s="49"/>
      <c r="I393" s="49"/>
      <c r="J393" s="49"/>
      <c r="K393" s="49"/>
      <c r="L393" s="49"/>
      <c r="M393" s="49"/>
      <c r="N393" s="316"/>
      <c r="O393" s="316"/>
      <c r="P393" s="316"/>
      <c r="Q393" s="316"/>
      <c r="R393" s="316"/>
      <c r="S393" s="317"/>
      <c r="T393" s="317"/>
      <c r="U393" s="317"/>
      <c r="V393" s="317"/>
      <c r="W393" s="317"/>
      <c r="X393" s="317"/>
      <c r="Y393" s="317"/>
      <c r="Z393" s="312"/>
      <c r="AA393" s="312"/>
      <c r="AB393" s="312"/>
      <c r="AC393" s="314"/>
    </row>
    <row r="394" spans="1:29" x14ac:dyDescent="0.25">
      <c r="A394" s="306" t="str">
        <f t="shared" si="19"/>
        <v>P</v>
      </c>
      <c r="B394" s="307" t="str">
        <f t="shared" si="18"/>
        <v>P</v>
      </c>
      <c r="C394" s="308" t="str">
        <f>IF(OR(ISBLANK(AA394),ISBLANK(AB394),ISBLANK(#REF!))=TRUE,"P","OK")</f>
        <v>P</v>
      </c>
      <c r="D394" s="28">
        <v>0</v>
      </c>
      <c r="E394" s="49"/>
      <c r="F394" s="49"/>
      <c r="G394" s="49"/>
      <c r="H394" s="49"/>
      <c r="I394" s="49"/>
      <c r="J394" s="49"/>
      <c r="K394" s="49"/>
      <c r="L394" s="49"/>
      <c r="M394" s="49"/>
      <c r="N394" s="316"/>
      <c r="O394" s="316"/>
      <c r="P394" s="316"/>
      <c r="Q394" s="316"/>
      <c r="R394" s="316"/>
      <c r="S394" s="317"/>
      <c r="T394" s="317"/>
      <c r="U394" s="317"/>
      <c r="V394" s="317"/>
      <c r="W394" s="317"/>
      <c r="X394" s="317"/>
      <c r="Y394" s="317"/>
      <c r="Z394" s="312"/>
      <c r="AA394" s="312"/>
      <c r="AB394" s="312"/>
      <c r="AC394" s="314"/>
    </row>
    <row r="395" spans="1:29" x14ac:dyDescent="0.25">
      <c r="A395" s="306" t="str">
        <f t="shared" si="19"/>
        <v>P</v>
      </c>
      <c r="B395" s="307" t="str">
        <f t="shared" si="18"/>
        <v>P</v>
      </c>
      <c r="C395" s="308" t="str">
        <f>IF(OR(ISBLANK(AA395),ISBLANK(AB395),ISBLANK(#REF!))=TRUE,"P","OK")</f>
        <v>P</v>
      </c>
      <c r="D395" s="28">
        <v>0</v>
      </c>
      <c r="E395" s="49"/>
      <c r="F395" s="49"/>
      <c r="G395" s="49"/>
      <c r="H395" s="49"/>
      <c r="I395" s="49"/>
      <c r="J395" s="49"/>
      <c r="K395" s="49"/>
      <c r="L395" s="49"/>
      <c r="M395" s="49"/>
      <c r="N395" s="316"/>
      <c r="O395" s="316"/>
      <c r="P395" s="316"/>
      <c r="Q395" s="316"/>
      <c r="R395" s="316"/>
      <c r="S395" s="317"/>
      <c r="T395" s="317"/>
      <c r="U395" s="317"/>
      <c r="V395" s="317"/>
      <c r="W395" s="317"/>
      <c r="X395" s="317"/>
      <c r="Y395" s="317"/>
      <c r="Z395" s="312"/>
      <c r="AA395" s="312"/>
      <c r="AB395" s="312"/>
      <c r="AC395" s="314"/>
    </row>
    <row r="396" spans="1:29" x14ac:dyDescent="0.25">
      <c r="A396" s="306" t="str">
        <f t="shared" si="19"/>
        <v>P</v>
      </c>
      <c r="B396" s="307" t="str">
        <f t="shared" si="18"/>
        <v>P</v>
      </c>
      <c r="C396" s="308" t="str">
        <f>IF(OR(ISBLANK(AA396),ISBLANK(AB396),ISBLANK(#REF!))=TRUE,"P","OK")</f>
        <v>P</v>
      </c>
      <c r="D396" s="28">
        <v>0</v>
      </c>
      <c r="E396" s="49"/>
      <c r="F396" s="49"/>
      <c r="G396" s="49"/>
      <c r="H396" s="49"/>
      <c r="I396" s="49"/>
      <c r="J396" s="49"/>
      <c r="K396" s="49"/>
      <c r="L396" s="49"/>
      <c r="M396" s="49"/>
      <c r="N396" s="316"/>
      <c r="O396" s="316"/>
      <c r="P396" s="316"/>
      <c r="Q396" s="316"/>
      <c r="R396" s="316"/>
      <c r="S396" s="317"/>
      <c r="T396" s="317"/>
      <c r="U396" s="317"/>
      <c r="V396" s="317"/>
      <c r="W396" s="317"/>
      <c r="X396" s="317"/>
      <c r="Y396" s="317"/>
      <c r="Z396" s="312"/>
      <c r="AA396" s="312"/>
      <c r="AB396" s="312"/>
      <c r="AC396" s="314"/>
    </row>
    <row r="397" spans="1:29" x14ac:dyDescent="0.25">
      <c r="A397" s="306" t="str">
        <f t="shared" si="19"/>
        <v>P</v>
      </c>
      <c r="B397" s="307" t="str">
        <f t="shared" si="18"/>
        <v>P</v>
      </c>
      <c r="C397" s="308" t="str">
        <f>IF(OR(ISBLANK(AA397),ISBLANK(AB397),ISBLANK(#REF!))=TRUE,"P","OK")</f>
        <v>P</v>
      </c>
      <c r="D397" s="28">
        <v>0</v>
      </c>
      <c r="E397" s="49"/>
      <c r="F397" s="49"/>
      <c r="G397" s="49"/>
      <c r="H397" s="49"/>
      <c r="I397" s="49"/>
      <c r="J397" s="49"/>
      <c r="K397" s="49"/>
      <c r="L397" s="49"/>
      <c r="M397" s="49"/>
      <c r="N397" s="316"/>
      <c r="O397" s="316"/>
      <c r="P397" s="316"/>
      <c r="Q397" s="316"/>
      <c r="R397" s="316"/>
      <c r="S397" s="317"/>
      <c r="T397" s="317"/>
      <c r="U397" s="317"/>
      <c r="V397" s="317"/>
      <c r="W397" s="317"/>
      <c r="X397" s="317"/>
      <c r="Y397" s="317"/>
      <c r="Z397" s="312"/>
      <c r="AA397" s="312"/>
      <c r="AB397" s="312"/>
      <c r="AC397" s="314"/>
    </row>
    <row r="398" spans="1:29" x14ac:dyDescent="0.25">
      <c r="A398" s="306" t="str">
        <f t="shared" si="19"/>
        <v>P</v>
      </c>
      <c r="B398" s="307" t="str">
        <f t="shared" si="18"/>
        <v>P</v>
      </c>
      <c r="C398" s="308" t="str">
        <f>IF(OR(ISBLANK(AA398),ISBLANK(AB398),ISBLANK(#REF!))=TRUE,"P","OK")</f>
        <v>P</v>
      </c>
      <c r="D398" s="28">
        <v>0</v>
      </c>
      <c r="E398" s="49"/>
      <c r="F398" s="49"/>
      <c r="G398" s="49"/>
      <c r="H398" s="49"/>
      <c r="I398" s="49"/>
      <c r="J398" s="49"/>
      <c r="K398" s="49"/>
      <c r="L398" s="49"/>
      <c r="M398" s="49"/>
      <c r="N398" s="316"/>
      <c r="O398" s="316"/>
      <c r="P398" s="316"/>
      <c r="Q398" s="316"/>
      <c r="R398" s="316"/>
      <c r="S398" s="317"/>
      <c r="T398" s="317"/>
      <c r="U398" s="317"/>
      <c r="V398" s="317"/>
      <c r="W398" s="317"/>
      <c r="X398" s="317"/>
      <c r="Y398" s="317"/>
      <c r="Z398" s="312"/>
      <c r="AA398" s="312"/>
      <c r="AB398" s="312"/>
      <c r="AC398" s="314"/>
    </row>
    <row r="399" spans="1:29" x14ac:dyDescent="0.25">
      <c r="A399" s="306" t="str">
        <f t="shared" si="19"/>
        <v>P</v>
      </c>
      <c r="B399" s="307" t="str">
        <f t="shared" si="18"/>
        <v>P</v>
      </c>
      <c r="C399" s="308" t="str">
        <f>IF(OR(ISBLANK(AA399),ISBLANK(AB399),ISBLANK(#REF!))=TRUE,"P","OK")</f>
        <v>P</v>
      </c>
      <c r="D399" s="28">
        <v>0</v>
      </c>
      <c r="E399" s="49"/>
      <c r="F399" s="49"/>
      <c r="G399" s="49"/>
      <c r="H399" s="49"/>
      <c r="I399" s="49"/>
      <c r="J399" s="49"/>
      <c r="K399" s="49"/>
      <c r="L399" s="49"/>
      <c r="M399" s="49"/>
      <c r="N399" s="316"/>
      <c r="O399" s="316"/>
      <c r="P399" s="316"/>
      <c r="Q399" s="316"/>
      <c r="R399" s="316"/>
      <c r="S399" s="317"/>
      <c r="T399" s="317"/>
      <c r="U399" s="317"/>
      <c r="V399" s="317"/>
      <c r="W399" s="317"/>
      <c r="X399" s="317"/>
      <c r="Y399" s="317"/>
      <c r="Z399" s="312"/>
      <c r="AA399" s="312"/>
      <c r="AB399" s="312"/>
      <c r="AC399" s="314"/>
    </row>
    <row r="400" spans="1:29" x14ac:dyDescent="0.25">
      <c r="A400" s="306" t="str">
        <f t="shared" si="19"/>
        <v>P</v>
      </c>
      <c r="B400" s="307" t="str">
        <f t="shared" si="18"/>
        <v>P</v>
      </c>
      <c r="C400" s="308" t="str">
        <f>IF(OR(ISBLANK(AA400),ISBLANK(AB400),ISBLANK(#REF!))=TRUE,"P","OK")</f>
        <v>P</v>
      </c>
      <c r="D400" s="28">
        <v>0</v>
      </c>
      <c r="E400" s="49"/>
      <c r="F400" s="49"/>
      <c r="G400" s="49"/>
      <c r="H400" s="49"/>
      <c r="I400" s="49"/>
      <c r="J400" s="49"/>
      <c r="K400" s="49"/>
      <c r="L400" s="49"/>
      <c r="M400" s="49"/>
      <c r="N400" s="316"/>
      <c r="O400" s="316"/>
      <c r="P400" s="316"/>
      <c r="Q400" s="316"/>
      <c r="R400" s="316"/>
      <c r="S400" s="317"/>
      <c r="T400" s="317"/>
      <c r="U400" s="317"/>
      <c r="V400" s="317"/>
      <c r="W400" s="317"/>
      <c r="X400" s="317"/>
      <c r="Y400" s="317"/>
      <c r="Z400" s="312"/>
      <c r="AA400" s="312"/>
      <c r="AB400" s="312"/>
      <c r="AC400" s="314"/>
    </row>
    <row r="401" spans="1:29" x14ac:dyDescent="0.25">
      <c r="A401" s="306" t="str">
        <f t="shared" si="19"/>
        <v>P</v>
      </c>
      <c r="B401" s="307" t="str">
        <f t="shared" si="18"/>
        <v>P</v>
      </c>
      <c r="C401" s="308" t="str">
        <f>IF(OR(ISBLANK(AA401),ISBLANK(AB401),ISBLANK(#REF!))=TRUE,"P","OK")</f>
        <v>P</v>
      </c>
      <c r="D401" s="28">
        <v>0</v>
      </c>
      <c r="E401" s="49"/>
      <c r="F401" s="49"/>
      <c r="G401" s="49"/>
      <c r="H401" s="49"/>
      <c r="I401" s="49"/>
      <c r="J401" s="49"/>
      <c r="K401" s="49"/>
      <c r="L401" s="49"/>
      <c r="M401" s="49"/>
      <c r="N401" s="316"/>
      <c r="O401" s="316"/>
      <c r="P401" s="316"/>
      <c r="Q401" s="316"/>
      <c r="R401" s="316"/>
      <c r="S401" s="317"/>
      <c r="T401" s="317"/>
      <c r="U401" s="317"/>
      <c r="V401" s="317"/>
      <c r="W401" s="317"/>
      <c r="X401" s="317"/>
      <c r="Y401" s="317"/>
      <c r="Z401" s="312"/>
      <c r="AA401" s="312"/>
      <c r="AB401" s="312"/>
      <c r="AC401" s="314"/>
    </row>
    <row r="402" spans="1:29" x14ac:dyDescent="0.25">
      <c r="A402" s="306" t="str">
        <f t="shared" si="19"/>
        <v>P</v>
      </c>
      <c r="B402" s="307" t="str">
        <f t="shared" si="18"/>
        <v>P</v>
      </c>
      <c r="C402" s="308" t="str">
        <f>IF(OR(ISBLANK(AA402),ISBLANK(AB402),ISBLANK(#REF!))=TRUE,"P","OK")</f>
        <v>P</v>
      </c>
      <c r="D402" s="28">
        <v>0</v>
      </c>
      <c r="E402" s="49"/>
      <c r="F402" s="49"/>
      <c r="G402" s="49"/>
      <c r="H402" s="49"/>
      <c r="I402" s="49"/>
      <c r="J402" s="49"/>
      <c r="K402" s="49"/>
      <c r="L402" s="49"/>
      <c r="M402" s="49"/>
      <c r="N402" s="316"/>
      <c r="O402" s="316"/>
      <c r="P402" s="316"/>
      <c r="Q402" s="316"/>
      <c r="R402" s="316"/>
      <c r="S402" s="317"/>
      <c r="T402" s="317"/>
      <c r="U402" s="317"/>
      <c r="V402" s="317"/>
      <c r="W402" s="317"/>
      <c r="X402" s="317"/>
      <c r="Y402" s="317"/>
      <c r="Z402" s="312"/>
      <c r="AA402" s="312"/>
      <c r="AB402" s="312"/>
      <c r="AC402" s="314"/>
    </row>
    <row r="403" spans="1:29" x14ac:dyDescent="0.25">
      <c r="A403" s="306" t="str">
        <f t="shared" si="19"/>
        <v>P</v>
      </c>
      <c r="B403" s="307" t="str">
        <f t="shared" si="18"/>
        <v>P</v>
      </c>
      <c r="C403" s="308" t="str">
        <f>IF(OR(ISBLANK(AA403),ISBLANK(AB403),ISBLANK(#REF!))=TRUE,"P","OK")</f>
        <v>P</v>
      </c>
      <c r="D403" s="28">
        <v>0</v>
      </c>
      <c r="E403" s="49"/>
      <c r="F403" s="49"/>
      <c r="G403" s="49"/>
      <c r="H403" s="49"/>
      <c r="I403" s="49"/>
      <c r="J403" s="49"/>
      <c r="K403" s="49"/>
      <c r="L403" s="49"/>
      <c r="M403" s="49"/>
      <c r="N403" s="316"/>
      <c r="O403" s="316"/>
      <c r="P403" s="316"/>
      <c r="Q403" s="316"/>
      <c r="R403" s="316"/>
      <c r="S403" s="317"/>
      <c r="T403" s="317"/>
      <c r="U403" s="317"/>
      <c r="V403" s="317"/>
      <c r="W403" s="317"/>
      <c r="X403" s="317"/>
      <c r="Y403" s="317"/>
      <c r="Z403" s="312"/>
      <c r="AA403" s="312"/>
      <c r="AB403" s="312"/>
      <c r="AC403" s="314"/>
    </row>
    <row r="404" spans="1:29" x14ac:dyDescent="0.25">
      <c r="A404" s="306" t="str">
        <f t="shared" si="19"/>
        <v>P</v>
      </c>
      <c r="B404" s="307" t="str">
        <f t="shared" si="18"/>
        <v>P</v>
      </c>
      <c r="C404" s="308" t="str">
        <f>IF(OR(ISBLANK(AA404),ISBLANK(AB404),ISBLANK(#REF!))=TRUE,"P","OK")</f>
        <v>P</v>
      </c>
      <c r="D404" s="28">
        <v>0</v>
      </c>
      <c r="E404" s="49"/>
      <c r="F404" s="49"/>
      <c r="G404" s="49"/>
      <c r="H404" s="49"/>
      <c r="I404" s="49"/>
      <c r="J404" s="49"/>
      <c r="K404" s="49"/>
      <c r="L404" s="49"/>
      <c r="M404" s="49"/>
      <c r="N404" s="316"/>
      <c r="O404" s="316"/>
      <c r="P404" s="316"/>
      <c r="Q404" s="316"/>
      <c r="R404" s="316"/>
      <c r="S404" s="317"/>
      <c r="T404" s="317"/>
      <c r="U404" s="317"/>
      <c r="V404" s="317"/>
      <c r="W404" s="317"/>
      <c r="X404" s="317"/>
      <c r="Y404" s="317"/>
      <c r="Z404" s="312"/>
      <c r="AA404" s="312"/>
      <c r="AB404" s="312"/>
      <c r="AC404" s="314"/>
    </row>
    <row r="405" spans="1:29" x14ac:dyDescent="0.25">
      <c r="A405" s="306" t="str">
        <f t="shared" si="19"/>
        <v>P</v>
      </c>
      <c r="B405" s="307" t="str">
        <f t="shared" si="18"/>
        <v>P</v>
      </c>
      <c r="C405" s="308" t="str">
        <f>IF(OR(ISBLANK(AA405),ISBLANK(AB405),ISBLANK(#REF!))=TRUE,"P","OK")</f>
        <v>P</v>
      </c>
      <c r="D405" s="28">
        <v>0</v>
      </c>
      <c r="E405" s="49"/>
      <c r="F405" s="49"/>
      <c r="G405" s="49"/>
      <c r="H405" s="49"/>
      <c r="I405" s="49"/>
      <c r="J405" s="49"/>
      <c r="K405" s="49"/>
      <c r="L405" s="49"/>
      <c r="M405" s="49"/>
      <c r="N405" s="316"/>
      <c r="O405" s="316"/>
      <c r="P405" s="316"/>
      <c r="Q405" s="316"/>
      <c r="R405" s="316"/>
      <c r="S405" s="317"/>
      <c r="T405" s="317"/>
      <c r="U405" s="317"/>
      <c r="V405" s="317"/>
      <c r="W405" s="317"/>
      <c r="X405" s="317"/>
      <c r="Y405" s="317"/>
      <c r="Z405" s="312"/>
      <c r="AA405" s="312"/>
      <c r="AB405" s="312"/>
      <c r="AC405" s="314"/>
    </row>
    <row r="406" spans="1:29" x14ac:dyDescent="0.25">
      <c r="A406" s="306" t="str">
        <f t="shared" si="19"/>
        <v>P</v>
      </c>
      <c r="B406" s="307" t="str">
        <f t="shared" si="18"/>
        <v>P</v>
      </c>
      <c r="C406" s="308" t="str">
        <f>IF(OR(ISBLANK(AA406),ISBLANK(AB406),ISBLANK(#REF!))=TRUE,"P","OK")</f>
        <v>P</v>
      </c>
      <c r="D406" s="28">
        <v>0</v>
      </c>
      <c r="E406" s="49"/>
      <c r="F406" s="49"/>
      <c r="G406" s="49"/>
      <c r="H406" s="49"/>
      <c r="I406" s="49"/>
      <c r="J406" s="49"/>
      <c r="K406" s="49"/>
      <c r="L406" s="49"/>
      <c r="M406" s="49"/>
      <c r="N406" s="316"/>
      <c r="O406" s="316"/>
      <c r="P406" s="316"/>
      <c r="Q406" s="316"/>
      <c r="R406" s="316"/>
      <c r="S406" s="317"/>
      <c r="T406" s="317"/>
      <c r="U406" s="317"/>
      <c r="V406" s="317"/>
      <c r="W406" s="317"/>
      <c r="X406" s="317"/>
      <c r="Y406" s="317"/>
      <c r="Z406" s="312"/>
      <c r="AA406" s="312"/>
      <c r="AB406" s="312"/>
      <c r="AC406" s="314"/>
    </row>
    <row r="407" spans="1:29" x14ac:dyDescent="0.25">
      <c r="A407" s="306" t="str">
        <f t="shared" si="19"/>
        <v>P</v>
      </c>
      <c r="B407" s="307" t="str">
        <f t="shared" si="18"/>
        <v>P</v>
      </c>
      <c r="C407" s="308" t="str">
        <f>IF(OR(ISBLANK(AA407),ISBLANK(AB407),ISBLANK(#REF!))=TRUE,"P","OK")</f>
        <v>P</v>
      </c>
      <c r="D407" s="28">
        <v>0</v>
      </c>
      <c r="E407" s="49"/>
      <c r="F407" s="49"/>
      <c r="G407" s="49"/>
      <c r="H407" s="49"/>
      <c r="I407" s="49"/>
      <c r="J407" s="49"/>
      <c r="K407" s="49"/>
      <c r="L407" s="49"/>
      <c r="M407" s="49"/>
      <c r="N407" s="316"/>
      <c r="O407" s="316"/>
      <c r="P407" s="316"/>
      <c r="Q407" s="316"/>
      <c r="R407" s="316"/>
      <c r="S407" s="317"/>
      <c r="T407" s="317"/>
      <c r="U407" s="317"/>
      <c r="V407" s="317"/>
      <c r="W407" s="317"/>
      <c r="X407" s="317"/>
      <c r="Y407" s="317"/>
      <c r="Z407" s="312"/>
      <c r="AA407" s="312"/>
      <c r="AB407" s="312"/>
      <c r="AC407" s="314"/>
    </row>
    <row r="408" spans="1:29" x14ac:dyDescent="0.25">
      <c r="A408" s="306" t="str">
        <f t="shared" si="19"/>
        <v>P</v>
      </c>
      <c r="B408" s="307" t="str">
        <f t="shared" si="18"/>
        <v>P</v>
      </c>
      <c r="C408" s="308" t="str">
        <f>IF(OR(ISBLANK(AA408),ISBLANK(AB408),ISBLANK(#REF!))=TRUE,"P","OK")</f>
        <v>P</v>
      </c>
      <c r="D408" s="28">
        <v>0</v>
      </c>
      <c r="E408" s="49"/>
      <c r="F408" s="49"/>
      <c r="G408" s="49"/>
      <c r="H408" s="49"/>
      <c r="I408" s="49"/>
      <c r="J408" s="49"/>
      <c r="K408" s="49"/>
      <c r="L408" s="49"/>
      <c r="M408" s="49"/>
      <c r="N408" s="316"/>
      <c r="O408" s="316"/>
      <c r="P408" s="316"/>
      <c r="Q408" s="316"/>
      <c r="R408" s="316"/>
      <c r="S408" s="317"/>
      <c r="T408" s="317"/>
      <c r="U408" s="317"/>
      <c r="V408" s="317"/>
      <c r="W408" s="317"/>
      <c r="X408" s="317"/>
      <c r="Y408" s="317"/>
      <c r="Z408" s="312"/>
      <c r="AA408" s="312"/>
      <c r="AB408" s="312"/>
      <c r="AC408" s="314"/>
    </row>
    <row r="409" spans="1:29" x14ac:dyDescent="0.25">
      <c r="A409" s="306" t="str">
        <f t="shared" si="19"/>
        <v>P</v>
      </c>
      <c r="B409" s="307" t="str">
        <f t="shared" si="18"/>
        <v>P</v>
      </c>
      <c r="C409" s="308" t="str">
        <f>IF(OR(ISBLANK(AA409),ISBLANK(AB409),ISBLANK(#REF!))=TRUE,"P","OK")</f>
        <v>P</v>
      </c>
      <c r="D409" s="28">
        <v>0</v>
      </c>
      <c r="E409" s="49"/>
      <c r="F409" s="49"/>
      <c r="G409" s="49"/>
      <c r="H409" s="49"/>
      <c r="I409" s="49"/>
      <c r="J409" s="49"/>
      <c r="K409" s="49"/>
      <c r="L409" s="49"/>
      <c r="M409" s="49"/>
      <c r="N409" s="316"/>
      <c r="O409" s="316"/>
      <c r="P409" s="316"/>
      <c r="Q409" s="316"/>
      <c r="R409" s="316"/>
      <c r="S409" s="317"/>
      <c r="T409" s="317"/>
      <c r="U409" s="317"/>
      <c r="V409" s="317"/>
      <c r="W409" s="317"/>
      <c r="X409" s="317"/>
      <c r="Y409" s="317"/>
      <c r="Z409" s="312"/>
      <c r="AA409" s="312"/>
      <c r="AB409" s="312"/>
      <c r="AC409" s="314"/>
    </row>
    <row r="410" spans="1:29" x14ac:dyDescent="0.25">
      <c r="A410" s="306" t="str">
        <f t="shared" si="19"/>
        <v>P</v>
      </c>
      <c r="B410" s="307" t="str">
        <f t="shared" si="18"/>
        <v>P</v>
      </c>
      <c r="C410" s="308" t="str">
        <f>IF(OR(ISBLANK(AA410),ISBLANK(AB410),ISBLANK(#REF!))=TRUE,"P","OK")</f>
        <v>P</v>
      </c>
      <c r="D410" s="28">
        <v>0</v>
      </c>
      <c r="E410" s="49"/>
      <c r="F410" s="49"/>
      <c r="G410" s="49"/>
      <c r="H410" s="49"/>
      <c r="I410" s="49"/>
      <c r="J410" s="49"/>
      <c r="K410" s="49"/>
      <c r="L410" s="49"/>
      <c r="M410" s="49"/>
      <c r="N410" s="316"/>
      <c r="O410" s="316"/>
      <c r="P410" s="316"/>
      <c r="Q410" s="316"/>
      <c r="R410" s="316"/>
      <c r="S410" s="317"/>
      <c r="T410" s="317"/>
      <c r="U410" s="317"/>
      <c r="V410" s="317"/>
      <c r="W410" s="317"/>
      <c r="X410" s="317"/>
      <c r="Y410" s="317"/>
      <c r="Z410" s="312"/>
      <c r="AA410" s="312"/>
      <c r="AB410" s="312"/>
      <c r="AC410" s="314"/>
    </row>
    <row r="411" spans="1:29" x14ac:dyDescent="0.25">
      <c r="A411" s="306" t="str">
        <f t="shared" si="19"/>
        <v>P</v>
      </c>
      <c r="B411" s="307" t="str">
        <f t="shared" si="18"/>
        <v>P</v>
      </c>
      <c r="C411" s="308" t="str">
        <f>IF(OR(ISBLANK(AA411),ISBLANK(AB411),ISBLANK(#REF!))=TRUE,"P","OK")</f>
        <v>P</v>
      </c>
      <c r="D411" s="28">
        <v>0</v>
      </c>
      <c r="E411" s="49"/>
      <c r="F411" s="49"/>
      <c r="G411" s="49"/>
      <c r="H411" s="49"/>
      <c r="I411" s="49"/>
      <c r="J411" s="49"/>
      <c r="K411" s="49"/>
      <c r="L411" s="49"/>
      <c r="M411" s="49"/>
      <c r="N411" s="316"/>
      <c r="O411" s="316"/>
      <c r="P411" s="316"/>
      <c r="Q411" s="316"/>
      <c r="R411" s="316"/>
      <c r="S411" s="317"/>
      <c r="T411" s="317"/>
      <c r="U411" s="317"/>
      <c r="V411" s="317"/>
      <c r="W411" s="317"/>
      <c r="X411" s="317"/>
      <c r="Y411" s="317"/>
      <c r="Z411" s="312"/>
      <c r="AA411" s="312"/>
      <c r="AB411" s="312"/>
      <c r="AC411" s="314"/>
    </row>
    <row r="412" spans="1:29" x14ac:dyDescent="0.25">
      <c r="A412" s="306" t="str">
        <f t="shared" si="19"/>
        <v>P</v>
      </c>
      <c r="B412" s="307" t="str">
        <f t="shared" si="18"/>
        <v>P</v>
      </c>
      <c r="C412" s="308" t="str">
        <f>IF(OR(ISBLANK(AA412),ISBLANK(AB412),ISBLANK(#REF!))=TRUE,"P","OK")</f>
        <v>P</v>
      </c>
      <c r="D412" s="28">
        <v>0</v>
      </c>
      <c r="E412" s="49"/>
      <c r="F412" s="49"/>
      <c r="G412" s="49"/>
      <c r="H412" s="49"/>
      <c r="I412" s="49"/>
      <c r="J412" s="49"/>
      <c r="K412" s="49"/>
      <c r="L412" s="49"/>
      <c r="M412" s="49"/>
      <c r="N412" s="316"/>
      <c r="O412" s="316"/>
      <c r="P412" s="316"/>
      <c r="Q412" s="316"/>
      <c r="R412" s="316"/>
      <c r="S412" s="317"/>
      <c r="T412" s="317"/>
      <c r="U412" s="317"/>
      <c r="V412" s="317"/>
      <c r="W412" s="317"/>
      <c r="X412" s="317"/>
      <c r="Y412" s="317"/>
      <c r="Z412" s="312"/>
      <c r="AA412" s="312"/>
      <c r="AB412" s="312"/>
      <c r="AC412" s="314"/>
    </row>
    <row r="413" spans="1:29" x14ac:dyDescent="0.25">
      <c r="A413" s="306" t="str">
        <f t="shared" si="19"/>
        <v>P</v>
      </c>
      <c r="B413" s="307" t="str">
        <f t="shared" si="18"/>
        <v>P</v>
      </c>
      <c r="C413" s="308" t="str">
        <f>IF(OR(ISBLANK(AA413),ISBLANK(AB413),ISBLANK(#REF!))=TRUE,"P","OK")</f>
        <v>P</v>
      </c>
      <c r="D413" s="28">
        <v>0</v>
      </c>
      <c r="E413" s="49"/>
      <c r="F413" s="49"/>
      <c r="G413" s="49"/>
      <c r="H413" s="49"/>
      <c r="I413" s="49"/>
      <c r="J413" s="49"/>
      <c r="K413" s="49"/>
      <c r="L413" s="49"/>
      <c r="M413" s="49"/>
      <c r="N413" s="316"/>
      <c r="O413" s="316"/>
      <c r="P413" s="316"/>
      <c r="Q413" s="316"/>
      <c r="R413" s="316"/>
      <c r="S413" s="317"/>
      <c r="T413" s="317"/>
      <c r="U413" s="317"/>
      <c r="V413" s="317"/>
      <c r="W413" s="317"/>
      <c r="X413" s="317"/>
      <c r="Y413" s="317"/>
      <c r="Z413" s="312"/>
      <c r="AA413" s="312"/>
      <c r="AB413" s="312"/>
      <c r="AC413" s="314"/>
    </row>
    <row r="414" spans="1:29" x14ac:dyDescent="0.25">
      <c r="A414" s="306" t="str">
        <f t="shared" si="19"/>
        <v>P</v>
      </c>
      <c r="B414" s="307" t="str">
        <f t="shared" si="18"/>
        <v>P</v>
      </c>
      <c r="C414" s="308" t="str">
        <f>IF(OR(ISBLANK(AA414),ISBLANK(AB414),ISBLANK(#REF!))=TRUE,"P","OK")</f>
        <v>P</v>
      </c>
      <c r="D414" s="28">
        <v>0</v>
      </c>
      <c r="E414" s="49"/>
      <c r="F414" s="49"/>
      <c r="G414" s="49"/>
      <c r="H414" s="49"/>
      <c r="I414" s="49"/>
      <c r="J414" s="49"/>
      <c r="K414" s="49"/>
      <c r="L414" s="49"/>
      <c r="M414" s="49"/>
      <c r="N414" s="316"/>
      <c r="O414" s="316"/>
      <c r="P414" s="316"/>
      <c r="Q414" s="316"/>
      <c r="R414" s="316"/>
      <c r="S414" s="317"/>
      <c r="T414" s="317"/>
      <c r="U414" s="317"/>
      <c r="V414" s="317"/>
      <c r="W414" s="317"/>
      <c r="X414" s="317"/>
      <c r="Y414" s="317"/>
      <c r="Z414" s="312"/>
      <c r="AA414" s="312"/>
      <c r="AB414" s="312"/>
      <c r="AC414" s="314"/>
    </row>
    <row r="415" spans="1:29" x14ac:dyDescent="0.25">
      <c r="A415" s="306" t="str">
        <f t="shared" si="19"/>
        <v>P</v>
      </c>
      <c r="B415" s="307" t="str">
        <f t="shared" si="18"/>
        <v>P</v>
      </c>
      <c r="C415" s="308" t="str">
        <f>IF(OR(ISBLANK(AA415),ISBLANK(AB415),ISBLANK(#REF!))=TRUE,"P","OK")</f>
        <v>P</v>
      </c>
      <c r="D415" s="28">
        <v>0</v>
      </c>
      <c r="E415" s="49"/>
      <c r="F415" s="49"/>
      <c r="G415" s="49"/>
      <c r="H415" s="49"/>
      <c r="I415" s="49"/>
      <c r="J415" s="49"/>
      <c r="K415" s="49"/>
      <c r="L415" s="49"/>
      <c r="M415" s="49"/>
      <c r="N415" s="316"/>
      <c r="O415" s="316"/>
      <c r="P415" s="316"/>
      <c r="Q415" s="316"/>
      <c r="R415" s="316"/>
      <c r="S415" s="317"/>
      <c r="T415" s="317"/>
      <c r="U415" s="317"/>
      <c r="V415" s="317"/>
      <c r="W415" s="317"/>
      <c r="X415" s="317"/>
      <c r="Y415" s="317"/>
      <c r="Z415" s="312"/>
      <c r="AA415" s="312"/>
      <c r="AB415" s="312"/>
      <c r="AC415" s="314"/>
    </row>
    <row r="416" spans="1:29" x14ac:dyDescent="0.25">
      <c r="A416" s="306" t="str">
        <f t="shared" si="19"/>
        <v>P</v>
      </c>
      <c r="B416" s="307" t="str">
        <f t="shared" si="18"/>
        <v>P</v>
      </c>
      <c r="C416" s="308" t="str">
        <f>IF(OR(ISBLANK(AA416),ISBLANK(AB416),ISBLANK(#REF!))=TRUE,"P","OK")</f>
        <v>P</v>
      </c>
      <c r="D416" s="28">
        <v>0</v>
      </c>
      <c r="E416" s="49"/>
      <c r="F416" s="49"/>
      <c r="G416" s="49"/>
      <c r="H416" s="49"/>
      <c r="I416" s="49"/>
      <c r="J416" s="49"/>
      <c r="K416" s="49"/>
      <c r="L416" s="49"/>
      <c r="M416" s="49"/>
      <c r="N416" s="49"/>
      <c r="O416" s="49"/>
      <c r="P416" s="49"/>
      <c r="Q416" s="49"/>
      <c r="R416" s="49"/>
      <c r="S416" s="317"/>
      <c r="T416" s="317"/>
      <c r="U416" s="317"/>
      <c r="V416" s="317"/>
      <c r="W416" s="317"/>
      <c r="X416" s="317"/>
      <c r="Y416" s="317"/>
      <c r="Z416" s="312"/>
      <c r="AA416" s="312"/>
      <c r="AB416" s="312"/>
      <c r="AC416" s="314"/>
    </row>
    <row r="417" spans="1:29" x14ac:dyDescent="0.25">
      <c r="A417" s="306" t="str">
        <f t="shared" si="19"/>
        <v>P</v>
      </c>
      <c r="B417" s="307" t="str">
        <f t="shared" si="18"/>
        <v>P</v>
      </c>
      <c r="C417" s="308" t="str">
        <f>IF(OR(ISBLANK(AA417),ISBLANK(AB417),ISBLANK(#REF!))=TRUE,"P","OK")</f>
        <v>P</v>
      </c>
      <c r="D417" s="28">
        <v>0</v>
      </c>
      <c r="E417" s="49"/>
      <c r="F417" s="49"/>
      <c r="G417" s="49"/>
      <c r="H417" s="49"/>
      <c r="I417" s="49"/>
      <c r="J417" s="49"/>
      <c r="K417" s="49"/>
      <c r="L417" s="49"/>
      <c r="M417" s="49"/>
      <c r="N417" s="49"/>
      <c r="O417" s="49"/>
      <c r="P417" s="49"/>
      <c r="Q417" s="49"/>
      <c r="R417" s="49"/>
      <c r="S417" s="317"/>
      <c r="T417" s="317"/>
      <c r="U417" s="317"/>
      <c r="V417" s="317"/>
      <c r="W417" s="317"/>
      <c r="X417" s="317"/>
      <c r="Y417" s="317"/>
      <c r="Z417" s="312"/>
      <c r="AA417" s="312"/>
      <c r="AB417" s="312"/>
      <c r="AC417" s="314"/>
    </row>
    <row r="418" spans="1:29" x14ac:dyDescent="0.25">
      <c r="A418" s="306" t="str">
        <f t="shared" si="19"/>
        <v>P</v>
      </c>
      <c r="B418" s="307" t="str">
        <f t="shared" si="18"/>
        <v>P</v>
      </c>
      <c r="C418" s="308" t="str">
        <f>IF(OR(ISBLANK(AA418),ISBLANK(AB418),ISBLANK(#REF!))=TRUE,"P","OK")</f>
        <v>P</v>
      </c>
      <c r="D418" s="28">
        <v>0</v>
      </c>
      <c r="E418" s="49"/>
      <c r="F418" s="49"/>
      <c r="G418" s="49"/>
      <c r="H418" s="49"/>
      <c r="I418" s="49"/>
      <c r="J418" s="49"/>
      <c r="K418" s="49"/>
      <c r="L418" s="49"/>
      <c r="M418" s="49"/>
      <c r="N418" s="49"/>
      <c r="O418" s="49"/>
      <c r="P418" s="49"/>
      <c r="Q418" s="49"/>
      <c r="R418" s="49"/>
      <c r="S418" s="317"/>
      <c r="T418" s="317"/>
      <c r="U418" s="317"/>
      <c r="V418" s="317"/>
      <c r="W418" s="317"/>
      <c r="X418" s="317"/>
      <c r="Y418" s="317"/>
      <c r="Z418" s="312"/>
      <c r="AA418" s="312"/>
      <c r="AB418" s="312"/>
      <c r="AC418" s="314"/>
    </row>
    <row r="419" spans="1:29" x14ac:dyDescent="0.25">
      <c r="A419" s="306" t="str">
        <f t="shared" si="19"/>
        <v>P</v>
      </c>
      <c r="B419" s="307" t="str">
        <f t="shared" si="18"/>
        <v>P</v>
      </c>
      <c r="C419" s="308" t="str">
        <f>IF(OR(ISBLANK(AA419),ISBLANK(AB419),ISBLANK(#REF!))=TRUE,"P","OK")</f>
        <v>P</v>
      </c>
      <c r="D419" s="28">
        <v>0</v>
      </c>
      <c r="E419" s="49"/>
      <c r="F419" s="49"/>
      <c r="G419" s="49"/>
      <c r="H419" s="49"/>
      <c r="I419" s="49"/>
      <c r="J419" s="49"/>
      <c r="K419" s="49"/>
      <c r="L419" s="49"/>
      <c r="M419" s="49"/>
      <c r="N419" s="49"/>
      <c r="O419" s="49"/>
      <c r="P419" s="49"/>
      <c r="Q419" s="49"/>
      <c r="R419" s="49"/>
      <c r="S419" s="317"/>
      <c r="T419" s="317"/>
      <c r="U419" s="317"/>
      <c r="V419" s="317"/>
      <c r="W419" s="317"/>
      <c r="X419" s="317"/>
      <c r="Y419" s="317"/>
      <c r="Z419" s="312"/>
      <c r="AA419" s="312"/>
      <c r="AB419" s="312"/>
      <c r="AC419" s="314"/>
    </row>
    <row r="420" spans="1:29" x14ac:dyDescent="0.25">
      <c r="A420" s="306" t="str">
        <f t="shared" si="19"/>
        <v>P</v>
      </c>
      <c r="B420" s="307" t="str">
        <f t="shared" si="18"/>
        <v>P</v>
      </c>
      <c r="C420" s="308" t="str">
        <f>IF(OR(ISBLANK(AA420),ISBLANK(AB420),ISBLANK(#REF!))=TRUE,"P","OK")</f>
        <v>P</v>
      </c>
      <c r="D420" s="28">
        <v>0</v>
      </c>
      <c r="E420" s="49"/>
      <c r="F420" s="49"/>
      <c r="G420" s="49"/>
      <c r="H420" s="49"/>
      <c r="I420" s="49"/>
      <c r="J420" s="49"/>
      <c r="K420" s="49"/>
      <c r="L420" s="49"/>
      <c r="M420" s="49"/>
      <c r="N420" s="49"/>
      <c r="O420" s="49"/>
      <c r="P420" s="49"/>
      <c r="Q420" s="49"/>
      <c r="R420" s="49"/>
      <c r="S420" s="317"/>
      <c r="T420" s="317"/>
      <c r="U420" s="317"/>
      <c r="V420" s="317"/>
      <c r="W420" s="317"/>
      <c r="X420" s="317"/>
      <c r="Y420" s="317"/>
      <c r="Z420" s="312"/>
      <c r="AA420" s="312"/>
      <c r="AB420" s="312"/>
      <c r="AC420" s="314"/>
    </row>
    <row r="421" spans="1:29" x14ac:dyDescent="0.25">
      <c r="A421" s="306" t="str">
        <f t="shared" si="19"/>
        <v>P</v>
      </c>
      <c r="B421" s="307" t="str">
        <f t="shared" si="18"/>
        <v>P</v>
      </c>
      <c r="C421" s="308" t="str">
        <f>IF(OR(ISBLANK(AA421),ISBLANK(AB421),ISBLANK(#REF!))=TRUE,"P","OK")</f>
        <v>P</v>
      </c>
      <c r="D421" s="28">
        <v>0</v>
      </c>
      <c r="E421" s="49"/>
      <c r="F421" s="49"/>
      <c r="G421" s="49"/>
      <c r="H421" s="49"/>
      <c r="I421" s="49"/>
      <c r="J421" s="49"/>
      <c r="K421" s="49"/>
      <c r="L421" s="49"/>
      <c r="M421" s="49"/>
      <c r="N421" s="49"/>
      <c r="O421" s="49"/>
      <c r="P421" s="49"/>
      <c r="Q421" s="49"/>
      <c r="R421" s="49"/>
      <c r="S421" s="317"/>
      <c r="T421" s="317"/>
      <c r="U421" s="317"/>
      <c r="V421" s="317"/>
      <c r="W421" s="317"/>
      <c r="X421" s="317"/>
      <c r="Y421" s="317"/>
      <c r="Z421" s="312"/>
      <c r="AA421" s="312"/>
      <c r="AB421" s="312"/>
      <c r="AC421" s="314"/>
    </row>
  </sheetData>
  <autoFilter ref="A5:AC421" xr:uid="{CD4B9784-2448-4E5E-B457-3EB1B78683D6}"/>
  <mergeCells count="5">
    <mergeCell ref="A1:AC3"/>
    <mergeCell ref="A4:C4"/>
    <mergeCell ref="D4:R4"/>
    <mergeCell ref="S4:Y4"/>
    <mergeCell ref="Z4:AB4"/>
  </mergeCells>
  <phoneticPr fontId="6" type="noConversion"/>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09D06-40C8-49C7-B788-A5DC3EC6C09B}">
  <sheetPr codeName="Planilha1"/>
  <dimension ref="A1:BB252"/>
  <sheetViews>
    <sheetView showGridLines="0" zoomScale="70" zoomScaleNormal="70" workbookViewId="0">
      <pane xSplit="3" ySplit="6" topLeftCell="D244" activePane="bottomRight" state="frozen"/>
      <selection pane="topRight" activeCell="D1" sqref="D1"/>
      <selection pane="bottomLeft" activeCell="A7" sqref="A7"/>
      <selection pane="bottomRight" activeCell="H6" sqref="H6"/>
    </sheetView>
  </sheetViews>
  <sheetFormatPr defaultColWidth="9.42578125" defaultRowHeight="15" outlineLevelCol="1" x14ac:dyDescent="0.2"/>
  <cols>
    <col min="1" max="2" width="5.42578125" style="6" customWidth="1" outlineLevel="1"/>
    <col min="3" max="3" width="5" style="6" customWidth="1" outlineLevel="1"/>
    <col min="4" max="4" width="8.5703125" style="6" customWidth="1"/>
    <col min="5" max="5" width="15.5703125" style="320" customWidth="1" outlineLevel="1"/>
    <col min="6" max="6" width="37.42578125" style="244" customWidth="1" outlineLevel="1"/>
    <col min="7" max="7" width="14.42578125" style="244" customWidth="1" outlineLevel="1"/>
    <col min="8" max="8" width="21.5703125" style="244" customWidth="1" outlineLevel="1"/>
    <col min="9" max="9" width="12.5703125" style="244" customWidth="1" outlineLevel="1"/>
    <col min="10" max="10" width="21.42578125" style="244" customWidth="1" outlineLevel="1"/>
    <col min="11" max="11" width="50.5703125" style="244" customWidth="1" outlineLevel="1"/>
    <col min="12" max="12" width="38" style="208" customWidth="1" outlineLevel="1"/>
    <col min="13" max="13" width="34.42578125" style="208" customWidth="1" outlineLevel="1"/>
    <col min="14" max="14" width="14.42578125" style="244" customWidth="1" outlineLevel="1"/>
    <col min="15" max="15" width="25.5703125" style="244" customWidth="1" outlineLevel="1"/>
    <col min="16" max="16" width="24" style="244" customWidth="1" outlineLevel="1"/>
    <col min="17" max="17" width="14.42578125" style="244" customWidth="1" outlineLevel="1"/>
    <col min="18" max="18" width="16.42578125" style="244" customWidth="1" outlineLevel="1"/>
    <col min="19" max="19" width="18.42578125" style="244" customWidth="1"/>
    <col min="20" max="20" width="22.42578125" style="244" customWidth="1" outlineLevel="1"/>
    <col min="21" max="21" width="22.5703125" style="244" customWidth="1" outlineLevel="1"/>
    <col min="22" max="22" width="41.5703125" style="244" customWidth="1" outlineLevel="1"/>
    <col min="23" max="23" width="16.5703125" style="244" customWidth="1" outlineLevel="1"/>
    <col min="24" max="24" width="13" style="244" customWidth="1" outlineLevel="1"/>
    <col min="25" max="25" width="29.42578125" style="244" customWidth="1" outlineLevel="1"/>
    <col min="26" max="26" width="23.5703125" style="244" customWidth="1" outlineLevel="1"/>
    <col min="27" max="27" width="18.42578125" style="244" bestFit="1" customWidth="1"/>
    <col min="28" max="28" width="13.42578125" style="244" customWidth="1" outlineLevel="1"/>
    <col min="29" max="29" width="18.5703125" style="244" customWidth="1" outlineLevel="1"/>
    <col min="30" max="30" width="14.5703125" style="231" customWidth="1" outlineLevel="1"/>
    <col min="31" max="31" width="15.42578125" style="231" customWidth="1" outlineLevel="1"/>
    <col min="32" max="32" width="99.42578125" style="244" bestFit="1" customWidth="1"/>
    <col min="33" max="33" width="12.42578125" style="244" bestFit="1" customWidth="1"/>
    <col min="34" max="34" width="180.42578125" style="243" bestFit="1" customWidth="1"/>
    <col min="35" max="35" width="98.5703125" style="244" bestFit="1" customWidth="1"/>
    <col min="36" max="16384" width="9.42578125" style="244"/>
  </cols>
  <sheetData>
    <row r="1" spans="1:35" s="6" customFormat="1" x14ac:dyDescent="0.25">
      <c r="D1" s="2"/>
      <c r="E1" s="318"/>
      <c r="F1" s="225">
        <f ca="1">TODAY()</f>
        <v>45773</v>
      </c>
      <c r="G1" s="2"/>
      <c r="H1" s="2"/>
      <c r="I1" s="2"/>
      <c r="J1" s="2"/>
      <c r="K1" s="3"/>
      <c r="L1" s="100"/>
      <c r="M1" s="100"/>
      <c r="N1" s="4"/>
      <c r="O1" s="4"/>
      <c r="P1" s="4"/>
      <c r="Q1" s="4"/>
      <c r="R1" s="4"/>
      <c r="S1" s="2"/>
      <c r="T1" s="2"/>
      <c r="U1" s="4"/>
      <c r="V1" s="2"/>
      <c r="W1" s="2"/>
      <c r="X1" s="3"/>
      <c r="Y1" s="3"/>
      <c r="Z1" s="5"/>
      <c r="AA1" s="2"/>
      <c r="AB1" s="4"/>
      <c r="AC1" s="4"/>
      <c r="AD1" s="2"/>
      <c r="AE1" s="2"/>
      <c r="AH1" s="7"/>
    </row>
    <row r="2" spans="1:35" s="6" customFormat="1" ht="12.75" x14ac:dyDescent="0.2">
      <c r="A2" s="455" t="s">
        <v>8235</v>
      </c>
      <c r="B2" s="455"/>
      <c r="C2" s="455"/>
      <c r="D2" s="455"/>
      <c r="E2" s="455"/>
      <c r="F2" s="455"/>
      <c r="G2" s="455"/>
      <c r="H2" s="455"/>
      <c r="I2" s="455"/>
      <c r="J2" s="455"/>
      <c r="K2" s="455"/>
      <c r="L2" s="455"/>
      <c r="M2" s="455"/>
      <c r="N2" s="455"/>
      <c r="O2" s="455"/>
      <c r="P2" s="455"/>
      <c r="Q2" s="455"/>
      <c r="R2" s="456"/>
      <c r="S2" s="8"/>
      <c r="T2" s="8"/>
      <c r="U2" s="8"/>
      <c r="V2" s="8"/>
      <c r="W2" s="8"/>
      <c r="X2" s="8"/>
      <c r="Y2" s="8"/>
      <c r="Z2" s="8"/>
      <c r="AA2" s="8"/>
      <c r="AB2" s="8"/>
      <c r="AC2" s="8"/>
      <c r="AD2" s="8"/>
      <c r="AE2" s="8"/>
      <c r="AH2" s="7"/>
    </row>
    <row r="3" spans="1:35" s="6" customFormat="1" ht="12.75" x14ac:dyDescent="0.2">
      <c r="A3" s="455"/>
      <c r="B3" s="455"/>
      <c r="C3" s="455"/>
      <c r="D3" s="455"/>
      <c r="E3" s="455"/>
      <c r="F3" s="455"/>
      <c r="G3" s="455"/>
      <c r="H3" s="455"/>
      <c r="I3" s="455"/>
      <c r="J3" s="455"/>
      <c r="K3" s="455"/>
      <c r="L3" s="455"/>
      <c r="M3" s="455"/>
      <c r="N3" s="455"/>
      <c r="O3" s="455"/>
      <c r="P3" s="455"/>
      <c r="Q3" s="455"/>
      <c r="R3" s="456"/>
      <c r="S3" s="8"/>
      <c r="T3" s="8"/>
      <c r="U3" s="8"/>
      <c r="V3" s="8"/>
      <c r="W3" s="8"/>
      <c r="X3" s="8"/>
      <c r="Y3" s="8"/>
      <c r="Z3" s="8"/>
      <c r="AA3" s="8"/>
      <c r="AB3" s="8"/>
      <c r="AC3" s="8"/>
      <c r="AD3" s="8"/>
      <c r="AE3" s="8"/>
      <c r="AH3" s="7"/>
    </row>
    <row r="4" spans="1:35" s="6" customFormat="1" ht="13.5" thickBot="1" x14ac:dyDescent="0.25">
      <c r="A4" s="455"/>
      <c r="B4" s="455"/>
      <c r="C4" s="455"/>
      <c r="D4" s="455"/>
      <c r="E4" s="455"/>
      <c r="F4" s="455"/>
      <c r="G4" s="455"/>
      <c r="H4" s="455"/>
      <c r="I4" s="455"/>
      <c r="J4" s="455"/>
      <c r="K4" s="455"/>
      <c r="L4" s="455"/>
      <c r="M4" s="455"/>
      <c r="N4" s="455"/>
      <c r="O4" s="455"/>
      <c r="P4" s="455"/>
      <c r="Q4" s="455"/>
      <c r="R4" s="456"/>
      <c r="S4" s="9"/>
      <c r="T4" s="9"/>
      <c r="U4" s="9"/>
      <c r="V4" s="9"/>
      <c r="W4" s="9"/>
      <c r="X4" s="9"/>
      <c r="Y4" s="9"/>
      <c r="Z4" s="9"/>
      <c r="AA4" s="9"/>
      <c r="AB4" s="9"/>
      <c r="AC4" s="9"/>
      <c r="AD4" s="9"/>
      <c r="AE4" s="9"/>
      <c r="AH4" s="7"/>
    </row>
    <row r="5" spans="1:35" s="6" customFormat="1" ht="16.350000000000001" customHeight="1" thickTop="1" thickBot="1" x14ac:dyDescent="0.25">
      <c r="A5" s="466" t="s">
        <v>6806</v>
      </c>
      <c r="B5" s="466"/>
      <c r="C5" s="467"/>
      <c r="D5" s="457" t="s">
        <v>0</v>
      </c>
      <c r="E5" s="458"/>
      <c r="F5" s="458"/>
      <c r="G5" s="458"/>
      <c r="H5" s="458"/>
      <c r="I5" s="458"/>
      <c r="J5" s="458"/>
      <c r="K5" s="458"/>
      <c r="L5" s="458"/>
      <c r="M5" s="458"/>
      <c r="N5" s="458"/>
      <c r="O5" s="458"/>
      <c r="P5" s="458"/>
      <c r="Q5" s="458"/>
      <c r="R5" s="459"/>
      <c r="S5" s="460" t="s">
        <v>1</v>
      </c>
      <c r="T5" s="461"/>
      <c r="U5" s="461"/>
      <c r="V5" s="461"/>
      <c r="W5" s="461"/>
      <c r="X5" s="461"/>
      <c r="Y5" s="461"/>
      <c r="Z5" s="462"/>
      <c r="AA5" s="463" t="s">
        <v>2</v>
      </c>
      <c r="AB5" s="464"/>
      <c r="AC5" s="464"/>
      <c r="AD5" s="464"/>
      <c r="AE5" s="465"/>
      <c r="AH5" s="7"/>
    </row>
    <row r="6" spans="1:35" s="6" customFormat="1" ht="32.1" customHeight="1" thickTop="1" thickBot="1" x14ac:dyDescent="0.25">
      <c r="A6" s="139" t="s">
        <v>8236</v>
      </c>
      <c r="B6" s="219" t="s">
        <v>6808</v>
      </c>
      <c r="C6" s="220" t="s">
        <v>6809</v>
      </c>
      <c r="D6" s="10" t="s">
        <v>6810</v>
      </c>
      <c r="E6" s="11" t="s">
        <v>4</v>
      </c>
      <c r="F6" s="12" t="s">
        <v>5</v>
      </c>
      <c r="G6" s="12" t="s">
        <v>7</v>
      </c>
      <c r="H6" s="12" t="s">
        <v>8</v>
      </c>
      <c r="I6" s="12" t="s">
        <v>6811</v>
      </c>
      <c r="J6" s="12" t="s">
        <v>4992</v>
      </c>
      <c r="K6" s="13" t="s">
        <v>9</v>
      </c>
      <c r="L6" s="12" t="s">
        <v>4993</v>
      </c>
      <c r="M6" s="12" t="s">
        <v>11</v>
      </c>
      <c r="N6" s="14" t="s">
        <v>12</v>
      </c>
      <c r="O6" s="14" t="s">
        <v>6812</v>
      </c>
      <c r="P6" s="14" t="s">
        <v>6813</v>
      </c>
      <c r="Q6" s="14" t="s">
        <v>6814</v>
      </c>
      <c r="R6" s="15" t="s">
        <v>13</v>
      </c>
      <c r="S6" s="16" t="s">
        <v>14</v>
      </c>
      <c r="T6" s="17" t="s">
        <v>8237</v>
      </c>
      <c r="U6" s="18" t="s">
        <v>8238</v>
      </c>
      <c r="V6" s="17" t="s">
        <v>6815</v>
      </c>
      <c r="W6" s="17" t="s">
        <v>8239</v>
      </c>
      <c r="X6" s="19" t="s">
        <v>8240</v>
      </c>
      <c r="Y6" s="17" t="s">
        <v>6816</v>
      </c>
      <c r="Z6" s="20" t="s">
        <v>17</v>
      </c>
      <c r="AA6" s="21" t="s">
        <v>18</v>
      </c>
      <c r="AB6" s="22" t="s">
        <v>19</v>
      </c>
      <c r="AC6" s="22" t="s">
        <v>20</v>
      </c>
      <c r="AD6" s="23" t="s">
        <v>8241</v>
      </c>
      <c r="AE6" s="24" t="s">
        <v>8242</v>
      </c>
      <c r="AF6" s="120" t="s">
        <v>8243</v>
      </c>
      <c r="AG6" s="120" t="s">
        <v>21</v>
      </c>
      <c r="AH6" s="7"/>
    </row>
    <row r="7" spans="1:35" s="2" customFormat="1" ht="15" customHeight="1" thickBot="1" x14ac:dyDescent="0.25">
      <c r="A7" s="221" t="str">
        <f t="shared" ref="A7:A69" si="0">IF(OR(ISBLANK(D7),ISBLANK(E7),ISBLANK(F7),ISBLANK(G7),ISBLANK(H7),ISBLANK(I7),ISBLANK(J7),ISBLANK(K7),ISBLANK(L7),ISBLANK(M7),ISBLANK(N7),ISBLANK(O7),ISBLANK(P7),ISBLANK(Q7),ISBLANK(R7))=TRUE,"P","OK")</f>
        <v>OK</v>
      </c>
      <c r="B7" s="222" t="str">
        <f>IF(OR(ISBLANK(S7),ISBLANK(T7),ISBLANK(U7),ISBLANK(V7),ISBLANK(W7),ISBLANK(X7),ISBLANK(Y7),ISBLANK(Z7))=TRUE,"P","OK")</f>
        <v>OK</v>
      </c>
      <c r="C7" s="223" t="str">
        <f>IF(OR(ISBLANK(AA7),ISBLANK(AB7),ISBLANK(AC7))=TRUE,"P","OK")</f>
        <v>OK</v>
      </c>
      <c r="D7" s="28">
        <v>0</v>
      </c>
      <c r="E7" s="49" t="s">
        <v>8244</v>
      </c>
      <c r="F7" s="157" t="s">
        <v>6169</v>
      </c>
      <c r="G7" s="157">
        <v>181095</v>
      </c>
      <c r="H7" s="157" t="s">
        <v>8245</v>
      </c>
      <c r="I7" s="157" t="s">
        <v>6820</v>
      </c>
      <c r="J7" s="157" t="s">
        <v>6829</v>
      </c>
      <c r="K7" s="157" t="s">
        <v>8246</v>
      </c>
      <c r="L7" s="157" t="s">
        <v>8247</v>
      </c>
      <c r="M7" s="157" t="s">
        <v>7098</v>
      </c>
      <c r="N7" s="158">
        <v>44126</v>
      </c>
      <c r="O7" s="157" t="s">
        <v>7729</v>
      </c>
      <c r="P7" s="158">
        <v>44126</v>
      </c>
      <c r="Q7" s="158">
        <v>44126</v>
      </c>
      <c r="R7" s="159">
        <v>44126</v>
      </c>
      <c r="S7" s="160" t="s">
        <v>8248</v>
      </c>
      <c r="T7" s="161" t="s">
        <v>464</v>
      </c>
      <c r="U7" s="162">
        <v>44209</v>
      </c>
      <c r="V7" s="161" t="s">
        <v>8249</v>
      </c>
      <c r="W7" s="161">
        <v>1</v>
      </c>
      <c r="X7" s="161" t="s">
        <v>5683</v>
      </c>
      <c r="Y7" s="161" t="s">
        <v>4999</v>
      </c>
      <c r="Z7" s="163">
        <v>44210</v>
      </c>
      <c r="AA7" s="164" t="s">
        <v>8250</v>
      </c>
      <c r="AB7" s="165">
        <v>44210</v>
      </c>
      <c r="AC7" s="166">
        <v>44210</v>
      </c>
      <c r="AF7" s="53"/>
      <c r="AG7" s="54"/>
      <c r="AH7" s="91"/>
    </row>
    <row r="8" spans="1:35" s="231" customFormat="1" ht="15" customHeight="1" thickBot="1" x14ac:dyDescent="0.25">
      <c r="A8" s="221" t="str">
        <f t="shared" si="0"/>
        <v>OK</v>
      </c>
      <c r="B8" s="222" t="str">
        <f t="shared" ref="B8:B70" si="1">IF(OR(ISBLANK(S8),ISBLANK(T8),ISBLANK(U8),ISBLANK(V8),ISBLANK(W8),ISBLANK(X8),ISBLANK(Y8),ISBLANK(Z8))=TRUE,"P","OK")</f>
        <v>OK</v>
      </c>
      <c r="C8" s="223" t="str">
        <f t="shared" ref="C8:C70" si="2">IF(OR(ISBLANK(AA8),ISBLANK(AB8),ISBLANK(AC8))=TRUE,"P","OK")</f>
        <v>OK</v>
      </c>
      <c r="D8" s="28">
        <v>0</v>
      </c>
      <c r="E8" s="49" t="s">
        <v>8251</v>
      </c>
      <c r="F8" s="157" t="s">
        <v>6169</v>
      </c>
      <c r="G8" s="157">
        <v>181094</v>
      </c>
      <c r="H8" s="157" t="s">
        <v>8252</v>
      </c>
      <c r="I8" s="157" t="s">
        <v>6820</v>
      </c>
      <c r="J8" s="157" t="s">
        <v>6829</v>
      </c>
      <c r="K8" s="157" t="s">
        <v>6277</v>
      </c>
      <c r="L8" s="157">
        <v>330750</v>
      </c>
      <c r="M8" s="202" t="s">
        <v>7110</v>
      </c>
      <c r="N8" s="158">
        <v>44126</v>
      </c>
      <c r="O8" s="157" t="s">
        <v>7729</v>
      </c>
      <c r="P8" s="158">
        <v>44126</v>
      </c>
      <c r="Q8" s="158">
        <v>44126</v>
      </c>
      <c r="R8" s="159">
        <v>44126</v>
      </c>
      <c r="S8" s="160" t="s">
        <v>8253</v>
      </c>
      <c r="T8" s="161" t="s">
        <v>8254</v>
      </c>
      <c r="U8" s="162">
        <v>44209</v>
      </c>
      <c r="V8" s="161" t="s">
        <v>8255</v>
      </c>
      <c r="W8" s="161">
        <v>1</v>
      </c>
      <c r="X8" s="161" t="s">
        <v>5683</v>
      </c>
      <c r="Y8" s="161" t="s">
        <v>4999</v>
      </c>
      <c r="Z8" s="163">
        <v>44215</v>
      </c>
      <c r="AA8" s="164" t="s">
        <v>8250</v>
      </c>
      <c r="AB8" s="165">
        <v>44217</v>
      </c>
      <c r="AC8" s="166">
        <v>44217</v>
      </c>
      <c r="AF8" s="239"/>
      <c r="AG8" s="240"/>
      <c r="AH8" s="230"/>
    </row>
    <row r="9" spans="1:35" s="231" customFormat="1" ht="15" customHeight="1" thickBot="1" x14ac:dyDescent="0.25">
      <c r="A9" s="221" t="str">
        <f>IF(OR(ISBLANK(D9),ISBLANK(E9),ISBLANK(F9),ISBLANK(G9),ISBLANK(H9),ISBLANK(I9),ISBLANK(J9),ISBLANK(K9),ISBLANK(L9),ISBLANK(M9),ISBLANK(N9),ISBLANK(O9),ISBLANK(P9),ISBLANK(Q9),ISBLANK(R9))=TRUE,"P","OK")</f>
        <v>OK</v>
      </c>
      <c r="B9" s="222" t="str">
        <f t="shared" si="1"/>
        <v>OK</v>
      </c>
      <c r="C9" s="223" t="str">
        <f t="shared" si="2"/>
        <v>OK</v>
      </c>
      <c r="D9" s="92">
        <v>0</v>
      </c>
      <c r="E9" s="49" t="s">
        <v>8256</v>
      </c>
      <c r="F9" s="169" t="s">
        <v>8257</v>
      </c>
      <c r="G9" s="169">
        <v>181219</v>
      </c>
      <c r="H9" s="169" t="s">
        <v>8258</v>
      </c>
      <c r="I9" s="169" t="s">
        <v>6820</v>
      </c>
      <c r="J9" s="169" t="s">
        <v>8259</v>
      </c>
      <c r="K9" s="169" t="s">
        <v>6386</v>
      </c>
      <c r="L9" s="169" t="s">
        <v>8260</v>
      </c>
      <c r="M9" s="169" t="s">
        <v>8261</v>
      </c>
      <c r="N9" s="170">
        <v>44204</v>
      </c>
      <c r="O9" s="169" t="s">
        <v>7729</v>
      </c>
      <c r="P9" s="170">
        <v>44204</v>
      </c>
      <c r="Q9" s="170">
        <v>44204</v>
      </c>
      <c r="R9" s="170">
        <v>44208</v>
      </c>
      <c r="S9" s="171" t="s">
        <v>8248</v>
      </c>
      <c r="T9" s="172" t="s">
        <v>464</v>
      </c>
      <c r="U9" s="173">
        <v>44208</v>
      </c>
      <c r="V9" s="172" t="s">
        <v>8262</v>
      </c>
      <c r="W9" s="172">
        <v>1</v>
      </c>
      <c r="X9" s="172" t="s">
        <v>5683</v>
      </c>
      <c r="Y9" s="172" t="s">
        <v>4999</v>
      </c>
      <c r="Z9" s="174">
        <v>44208</v>
      </c>
      <c r="AA9" s="175" t="s">
        <v>8250</v>
      </c>
      <c r="AB9" s="176">
        <v>44209</v>
      </c>
      <c r="AC9" s="177">
        <v>44209</v>
      </c>
      <c r="AD9" s="227"/>
      <c r="AE9" s="227"/>
      <c r="AF9" s="228"/>
      <c r="AG9" s="229"/>
      <c r="AH9" s="230"/>
      <c r="AI9" s="227"/>
    </row>
    <row r="10" spans="1:35" s="227" customFormat="1" ht="15" customHeight="1" thickBot="1" x14ac:dyDescent="0.25">
      <c r="A10" s="221" t="str">
        <f>IF(OR(ISBLANK(D10),ISBLANK(E10),ISBLANK(F10),ISBLANK(G10),ISBLANK(H10),ISBLANK(I10),ISBLANK(J10),ISBLANK(K10),ISBLANK(L10),ISBLANK(M10),ISBLANK(N10),ISBLANK(O10),ISBLANK(P10),ISBLANK(Q10),ISBLANK(R10))=TRUE,"P","OK")</f>
        <v>OK</v>
      </c>
      <c r="B10" s="222" t="str">
        <f t="shared" si="1"/>
        <v>OK</v>
      </c>
      <c r="C10" s="223" t="str">
        <f t="shared" si="2"/>
        <v>OK</v>
      </c>
      <c r="D10" s="92">
        <v>0</v>
      </c>
      <c r="E10" s="49" t="s">
        <v>8263</v>
      </c>
      <c r="F10" s="169" t="s">
        <v>8264</v>
      </c>
      <c r="G10" s="169">
        <v>181133</v>
      </c>
      <c r="H10" s="169" t="s">
        <v>8265</v>
      </c>
      <c r="I10" s="169" t="s">
        <v>6820</v>
      </c>
      <c r="J10" s="169" t="s">
        <v>8259</v>
      </c>
      <c r="K10" s="169" t="s">
        <v>8266</v>
      </c>
      <c r="L10" s="169" t="s">
        <v>8267</v>
      </c>
      <c r="M10" s="169" t="s">
        <v>8268</v>
      </c>
      <c r="N10" s="170">
        <v>44151</v>
      </c>
      <c r="O10" s="169" t="s">
        <v>7729</v>
      </c>
      <c r="P10" s="170">
        <v>44160</v>
      </c>
      <c r="Q10" s="170">
        <v>44160</v>
      </c>
      <c r="R10" s="170">
        <v>44160</v>
      </c>
      <c r="S10" s="171" t="s">
        <v>8269</v>
      </c>
      <c r="T10" s="171" t="s">
        <v>8250</v>
      </c>
      <c r="U10" s="245">
        <v>44211</v>
      </c>
      <c r="V10" s="171" t="s">
        <v>8270</v>
      </c>
      <c r="W10" s="171">
        <v>9</v>
      </c>
      <c r="X10" s="171" t="s">
        <v>5683</v>
      </c>
      <c r="Y10" s="171" t="s">
        <v>4999</v>
      </c>
      <c r="Z10" s="245">
        <v>44211</v>
      </c>
      <c r="AA10" s="175" t="s">
        <v>8250</v>
      </c>
      <c r="AB10" s="175">
        <v>44215</v>
      </c>
      <c r="AC10" s="175">
        <v>44215</v>
      </c>
      <c r="AF10" s="228"/>
      <c r="AG10" s="229"/>
      <c r="AH10" s="230"/>
    </row>
    <row r="11" spans="1:35" s="227" customFormat="1" ht="15" customHeight="1" thickBot="1" x14ac:dyDescent="0.25">
      <c r="A11" s="221" t="str">
        <f t="shared" si="0"/>
        <v>OK</v>
      </c>
      <c r="B11" s="222" t="str">
        <f t="shared" si="1"/>
        <v>OK</v>
      </c>
      <c r="C11" s="223" t="str">
        <f t="shared" si="2"/>
        <v>OK</v>
      </c>
      <c r="D11" s="92">
        <v>0</v>
      </c>
      <c r="E11" s="49" t="s">
        <v>8271</v>
      </c>
      <c r="F11" s="169" t="s">
        <v>8272</v>
      </c>
      <c r="G11" s="169">
        <v>181228</v>
      </c>
      <c r="H11" s="169" t="s">
        <v>8273</v>
      </c>
      <c r="I11" s="169" t="s">
        <v>6820</v>
      </c>
      <c r="J11" s="169" t="s">
        <v>6829</v>
      </c>
      <c r="K11" s="169" t="s">
        <v>8274</v>
      </c>
      <c r="L11" s="169" t="s">
        <v>8275</v>
      </c>
      <c r="M11" s="169" t="s">
        <v>504</v>
      </c>
      <c r="N11" s="170">
        <v>44208</v>
      </c>
      <c r="O11" s="169" t="s">
        <v>7729</v>
      </c>
      <c r="P11" s="170">
        <v>44208</v>
      </c>
      <c r="Q11" s="170">
        <v>44208</v>
      </c>
      <c r="R11" s="170">
        <v>44209</v>
      </c>
      <c r="S11" s="171" t="s">
        <v>8248</v>
      </c>
      <c r="T11" s="171" t="s">
        <v>7729</v>
      </c>
      <c r="U11" s="245">
        <v>44235</v>
      </c>
      <c r="V11" s="171" t="s">
        <v>505</v>
      </c>
      <c r="W11" s="171">
        <v>2</v>
      </c>
      <c r="X11" s="171" t="s">
        <v>5683</v>
      </c>
      <c r="Y11" s="171" t="s">
        <v>4999</v>
      </c>
      <c r="Z11" s="245">
        <v>44210</v>
      </c>
      <c r="AA11" s="175" t="s">
        <v>8250</v>
      </c>
      <c r="AB11" s="175">
        <v>44236</v>
      </c>
      <c r="AC11" s="175">
        <v>44236</v>
      </c>
      <c r="AF11" s="228"/>
      <c r="AG11" s="229"/>
      <c r="AH11" s="230"/>
    </row>
    <row r="12" spans="1:35" s="227" customFormat="1" ht="15" customHeight="1" thickBot="1" x14ac:dyDescent="0.25">
      <c r="A12" s="221" t="str">
        <f t="shared" si="0"/>
        <v>OK</v>
      </c>
      <c r="B12" s="222" t="str">
        <f t="shared" si="1"/>
        <v>OK</v>
      </c>
      <c r="C12" s="223" t="str">
        <f t="shared" si="2"/>
        <v>OK</v>
      </c>
      <c r="D12" s="92">
        <v>0</v>
      </c>
      <c r="E12" s="49" t="s">
        <v>8276</v>
      </c>
      <c r="F12" s="169" t="s">
        <v>8277</v>
      </c>
      <c r="G12" s="169">
        <v>181215</v>
      </c>
      <c r="H12" s="169" t="s">
        <v>8278</v>
      </c>
      <c r="I12" s="169" t="s">
        <v>6820</v>
      </c>
      <c r="J12" s="169" t="s">
        <v>6829</v>
      </c>
      <c r="K12" s="169" t="s">
        <v>8279</v>
      </c>
      <c r="L12" s="169" t="s">
        <v>8280</v>
      </c>
      <c r="M12" s="169" t="s">
        <v>7516</v>
      </c>
      <c r="N12" s="170">
        <v>44204</v>
      </c>
      <c r="O12" s="169" t="s">
        <v>7729</v>
      </c>
      <c r="P12" s="170">
        <v>44204</v>
      </c>
      <c r="Q12" s="170">
        <v>44204</v>
      </c>
      <c r="R12" s="170">
        <v>44209</v>
      </c>
      <c r="S12" s="171" t="s">
        <v>8253</v>
      </c>
      <c r="T12" s="171" t="s">
        <v>464</v>
      </c>
      <c r="U12" s="245">
        <v>44211</v>
      </c>
      <c r="V12" s="171" t="s">
        <v>7535</v>
      </c>
      <c r="W12" s="171">
        <v>10</v>
      </c>
      <c r="X12" s="171" t="s">
        <v>5683</v>
      </c>
      <c r="Y12" s="171" t="s">
        <v>4999</v>
      </c>
      <c r="Z12" s="245">
        <v>44216</v>
      </c>
      <c r="AA12" s="175" t="s">
        <v>264</v>
      </c>
      <c r="AB12" s="175">
        <v>44216</v>
      </c>
      <c r="AC12" s="175">
        <v>44217</v>
      </c>
      <c r="AF12" s="228"/>
      <c r="AG12" s="229"/>
      <c r="AH12" s="230"/>
    </row>
    <row r="13" spans="1:35" s="227" customFormat="1" ht="15" customHeight="1" thickBot="1" x14ac:dyDescent="0.25">
      <c r="A13" s="221" t="str">
        <f t="shared" si="0"/>
        <v>OK</v>
      </c>
      <c r="B13" s="222" t="str">
        <f t="shared" si="1"/>
        <v>OK</v>
      </c>
      <c r="C13" s="223" t="str">
        <f t="shared" si="2"/>
        <v>OK</v>
      </c>
      <c r="D13" s="92">
        <v>0</v>
      </c>
      <c r="E13" s="49" t="s">
        <v>8281</v>
      </c>
      <c r="F13" s="169" t="s">
        <v>8277</v>
      </c>
      <c r="G13" s="169">
        <v>181215</v>
      </c>
      <c r="H13" s="169" t="s">
        <v>8282</v>
      </c>
      <c r="I13" s="169" t="s">
        <v>6820</v>
      </c>
      <c r="J13" s="169" t="s">
        <v>6829</v>
      </c>
      <c r="K13" s="169" t="s">
        <v>8283</v>
      </c>
      <c r="L13" s="169" t="s">
        <v>5407</v>
      </c>
      <c r="M13" s="169" t="s">
        <v>7516</v>
      </c>
      <c r="N13" s="170">
        <v>44204</v>
      </c>
      <c r="O13" s="169" t="s">
        <v>7729</v>
      </c>
      <c r="P13" s="170">
        <v>44204</v>
      </c>
      <c r="Q13" s="170">
        <v>44204</v>
      </c>
      <c r="R13" s="170">
        <v>44209</v>
      </c>
      <c r="S13" s="171" t="s">
        <v>8253</v>
      </c>
      <c r="T13" s="171" t="s">
        <v>464</v>
      </c>
      <c r="U13" s="245">
        <v>44211</v>
      </c>
      <c r="V13" s="171" t="s">
        <v>5408</v>
      </c>
      <c r="W13" s="171">
        <v>3</v>
      </c>
      <c r="X13" s="171" t="s">
        <v>5683</v>
      </c>
      <c r="Y13" s="171" t="s">
        <v>4999</v>
      </c>
      <c r="Z13" s="245">
        <v>44216</v>
      </c>
      <c r="AA13" s="175" t="s">
        <v>264</v>
      </c>
      <c r="AB13" s="175">
        <v>44216</v>
      </c>
      <c r="AC13" s="175">
        <v>44217</v>
      </c>
      <c r="AF13" s="228"/>
      <c r="AG13" s="229"/>
      <c r="AH13" s="232"/>
    </row>
    <row r="14" spans="1:35" s="227" customFormat="1" ht="15" customHeight="1" thickBot="1" x14ac:dyDescent="0.25">
      <c r="A14" s="221" t="str">
        <f t="shared" si="0"/>
        <v>OK</v>
      </c>
      <c r="B14" s="222" t="str">
        <f t="shared" si="1"/>
        <v>OK</v>
      </c>
      <c r="C14" s="223" t="str">
        <f t="shared" si="2"/>
        <v>OK</v>
      </c>
      <c r="D14" s="92">
        <v>0</v>
      </c>
      <c r="E14" s="49" t="s">
        <v>8284</v>
      </c>
      <c r="F14" s="169" t="s">
        <v>8277</v>
      </c>
      <c r="G14" s="169">
        <v>181215</v>
      </c>
      <c r="H14" s="169" t="s">
        <v>8285</v>
      </c>
      <c r="I14" s="169" t="s">
        <v>6820</v>
      </c>
      <c r="J14" s="169" t="s">
        <v>6829</v>
      </c>
      <c r="K14" s="169" t="s">
        <v>8283</v>
      </c>
      <c r="L14" s="169" t="s">
        <v>292</v>
      </c>
      <c r="M14" s="169" t="s">
        <v>7516</v>
      </c>
      <c r="N14" s="170">
        <v>44204</v>
      </c>
      <c r="O14" s="169" t="s">
        <v>7729</v>
      </c>
      <c r="P14" s="170">
        <v>44204</v>
      </c>
      <c r="Q14" s="170">
        <v>44204</v>
      </c>
      <c r="R14" s="170">
        <v>44209</v>
      </c>
      <c r="S14" s="171" t="s">
        <v>8253</v>
      </c>
      <c r="T14" s="171" t="s">
        <v>464</v>
      </c>
      <c r="U14" s="245">
        <v>44211</v>
      </c>
      <c r="V14" s="171" t="s">
        <v>293</v>
      </c>
      <c r="W14" s="171">
        <v>6</v>
      </c>
      <c r="X14" s="171" t="s">
        <v>5683</v>
      </c>
      <c r="Y14" s="171" t="s">
        <v>4999</v>
      </c>
      <c r="Z14" s="245">
        <v>44216</v>
      </c>
      <c r="AA14" s="175" t="s">
        <v>264</v>
      </c>
      <c r="AB14" s="175">
        <v>44216</v>
      </c>
      <c r="AC14" s="175">
        <v>44217</v>
      </c>
      <c r="AF14" s="228"/>
      <c r="AG14" s="229"/>
      <c r="AH14" s="230"/>
    </row>
    <row r="15" spans="1:35" s="227" customFormat="1" ht="15" customHeight="1" thickBot="1" x14ac:dyDescent="0.25">
      <c r="A15" s="221" t="str">
        <f t="shared" si="0"/>
        <v>OK</v>
      </c>
      <c r="B15" s="222" t="str">
        <f t="shared" si="1"/>
        <v>OK</v>
      </c>
      <c r="C15" s="223" t="str">
        <f t="shared" si="2"/>
        <v>OK</v>
      </c>
      <c r="D15" s="93">
        <v>0</v>
      </c>
      <c r="E15" s="49" t="s">
        <v>8286</v>
      </c>
      <c r="F15" s="169" t="s">
        <v>3449</v>
      </c>
      <c r="G15" s="169">
        <v>181049</v>
      </c>
      <c r="H15" s="169" t="s">
        <v>8287</v>
      </c>
      <c r="I15" s="169" t="s">
        <v>6820</v>
      </c>
      <c r="J15" s="169" t="s">
        <v>6829</v>
      </c>
      <c r="K15" s="169" t="s">
        <v>8288</v>
      </c>
      <c r="L15" s="169" t="s">
        <v>8289</v>
      </c>
      <c r="M15" s="169" t="s">
        <v>8290</v>
      </c>
      <c r="N15" s="170">
        <v>44097</v>
      </c>
      <c r="O15" s="169" t="s">
        <v>7729</v>
      </c>
      <c r="P15" s="170">
        <v>44097</v>
      </c>
      <c r="Q15" s="170">
        <v>44097</v>
      </c>
      <c r="R15" s="170">
        <v>44207</v>
      </c>
      <c r="S15" s="171" t="s">
        <v>8248</v>
      </c>
      <c r="T15" s="171" t="s">
        <v>8291</v>
      </c>
      <c r="U15" s="245">
        <v>44222</v>
      </c>
      <c r="V15" s="171" t="s">
        <v>7604</v>
      </c>
      <c r="W15" s="171">
        <v>2</v>
      </c>
      <c r="X15" s="171" t="s">
        <v>5683</v>
      </c>
      <c r="Y15" s="171" t="s">
        <v>4999</v>
      </c>
      <c r="Z15" s="245">
        <v>44237</v>
      </c>
      <c r="AA15" s="175" t="s">
        <v>8250</v>
      </c>
      <c r="AB15" s="175">
        <v>44237</v>
      </c>
      <c r="AC15" s="175">
        <v>44237</v>
      </c>
      <c r="AF15" s="228"/>
      <c r="AG15" s="229"/>
      <c r="AH15" s="230"/>
    </row>
    <row r="16" spans="1:35" s="227" customFormat="1" ht="15" customHeight="1" thickBot="1" x14ac:dyDescent="0.25">
      <c r="A16" s="221" t="str">
        <f t="shared" si="0"/>
        <v>OK</v>
      </c>
      <c r="B16" s="222" t="str">
        <f t="shared" si="1"/>
        <v>OK</v>
      </c>
      <c r="C16" s="223" t="str">
        <f t="shared" si="2"/>
        <v>OK</v>
      </c>
      <c r="D16" s="93">
        <v>0</v>
      </c>
      <c r="E16" s="49" t="s">
        <v>8292</v>
      </c>
      <c r="F16" s="169" t="s">
        <v>3449</v>
      </c>
      <c r="G16" s="169">
        <v>181181</v>
      </c>
      <c r="H16" s="169" t="s">
        <v>8293</v>
      </c>
      <c r="I16" s="169" t="s">
        <v>6820</v>
      </c>
      <c r="J16" s="169" t="s">
        <v>6829</v>
      </c>
      <c r="K16" s="169" t="s">
        <v>8294</v>
      </c>
      <c r="L16" s="169" t="s">
        <v>8295</v>
      </c>
      <c r="M16" s="169" t="s">
        <v>8290</v>
      </c>
      <c r="N16" s="170">
        <v>44174</v>
      </c>
      <c r="O16" s="169" t="s">
        <v>7729</v>
      </c>
      <c r="P16" s="170">
        <v>44174</v>
      </c>
      <c r="Q16" s="170">
        <v>44174</v>
      </c>
      <c r="R16" s="170">
        <v>43841</v>
      </c>
      <c r="S16" s="171" t="s">
        <v>8248</v>
      </c>
      <c r="T16" s="171" t="s">
        <v>8291</v>
      </c>
      <c r="U16" s="245">
        <v>44222</v>
      </c>
      <c r="V16" s="171" t="s">
        <v>2127</v>
      </c>
      <c r="W16" s="171">
        <v>4</v>
      </c>
      <c r="X16" s="171" t="s">
        <v>5683</v>
      </c>
      <c r="Y16" s="171" t="s">
        <v>4999</v>
      </c>
      <c r="Z16" s="245">
        <v>44222</v>
      </c>
      <c r="AA16" s="175" t="s">
        <v>264</v>
      </c>
      <c r="AB16" s="175">
        <v>44242</v>
      </c>
      <c r="AC16" s="175">
        <v>44242</v>
      </c>
      <c r="AF16" s="228"/>
      <c r="AG16" s="229"/>
      <c r="AH16" s="230"/>
    </row>
    <row r="17" spans="1:34" s="227" customFormat="1" ht="15" customHeight="1" x14ac:dyDescent="0.2">
      <c r="A17" s="221" t="str">
        <f t="shared" si="0"/>
        <v>OK</v>
      </c>
      <c r="B17" s="222" t="str">
        <f t="shared" si="1"/>
        <v>OK</v>
      </c>
      <c r="C17" s="223" t="str">
        <f t="shared" si="2"/>
        <v>OK</v>
      </c>
      <c r="D17" s="92">
        <v>0</v>
      </c>
      <c r="E17" s="49" t="s">
        <v>8296</v>
      </c>
      <c r="F17" s="202" t="s">
        <v>7245</v>
      </c>
      <c r="G17" s="157">
        <v>181062</v>
      </c>
      <c r="H17" s="157" t="s">
        <v>8297</v>
      </c>
      <c r="I17" s="157" t="s">
        <v>6820</v>
      </c>
      <c r="J17" s="157" t="s">
        <v>6829</v>
      </c>
      <c r="K17" s="157" t="s">
        <v>8298</v>
      </c>
      <c r="L17" s="157" t="s">
        <v>8299</v>
      </c>
      <c r="M17" s="157" t="s">
        <v>8300</v>
      </c>
      <c r="N17" s="158">
        <v>44109</v>
      </c>
      <c r="O17" s="157" t="s">
        <v>7729</v>
      </c>
      <c r="P17" s="158">
        <v>44109</v>
      </c>
      <c r="Q17" s="158">
        <v>44109</v>
      </c>
      <c r="R17" s="159">
        <v>44158</v>
      </c>
      <c r="S17" s="160" t="s">
        <v>8248</v>
      </c>
      <c r="T17" s="171" t="s">
        <v>8248</v>
      </c>
      <c r="U17" s="245">
        <v>44251</v>
      </c>
      <c r="V17" s="161" t="s">
        <v>8301</v>
      </c>
      <c r="W17" s="161">
        <v>20</v>
      </c>
      <c r="X17" s="161" t="s">
        <v>5683</v>
      </c>
      <c r="Y17" s="161" t="s">
        <v>4999</v>
      </c>
      <c r="Z17" s="245">
        <v>44251</v>
      </c>
      <c r="AA17" s="175" t="s">
        <v>264</v>
      </c>
      <c r="AB17" s="175">
        <v>44252</v>
      </c>
      <c r="AC17" s="175">
        <v>44252</v>
      </c>
      <c r="AF17" s="228"/>
      <c r="AG17" s="229"/>
      <c r="AH17" s="230"/>
    </row>
    <row r="18" spans="1:34" s="248" customFormat="1" ht="15" customHeight="1" thickBot="1" x14ac:dyDescent="0.25">
      <c r="A18" s="452" t="s">
        <v>7575</v>
      </c>
      <c r="B18" s="453"/>
      <c r="C18" s="454"/>
      <c r="D18" s="104">
        <v>0</v>
      </c>
      <c r="E18" s="49" t="s">
        <v>8302</v>
      </c>
      <c r="F18" s="190" t="s">
        <v>8303</v>
      </c>
      <c r="G18" s="190">
        <v>181163</v>
      </c>
      <c r="H18" s="190" t="s">
        <v>8304</v>
      </c>
      <c r="I18" s="190" t="s">
        <v>6820</v>
      </c>
      <c r="J18" s="190" t="s">
        <v>6829</v>
      </c>
      <c r="K18" s="190" t="s">
        <v>8305</v>
      </c>
      <c r="L18" s="190" t="s">
        <v>8306</v>
      </c>
      <c r="M18" s="190" t="s">
        <v>8307</v>
      </c>
      <c r="N18" s="191">
        <v>44166</v>
      </c>
      <c r="O18" s="190" t="s">
        <v>7729</v>
      </c>
      <c r="P18" s="191">
        <v>44166</v>
      </c>
      <c r="Q18" s="191">
        <v>44166</v>
      </c>
      <c r="R18" s="192">
        <v>44166</v>
      </c>
      <c r="S18" s="247" t="s">
        <v>8143</v>
      </c>
      <c r="T18" s="247" t="s">
        <v>8143</v>
      </c>
      <c r="U18" s="247" t="s">
        <v>8143</v>
      </c>
      <c r="V18" s="247" t="s">
        <v>8143</v>
      </c>
      <c r="W18" s="247" t="s">
        <v>8143</v>
      </c>
      <c r="X18" s="247" t="s">
        <v>8143</v>
      </c>
      <c r="Y18" s="247" t="s">
        <v>8143</v>
      </c>
      <c r="Z18" s="247" t="s">
        <v>8143</v>
      </c>
      <c r="AA18" s="247" t="s">
        <v>8143</v>
      </c>
      <c r="AB18" s="247" t="s">
        <v>8143</v>
      </c>
      <c r="AC18" s="247" t="s">
        <v>8143</v>
      </c>
      <c r="AD18" s="247"/>
      <c r="AE18" s="247"/>
      <c r="AF18" s="247"/>
      <c r="AG18" s="250"/>
      <c r="AH18" s="251"/>
    </row>
    <row r="19" spans="1:34" s="227" customFormat="1" ht="15" customHeight="1" thickBot="1" x14ac:dyDescent="0.25">
      <c r="A19" s="221" t="str">
        <f t="shared" si="0"/>
        <v>OK</v>
      </c>
      <c r="B19" s="222" t="str">
        <f t="shared" si="1"/>
        <v>OK</v>
      </c>
      <c r="C19" s="223" t="str">
        <f t="shared" si="2"/>
        <v>OK</v>
      </c>
      <c r="D19" s="92">
        <v>0</v>
      </c>
      <c r="E19" s="49" t="s">
        <v>8308</v>
      </c>
      <c r="F19" s="169" t="s">
        <v>8277</v>
      </c>
      <c r="G19" s="169">
        <v>181243</v>
      </c>
      <c r="H19" s="169" t="s">
        <v>8309</v>
      </c>
      <c r="I19" s="169" t="s">
        <v>6820</v>
      </c>
      <c r="J19" s="169" t="s">
        <v>6829</v>
      </c>
      <c r="K19" s="169" t="s">
        <v>8310</v>
      </c>
      <c r="L19" s="169" t="s">
        <v>5448</v>
      </c>
      <c r="M19" s="169" t="s">
        <v>73</v>
      </c>
      <c r="N19" s="170">
        <v>44216</v>
      </c>
      <c r="O19" s="169" t="s">
        <v>7729</v>
      </c>
      <c r="P19" s="170">
        <v>44216</v>
      </c>
      <c r="Q19" s="170">
        <v>44216</v>
      </c>
      <c r="R19" s="170">
        <v>44216</v>
      </c>
      <c r="S19" s="171" t="s">
        <v>8248</v>
      </c>
      <c r="T19" s="171" t="s">
        <v>8248</v>
      </c>
      <c r="U19" s="245">
        <v>44224</v>
      </c>
      <c r="V19" s="171" t="s">
        <v>4277</v>
      </c>
      <c r="W19" s="171">
        <v>20</v>
      </c>
      <c r="X19" s="171" t="s">
        <v>5683</v>
      </c>
      <c r="Y19" s="171" t="s">
        <v>4999</v>
      </c>
      <c r="Z19" s="245">
        <v>44225</v>
      </c>
      <c r="AA19" s="175" t="s">
        <v>8250</v>
      </c>
      <c r="AB19" s="175">
        <v>44225</v>
      </c>
      <c r="AC19" s="175">
        <v>44225</v>
      </c>
      <c r="AF19" s="228"/>
      <c r="AG19" s="229"/>
      <c r="AH19" s="230"/>
    </row>
    <row r="20" spans="1:34" s="227" customFormat="1" ht="15" customHeight="1" thickBot="1" x14ac:dyDescent="0.25">
      <c r="A20" s="221" t="str">
        <f t="shared" si="0"/>
        <v>OK</v>
      </c>
      <c r="B20" s="222" t="str">
        <f t="shared" si="1"/>
        <v>OK</v>
      </c>
      <c r="C20" s="223" t="str">
        <f t="shared" si="2"/>
        <v>OK</v>
      </c>
      <c r="D20" s="92">
        <v>0</v>
      </c>
      <c r="E20" s="49" t="s">
        <v>8311</v>
      </c>
      <c r="F20" s="169" t="s">
        <v>3449</v>
      </c>
      <c r="G20" s="157">
        <v>181137</v>
      </c>
      <c r="H20" s="157" t="s">
        <v>8312</v>
      </c>
      <c r="I20" s="157" t="s">
        <v>6820</v>
      </c>
      <c r="J20" s="157" t="s">
        <v>6829</v>
      </c>
      <c r="K20" s="157" t="s">
        <v>8313</v>
      </c>
      <c r="L20" s="157" t="s">
        <v>8314</v>
      </c>
      <c r="M20" s="157" t="s">
        <v>1715</v>
      </c>
      <c r="N20" s="170">
        <v>44152</v>
      </c>
      <c r="O20" s="169" t="s">
        <v>7729</v>
      </c>
      <c r="P20" s="170">
        <v>44153</v>
      </c>
      <c r="Q20" s="170">
        <v>44153</v>
      </c>
      <c r="R20" s="170">
        <v>44159</v>
      </c>
      <c r="S20" s="171" t="s">
        <v>7026</v>
      </c>
      <c r="T20" s="171" t="s">
        <v>7729</v>
      </c>
      <c r="U20" s="245">
        <v>44285</v>
      </c>
      <c r="V20" s="171" t="s">
        <v>8315</v>
      </c>
      <c r="W20" s="171">
        <v>8</v>
      </c>
      <c r="X20" s="171" t="s">
        <v>5683</v>
      </c>
      <c r="Y20" s="171" t="s">
        <v>4999</v>
      </c>
      <c r="Z20" s="245">
        <v>44292</v>
      </c>
      <c r="AA20" s="175" t="s">
        <v>264</v>
      </c>
      <c r="AB20" s="175">
        <v>44299</v>
      </c>
      <c r="AC20" s="175">
        <v>44299</v>
      </c>
      <c r="AF20" s="228"/>
      <c r="AG20" s="229"/>
      <c r="AH20" s="230"/>
    </row>
    <row r="21" spans="1:34" s="227" customFormat="1" ht="15" customHeight="1" thickBot="1" x14ac:dyDescent="0.25">
      <c r="A21" s="221" t="str">
        <f t="shared" si="0"/>
        <v>OK</v>
      </c>
      <c r="B21" s="222" t="str">
        <f t="shared" si="1"/>
        <v>OK</v>
      </c>
      <c r="C21" s="223" t="str">
        <f t="shared" si="2"/>
        <v>OK</v>
      </c>
      <c r="D21" s="92">
        <v>0</v>
      </c>
      <c r="E21" s="49" t="s">
        <v>8316</v>
      </c>
      <c r="F21" s="169" t="s">
        <v>8317</v>
      </c>
      <c r="G21" s="169">
        <v>181249</v>
      </c>
      <c r="H21" s="169" t="s">
        <v>8318</v>
      </c>
      <c r="I21" s="169" t="s">
        <v>6820</v>
      </c>
      <c r="J21" s="169" t="s">
        <v>6829</v>
      </c>
      <c r="K21" s="169" t="s">
        <v>8319</v>
      </c>
      <c r="L21" s="169" t="s">
        <v>8064</v>
      </c>
      <c r="M21" s="169" t="s">
        <v>8135</v>
      </c>
      <c r="N21" s="170">
        <v>44217</v>
      </c>
      <c r="O21" s="169" t="s">
        <v>7729</v>
      </c>
      <c r="P21" s="170">
        <v>44217</v>
      </c>
      <c r="Q21" s="170">
        <v>44217</v>
      </c>
      <c r="R21" s="170">
        <v>44218</v>
      </c>
      <c r="S21" s="171" t="s">
        <v>8248</v>
      </c>
      <c r="T21" s="171" t="s">
        <v>7729</v>
      </c>
      <c r="U21" s="245">
        <v>44218</v>
      </c>
      <c r="V21" s="171" t="s">
        <v>8320</v>
      </c>
      <c r="W21" s="171">
        <v>11</v>
      </c>
      <c r="X21" s="171" t="s">
        <v>5683</v>
      </c>
      <c r="Y21" s="171" t="s">
        <v>4999</v>
      </c>
      <c r="Z21" s="245">
        <v>44219</v>
      </c>
      <c r="AA21" s="175" t="s">
        <v>264</v>
      </c>
      <c r="AB21" s="175">
        <v>44230</v>
      </c>
      <c r="AC21" s="175">
        <v>44230</v>
      </c>
      <c r="AF21" s="228"/>
      <c r="AG21" s="229"/>
      <c r="AH21" s="232"/>
    </row>
    <row r="22" spans="1:34" s="227" customFormat="1" ht="15" customHeight="1" thickBot="1" x14ac:dyDescent="0.25">
      <c r="A22" s="221" t="str">
        <f t="shared" si="0"/>
        <v>OK</v>
      </c>
      <c r="B22" s="222" t="str">
        <f t="shared" si="1"/>
        <v>OK</v>
      </c>
      <c r="C22" s="223" t="str">
        <f t="shared" si="2"/>
        <v>OK</v>
      </c>
      <c r="D22" s="92">
        <v>0</v>
      </c>
      <c r="E22" s="49" t="s">
        <v>8321</v>
      </c>
      <c r="F22" s="169" t="s">
        <v>8322</v>
      </c>
      <c r="G22" s="169">
        <v>181248</v>
      </c>
      <c r="H22" s="169" t="s">
        <v>8323</v>
      </c>
      <c r="I22" s="169" t="s">
        <v>6820</v>
      </c>
      <c r="J22" s="169" t="s">
        <v>6829</v>
      </c>
      <c r="K22" s="169" t="s">
        <v>8324</v>
      </c>
      <c r="L22" s="169" t="s">
        <v>5600</v>
      </c>
      <c r="M22" s="169" t="s">
        <v>5529</v>
      </c>
      <c r="N22" s="170">
        <v>44217</v>
      </c>
      <c r="O22" s="169" t="s">
        <v>7729</v>
      </c>
      <c r="P22" s="170">
        <v>44217</v>
      </c>
      <c r="Q22" s="170">
        <v>44218</v>
      </c>
      <c r="R22" s="170">
        <v>44222</v>
      </c>
      <c r="S22" s="171" t="s">
        <v>8248</v>
      </c>
      <c r="T22" s="171" t="s">
        <v>8291</v>
      </c>
      <c r="U22" s="245">
        <v>44222</v>
      </c>
      <c r="V22" s="171" t="s">
        <v>5601</v>
      </c>
      <c r="W22" s="171">
        <v>6</v>
      </c>
      <c r="X22" s="171" t="s">
        <v>5683</v>
      </c>
      <c r="Y22" s="171" t="s">
        <v>4999</v>
      </c>
      <c r="Z22" s="245">
        <v>44222</v>
      </c>
      <c r="AA22" s="175" t="s">
        <v>264</v>
      </c>
      <c r="AB22" s="175">
        <v>44223</v>
      </c>
      <c r="AC22" s="175">
        <v>44223</v>
      </c>
      <c r="AF22" s="228"/>
      <c r="AG22" s="229"/>
      <c r="AH22" s="230"/>
    </row>
    <row r="23" spans="1:34" s="227" customFormat="1" ht="15" customHeight="1" thickBot="1" x14ac:dyDescent="0.25">
      <c r="A23" s="221" t="str">
        <f t="shared" si="0"/>
        <v>OK</v>
      </c>
      <c r="B23" s="222" t="str">
        <f t="shared" si="1"/>
        <v>OK</v>
      </c>
      <c r="C23" s="223" t="str">
        <f t="shared" si="2"/>
        <v>OK</v>
      </c>
      <c r="D23" s="92">
        <v>0</v>
      </c>
      <c r="E23" s="49" t="s">
        <v>8325</v>
      </c>
      <c r="F23" s="169" t="s">
        <v>8326</v>
      </c>
      <c r="G23" s="169">
        <v>181251</v>
      </c>
      <c r="H23" s="169" t="s">
        <v>8327</v>
      </c>
      <c r="I23" s="169" t="s">
        <v>6820</v>
      </c>
      <c r="J23" s="169" t="s">
        <v>6829</v>
      </c>
      <c r="K23" s="169" t="s">
        <v>8328</v>
      </c>
      <c r="L23" s="169" t="s">
        <v>2357</v>
      </c>
      <c r="M23" s="157" t="s">
        <v>5083</v>
      </c>
      <c r="N23" s="170">
        <v>44221</v>
      </c>
      <c r="O23" s="169" t="s">
        <v>7729</v>
      </c>
      <c r="P23" s="170">
        <v>44221</v>
      </c>
      <c r="Q23" s="170">
        <v>44221</v>
      </c>
      <c r="R23" s="170">
        <v>44221</v>
      </c>
      <c r="S23" s="171" t="s">
        <v>8248</v>
      </c>
      <c r="T23" s="171" t="s">
        <v>8248</v>
      </c>
      <c r="U23" s="245">
        <v>44223</v>
      </c>
      <c r="V23" s="171" t="s">
        <v>6841</v>
      </c>
      <c r="W23" s="171">
        <v>1</v>
      </c>
      <c r="X23" s="171" t="s">
        <v>5683</v>
      </c>
      <c r="Y23" s="171" t="s">
        <v>4999</v>
      </c>
      <c r="Z23" s="245">
        <v>44223</v>
      </c>
      <c r="AA23" s="175" t="s">
        <v>8250</v>
      </c>
      <c r="AB23" s="175">
        <v>44225</v>
      </c>
      <c r="AC23" s="175">
        <v>44225</v>
      </c>
      <c r="AF23" s="228"/>
      <c r="AG23" s="229"/>
      <c r="AH23" s="232"/>
    </row>
    <row r="24" spans="1:34" s="227" customFormat="1" ht="15" customHeight="1" thickBot="1" x14ac:dyDescent="0.25">
      <c r="A24" s="221" t="str">
        <f t="shared" si="0"/>
        <v>OK</v>
      </c>
      <c r="B24" s="222" t="str">
        <f t="shared" si="1"/>
        <v>OK</v>
      </c>
      <c r="C24" s="223" t="str">
        <f t="shared" si="2"/>
        <v>OK</v>
      </c>
      <c r="D24" s="92">
        <v>0</v>
      </c>
      <c r="E24" s="49" t="s">
        <v>8329</v>
      </c>
      <c r="F24" s="169" t="s">
        <v>8326</v>
      </c>
      <c r="G24" s="169">
        <v>181251</v>
      </c>
      <c r="H24" s="169" t="s">
        <v>8330</v>
      </c>
      <c r="I24" s="169" t="s">
        <v>6820</v>
      </c>
      <c r="J24" s="169" t="s">
        <v>6829</v>
      </c>
      <c r="K24" s="169" t="s">
        <v>8331</v>
      </c>
      <c r="L24" s="169" t="s">
        <v>8332</v>
      </c>
      <c r="M24" s="157" t="s">
        <v>5083</v>
      </c>
      <c r="N24" s="170">
        <v>44221</v>
      </c>
      <c r="O24" s="169" t="s">
        <v>7729</v>
      </c>
      <c r="P24" s="170">
        <v>44221</v>
      </c>
      <c r="Q24" s="170">
        <v>44221</v>
      </c>
      <c r="R24" s="170">
        <v>44221</v>
      </c>
      <c r="S24" s="171" t="s">
        <v>8248</v>
      </c>
      <c r="T24" s="171" t="s">
        <v>8248</v>
      </c>
      <c r="U24" s="245">
        <v>44223</v>
      </c>
      <c r="V24" s="171" t="s">
        <v>8333</v>
      </c>
      <c r="W24" s="171">
        <v>3</v>
      </c>
      <c r="X24" s="171" t="s">
        <v>5683</v>
      </c>
      <c r="Y24" s="171" t="s">
        <v>4999</v>
      </c>
      <c r="Z24" s="245">
        <v>44223</v>
      </c>
      <c r="AA24" s="175" t="s">
        <v>8250</v>
      </c>
      <c r="AB24" s="175">
        <v>44225</v>
      </c>
      <c r="AC24" s="175">
        <v>44225</v>
      </c>
      <c r="AF24" s="228"/>
      <c r="AG24" s="229"/>
      <c r="AH24" s="232"/>
    </row>
    <row r="25" spans="1:34" s="227" customFormat="1" ht="15" customHeight="1" thickBot="1" x14ac:dyDescent="0.25">
      <c r="A25" s="221" t="str">
        <f t="shared" si="0"/>
        <v>OK</v>
      </c>
      <c r="B25" s="222" t="str">
        <f t="shared" si="1"/>
        <v>OK</v>
      </c>
      <c r="C25" s="223" t="str">
        <f t="shared" si="2"/>
        <v>OK</v>
      </c>
      <c r="D25" s="92">
        <v>0</v>
      </c>
      <c r="E25" s="49" t="s">
        <v>8334</v>
      </c>
      <c r="F25" s="169" t="s">
        <v>8335</v>
      </c>
      <c r="G25" s="169">
        <v>181259</v>
      </c>
      <c r="H25" s="169" t="s">
        <v>8336</v>
      </c>
      <c r="I25" s="169" t="s">
        <v>6820</v>
      </c>
      <c r="J25" s="169" t="s">
        <v>6829</v>
      </c>
      <c r="K25" s="169" t="s">
        <v>1874</v>
      </c>
      <c r="L25" s="169" t="s">
        <v>8337</v>
      </c>
      <c r="M25" s="169" t="s">
        <v>1869</v>
      </c>
      <c r="N25" s="170">
        <v>44222</v>
      </c>
      <c r="O25" s="169" t="s">
        <v>7729</v>
      </c>
      <c r="P25" s="170">
        <v>44222</v>
      </c>
      <c r="Q25" s="170">
        <v>44222</v>
      </c>
      <c r="R25" s="170">
        <v>44222</v>
      </c>
      <c r="S25" s="171" t="s">
        <v>8248</v>
      </c>
      <c r="T25" s="171" t="s">
        <v>8248</v>
      </c>
      <c r="U25" s="245">
        <v>44223</v>
      </c>
      <c r="V25" s="171" t="s">
        <v>1876</v>
      </c>
      <c r="W25" s="171">
        <v>10</v>
      </c>
      <c r="X25" s="171" t="s">
        <v>5683</v>
      </c>
      <c r="Y25" s="171" t="s">
        <v>4999</v>
      </c>
      <c r="Z25" s="245">
        <v>44223</v>
      </c>
      <c r="AA25" s="175" t="s">
        <v>264</v>
      </c>
      <c r="AB25" s="175">
        <v>44223</v>
      </c>
      <c r="AC25" s="175">
        <v>44223</v>
      </c>
      <c r="AF25" s="228"/>
      <c r="AG25" s="229"/>
      <c r="AH25" s="232"/>
    </row>
    <row r="26" spans="1:34" s="227" customFormat="1" ht="15" customHeight="1" thickBot="1" x14ac:dyDescent="0.25">
      <c r="A26" s="221" t="str">
        <f t="shared" si="0"/>
        <v>OK</v>
      </c>
      <c r="B26" s="222" t="str">
        <f t="shared" si="1"/>
        <v>OK</v>
      </c>
      <c r="C26" s="223" t="str">
        <f t="shared" si="2"/>
        <v>OK</v>
      </c>
      <c r="D26" s="92">
        <v>0</v>
      </c>
      <c r="E26" s="49" t="s">
        <v>8338</v>
      </c>
      <c r="F26" s="169" t="s">
        <v>6169</v>
      </c>
      <c r="G26" s="169">
        <v>181202</v>
      </c>
      <c r="H26" s="169" t="s">
        <v>8339</v>
      </c>
      <c r="I26" s="169" t="s">
        <v>6820</v>
      </c>
      <c r="J26" s="169" t="s">
        <v>6829</v>
      </c>
      <c r="K26" s="169" t="s">
        <v>8340</v>
      </c>
      <c r="L26" s="169" t="s">
        <v>8341</v>
      </c>
      <c r="M26" s="169" t="s">
        <v>8342</v>
      </c>
      <c r="N26" s="170">
        <v>44166</v>
      </c>
      <c r="O26" s="169" t="s">
        <v>7729</v>
      </c>
      <c r="P26" s="170">
        <v>44166</v>
      </c>
      <c r="Q26" s="170">
        <v>44188</v>
      </c>
      <c r="R26" s="170">
        <v>44223</v>
      </c>
      <c r="S26" s="171" t="s">
        <v>8248</v>
      </c>
      <c r="T26" s="171" t="s">
        <v>8248</v>
      </c>
      <c r="U26" s="245">
        <v>44225</v>
      </c>
      <c r="V26" s="171" t="s">
        <v>3201</v>
      </c>
      <c r="W26" s="171">
        <v>2</v>
      </c>
      <c r="X26" s="171" t="s">
        <v>5683</v>
      </c>
      <c r="Y26" s="171" t="s">
        <v>4999</v>
      </c>
      <c r="Z26" s="245">
        <v>44225</v>
      </c>
      <c r="AA26" s="175" t="s">
        <v>8250</v>
      </c>
      <c r="AB26" s="175">
        <v>44225</v>
      </c>
      <c r="AC26" s="175">
        <v>44225</v>
      </c>
      <c r="AF26" s="228"/>
      <c r="AG26" s="229"/>
      <c r="AH26" s="230"/>
    </row>
    <row r="27" spans="1:34" s="227" customFormat="1" ht="15" customHeight="1" thickBot="1" x14ac:dyDescent="0.25">
      <c r="A27" s="221" t="str">
        <f t="shared" si="0"/>
        <v>OK</v>
      </c>
      <c r="B27" s="222" t="str">
        <f t="shared" si="1"/>
        <v>OK</v>
      </c>
      <c r="C27" s="223" t="str">
        <f t="shared" si="2"/>
        <v>OK</v>
      </c>
      <c r="D27" s="92">
        <v>0</v>
      </c>
      <c r="E27" s="49" t="s">
        <v>8343</v>
      </c>
      <c r="F27" s="169" t="s">
        <v>6169</v>
      </c>
      <c r="G27" s="169">
        <v>181202</v>
      </c>
      <c r="H27" s="169" t="s">
        <v>8344</v>
      </c>
      <c r="I27" s="169" t="s">
        <v>6820</v>
      </c>
      <c r="J27" s="169" t="s">
        <v>6829</v>
      </c>
      <c r="K27" s="169" t="s">
        <v>8305</v>
      </c>
      <c r="L27" s="169" t="s">
        <v>7082</v>
      </c>
      <c r="M27" s="169" t="s">
        <v>8342</v>
      </c>
      <c r="N27" s="170">
        <v>44166</v>
      </c>
      <c r="O27" s="169" t="s">
        <v>7729</v>
      </c>
      <c r="P27" s="170">
        <v>44166</v>
      </c>
      <c r="Q27" s="170">
        <v>44188</v>
      </c>
      <c r="R27" s="170">
        <v>44222</v>
      </c>
      <c r="S27" s="171" t="s">
        <v>8248</v>
      </c>
      <c r="T27" s="171" t="s">
        <v>8248</v>
      </c>
      <c r="U27" s="245">
        <v>44225</v>
      </c>
      <c r="V27" s="171" t="s">
        <v>3384</v>
      </c>
      <c r="W27" s="171">
        <v>1</v>
      </c>
      <c r="X27" s="171" t="s">
        <v>5683</v>
      </c>
      <c r="Y27" s="171" t="s">
        <v>4999</v>
      </c>
      <c r="Z27" s="245">
        <v>44225</v>
      </c>
      <c r="AA27" s="175" t="s">
        <v>8250</v>
      </c>
      <c r="AB27" s="175">
        <v>44225</v>
      </c>
      <c r="AC27" s="175">
        <v>44225</v>
      </c>
      <c r="AF27" s="228"/>
      <c r="AG27" s="229"/>
      <c r="AH27" s="232"/>
    </row>
    <row r="28" spans="1:34" s="227" customFormat="1" ht="15" customHeight="1" thickBot="1" x14ac:dyDescent="0.25">
      <c r="A28" s="221" t="str">
        <f t="shared" si="0"/>
        <v>OK</v>
      </c>
      <c r="B28" s="222" t="str">
        <f t="shared" si="1"/>
        <v>OK</v>
      </c>
      <c r="C28" s="223" t="str">
        <f t="shared" si="2"/>
        <v>OK</v>
      </c>
      <c r="D28" s="92">
        <v>0</v>
      </c>
      <c r="E28" s="49" t="s">
        <v>8345</v>
      </c>
      <c r="F28" s="169" t="s">
        <v>8277</v>
      </c>
      <c r="G28" s="169">
        <v>181261</v>
      </c>
      <c r="H28" s="169" t="s">
        <v>8346</v>
      </c>
      <c r="I28" s="169" t="s">
        <v>6820</v>
      </c>
      <c r="J28" s="169" t="s">
        <v>6829</v>
      </c>
      <c r="K28" s="169" t="s">
        <v>8347</v>
      </c>
      <c r="L28" s="169" t="s">
        <v>2688</v>
      </c>
      <c r="M28" s="169" t="s">
        <v>73</v>
      </c>
      <c r="N28" s="170">
        <v>44222</v>
      </c>
      <c r="O28" s="169" t="s">
        <v>7729</v>
      </c>
      <c r="P28" s="170">
        <v>44222</v>
      </c>
      <c r="Q28" s="170">
        <v>44222</v>
      </c>
      <c r="R28" s="170">
        <v>44223</v>
      </c>
      <c r="S28" s="171" t="s">
        <v>8248</v>
      </c>
      <c r="T28" s="171" t="s">
        <v>8248</v>
      </c>
      <c r="U28" s="245">
        <v>44224</v>
      </c>
      <c r="V28" s="171" t="s">
        <v>2690</v>
      </c>
      <c r="W28" s="171">
        <v>4</v>
      </c>
      <c r="X28" s="171" t="s">
        <v>5683</v>
      </c>
      <c r="Y28" s="171" t="s">
        <v>4999</v>
      </c>
      <c r="Z28" s="245">
        <v>44231</v>
      </c>
      <c r="AA28" s="175" t="s">
        <v>8250</v>
      </c>
      <c r="AB28" s="175">
        <v>44225</v>
      </c>
      <c r="AC28" s="175">
        <v>44225</v>
      </c>
      <c r="AF28" s="228"/>
      <c r="AG28" s="229"/>
      <c r="AH28" s="232"/>
    </row>
    <row r="29" spans="1:34" s="227" customFormat="1" ht="15" customHeight="1" thickBot="1" x14ac:dyDescent="0.25">
      <c r="A29" s="221" t="str">
        <f t="shared" si="0"/>
        <v>OK</v>
      </c>
      <c r="B29" s="222" t="str">
        <f t="shared" si="1"/>
        <v>OK</v>
      </c>
      <c r="C29" s="223" t="str">
        <f t="shared" si="2"/>
        <v>OK</v>
      </c>
      <c r="D29" s="92">
        <v>0</v>
      </c>
      <c r="E29" s="49" t="s">
        <v>8348</v>
      </c>
      <c r="F29" s="169" t="s">
        <v>8349</v>
      </c>
      <c r="G29" s="169">
        <v>181250</v>
      </c>
      <c r="H29" s="169" t="s">
        <v>8350</v>
      </c>
      <c r="I29" s="169" t="s">
        <v>6820</v>
      </c>
      <c r="J29" s="169" t="s">
        <v>6829</v>
      </c>
      <c r="K29" s="169" t="s">
        <v>8351</v>
      </c>
      <c r="L29" s="169" t="s">
        <v>8352</v>
      </c>
      <c r="M29" s="169" t="s">
        <v>8353</v>
      </c>
      <c r="N29" s="170">
        <v>44218</v>
      </c>
      <c r="O29" s="169" t="s">
        <v>7729</v>
      </c>
      <c r="P29" s="170">
        <v>44218</v>
      </c>
      <c r="Q29" s="170">
        <v>44221</v>
      </c>
      <c r="R29" s="170">
        <v>44222</v>
      </c>
      <c r="S29" s="171" t="s">
        <v>8248</v>
      </c>
      <c r="T29" s="171" t="s">
        <v>7729</v>
      </c>
      <c r="U29" s="245">
        <v>44228</v>
      </c>
      <c r="V29" s="171" t="s">
        <v>8354</v>
      </c>
      <c r="W29" s="171">
        <v>1</v>
      </c>
      <c r="X29" s="171" t="s">
        <v>5683</v>
      </c>
      <c r="Y29" s="171" t="s">
        <v>4999</v>
      </c>
      <c r="Z29" s="245">
        <v>44198</v>
      </c>
      <c r="AA29" s="175" t="s">
        <v>264</v>
      </c>
      <c r="AB29" s="175">
        <v>44198</v>
      </c>
      <c r="AC29" s="175">
        <v>44198</v>
      </c>
      <c r="AF29" s="228"/>
      <c r="AG29" s="229"/>
      <c r="AH29" s="232"/>
    </row>
    <row r="30" spans="1:34" s="227" customFormat="1" ht="15" customHeight="1" thickBot="1" x14ac:dyDescent="0.25">
      <c r="A30" s="221" t="str">
        <f t="shared" si="0"/>
        <v>OK</v>
      </c>
      <c r="B30" s="222" t="str">
        <f t="shared" si="1"/>
        <v>OK</v>
      </c>
      <c r="C30" s="223" t="str">
        <f t="shared" si="2"/>
        <v>OK</v>
      </c>
      <c r="D30" s="92">
        <v>0</v>
      </c>
      <c r="E30" s="49" t="s">
        <v>8355</v>
      </c>
      <c r="F30" s="169" t="s">
        <v>8356</v>
      </c>
      <c r="G30" s="169">
        <v>181265</v>
      </c>
      <c r="H30" s="169" t="s">
        <v>8357</v>
      </c>
      <c r="I30" s="169" t="s">
        <v>6820</v>
      </c>
      <c r="J30" s="169" t="s">
        <v>6829</v>
      </c>
      <c r="K30" s="169" t="s">
        <v>8358</v>
      </c>
      <c r="L30" s="169" t="s">
        <v>8359</v>
      </c>
      <c r="M30" s="169" t="s">
        <v>8360</v>
      </c>
      <c r="N30" s="170">
        <v>44187</v>
      </c>
      <c r="O30" s="169" t="s">
        <v>7729</v>
      </c>
      <c r="P30" s="170">
        <v>44245</v>
      </c>
      <c r="Q30" s="170">
        <v>44245</v>
      </c>
      <c r="R30" s="170">
        <v>44245</v>
      </c>
      <c r="S30" s="171" t="s">
        <v>8248</v>
      </c>
      <c r="T30" s="171" t="s">
        <v>8248</v>
      </c>
      <c r="U30" s="245">
        <v>44245</v>
      </c>
      <c r="V30" s="171" t="s">
        <v>8361</v>
      </c>
      <c r="W30" s="171">
        <v>7</v>
      </c>
      <c r="X30" s="171" t="s">
        <v>5683</v>
      </c>
      <c r="Y30" s="171" t="s">
        <v>4999</v>
      </c>
      <c r="Z30" s="245">
        <v>44245</v>
      </c>
      <c r="AA30" s="175" t="s">
        <v>264</v>
      </c>
      <c r="AB30" s="175">
        <v>44246</v>
      </c>
      <c r="AC30" s="175">
        <v>44246</v>
      </c>
      <c r="AF30" s="228"/>
      <c r="AG30" s="229"/>
      <c r="AH30" s="232"/>
    </row>
    <row r="31" spans="1:34" s="227" customFormat="1" ht="15" customHeight="1" thickBot="1" x14ac:dyDescent="0.25">
      <c r="A31" s="221" t="str">
        <f t="shared" si="0"/>
        <v>OK</v>
      </c>
      <c r="B31" s="222" t="str">
        <f t="shared" si="1"/>
        <v>OK</v>
      </c>
      <c r="C31" s="223" t="str">
        <f t="shared" si="2"/>
        <v>OK</v>
      </c>
      <c r="D31" s="92">
        <v>0</v>
      </c>
      <c r="E31" s="49" t="s">
        <v>8362</v>
      </c>
      <c r="F31" s="169" t="s">
        <v>8363</v>
      </c>
      <c r="G31" s="169">
        <v>181244</v>
      </c>
      <c r="H31" s="169" t="s">
        <v>8364</v>
      </c>
      <c r="I31" s="169" t="s">
        <v>6820</v>
      </c>
      <c r="J31" s="169" t="s">
        <v>6829</v>
      </c>
      <c r="K31" s="169" t="s">
        <v>8365</v>
      </c>
      <c r="L31" s="169" t="s">
        <v>8366</v>
      </c>
      <c r="M31" s="169" t="s">
        <v>8367</v>
      </c>
      <c r="N31" s="170">
        <v>44216</v>
      </c>
      <c r="O31" s="169" t="s">
        <v>7729</v>
      </c>
      <c r="P31" s="170">
        <v>44216</v>
      </c>
      <c r="Q31" s="170">
        <v>44216</v>
      </c>
      <c r="R31" s="170">
        <v>44229</v>
      </c>
      <c r="S31" s="171" t="s">
        <v>8248</v>
      </c>
      <c r="T31" s="171" t="s">
        <v>8291</v>
      </c>
      <c r="U31" s="245">
        <v>44252</v>
      </c>
      <c r="V31" s="171" t="s">
        <v>3375</v>
      </c>
      <c r="W31" s="171">
        <v>20</v>
      </c>
      <c r="X31" s="171" t="s">
        <v>5683</v>
      </c>
      <c r="Y31" s="171" t="s">
        <v>4999</v>
      </c>
      <c r="Z31" s="245">
        <v>44252</v>
      </c>
      <c r="AA31" s="175" t="s">
        <v>264</v>
      </c>
      <c r="AB31" s="175">
        <v>44252</v>
      </c>
      <c r="AC31" s="175">
        <v>44252</v>
      </c>
      <c r="AF31" s="228"/>
      <c r="AG31" s="229"/>
      <c r="AH31" s="232"/>
    </row>
    <row r="32" spans="1:34" s="227" customFormat="1" ht="15" customHeight="1" thickBot="1" x14ac:dyDescent="0.25">
      <c r="A32" s="221" t="str">
        <f t="shared" si="0"/>
        <v>OK</v>
      </c>
      <c r="B32" s="222" t="str">
        <f t="shared" si="1"/>
        <v>OK</v>
      </c>
      <c r="C32" s="223" t="str">
        <f t="shared" si="2"/>
        <v>OK</v>
      </c>
      <c r="D32" s="92">
        <v>0</v>
      </c>
      <c r="E32" s="49" t="s">
        <v>8368</v>
      </c>
      <c r="F32" s="169" t="s">
        <v>8369</v>
      </c>
      <c r="G32" s="169">
        <v>181282</v>
      </c>
      <c r="H32" s="169" t="s">
        <v>8370</v>
      </c>
      <c r="I32" s="169" t="s">
        <v>6820</v>
      </c>
      <c r="J32" s="169" t="s">
        <v>6829</v>
      </c>
      <c r="K32" s="169" t="s">
        <v>8371</v>
      </c>
      <c r="L32" s="169" t="s">
        <v>8372</v>
      </c>
      <c r="M32" s="169" t="s">
        <v>8373</v>
      </c>
      <c r="N32" s="170">
        <v>44230</v>
      </c>
      <c r="O32" s="169" t="s">
        <v>7729</v>
      </c>
      <c r="P32" s="170">
        <v>44230</v>
      </c>
      <c r="Q32" s="170">
        <v>44230</v>
      </c>
      <c r="R32" s="170">
        <v>44230</v>
      </c>
      <c r="S32" s="171" t="s">
        <v>8248</v>
      </c>
      <c r="T32" s="171" t="s">
        <v>7729</v>
      </c>
      <c r="U32" s="245">
        <v>44232</v>
      </c>
      <c r="V32" s="171" t="s">
        <v>8374</v>
      </c>
      <c r="W32" s="171">
        <v>2</v>
      </c>
      <c r="X32" s="171" t="s">
        <v>5683</v>
      </c>
      <c r="Y32" s="171" t="s">
        <v>4999</v>
      </c>
      <c r="Z32" s="245">
        <v>44238</v>
      </c>
      <c r="AA32" s="175" t="s">
        <v>8250</v>
      </c>
      <c r="AB32" s="175">
        <v>44238</v>
      </c>
      <c r="AC32" s="175">
        <v>44238</v>
      </c>
      <c r="AF32" s="228"/>
      <c r="AG32" s="229"/>
      <c r="AH32" s="232"/>
    </row>
    <row r="33" spans="1:35" s="227" customFormat="1" ht="15" customHeight="1" thickBot="1" x14ac:dyDescent="0.25">
      <c r="A33" s="221" t="str">
        <f t="shared" si="0"/>
        <v>OK</v>
      </c>
      <c r="B33" s="222" t="str">
        <f t="shared" si="1"/>
        <v>OK</v>
      </c>
      <c r="C33" s="223" t="str">
        <f t="shared" si="2"/>
        <v>OK</v>
      </c>
      <c r="D33" s="92">
        <v>0</v>
      </c>
      <c r="E33" s="49" t="s">
        <v>8375</v>
      </c>
      <c r="F33" s="169" t="s">
        <v>8369</v>
      </c>
      <c r="G33" s="169">
        <v>181283</v>
      </c>
      <c r="H33" s="169" t="s">
        <v>8376</v>
      </c>
      <c r="I33" s="169" t="s">
        <v>6820</v>
      </c>
      <c r="J33" s="169" t="s">
        <v>6829</v>
      </c>
      <c r="K33" s="169" t="s">
        <v>8377</v>
      </c>
      <c r="L33" s="169" t="s">
        <v>6214</v>
      </c>
      <c r="M33" s="169" t="s">
        <v>8373</v>
      </c>
      <c r="N33" s="170">
        <v>44230</v>
      </c>
      <c r="O33" s="169" t="s">
        <v>7729</v>
      </c>
      <c r="P33" s="170">
        <v>44230</v>
      </c>
      <c r="Q33" s="170">
        <v>44230</v>
      </c>
      <c r="R33" s="170">
        <v>44230</v>
      </c>
      <c r="S33" s="171" t="s">
        <v>8248</v>
      </c>
      <c r="T33" s="171" t="s">
        <v>7729</v>
      </c>
      <c r="U33" s="245">
        <v>44232</v>
      </c>
      <c r="V33" s="171" t="s">
        <v>8378</v>
      </c>
      <c r="W33" s="171">
        <v>1</v>
      </c>
      <c r="X33" s="171" t="s">
        <v>5683</v>
      </c>
      <c r="Y33" s="171" t="s">
        <v>4999</v>
      </c>
      <c r="Z33" s="245">
        <v>44238</v>
      </c>
      <c r="AA33" s="175" t="s">
        <v>8250</v>
      </c>
      <c r="AB33" s="175">
        <v>44238</v>
      </c>
      <c r="AC33" s="175">
        <v>44238</v>
      </c>
      <c r="AD33" s="231"/>
      <c r="AE33" s="231"/>
      <c r="AF33" s="228"/>
      <c r="AG33" s="229"/>
      <c r="AH33" s="233"/>
      <c r="AI33" s="231"/>
    </row>
    <row r="34" spans="1:35" s="231" customFormat="1" ht="15" customHeight="1" thickBot="1" x14ac:dyDescent="0.25">
      <c r="A34" s="221" t="str">
        <f t="shared" si="0"/>
        <v>OK</v>
      </c>
      <c r="B34" s="222" t="str">
        <f t="shared" si="1"/>
        <v>OK</v>
      </c>
      <c r="C34" s="223" t="str">
        <f t="shared" si="2"/>
        <v>OK</v>
      </c>
      <c r="D34" s="92">
        <v>0</v>
      </c>
      <c r="E34" s="49" t="s">
        <v>8379</v>
      </c>
      <c r="F34" s="169" t="s">
        <v>8369</v>
      </c>
      <c r="G34" s="169">
        <v>181284</v>
      </c>
      <c r="H34" s="169" t="s">
        <v>8380</v>
      </c>
      <c r="I34" s="169" t="s">
        <v>6820</v>
      </c>
      <c r="J34" s="169" t="s">
        <v>6829</v>
      </c>
      <c r="K34" s="169" t="s">
        <v>8381</v>
      </c>
      <c r="L34" s="169" t="s">
        <v>8382</v>
      </c>
      <c r="M34" s="169" t="s">
        <v>8383</v>
      </c>
      <c r="N34" s="170">
        <v>44230</v>
      </c>
      <c r="O34" s="169" t="s">
        <v>7729</v>
      </c>
      <c r="P34" s="170">
        <v>44230</v>
      </c>
      <c r="Q34" s="170">
        <v>44230</v>
      </c>
      <c r="R34" s="170">
        <v>44230</v>
      </c>
      <c r="S34" s="171" t="s">
        <v>8248</v>
      </c>
      <c r="T34" s="171" t="s">
        <v>7729</v>
      </c>
      <c r="U34" s="245">
        <v>44232</v>
      </c>
      <c r="V34" s="171" t="s">
        <v>137</v>
      </c>
      <c r="W34" s="171">
        <v>3</v>
      </c>
      <c r="X34" s="171" t="s">
        <v>5683</v>
      </c>
      <c r="Y34" s="171" t="s">
        <v>4999</v>
      </c>
      <c r="Z34" s="245">
        <v>44238</v>
      </c>
      <c r="AA34" s="175" t="s">
        <v>8250</v>
      </c>
      <c r="AB34" s="175">
        <v>44238</v>
      </c>
      <c r="AC34" s="175">
        <v>44238</v>
      </c>
      <c r="AD34" s="227"/>
      <c r="AE34" s="227"/>
      <c r="AF34" s="228"/>
      <c r="AG34" s="229"/>
      <c r="AH34" s="230"/>
      <c r="AI34" s="227"/>
    </row>
    <row r="35" spans="1:35" s="235" customFormat="1" ht="15" customHeight="1" thickBot="1" x14ac:dyDescent="0.25">
      <c r="A35" s="221" t="str">
        <f t="shared" si="0"/>
        <v>OK</v>
      </c>
      <c r="B35" s="222" t="str">
        <f t="shared" si="1"/>
        <v>OK</v>
      </c>
      <c r="C35" s="223" t="str">
        <f t="shared" si="2"/>
        <v>OK</v>
      </c>
      <c r="D35" s="92">
        <v>0</v>
      </c>
      <c r="E35" s="49" t="s">
        <v>8384</v>
      </c>
      <c r="F35" s="169" t="s">
        <v>8317</v>
      </c>
      <c r="G35" s="169">
        <v>181281</v>
      </c>
      <c r="H35" s="169" t="s">
        <v>8385</v>
      </c>
      <c r="I35" s="169" t="s">
        <v>6820</v>
      </c>
      <c r="J35" s="169" t="s">
        <v>6829</v>
      </c>
      <c r="K35" s="169" t="s">
        <v>8386</v>
      </c>
      <c r="L35" s="169" t="s">
        <v>8387</v>
      </c>
      <c r="M35" s="169" t="s">
        <v>8135</v>
      </c>
      <c r="N35" s="170">
        <v>44230</v>
      </c>
      <c r="O35" s="169" t="s">
        <v>7729</v>
      </c>
      <c r="P35" s="170">
        <v>44230</v>
      </c>
      <c r="Q35" s="170">
        <v>44230</v>
      </c>
      <c r="R35" s="170">
        <v>44232</v>
      </c>
      <c r="S35" s="171" t="s">
        <v>8248</v>
      </c>
      <c r="T35" s="171" t="s">
        <v>7729</v>
      </c>
      <c r="U35" s="245">
        <v>44231</v>
      </c>
      <c r="V35" s="171" t="s">
        <v>231</v>
      </c>
      <c r="W35" s="171">
        <v>10</v>
      </c>
      <c r="X35" s="171" t="s">
        <v>5683</v>
      </c>
      <c r="Y35" s="171" t="s">
        <v>4999</v>
      </c>
      <c r="Z35" s="245">
        <v>44232</v>
      </c>
      <c r="AA35" s="175" t="s">
        <v>8250</v>
      </c>
      <c r="AB35" s="175">
        <v>44235</v>
      </c>
      <c r="AC35" s="175">
        <v>44235</v>
      </c>
      <c r="AD35" s="227"/>
      <c r="AE35" s="227"/>
      <c r="AF35" s="228"/>
      <c r="AG35" s="229"/>
      <c r="AH35" s="234"/>
    </row>
    <row r="36" spans="1:35" s="227" customFormat="1" ht="15" customHeight="1" thickBot="1" x14ac:dyDescent="0.25">
      <c r="A36" s="221" t="str">
        <f t="shared" si="0"/>
        <v>OK</v>
      </c>
      <c r="B36" s="222" t="str">
        <f t="shared" si="1"/>
        <v>OK</v>
      </c>
      <c r="C36" s="223" t="str">
        <f t="shared" si="2"/>
        <v>OK</v>
      </c>
      <c r="D36" s="92">
        <v>0</v>
      </c>
      <c r="E36" s="49" t="s">
        <v>8388</v>
      </c>
      <c r="F36" s="169" t="s">
        <v>8389</v>
      </c>
      <c r="G36" s="169">
        <v>181206</v>
      </c>
      <c r="H36" s="169" t="s">
        <v>8390</v>
      </c>
      <c r="I36" s="169" t="s">
        <v>6820</v>
      </c>
      <c r="J36" s="169" t="s">
        <v>6829</v>
      </c>
      <c r="K36" s="169" t="s">
        <v>8391</v>
      </c>
      <c r="L36" s="169" t="s">
        <v>8392</v>
      </c>
      <c r="M36" s="169" t="s">
        <v>7231</v>
      </c>
      <c r="N36" s="170">
        <v>44201</v>
      </c>
      <c r="O36" s="169" t="s">
        <v>7729</v>
      </c>
      <c r="P36" s="170">
        <v>44201</v>
      </c>
      <c r="Q36" s="170">
        <v>44231</v>
      </c>
      <c r="R36" s="170">
        <v>44232</v>
      </c>
      <c r="S36" s="171" t="s">
        <v>8248</v>
      </c>
      <c r="T36" s="171" t="s">
        <v>7729</v>
      </c>
      <c r="U36" s="245">
        <v>44260</v>
      </c>
      <c r="V36" s="171" t="s">
        <v>8393</v>
      </c>
      <c r="W36" s="171">
        <v>2</v>
      </c>
      <c r="X36" s="171" t="s">
        <v>5683</v>
      </c>
      <c r="Y36" s="171" t="s">
        <v>4999</v>
      </c>
      <c r="Z36" s="245">
        <v>44263</v>
      </c>
      <c r="AA36" s="175" t="s">
        <v>264</v>
      </c>
      <c r="AB36" s="175">
        <v>44263</v>
      </c>
      <c r="AC36" s="175">
        <v>44263</v>
      </c>
      <c r="AF36" s="228"/>
      <c r="AG36" s="229"/>
      <c r="AH36" s="230"/>
    </row>
    <row r="37" spans="1:35" s="227" customFormat="1" ht="15" customHeight="1" thickBot="1" x14ac:dyDescent="0.25">
      <c r="A37" s="221" t="str">
        <f>IF(OR(ISBLANK(D37),ISBLANK(E37),ISBLANK(F37),ISBLANK(G37),ISBLANK(H37),ISBLANK(I37),ISBLANK(J37),ISBLANK(K37),ISBLANK(L37),ISBLANK(M37),ISBLANK(N37),ISBLANK(O37),ISBLANK(P37),ISBLANK(Q37),ISBLANK(R37))=TRUE,"P","OK")</f>
        <v>OK</v>
      </c>
      <c r="B37" s="222" t="str">
        <f t="shared" si="1"/>
        <v>OK</v>
      </c>
      <c r="C37" s="223" t="str">
        <f t="shared" si="2"/>
        <v>OK</v>
      </c>
      <c r="D37" s="92">
        <v>0</v>
      </c>
      <c r="E37" s="49" t="s">
        <v>8394</v>
      </c>
      <c r="F37" s="169" t="s">
        <v>8277</v>
      </c>
      <c r="G37" s="169">
        <v>181275</v>
      </c>
      <c r="H37" s="169" t="s">
        <v>8395</v>
      </c>
      <c r="I37" s="169" t="s">
        <v>6820</v>
      </c>
      <c r="J37" s="169" t="s">
        <v>6829</v>
      </c>
      <c r="K37" s="169" t="s">
        <v>8396</v>
      </c>
      <c r="L37" s="169" t="s">
        <v>1744</v>
      </c>
      <c r="M37" s="169" t="s">
        <v>8397</v>
      </c>
      <c r="N37" s="170">
        <v>44229</v>
      </c>
      <c r="O37" s="169" t="s">
        <v>7729</v>
      </c>
      <c r="P37" s="170">
        <v>44229</v>
      </c>
      <c r="Q37" s="170">
        <v>44229</v>
      </c>
      <c r="R37" s="170">
        <v>44237</v>
      </c>
      <c r="S37" s="171" t="s">
        <v>8248</v>
      </c>
      <c r="T37" s="171" t="s">
        <v>8248</v>
      </c>
      <c r="U37" s="245">
        <v>44252</v>
      </c>
      <c r="V37" s="171" t="s">
        <v>5416</v>
      </c>
      <c r="W37" s="171">
        <v>1</v>
      </c>
      <c r="X37" s="171" t="s">
        <v>5683</v>
      </c>
      <c r="Y37" s="171" t="s">
        <v>4999</v>
      </c>
      <c r="Z37" s="245">
        <v>44256</v>
      </c>
      <c r="AA37" s="175" t="s">
        <v>264</v>
      </c>
      <c r="AB37" s="175">
        <v>44257</v>
      </c>
      <c r="AC37" s="175">
        <v>44257</v>
      </c>
      <c r="AF37" s="228"/>
      <c r="AG37" s="229"/>
      <c r="AH37" s="232"/>
    </row>
    <row r="38" spans="1:35" s="227" customFormat="1" ht="15" customHeight="1" thickBot="1" x14ac:dyDescent="0.25">
      <c r="A38" s="221" t="str">
        <f t="shared" si="0"/>
        <v>OK</v>
      </c>
      <c r="B38" s="222" t="str">
        <f t="shared" si="1"/>
        <v>OK</v>
      </c>
      <c r="C38" s="223" t="str">
        <f t="shared" si="2"/>
        <v>OK</v>
      </c>
      <c r="D38" s="92">
        <v>0</v>
      </c>
      <c r="E38" s="49" t="s">
        <v>8398</v>
      </c>
      <c r="F38" s="169" t="s">
        <v>8277</v>
      </c>
      <c r="G38" s="169">
        <v>181275</v>
      </c>
      <c r="H38" s="169" t="s">
        <v>8399</v>
      </c>
      <c r="I38" s="169" t="s">
        <v>6820</v>
      </c>
      <c r="J38" s="169" t="s">
        <v>6829</v>
      </c>
      <c r="K38" s="169" t="s">
        <v>8400</v>
      </c>
      <c r="L38" s="169" t="s">
        <v>8401</v>
      </c>
      <c r="M38" s="169" t="s">
        <v>8397</v>
      </c>
      <c r="N38" s="170">
        <v>44229</v>
      </c>
      <c r="O38" s="169" t="s">
        <v>7729</v>
      </c>
      <c r="P38" s="170">
        <v>44229</v>
      </c>
      <c r="Q38" s="170">
        <v>44229</v>
      </c>
      <c r="R38" s="170">
        <v>44237</v>
      </c>
      <c r="S38" s="171" t="s">
        <v>8248</v>
      </c>
      <c r="T38" s="171" t="s">
        <v>8248</v>
      </c>
      <c r="U38" s="245">
        <v>44252</v>
      </c>
      <c r="V38" s="171" t="s">
        <v>5413</v>
      </c>
      <c r="W38" s="171">
        <v>1</v>
      </c>
      <c r="X38" s="171" t="s">
        <v>5683</v>
      </c>
      <c r="Y38" s="171" t="s">
        <v>4999</v>
      </c>
      <c r="Z38" s="245">
        <v>44256</v>
      </c>
      <c r="AA38" s="175" t="s">
        <v>264</v>
      </c>
      <c r="AB38" s="175">
        <v>44257</v>
      </c>
      <c r="AC38" s="175">
        <v>44257</v>
      </c>
      <c r="AF38" s="228"/>
      <c r="AG38" s="229"/>
      <c r="AH38" s="230"/>
    </row>
    <row r="39" spans="1:35" s="227" customFormat="1" ht="15" customHeight="1" thickBot="1" x14ac:dyDescent="0.25">
      <c r="A39" s="221" t="str">
        <f t="shared" si="0"/>
        <v>OK</v>
      </c>
      <c r="B39" s="222" t="str">
        <f t="shared" si="1"/>
        <v>OK</v>
      </c>
      <c r="C39" s="223" t="str">
        <f t="shared" si="2"/>
        <v>OK</v>
      </c>
      <c r="D39" s="92">
        <v>0</v>
      </c>
      <c r="E39" s="49" t="s">
        <v>8402</v>
      </c>
      <c r="F39" s="169" t="s">
        <v>8272</v>
      </c>
      <c r="G39" s="169">
        <v>181299</v>
      </c>
      <c r="H39" s="169" t="s">
        <v>8403</v>
      </c>
      <c r="I39" s="169" t="s">
        <v>6820</v>
      </c>
      <c r="J39" s="169" t="s">
        <v>6829</v>
      </c>
      <c r="K39" s="169" t="s">
        <v>8404</v>
      </c>
      <c r="L39" s="169" t="s">
        <v>8405</v>
      </c>
      <c r="M39" s="169" t="s">
        <v>2618</v>
      </c>
      <c r="N39" s="170">
        <v>44237</v>
      </c>
      <c r="O39" s="169" t="s">
        <v>7729</v>
      </c>
      <c r="P39" s="170">
        <v>44237</v>
      </c>
      <c r="Q39" s="170">
        <v>44237</v>
      </c>
      <c r="R39" s="170">
        <v>44239</v>
      </c>
      <c r="S39" s="171" t="s">
        <v>8248</v>
      </c>
      <c r="T39" s="171" t="s">
        <v>7729</v>
      </c>
      <c r="U39" s="245">
        <v>44239</v>
      </c>
      <c r="V39" s="171" t="s">
        <v>8406</v>
      </c>
      <c r="W39" s="171">
        <v>5</v>
      </c>
      <c r="X39" s="171" t="s">
        <v>5683</v>
      </c>
      <c r="Y39" s="171" t="s">
        <v>4999</v>
      </c>
      <c r="Z39" s="245">
        <v>44259</v>
      </c>
      <c r="AA39" s="175" t="s">
        <v>264</v>
      </c>
      <c r="AB39" s="175">
        <v>44259</v>
      </c>
      <c r="AC39" s="175">
        <v>44259</v>
      </c>
      <c r="AD39" s="236"/>
      <c r="AE39" s="236"/>
      <c r="AF39" s="237"/>
      <c r="AG39" s="238"/>
      <c r="AH39" s="230"/>
      <c r="AI39" s="231"/>
    </row>
    <row r="40" spans="1:35" s="231" customFormat="1" ht="15" customHeight="1" thickBot="1" x14ac:dyDescent="0.25">
      <c r="A40" s="221" t="str">
        <f t="shared" si="0"/>
        <v>OK</v>
      </c>
      <c r="B40" s="222" t="str">
        <f t="shared" si="1"/>
        <v>OK</v>
      </c>
      <c r="C40" s="223" t="str">
        <f t="shared" si="2"/>
        <v>OK</v>
      </c>
      <c r="D40" s="92">
        <v>0</v>
      </c>
      <c r="E40" s="49" t="s">
        <v>8407</v>
      </c>
      <c r="F40" s="169" t="s">
        <v>8272</v>
      </c>
      <c r="G40" s="169">
        <v>181299</v>
      </c>
      <c r="H40" s="169" t="s">
        <v>8408</v>
      </c>
      <c r="I40" s="169" t="s">
        <v>6820</v>
      </c>
      <c r="J40" s="169" t="s">
        <v>6829</v>
      </c>
      <c r="K40" s="169" t="s">
        <v>8409</v>
      </c>
      <c r="L40" s="169" t="s">
        <v>8410</v>
      </c>
      <c r="M40" s="169" t="s">
        <v>2618</v>
      </c>
      <c r="N40" s="170">
        <v>44237</v>
      </c>
      <c r="O40" s="169" t="s">
        <v>7729</v>
      </c>
      <c r="P40" s="170">
        <v>44237</v>
      </c>
      <c r="Q40" s="170">
        <v>44237</v>
      </c>
      <c r="R40" s="170">
        <v>44239</v>
      </c>
      <c r="S40" s="171" t="s">
        <v>8248</v>
      </c>
      <c r="T40" s="171" t="s">
        <v>7729</v>
      </c>
      <c r="U40" s="245">
        <v>44239</v>
      </c>
      <c r="V40" s="171" t="s">
        <v>8411</v>
      </c>
      <c r="W40" s="171">
        <v>1</v>
      </c>
      <c r="X40" s="171" t="s">
        <v>5683</v>
      </c>
      <c r="Y40" s="171" t="s">
        <v>4999</v>
      </c>
      <c r="Z40" s="245">
        <v>44259</v>
      </c>
      <c r="AA40" s="175" t="s">
        <v>264</v>
      </c>
      <c r="AB40" s="175">
        <v>44259</v>
      </c>
      <c r="AC40" s="175">
        <v>44259</v>
      </c>
      <c r="AF40" s="239"/>
      <c r="AG40" s="240"/>
      <c r="AH40" s="230"/>
    </row>
    <row r="41" spans="1:35" s="248" customFormat="1" ht="15" customHeight="1" thickBot="1" x14ac:dyDescent="0.25">
      <c r="A41" s="282" t="str">
        <f t="shared" si="0"/>
        <v>P</v>
      </c>
      <c r="B41" s="278" t="str">
        <f t="shared" si="1"/>
        <v>OK</v>
      </c>
      <c r="C41" s="283" t="str">
        <f t="shared" si="2"/>
        <v>OK</v>
      </c>
      <c r="D41" s="104">
        <v>0</v>
      </c>
      <c r="E41" s="319" t="s">
        <v>8412</v>
      </c>
      <c r="F41" s="276" t="s">
        <v>8413</v>
      </c>
      <c r="G41" s="276">
        <v>181294</v>
      </c>
      <c r="H41" s="276" t="s">
        <v>8414</v>
      </c>
      <c r="I41" s="276" t="s">
        <v>6820</v>
      </c>
      <c r="J41" s="276" t="s">
        <v>6829</v>
      </c>
      <c r="K41" s="276" t="s">
        <v>8415</v>
      </c>
      <c r="L41" s="276" t="s">
        <v>8416</v>
      </c>
      <c r="M41" s="276" t="s">
        <v>8417</v>
      </c>
      <c r="N41" s="280">
        <v>44236</v>
      </c>
      <c r="O41" s="276" t="s">
        <v>7729</v>
      </c>
      <c r="P41" s="280">
        <v>44236</v>
      </c>
      <c r="Q41" s="280">
        <v>44236</v>
      </c>
      <c r="R41" s="276"/>
      <c r="S41" s="247" t="s">
        <v>8143</v>
      </c>
      <c r="T41" s="247" t="s">
        <v>8143</v>
      </c>
      <c r="U41" s="247" t="s">
        <v>8143</v>
      </c>
      <c r="V41" s="247" t="s">
        <v>8143</v>
      </c>
      <c r="W41" s="247" t="s">
        <v>8143</v>
      </c>
      <c r="X41" s="247" t="s">
        <v>8143</v>
      </c>
      <c r="Y41" s="247" t="s">
        <v>8143</v>
      </c>
      <c r="Z41" s="247" t="s">
        <v>8143</v>
      </c>
      <c r="AA41" s="247" t="s">
        <v>8143</v>
      </c>
      <c r="AB41" s="247" t="s">
        <v>8143</v>
      </c>
      <c r="AC41" s="247" t="s">
        <v>8143</v>
      </c>
      <c r="AD41" s="247"/>
      <c r="AE41" s="247"/>
      <c r="AF41" s="247"/>
      <c r="AG41" s="250"/>
      <c r="AH41" s="281"/>
    </row>
    <row r="42" spans="1:35" s="227" customFormat="1" ht="15" customHeight="1" thickBot="1" x14ac:dyDescent="0.25">
      <c r="A42" s="221" t="str">
        <f t="shared" si="0"/>
        <v>OK</v>
      </c>
      <c r="B42" s="222" t="str">
        <f t="shared" si="1"/>
        <v>OK</v>
      </c>
      <c r="C42" s="223" t="str">
        <f t="shared" si="2"/>
        <v>OK</v>
      </c>
      <c r="D42" s="92">
        <v>0</v>
      </c>
      <c r="E42" s="49" t="s">
        <v>8418</v>
      </c>
      <c r="F42" s="169" t="s">
        <v>8335</v>
      </c>
      <c r="G42" s="169">
        <v>181304</v>
      </c>
      <c r="H42" s="169" t="s">
        <v>8419</v>
      </c>
      <c r="I42" s="169" t="s">
        <v>6820</v>
      </c>
      <c r="J42" s="169" t="s">
        <v>6829</v>
      </c>
      <c r="K42" s="169" t="s">
        <v>1874</v>
      </c>
      <c r="L42" s="169" t="s">
        <v>8337</v>
      </c>
      <c r="M42" s="169" t="s">
        <v>1869</v>
      </c>
      <c r="N42" s="170">
        <v>44238</v>
      </c>
      <c r="O42" s="169" t="s">
        <v>7729</v>
      </c>
      <c r="P42" s="170">
        <v>44238</v>
      </c>
      <c r="Q42" s="170">
        <v>44238</v>
      </c>
      <c r="R42" s="170">
        <v>44238</v>
      </c>
      <c r="S42" s="171" t="s">
        <v>8248</v>
      </c>
      <c r="T42" s="171" t="s">
        <v>7729</v>
      </c>
      <c r="U42" s="245">
        <v>44242</v>
      </c>
      <c r="V42" s="171" t="s">
        <v>1876</v>
      </c>
      <c r="W42" s="171">
        <v>7</v>
      </c>
      <c r="X42" s="171" t="s">
        <v>5683</v>
      </c>
      <c r="Y42" s="171" t="s">
        <v>4999</v>
      </c>
      <c r="Z42" s="245">
        <v>44245</v>
      </c>
      <c r="AA42" s="175" t="s">
        <v>264</v>
      </c>
      <c r="AB42" s="175">
        <v>44246</v>
      </c>
      <c r="AC42" s="175">
        <v>44246</v>
      </c>
      <c r="AF42" s="228"/>
      <c r="AG42" s="229"/>
      <c r="AH42" s="230"/>
    </row>
    <row r="43" spans="1:35" s="227" customFormat="1" ht="15" customHeight="1" thickBot="1" x14ac:dyDescent="0.25">
      <c r="A43" s="221" t="str">
        <f t="shared" si="0"/>
        <v>OK</v>
      </c>
      <c r="B43" s="222" t="str">
        <f t="shared" si="1"/>
        <v>OK</v>
      </c>
      <c r="C43" s="223" t="str">
        <f t="shared" si="2"/>
        <v>OK</v>
      </c>
      <c r="D43" s="92">
        <v>0</v>
      </c>
      <c r="E43" s="49" t="s">
        <v>8420</v>
      </c>
      <c r="F43" s="169" t="s">
        <v>8421</v>
      </c>
      <c r="G43" s="169">
        <v>181009</v>
      </c>
      <c r="H43" s="169" t="s">
        <v>8422</v>
      </c>
      <c r="I43" s="169" t="s">
        <v>6820</v>
      </c>
      <c r="J43" s="169" t="s">
        <v>8423</v>
      </c>
      <c r="K43" s="169" t="s">
        <v>8424</v>
      </c>
      <c r="L43" s="169" t="s">
        <v>8425</v>
      </c>
      <c r="M43" s="169" t="s">
        <v>8426</v>
      </c>
      <c r="N43" s="170">
        <v>44070</v>
      </c>
      <c r="O43" s="169" t="s">
        <v>7729</v>
      </c>
      <c r="P43" s="170">
        <v>44076</v>
      </c>
      <c r="Q43" s="170">
        <v>44172</v>
      </c>
      <c r="R43" s="170">
        <v>44174</v>
      </c>
      <c r="S43" s="171" t="s">
        <v>8248</v>
      </c>
      <c r="T43" s="171" t="s">
        <v>8427</v>
      </c>
      <c r="U43" s="245">
        <v>44183</v>
      </c>
      <c r="V43" s="171" t="s">
        <v>8428</v>
      </c>
      <c r="W43" s="171">
        <v>1</v>
      </c>
      <c r="X43" s="171" t="s">
        <v>5683</v>
      </c>
      <c r="Y43" s="171" t="s">
        <v>4999</v>
      </c>
      <c r="Z43" s="245">
        <v>44279</v>
      </c>
      <c r="AA43" s="175" t="s">
        <v>264</v>
      </c>
      <c r="AB43" s="175">
        <v>44314</v>
      </c>
      <c r="AC43" s="175">
        <v>44314</v>
      </c>
      <c r="AF43" s="228"/>
      <c r="AG43" s="229"/>
      <c r="AH43" s="232"/>
    </row>
    <row r="44" spans="1:35" s="227" customFormat="1" ht="15" customHeight="1" thickBot="1" x14ac:dyDescent="0.25">
      <c r="A44" s="221" t="str">
        <f t="shared" si="0"/>
        <v>OK</v>
      </c>
      <c r="B44" s="222" t="str">
        <f t="shared" si="1"/>
        <v>OK</v>
      </c>
      <c r="C44" s="223" t="str">
        <f t="shared" si="2"/>
        <v>OK</v>
      </c>
      <c r="D44" s="92">
        <v>0</v>
      </c>
      <c r="E44" s="49" t="s">
        <v>8429</v>
      </c>
      <c r="F44" s="169" t="s">
        <v>8322</v>
      </c>
      <c r="G44" s="169">
        <v>181316</v>
      </c>
      <c r="H44" s="169" t="s">
        <v>8430</v>
      </c>
      <c r="I44" s="169" t="s">
        <v>6820</v>
      </c>
      <c r="J44" s="169" t="s">
        <v>6829</v>
      </c>
      <c r="K44" s="169" t="s">
        <v>8431</v>
      </c>
      <c r="L44" s="169" t="s">
        <v>8432</v>
      </c>
      <c r="M44" s="169" t="s">
        <v>5529</v>
      </c>
      <c r="N44" s="170">
        <v>44245</v>
      </c>
      <c r="O44" s="169" t="s">
        <v>7729</v>
      </c>
      <c r="P44" s="170">
        <v>44245</v>
      </c>
      <c r="Q44" s="170">
        <v>44245</v>
      </c>
      <c r="R44" s="170">
        <v>44245</v>
      </c>
      <c r="S44" s="171" t="s">
        <v>8248</v>
      </c>
      <c r="T44" s="171" t="s">
        <v>7729</v>
      </c>
      <c r="U44" s="245">
        <v>44246</v>
      </c>
      <c r="V44" s="171" t="s">
        <v>7876</v>
      </c>
      <c r="W44" s="171">
        <v>5</v>
      </c>
      <c r="X44" s="171" t="s">
        <v>5683</v>
      </c>
      <c r="Y44" s="171" t="s">
        <v>4999</v>
      </c>
      <c r="Z44" s="245">
        <v>44246</v>
      </c>
      <c r="AA44" s="175" t="s">
        <v>264</v>
      </c>
      <c r="AB44" s="175">
        <v>44246</v>
      </c>
      <c r="AC44" s="175">
        <v>44246</v>
      </c>
      <c r="AF44" s="228"/>
      <c r="AG44" s="229"/>
      <c r="AH44" s="230"/>
    </row>
    <row r="45" spans="1:35" s="227" customFormat="1" ht="15" customHeight="1" thickBot="1" x14ac:dyDescent="0.25">
      <c r="A45" s="221" t="str">
        <f t="shared" si="0"/>
        <v>OK</v>
      </c>
      <c r="B45" s="222" t="str">
        <f t="shared" si="1"/>
        <v>OK</v>
      </c>
      <c r="C45" s="223" t="str">
        <f t="shared" si="2"/>
        <v>OK</v>
      </c>
      <c r="D45" s="92">
        <v>0</v>
      </c>
      <c r="E45" s="49" t="s">
        <v>8433</v>
      </c>
      <c r="F45" s="169" t="s">
        <v>8434</v>
      </c>
      <c r="G45" s="169">
        <v>181305</v>
      </c>
      <c r="H45" s="169" t="s">
        <v>8435</v>
      </c>
      <c r="I45" s="169" t="s">
        <v>6820</v>
      </c>
      <c r="J45" s="169" t="s">
        <v>6829</v>
      </c>
      <c r="K45" s="169" t="s">
        <v>8436</v>
      </c>
      <c r="L45" s="169" t="s">
        <v>8437</v>
      </c>
      <c r="M45" s="169" t="s">
        <v>8438</v>
      </c>
      <c r="N45" s="170">
        <v>44238</v>
      </c>
      <c r="O45" s="169" t="s">
        <v>7729</v>
      </c>
      <c r="P45" s="170">
        <v>44238</v>
      </c>
      <c r="Q45" s="170">
        <v>44244</v>
      </c>
      <c r="R45" s="170">
        <v>44245</v>
      </c>
      <c r="S45" s="171" t="s">
        <v>8248</v>
      </c>
      <c r="T45" s="171" t="s">
        <v>7729</v>
      </c>
      <c r="U45" s="245">
        <v>44252</v>
      </c>
      <c r="V45" s="171" t="s">
        <v>7409</v>
      </c>
      <c r="W45" s="171">
        <v>20</v>
      </c>
      <c r="X45" s="171" t="s">
        <v>5683</v>
      </c>
      <c r="Y45" s="171" t="s">
        <v>4999</v>
      </c>
      <c r="Z45" s="245">
        <v>44256</v>
      </c>
      <c r="AA45" s="175" t="s">
        <v>264</v>
      </c>
      <c r="AB45" s="175">
        <v>44256</v>
      </c>
      <c r="AC45" s="175">
        <v>44256</v>
      </c>
      <c r="AF45" s="228"/>
      <c r="AG45" s="229"/>
      <c r="AH45" s="232"/>
    </row>
    <row r="46" spans="1:35" s="227" customFormat="1" ht="15" customHeight="1" thickBot="1" x14ac:dyDescent="0.25">
      <c r="A46" s="221" t="str">
        <f t="shared" si="0"/>
        <v>OK</v>
      </c>
      <c r="B46" s="222" t="str">
        <f t="shared" si="1"/>
        <v>OK</v>
      </c>
      <c r="C46" s="223" t="str">
        <f t="shared" si="2"/>
        <v>OK</v>
      </c>
      <c r="D46" s="92">
        <v>0</v>
      </c>
      <c r="E46" s="49" t="s">
        <v>8439</v>
      </c>
      <c r="F46" s="169" t="s">
        <v>8434</v>
      </c>
      <c r="G46" s="169">
        <v>181305</v>
      </c>
      <c r="H46" s="169" t="s">
        <v>8435</v>
      </c>
      <c r="I46" s="169" t="s">
        <v>6820</v>
      </c>
      <c r="J46" s="169" t="s">
        <v>6829</v>
      </c>
      <c r="K46" s="169" t="s">
        <v>7403</v>
      </c>
      <c r="L46" s="169" t="s">
        <v>8440</v>
      </c>
      <c r="M46" s="169" t="s">
        <v>8438</v>
      </c>
      <c r="N46" s="170">
        <v>44238</v>
      </c>
      <c r="O46" s="169" t="s">
        <v>7729</v>
      </c>
      <c r="P46" s="170">
        <v>44238</v>
      </c>
      <c r="Q46" s="170">
        <v>44244</v>
      </c>
      <c r="R46" s="170">
        <v>44245</v>
      </c>
      <c r="S46" s="171" t="s">
        <v>8248</v>
      </c>
      <c r="T46" s="171" t="s">
        <v>7729</v>
      </c>
      <c r="U46" s="245">
        <v>44252</v>
      </c>
      <c r="V46" s="171" t="s">
        <v>8441</v>
      </c>
      <c r="W46" s="171">
        <v>20</v>
      </c>
      <c r="X46" s="171" t="s">
        <v>5683</v>
      </c>
      <c r="Y46" s="171" t="s">
        <v>4999</v>
      </c>
      <c r="Z46" s="245">
        <v>44256</v>
      </c>
      <c r="AA46" s="175" t="s">
        <v>264</v>
      </c>
      <c r="AB46" s="175">
        <v>44256</v>
      </c>
      <c r="AC46" s="175">
        <v>44256</v>
      </c>
      <c r="AF46" s="228"/>
      <c r="AG46" s="229"/>
      <c r="AH46" s="232"/>
    </row>
    <row r="47" spans="1:35" s="227" customFormat="1" ht="15" customHeight="1" thickBot="1" x14ac:dyDescent="0.25">
      <c r="A47" s="221" t="str">
        <f t="shared" si="0"/>
        <v>OK</v>
      </c>
      <c r="B47" s="222" t="str">
        <f t="shared" si="1"/>
        <v>OK</v>
      </c>
      <c r="C47" s="223" t="str">
        <f t="shared" si="2"/>
        <v>OK</v>
      </c>
      <c r="D47" s="92">
        <v>0</v>
      </c>
      <c r="E47" s="49" t="s">
        <v>8442</v>
      </c>
      <c r="F47" s="169" t="s">
        <v>8443</v>
      </c>
      <c r="G47" s="169">
        <v>181255</v>
      </c>
      <c r="H47" s="169" t="s">
        <v>8444</v>
      </c>
      <c r="I47" s="169" t="s">
        <v>6820</v>
      </c>
      <c r="J47" s="169" t="s">
        <v>6829</v>
      </c>
      <c r="K47" s="169" t="s">
        <v>8445</v>
      </c>
      <c r="L47" s="169" t="s">
        <v>8446</v>
      </c>
      <c r="M47" s="169" t="s">
        <v>8447</v>
      </c>
      <c r="N47" s="170">
        <v>44221</v>
      </c>
      <c r="O47" s="169" t="s">
        <v>7729</v>
      </c>
      <c r="P47" s="170">
        <v>44221</v>
      </c>
      <c r="Q47" s="170">
        <v>44249</v>
      </c>
      <c r="R47" s="170">
        <v>44249</v>
      </c>
      <c r="S47" s="171" t="s">
        <v>8248</v>
      </c>
      <c r="T47" s="171" t="s">
        <v>8248</v>
      </c>
      <c r="U47" s="245">
        <v>44258</v>
      </c>
      <c r="V47" s="171" t="s">
        <v>8448</v>
      </c>
      <c r="W47" s="171">
        <v>12</v>
      </c>
      <c r="X47" s="171" t="s">
        <v>5683</v>
      </c>
      <c r="Y47" s="171" t="s">
        <v>4999</v>
      </c>
      <c r="Z47" s="245">
        <v>44258</v>
      </c>
      <c r="AA47" s="175" t="s">
        <v>264</v>
      </c>
      <c r="AB47" s="175">
        <v>44259</v>
      </c>
      <c r="AC47" s="175">
        <v>44259</v>
      </c>
      <c r="AF47" s="228"/>
      <c r="AG47" s="229"/>
      <c r="AH47" s="230"/>
    </row>
    <row r="48" spans="1:35" s="227" customFormat="1" ht="15" customHeight="1" thickBot="1" x14ac:dyDescent="0.25">
      <c r="A48" s="221" t="str">
        <f t="shared" si="0"/>
        <v>OK</v>
      </c>
      <c r="B48" s="222" t="str">
        <f t="shared" si="1"/>
        <v>OK</v>
      </c>
      <c r="C48" s="223" t="str">
        <f t="shared" si="2"/>
        <v>OK</v>
      </c>
      <c r="D48" s="28">
        <v>0</v>
      </c>
      <c r="E48" s="49" t="s">
        <v>8449</v>
      </c>
      <c r="F48" s="169" t="s">
        <v>8277</v>
      </c>
      <c r="G48" s="169">
        <v>181313</v>
      </c>
      <c r="H48" s="169" t="s">
        <v>8450</v>
      </c>
      <c r="I48" s="169" t="s">
        <v>6820</v>
      </c>
      <c r="J48" s="169" t="s">
        <v>6829</v>
      </c>
      <c r="K48" s="169" t="s">
        <v>8451</v>
      </c>
      <c r="L48" s="169" t="s">
        <v>2683</v>
      </c>
      <c r="M48" s="169" t="s">
        <v>5012</v>
      </c>
      <c r="N48" s="170">
        <v>44244</v>
      </c>
      <c r="O48" s="169" t="s">
        <v>7729</v>
      </c>
      <c r="P48" s="170">
        <v>44244</v>
      </c>
      <c r="Q48" s="170">
        <v>44244</v>
      </c>
      <c r="R48" s="170">
        <v>44246</v>
      </c>
      <c r="S48" s="171" t="s">
        <v>8248</v>
      </c>
      <c r="T48" s="171" t="s">
        <v>8248</v>
      </c>
      <c r="U48" s="245">
        <v>44252</v>
      </c>
      <c r="V48" s="171" t="s">
        <v>7450</v>
      </c>
      <c r="W48" s="171">
        <v>3</v>
      </c>
      <c r="X48" s="171" t="s">
        <v>5683</v>
      </c>
      <c r="Y48" s="171" t="s">
        <v>4999</v>
      </c>
      <c r="Z48" s="245">
        <v>44256</v>
      </c>
      <c r="AA48" s="175" t="s">
        <v>264</v>
      </c>
      <c r="AB48" s="175">
        <v>44257</v>
      </c>
      <c r="AC48" s="175">
        <v>44257</v>
      </c>
      <c r="AD48" s="231"/>
      <c r="AE48" s="231"/>
      <c r="AF48" s="239"/>
      <c r="AG48" s="240"/>
      <c r="AH48" s="233"/>
      <c r="AI48" s="231"/>
    </row>
    <row r="49" spans="1:35" s="231" customFormat="1" ht="15" customHeight="1" thickBot="1" x14ac:dyDescent="0.25">
      <c r="A49" s="221" t="str">
        <f t="shared" si="0"/>
        <v>OK</v>
      </c>
      <c r="B49" s="222" t="str">
        <f t="shared" si="1"/>
        <v>OK</v>
      </c>
      <c r="C49" s="223" t="str">
        <f t="shared" si="2"/>
        <v>OK</v>
      </c>
      <c r="D49" s="28">
        <v>0</v>
      </c>
      <c r="E49" s="49" t="s">
        <v>8452</v>
      </c>
      <c r="F49" s="169" t="s">
        <v>8277</v>
      </c>
      <c r="G49" s="169">
        <v>181313</v>
      </c>
      <c r="H49" s="169" t="s">
        <v>8453</v>
      </c>
      <c r="I49" s="169" t="s">
        <v>6820</v>
      </c>
      <c r="J49" s="169" t="s">
        <v>6829</v>
      </c>
      <c r="K49" s="169" t="s">
        <v>8454</v>
      </c>
      <c r="L49" s="169" t="s">
        <v>8455</v>
      </c>
      <c r="M49" s="169" t="s">
        <v>5012</v>
      </c>
      <c r="N49" s="170">
        <v>44244</v>
      </c>
      <c r="O49" s="169" t="s">
        <v>7729</v>
      </c>
      <c r="P49" s="170">
        <v>44244</v>
      </c>
      <c r="Q49" s="170">
        <v>44244</v>
      </c>
      <c r="R49" s="170">
        <v>44246</v>
      </c>
      <c r="S49" s="171" t="s">
        <v>8248</v>
      </c>
      <c r="T49" s="171" t="s">
        <v>8248</v>
      </c>
      <c r="U49" s="245">
        <v>44252</v>
      </c>
      <c r="V49" s="171" t="s">
        <v>8456</v>
      </c>
      <c r="W49" s="171">
        <v>1</v>
      </c>
      <c r="X49" s="171" t="s">
        <v>5683</v>
      </c>
      <c r="Y49" s="171" t="s">
        <v>4999</v>
      </c>
      <c r="Z49" s="245">
        <v>44256</v>
      </c>
      <c r="AA49" s="175" t="s">
        <v>264</v>
      </c>
      <c r="AB49" s="175">
        <v>44257</v>
      </c>
      <c r="AC49" s="175">
        <v>44257</v>
      </c>
      <c r="AF49" s="239"/>
      <c r="AG49" s="240"/>
      <c r="AH49" s="233"/>
    </row>
    <row r="50" spans="1:35" s="236" customFormat="1" ht="22.9" customHeight="1" thickBot="1" x14ac:dyDescent="0.25">
      <c r="A50" s="277" t="str">
        <f t="shared" si="0"/>
        <v>OK</v>
      </c>
      <c r="B50" s="278" t="str">
        <f t="shared" si="1"/>
        <v>OK</v>
      </c>
      <c r="C50" s="279" t="str">
        <f t="shared" si="2"/>
        <v>OK</v>
      </c>
      <c r="D50" s="104">
        <v>0</v>
      </c>
      <c r="E50" s="49" t="s">
        <v>8457</v>
      </c>
      <c r="F50" s="276" t="s">
        <v>6169</v>
      </c>
      <c r="G50" s="276">
        <v>181202</v>
      </c>
      <c r="H50" s="276" t="s">
        <v>8458</v>
      </c>
      <c r="I50" s="276" t="s">
        <v>6820</v>
      </c>
      <c r="J50" s="276" t="s">
        <v>6829</v>
      </c>
      <c r="K50" s="276" t="s">
        <v>8305</v>
      </c>
      <c r="L50" s="276" t="s">
        <v>8459</v>
      </c>
      <c r="M50" s="276" t="s">
        <v>143</v>
      </c>
      <c r="N50" s="280">
        <v>44246</v>
      </c>
      <c r="O50" s="276" t="s">
        <v>7729</v>
      </c>
      <c r="P50" s="276" t="s">
        <v>8460</v>
      </c>
      <c r="Q50" s="276" t="s">
        <v>8460</v>
      </c>
      <c r="R50" s="280">
        <v>44223</v>
      </c>
      <c r="S50" s="247" t="s">
        <v>8143</v>
      </c>
      <c r="T50" s="247" t="s">
        <v>8143</v>
      </c>
      <c r="U50" s="247" t="s">
        <v>8143</v>
      </c>
      <c r="V50" s="247" t="s">
        <v>8143</v>
      </c>
      <c r="W50" s="247" t="s">
        <v>8143</v>
      </c>
      <c r="X50" s="247" t="s">
        <v>8143</v>
      </c>
      <c r="Y50" s="247" t="s">
        <v>8143</v>
      </c>
      <c r="Z50" s="247" t="s">
        <v>8143</v>
      </c>
      <c r="AA50" s="247" t="s">
        <v>8143</v>
      </c>
      <c r="AB50" s="247" t="s">
        <v>8143</v>
      </c>
      <c r="AC50" s="247" t="s">
        <v>8143</v>
      </c>
      <c r="AD50" s="247"/>
      <c r="AE50" s="247"/>
      <c r="AF50" s="247"/>
      <c r="AG50" s="250"/>
      <c r="AH50" s="251"/>
      <c r="AI50" s="248"/>
    </row>
    <row r="51" spans="1:35" s="227" customFormat="1" ht="15" customHeight="1" thickBot="1" x14ac:dyDescent="0.25">
      <c r="A51" s="221" t="str">
        <f t="shared" si="0"/>
        <v>OK</v>
      </c>
      <c r="B51" s="222" t="str">
        <f t="shared" si="1"/>
        <v>OK</v>
      </c>
      <c r="C51" s="223" t="str">
        <f t="shared" si="2"/>
        <v>OK</v>
      </c>
      <c r="D51" s="92">
        <v>0</v>
      </c>
      <c r="E51" s="49" t="s">
        <v>8461</v>
      </c>
      <c r="F51" s="169" t="s">
        <v>6169</v>
      </c>
      <c r="G51" s="169">
        <v>181202</v>
      </c>
      <c r="H51" s="169" t="s">
        <v>8462</v>
      </c>
      <c r="I51" s="169" t="s">
        <v>6820</v>
      </c>
      <c r="J51" s="169" t="s">
        <v>6829</v>
      </c>
      <c r="K51" s="169" t="s">
        <v>7925</v>
      </c>
      <c r="L51" s="169">
        <v>86517</v>
      </c>
      <c r="M51" s="169" t="s">
        <v>7098</v>
      </c>
      <c r="N51" s="170">
        <v>44246</v>
      </c>
      <c r="O51" s="169" t="s">
        <v>7729</v>
      </c>
      <c r="P51" s="169" t="s">
        <v>8460</v>
      </c>
      <c r="Q51" s="169" t="s">
        <v>8460</v>
      </c>
      <c r="R51" s="170">
        <v>44223</v>
      </c>
      <c r="S51" s="171" t="s">
        <v>7026</v>
      </c>
      <c r="T51" s="171" t="s">
        <v>7026</v>
      </c>
      <c r="U51" s="245">
        <v>44287</v>
      </c>
      <c r="V51" s="171" t="s">
        <v>3191</v>
      </c>
      <c r="W51" s="171">
        <v>1</v>
      </c>
      <c r="X51" s="171" t="s">
        <v>5683</v>
      </c>
      <c r="Y51" s="171" t="s">
        <v>4999</v>
      </c>
      <c r="Z51" s="245">
        <v>44291</v>
      </c>
      <c r="AA51" s="175" t="s">
        <v>264</v>
      </c>
      <c r="AB51" s="175">
        <v>44293</v>
      </c>
      <c r="AC51" s="175">
        <v>44293</v>
      </c>
      <c r="AF51" s="228"/>
      <c r="AG51" s="229"/>
      <c r="AH51" s="232"/>
    </row>
    <row r="52" spans="1:35" s="227" customFormat="1" ht="15" customHeight="1" thickBot="1" x14ac:dyDescent="0.25">
      <c r="A52" s="221" t="str">
        <f t="shared" si="0"/>
        <v>OK</v>
      </c>
      <c r="B52" s="222" t="str">
        <f t="shared" si="1"/>
        <v>OK</v>
      </c>
      <c r="C52" s="223" t="str">
        <f t="shared" si="2"/>
        <v>OK</v>
      </c>
      <c r="D52" s="28">
        <v>0</v>
      </c>
      <c r="E52" s="49" t="s">
        <v>8463</v>
      </c>
      <c r="F52" s="169" t="s">
        <v>8369</v>
      </c>
      <c r="G52" s="169">
        <v>181324</v>
      </c>
      <c r="H52" s="169" t="s">
        <v>8464</v>
      </c>
      <c r="I52" s="169" t="s">
        <v>6820</v>
      </c>
      <c r="J52" s="169" t="s">
        <v>6829</v>
      </c>
      <c r="K52" s="169" t="s">
        <v>8381</v>
      </c>
      <c r="L52" s="169" t="s">
        <v>8382</v>
      </c>
      <c r="M52" s="169" t="s">
        <v>8383</v>
      </c>
      <c r="N52" s="170">
        <v>44250</v>
      </c>
      <c r="O52" s="169" t="s">
        <v>7729</v>
      </c>
      <c r="P52" s="170">
        <v>44250</v>
      </c>
      <c r="Q52" s="170">
        <v>44250</v>
      </c>
      <c r="R52" s="170">
        <v>44251</v>
      </c>
      <c r="S52" s="171" t="s">
        <v>8248</v>
      </c>
      <c r="T52" s="171" t="s">
        <v>7729</v>
      </c>
      <c r="U52" s="245">
        <v>44251</v>
      </c>
      <c r="V52" s="171" t="s">
        <v>137</v>
      </c>
      <c r="W52" s="171">
        <v>3</v>
      </c>
      <c r="X52" s="171" t="s">
        <v>5683</v>
      </c>
      <c r="Y52" s="171" t="s">
        <v>4999</v>
      </c>
      <c r="Z52" s="245">
        <v>44260</v>
      </c>
      <c r="AA52" s="175" t="s">
        <v>264</v>
      </c>
      <c r="AB52" s="175">
        <v>44263</v>
      </c>
      <c r="AC52" s="175">
        <v>44263</v>
      </c>
      <c r="AD52" s="231"/>
      <c r="AE52" s="231"/>
      <c r="AF52" s="239"/>
      <c r="AG52" s="240"/>
      <c r="AH52" s="233"/>
      <c r="AI52" s="231"/>
    </row>
    <row r="53" spans="1:35" s="231" customFormat="1" ht="15" customHeight="1" thickBot="1" x14ac:dyDescent="0.25">
      <c r="A53" s="221" t="str">
        <f t="shared" si="0"/>
        <v>OK</v>
      </c>
      <c r="B53" s="222" t="str">
        <f t="shared" si="1"/>
        <v>OK</v>
      </c>
      <c r="C53" s="223" t="str">
        <f t="shared" si="2"/>
        <v>OK</v>
      </c>
      <c r="D53" s="28">
        <v>0</v>
      </c>
      <c r="E53" s="49" t="s">
        <v>8465</v>
      </c>
      <c r="F53" s="169" t="s">
        <v>8369</v>
      </c>
      <c r="G53" s="169">
        <v>181326</v>
      </c>
      <c r="H53" s="169" t="s">
        <v>8466</v>
      </c>
      <c r="I53" s="169" t="s">
        <v>6820</v>
      </c>
      <c r="J53" s="169" t="s">
        <v>6829</v>
      </c>
      <c r="K53" s="169" t="s">
        <v>1937</v>
      </c>
      <c r="L53" s="169" t="s">
        <v>8467</v>
      </c>
      <c r="M53" s="169" t="s">
        <v>8468</v>
      </c>
      <c r="N53" s="170">
        <v>44252</v>
      </c>
      <c r="O53" s="169" t="s">
        <v>7729</v>
      </c>
      <c r="P53" s="170">
        <v>44252</v>
      </c>
      <c r="Q53" s="170">
        <v>44252</v>
      </c>
      <c r="R53" s="170">
        <v>44252</v>
      </c>
      <c r="S53" s="171" t="s">
        <v>8248</v>
      </c>
      <c r="T53" s="171" t="s">
        <v>7729</v>
      </c>
      <c r="U53" s="245">
        <v>44251</v>
      </c>
      <c r="V53" s="171" t="s">
        <v>8469</v>
      </c>
      <c r="W53" s="171">
        <v>7</v>
      </c>
      <c r="X53" s="171" t="s">
        <v>5683</v>
      </c>
      <c r="Y53" s="171" t="s">
        <v>4999</v>
      </c>
      <c r="Z53" s="245">
        <v>44256</v>
      </c>
      <c r="AA53" s="175" t="s">
        <v>264</v>
      </c>
      <c r="AB53" s="175">
        <v>44260</v>
      </c>
      <c r="AC53" s="175">
        <v>44260</v>
      </c>
      <c r="AF53" s="239"/>
      <c r="AG53" s="240"/>
      <c r="AH53" s="233"/>
    </row>
    <row r="54" spans="1:35" s="231" customFormat="1" ht="15" customHeight="1" thickBot="1" x14ac:dyDescent="0.25">
      <c r="A54" s="221" t="str">
        <f t="shared" si="0"/>
        <v>OK</v>
      </c>
      <c r="B54" s="222" t="str">
        <f t="shared" si="1"/>
        <v>OK</v>
      </c>
      <c r="C54" s="223" t="str">
        <f t="shared" si="2"/>
        <v>OK</v>
      </c>
      <c r="D54" s="28">
        <v>0</v>
      </c>
      <c r="E54" s="49" t="s">
        <v>8470</v>
      </c>
      <c r="F54" s="169" t="s">
        <v>8272</v>
      </c>
      <c r="G54" s="169">
        <v>181343</v>
      </c>
      <c r="H54" s="169">
        <v>181343</v>
      </c>
      <c r="I54" s="169" t="s">
        <v>6820</v>
      </c>
      <c r="J54" s="169" t="s">
        <v>6829</v>
      </c>
      <c r="K54" s="169" t="s">
        <v>8471</v>
      </c>
      <c r="L54" s="169" t="s">
        <v>8472</v>
      </c>
      <c r="M54" s="169" t="s">
        <v>2618</v>
      </c>
      <c r="N54" s="170">
        <v>44259</v>
      </c>
      <c r="O54" s="169" t="s">
        <v>7729</v>
      </c>
      <c r="P54" s="170">
        <v>44259</v>
      </c>
      <c r="Q54" s="170">
        <v>44259</v>
      </c>
      <c r="R54" s="170">
        <v>44259</v>
      </c>
      <c r="S54" s="171" t="s">
        <v>8248</v>
      </c>
      <c r="T54" s="171" t="s">
        <v>7729</v>
      </c>
      <c r="U54" s="245">
        <v>44259</v>
      </c>
      <c r="V54" s="171">
        <v>3058226</v>
      </c>
      <c r="W54" s="329">
        <v>3</v>
      </c>
      <c r="X54" s="171" t="s">
        <v>5683</v>
      </c>
      <c r="Y54" s="171" t="s">
        <v>4999</v>
      </c>
      <c r="Z54" s="245">
        <v>44260</v>
      </c>
      <c r="AA54" s="175" t="s">
        <v>264</v>
      </c>
      <c r="AB54" s="175">
        <v>44260</v>
      </c>
      <c r="AC54" s="175">
        <v>44260</v>
      </c>
      <c r="AF54" s="239"/>
      <c r="AG54" s="240"/>
      <c r="AH54" s="233"/>
    </row>
    <row r="55" spans="1:35" s="231" customFormat="1" ht="15" customHeight="1" thickBot="1" x14ac:dyDescent="0.25">
      <c r="A55" s="221" t="str">
        <f t="shared" si="0"/>
        <v>OK</v>
      </c>
      <c r="B55" s="222" t="str">
        <f t="shared" si="1"/>
        <v>OK</v>
      </c>
      <c r="C55" s="223" t="str">
        <f t="shared" si="2"/>
        <v>OK</v>
      </c>
      <c r="D55" s="28">
        <v>0</v>
      </c>
      <c r="E55" s="49" t="s">
        <v>8473</v>
      </c>
      <c r="F55" s="169" t="s">
        <v>8335</v>
      </c>
      <c r="G55" s="169">
        <v>181341</v>
      </c>
      <c r="H55" s="169" t="s">
        <v>8474</v>
      </c>
      <c r="I55" s="169" t="s">
        <v>6820</v>
      </c>
      <c r="J55" s="169" t="s">
        <v>6829</v>
      </c>
      <c r="K55" s="169" t="s">
        <v>1874</v>
      </c>
      <c r="L55" s="169" t="s">
        <v>8337</v>
      </c>
      <c r="M55" s="169" t="s">
        <v>1869</v>
      </c>
      <c r="N55" s="170">
        <v>44258</v>
      </c>
      <c r="O55" s="169" t="s">
        <v>7729</v>
      </c>
      <c r="P55" s="170">
        <v>44258</v>
      </c>
      <c r="Q55" s="170">
        <v>44258</v>
      </c>
      <c r="R55" s="170">
        <v>44259</v>
      </c>
      <c r="S55" s="171" t="s">
        <v>8248</v>
      </c>
      <c r="T55" s="171" t="s">
        <v>7729</v>
      </c>
      <c r="U55" s="245">
        <v>44260</v>
      </c>
      <c r="V55" s="171" t="s">
        <v>1876</v>
      </c>
      <c r="W55" s="171">
        <v>2</v>
      </c>
      <c r="X55" s="171" t="s">
        <v>5683</v>
      </c>
      <c r="Y55" s="171" t="s">
        <v>4999</v>
      </c>
      <c r="Z55" s="245">
        <v>44265</v>
      </c>
      <c r="AA55" s="175" t="s">
        <v>264</v>
      </c>
      <c r="AB55" s="175">
        <v>44266</v>
      </c>
      <c r="AC55" s="175">
        <v>44266</v>
      </c>
      <c r="AF55" s="239"/>
      <c r="AG55" s="240"/>
      <c r="AH55" s="233"/>
    </row>
    <row r="56" spans="1:35" s="231" customFormat="1" ht="15" customHeight="1" thickBot="1" x14ac:dyDescent="0.25">
      <c r="A56" s="221" t="str">
        <f t="shared" si="0"/>
        <v>OK</v>
      </c>
      <c r="B56" s="222" t="str">
        <f t="shared" si="1"/>
        <v>OK</v>
      </c>
      <c r="C56" s="223" t="str">
        <f t="shared" si="2"/>
        <v>OK</v>
      </c>
      <c r="D56" s="28">
        <v>0</v>
      </c>
      <c r="E56" s="49" t="s">
        <v>8475</v>
      </c>
      <c r="F56" s="169" t="s">
        <v>8476</v>
      </c>
      <c r="G56" s="169">
        <v>181348</v>
      </c>
      <c r="H56" s="169" t="s">
        <v>8477</v>
      </c>
      <c r="I56" s="169" t="s">
        <v>6820</v>
      </c>
      <c r="J56" s="169" t="s">
        <v>6829</v>
      </c>
      <c r="K56" s="169" t="s">
        <v>8478</v>
      </c>
      <c r="L56" s="169" t="s">
        <v>8479</v>
      </c>
      <c r="M56" s="169" t="s">
        <v>4085</v>
      </c>
      <c r="N56" s="170">
        <v>44259</v>
      </c>
      <c r="O56" s="169" t="s">
        <v>7729</v>
      </c>
      <c r="P56" s="170">
        <v>44259</v>
      </c>
      <c r="Q56" s="170">
        <v>44259</v>
      </c>
      <c r="R56" s="170">
        <v>44259</v>
      </c>
      <c r="S56" s="171" t="s">
        <v>8248</v>
      </c>
      <c r="T56" s="171" t="s">
        <v>8248</v>
      </c>
      <c r="U56" s="245">
        <v>44273</v>
      </c>
      <c r="V56" s="171" t="s">
        <v>274</v>
      </c>
      <c r="W56" s="171">
        <v>20</v>
      </c>
      <c r="X56" s="171" t="s">
        <v>5683</v>
      </c>
      <c r="Y56" s="171" t="s">
        <v>4999</v>
      </c>
      <c r="Z56" s="245">
        <v>44279</v>
      </c>
      <c r="AA56" s="175" t="s">
        <v>264</v>
      </c>
      <c r="AB56" s="175">
        <v>44281</v>
      </c>
      <c r="AC56" s="175">
        <v>44281</v>
      </c>
      <c r="AF56" s="239"/>
      <c r="AG56" s="240"/>
      <c r="AH56" s="233"/>
    </row>
    <row r="57" spans="1:35" s="231" customFormat="1" ht="15" customHeight="1" thickBot="1" x14ac:dyDescent="0.25">
      <c r="A57" s="221" t="str">
        <f t="shared" si="0"/>
        <v>OK</v>
      </c>
      <c r="B57" s="222" t="str">
        <f t="shared" si="1"/>
        <v>OK</v>
      </c>
      <c r="C57" s="223" t="str">
        <f t="shared" si="2"/>
        <v>OK</v>
      </c>
      <c r="D57" s="28">
        <v>0</v>
      </c>
      <c r="E57" s="49" t="s">
        <v>8480</v>
      </c>
      <c r="F57" s="169" t="s">
        <v>8481</v>
      </c>
      <c r="G57" s="169">
        <v>181347</v>
      </c>
      <c r="H57" s="169" t="s">
        <v>8482</v>
      </c>
      <c r="I57" s="169" t="s">
        <v>6820</v>
      </c>
      <c r="J57" s="169" t="s">
        <v>6829</v>
      </c>
      <c r="K57" s="169" t="s">
        <v>8483</v>
      </c>
      <c r="L57" s="169" t="s">
        <v>8484</v>
      </c>
      <c r="M57" s="169" t="s">
        <v>4085</v>
      </c>
      <c r="N57" s="170">
        <v>44259</v>
      </c>
      <c r="O57" s="169" t="s">
        <v>7729</v>
      </c>
      <c r="P57" s="170">
        <v>44259</v>
      </c>
      <c r="Q57" s="170">
        <v>44259</v>
      </c>
      <c r="R57" s="170">
        <v>44259</v>
      </c>
      <c r="S57" s="171" t="s">
        <v>8248</v>
      </c>
      <c r="T57" s="171" t="s">
        <v>8248</v>
      </c>
      <c r="U57" s="245">
        <v>44273</v>
      </c>
      <c r="V57" s="171" t="s">
        <v>274</v>
      </c>
      <c r="W57" s="171">
        <v>20</v>
      </c>
      <c r="X57" s="171" t="s">
        <v>5683</v>
      </c>
      <c r="Y57" s="171" t="s">
        <v>4999</v>
      </c>
      <c r="Z57" s="245">
        <v>44279</v>
      </c>
      <c r="AA57" s="175" t="s">
        <v>264</v>
      </c>
      <c r="AB57" s="175">
        <v>44281</v>
      </c>
      <c r="AC57" s="175">
        <v>44281</v>
      </c>
      <c r="AF57" s="239"/>
      <c r="AG57" s="240"/>
      <c r="AH57" s="233"/>
    </row>
    <row r="58" spans="1:35" s="231" customFormat="1" ht="15" customHeight="1" thickBot="1" x14ac:dyDescent="0.25">
      <c r="A58" s="221" t="str">
        <f t="shared" si="0"/>
        <v>OK</v>
      </c>
      <c r="B58" s="222" t="str">
        <f t="shared" si="1"/>
        <v>OK</v>
      </c>
      <c r="C58" s="223" t="str">
        <f t="shared" si="2"/>
        <v>OK</v>
      </c>
      <c r="D58" s="28">
        <v>0</v>
      </c>
      <c r="E58" s="49" t="s">
        <v>8485</v>
      </c>
      <c r="F58" s="169" t="s">
        <v>8277</v>
      </c>
      <c r="G58" s="169">
        <v>181357</v>
      </c>
      <c r="H58" s="169" t="s">
        <v>8486</v>
      </c>
      <c r="I58" s="169" t="s">
        <v>6820</v>
      </c>
      <c r="J58" s="169" t="s">
        <v>6829</v>
      </c>
      <c r="K58" s="169" t="s">
        <v>8487</v>
      </c>
      <c r="L58" s="169" t="s">
        <v>8488</v>
      </c>
      <c r="M58" s="169" t="s">
        <v>5012</v>
      </c>
      <c r="N58" s="170">
        <v>44263</v>
      </c>
      <c r="O58" s="169" t="s">
        <v>7729</v>
      </c>
      <c r="P58" s="170">
        <v>44263</v>
      </c>
      <c r="Q58" s="170">
        <v>44263</v>
      </c>
      <c r="R58" s="170">
        <v>44264</v>
      </c>
      <c r="S58" s="171" t="s">
        <v>8248</v>
      </c>
      <c r="T58" s="171" t="s">
        <v>7729</v>
      </c>
      <c r="U58" s="245">
        <v>44295</v>
      </c>
      <c r="V58" s="171" t="s">
        <v>3720</v>
      </c>
      <c r="W58" s="171">
        <v>4</v>
      </c>
      <c r="X58" s="171" t="s">
        <v>5683</v>
      </c>
      <c r="Y58" s="171" t="s">
        <v>4999</v>
      </c>
      <c r="Z58" s="245">
        <v>44295</v>
      </c>
      <c r="AA58" s="175" t="s">
        <v>6825</v>
      </c>
      <c r="AB58" s="175">
        <v>44295</v>
      </c>
      <c r="AC58" s="175">
        <v>44295</v>
      </c>
      <c r="AF58" s="239"/>
      <c r="AG58" s="240"/>
      <c r="AH58" s="233"/>
    </row>
    <row r="59" spans="1:35" s="231" customFormat="1" ht="15" customHeight="1" thickBot="1" x14ac:dyDescent="0.25">
      <c r="A59" s="221" t="str">
        <f t="shared" si="0"/>
        <v>OK</v>
      </c>
      <c r="B59" s="222" t="str">
        <f t="shared" si="1"/>
        <v>OK</v>
      </c>
      <c r="C59" s="223" t="str">
        <f t="shared" si="2"/>
        <v>OK</v>
      </c>
      <c r="D59" s="28">
        <v>0</v>
      </c>
      <c r="E59" s="49" t="s">
        <v>8489</v>
      </c>
      <c r="F59" s="169" t="s">
        <v>8277</v>
      </c>
      <c r="G59" s="169">
        <v>181357</v>
      </c>
      <c r="H59" s="169" t="s">
        <v>8490</v>
      </c>
      <c r="I59" s="169" t="s">
        <v>6820</v>
      </c>
      <c r="J59" s="169" t="s">
        <v>6829</v>
      </c>
      <c r="K59" s="169" t="s">
        <v>8279</v>
      </c>
      <c r="L59" s="169" t="s">
        <v>8491</v>
      </c>
      <c r="M59" s="169" t="s">
        <v>8492</v>
      </c>
      <c r="N59" s="170">
        <v>44263</v>
      </c>
      <c r="O59" s="169" t="s">
        <v>7729</v>
      </c>
      <c r="P59" s="170">
        <v>44263</v>
      </c>
      <c r="Q59" s="170">
        <v>44263</v>
      </c>
      <c r="R59" s="170">
        <v>44264</v>
      </c>
      <c r="S59" s="171" t="s">
        <v>8248</v>
      </c>
      <c r="T59" s="171" t="s">
        <v>7729</v>
      </c>
      <c r="U59" s="245">
        <v>44295</v>
      </c>
      <c r="V59" s="171" t="s">
        <v>7535</v>
      </c>
      <c r="W59" s="171">
        <v>4</v>
      </c>
      <c r="X59" s="171" t="s">
        <v>5683</v>
      </c>
      <c r="Y59" s="171" t="s">
        <v>8493</v>
      </c>
      <c r="Z59" s="245">
        <v>44315</v>
      </c>
      <c r="AA59" s="175" t="s">
        <v>264</v>
      </c>
      <c r="AB59" s="175">
        <v>44315</v>
      </c>
      <c r="AC59" s="175">
        <v>44315</v>
      </c>
      <c r="AF59" s="239"/>
      <c r="AG59" s="240"/>
      <c r="AH59" s="233"/>
    </row>
    <row r="60" spans="1:35" s="231" customFormat="1" ht="15" customHeight="1" thickBot="1" x14ac:dyDescent="0.25">
      <c r="A60" s="221" t="str">
        <f t="shared" si="0"/>
        <v>OK</v>
      </c>
      <c r="B60" s="222" t="str">
        <f t="shared" si="1"/>
        <v>OK</v>
      </c>
      <c r="C60" s="223" t="str">
        <f t="shared" si="2"/>
        <v>OK</v>
      </c>
      <c r="D60" s="28">
        <v>0</v>
      </c>
      <c r="E60" s="49" t="s">
        <v>8494</v>
      </c>
      <c r="F60" s="169" t="s">
        <v>8277</v>
      </c>
      <c r="G60" s="169">
        <v>181357</v>
      </c>
      <c r="H60" s="169" t="s">
        <v>8495</v>
      </c>
      <c r="I60" s="169" t="s">
        <v>6820</v>
      </c>
      <c r="J60" s="169" t="s">
        <v>6829</v>
      </c>
      <c r="K60" s="169" t="s">
        <v>8496</v>
      </c>
      <c r="L60" s="169" t="s">
        <v>8497</v>
      </c>
      <c r="M60" s="169" t="s">
        <v>5012</v>
      </c>
      <c r="N60" s="170">
        <v>44263</v>
      </c>
      <c r="O60" s="169" t="s">
        <v>7729</v>
      </c>
      <c r="P60" s="170">
        <v>44263</v>
      </c>
      <c r="Q60" s="170">
        <v>44263</v>
      </c>
      <c r="R60" s="170">
        <v>44264</v>
      </c>
      <c r="S60" s="171" t="s">
        <v>7026</v>
      </c>
      <c r="T60" s="171" t="s">
        <v>7729</v>
      </c>
      <c r="U60" s="245">
        <v>44295</v>
      </c>
      <c r="V60" s="171" t="s">
        <v>8498</v>
      </c>
      <c r="W60" s="171">
        <v>1</v>
      </c>
      <c r="X60" s="171" t="s">
        <v>5683</v>
      </c>
      <c r="Y60" s="171" t="s">
        <v>4999</v>
      </c>
      <c r="Z60" s="245">
        <v>44299</v>
      </c>
      <c r="AA60" s="175" t="s">
        <v>264</v>
      </c>
      <c r="AB60" s="175">
        <v>44299</v>
      </c>
      <c r="AC60" s="175">
        <v>44299</v>
      </c>
      <c r="AF60" s="239"/>
      <c r="AG60" s="240"/>
      <c r="AH60" s="233"/>
    </row>
    <row r="61" spans="1:35" s="231" customFormat="1" ht="15" customHeight="1" thickBot="1" x14ac:dyDescent="0.25">
      <c r="A61" s="221" t="str">
        <f t="shared" si="0"/>
        <v>OK</v>
      </c>
      <c r="B61" s="222" t="str">
        <f t="shared" si="1"/>
        <v>OK</v>
      </c>
      <c r="C61" s="223" t="str">
        <f t="shared" si="2"/>
        <v>OK</v>
      </c>
      <c r="D61" s="28">
        <v>0</v>
      </c>
      <c r="E61" s="49" t="s">
        <v>8499</v>
      </c>
      <c r="F61" s="169" t="s">
        <v>8277</v>
      </c>
      <c r="G61" s="169">
        <v>181357</v>
      </c>
      <c r="H61" s="169" t="s">
        <v>8500</v>
      </c>
      <c r="I61" s="169" t="s">
        <v>6820</v>
      </c>
      <c r="J61" s="169" t="s">
        <v>6829</v>
      </c>
      <c r="K61" s="169" t="s">
        <v>8396</v>
      </c>
      <c r="L61" s="169" t="s">
        <v>1744</v>
      </c>
      <c r="M61" s="169" t="s">
        <v>5012</v>
      </c>
      <c r="N61" s="170">
        <v>44263</v>
      </c>
      <c r="O61" s="169" t="s">
        <v>7729</v>
      </c>
      <c r="P61" s="170">
        <v>44263</v>
      </c>
      <c r="Q61" s="170">
        <v>44263</v>
      </c>
      <c r="R61" s="170">
        <v>44264</v>
      </c>
      <c r="S61" s="171" t="s">
        <v>7026</v>
      </c>
      <c r="T61" s="171" t="s">
        <v>7729</v>
      </c>
      <c r="U61" s="245">
        <v>44295</v>
      </c>
      <c r="V61" s="171" t="s">
        <v>5416</v>
      </c>
      <c r="W61" s="171">
        <v>4</v>
      </c>
      <c r="X61" s="171" t="s">
        <v>5683</v>
      </c>
      <c r="Y61" s="171" t="s">
        <v>8493</v>
      </c>
      <c r="Z61" s="245">
        <v>44315</v>
      </c>
      <c r="AA61" s="175" t="s">
        <v>264</v>
      </c>
      <c r="AB61" s="175">
        <v>44315</v>
      </c>
      <c r="AC61" s="175">
        <v>44315</v>
      </c>
      <c r="AD61" s="227"/>
      <c r="AE61" s="227"/>
      <c r="AF61" s="228"/>
      <c r="AG61" s="229"/>
      <c r="AH61" s="232"/>
      <c r="AI61" s="227"/>
    </row>
    <row r="62" spans="1:35" s="227" customFormat="1" ht="15" customHeight="1" thickBot="1" x14ac:dyDescent="0.25">
      <c r="A62" s="221" t="str">
        <f t="shared" si="0"/>
        <v>OK</v>
      </c>
      <c r="B62" s="222" t="str">
        <f t="shared" si="1"/>
        <v>OK</v>
      </c>
      <c r="C62" s="223" t="str">
        <f t="shared" si="2"/>
        <v>OK</v>
      </c>
      <c r="D62" s="28">
        <v>0</v>
      </c>
      <c r="E62" s="49" t="s">
        <v>8501</v>
      </c>
      <c r="F62" s="169" t="s">
        <v>7724</v>
      </c>
      <c r="G62" s="169">
        <v>181029</v>
      </c>
      <c r="H62" s="169" t="s">
        <v>8502</v>
      </c>
      <c r="I62" s="169" t="s">
        <v>6820</v>
      </c>
      <c r="J62" s="169" t="s">
        <v>8503</v>
      </c>
      <c r="K62" s="169" t="s">
        <v>8504</v>
      </c>
      <c r="L62" s="169" t="s">
        <v>8505</v>
      </c>
      <c r="M62" s="169" t="s">
        <v>8506</v>
      </c>
      <c r="N62" s="170">
        <v>44089</v>
      </c>
      <c r="O62" s="169" t="s">
        <v>7729</v>
      </c>
      <c r="P62" s="170">
        <v>44095</v>
      </c>
      <c r="Q62" s="170">
        <v>44095</v>
      </c>
      <c r="R62" s="170">
        <v>44119</v>
      </c>
      <c r="S62" s="171" t="s">
        <v>8507</v>
      </c>
      <c r="T62" s="171" t="s">
        <v>8508</v>
      </c>
      <c r="U62" s="171" t="s">
        <v>8509</v>
      </c>
      <c r="V62" s="171" t="s">
        <v>8510</v>
      </c>
      <c r="W62" s="171">
        <v>1</v>
      </c>
      <c r="X62" s="171" t="s">
        <v>5683</v>
      </c>
      <c r="Y62" s="171" t="s">
        <v>8509</v>
      </c>
      <c r="Z62" s="245">
        <v>44461</v>
      </c>
      <c r="AA62" s="175" t="s">
        <v>264</v>
      </c>
      <c r="AB62" s="175">
        <v>44468</v>
      </c>
      <c r="AC62" s="175">
        <v>44468</v>
      </c>
      <c r="AD62" s="231"/>
      <c r="AE62" s="231"/>
      <c r="AF62" s="239"/>
      <c r="AG62" s="240"/>
      <c r="AH62" s="233"/>
      <c r="AI62" s="231"/>
    </row>
    <row r="63" spans="1:35" s="231" customFormat="1" ht="15" customHeight="1" thickBot="1" x14ac:dyDescent="0.25">
      <c r="A63" s="221" t="str">
        <f t="shared" si="0"/>
        <v>OK</v>
      </c>
      <c r="B63" s="222" t="str">
        <f t="shared" si="1"/>
        <v>OK</v>
      </c>
      <c r="C63" s="223" t="str">
        <f t="shared" si="2"/>
        <v>OK</v>
      </c>
      <c r="D63" s="28">
        <v>0</v>
      </c>
      <c r="E63" s="49" t="s">
        <v>8511</v>
      </c>
      <c r="F63" s="169" t="s">
        <v>7724</v>
      </c>
      <c r="G63" s="169">
        <v>181029</v>
      </c>
      <c r="H63" s="169" t="s">
        <v>8512</v>
      </c>
      <c r="I63" s="169" t="s">
        <v>6820</v>
      </c>
      <c r="J63" s="169" t="s">
        <v>8503</v>
      </c>
      <c r="K63" s="169" t="s">
        <v>8513</v>
      </c>
      <c r="L63" s="169" t="s">
        <v>8514</v>
      </c>
      <c r="M63" s="169" t="s">
        <v>8506</v>
      </c>
      <c r="N63" s="170">
        <v>44089</v>
      </c>
      <c r="O63" s="169" t="s">
        <v>7729</v>
      </c>
      <c r="P63" s="170">
        <v>44095</v>
      </c>
      <c r="Q63" s="170">
        <v>44095</v>
      </c>
      <c r="R63" s="170">
        <v>44119</v>
      </c>
      <c r="S63" s="171" t="s">
        <v>8507</v>
      </c>
      <c r="T63" s="171" t="s">
        <v>8508</v>
      </c>
      <c r="U63" s="171" t="s">
        <v>8515</v>
      </c>
      <c r="V63" s="171" t="s">
        <v>8510</v>
      </c>
      <c r="W63" s="171">
        <v>1</v>
      </c>
      <c r="X63" s="171" t="s">
        <v>5683</v>
      </c>
      <c r="Y63" s="171" t="s">
        <v>8509</v>
      </c>
      <c r="Z63" s="245">
        <v>44433</v>
      </c>
      <c r="AA63" s="175" t="s">
        <v>264</v>
      </c>
      <c r="AB63" s="175">
        <v>44440</v>
      </c>
      <c r="AC63" s="175">
        <v>44440</v>
      </c>
      <c r="AF63" s="239"/>
      <c r="AG63" s="240"/>
      <c r="AH63" s="233"/>
    </row>
    <row r="64" spans="1:35" s="231" customFormat="1" ht="15" customHeight="1" thickBot="1" x14ac:dyDescent="0.25">
      <c r="A64" s="221" t="str">
        <f t="shared" si="0"/>
        <v>OK</v>
      </c>
      <c r="B64" s="222" t="str">
        <f t="shared" si="1"/>
        <v>OK</v>
      </c>
      <c r="C64" s="223" t="str">
        <f t="shared" si="2"/>
        <v>OK</v>
      </c>
      <c r="D64" s="28">
        <v>0</v>
      </c>
      <c r="E64" s="49" t="s">
        <v>8516</v>
      </c>
      <c r="F64" s="169" t="s">
        <v>8517</v>
      </c>
      <c r="G64" s="169">
        <v>181363</v>
      </c>
      <c r="H64" s="169" t="s">
        <v>8518</v>
      </c>
      <c r="I64" s="169" t="s">
        <v>6820</v>
      </c>
      <c r="J64" s="169" t="s">
        <v>8503</v>
      </c>
      <c r="K64" s="169" t="s">
        <v>8519</v>
      </c>
      <c r="L64" s="169" t="s">
        <v>8150</v>
      </c>
      <c r="M64" s="169" t="s">
        <v>8520</v>
      </c>
      <c r="N64" s="170">
        <v>44265</v>
      </c>
      <c r="O64" s="169" t="s">
        <v>7729</v>
      </c>
      <c r="P64" s="170">
        <v>44265</v>
      </c>
      <c r="Q64" s="170">
        <v>44265</v>
      </c>
      <c r="R64" s="170">
        <v>44270</v>
      </c>
      <c r="S64" s="171" t="s">
        <v>8248</v>
      </c>
      <c r="T64" s="171" t="s">
        <v>264</v>
      </c>
      <c r="U64" s="245">
        <v>44271</v>
      </c>
      <c r="V64" s="171" t="s">
        <v>3315</v>
      </c>
      <c r="W64" s="171">
        <v>1</v>
      </c>
      <c r="X64" s="171" t="s">
        <v>5683</v>
      </c>
      <c r="Y64" s="171" t="s">
        <v>4999</v>
      </c>
      <c r="Z64" s="245">
        <v>44281</v>
      </c>
      <c r="AA64" s="175" t="s">
        <v>264</v>
      </c>
      <c r="AB64" s="175">
        <v>44281</v>
      </c>
      <c r="AC64" s="175">
        <v>44281</v>
      </c>
      <c r="AF64" s="239"/>
      <c r="AG64" s="240"/>
      <c r="AH64" s="233"/>
    </row>
    <row r="65" spans="1:35" s="231" customFormat="1" ht="15" customHeight="1" thickBot="1" x14ac:dyDescent="0.25">
      <c r="A65" s="221" t="str">
        <f t="shared" si="0"/>
        <v>OK</v>
      </c>
      <c r="B65" s="222" t="str">
        <f t="shared" si="1"/>
        <v>OK</v>
      </c>
      <c r="C65" s="223" t="str">
        <f t="shared" si="2"/>
        <v>OK</v>
      </c>
      <c r="D65" s="28">
        <v>0</v>
      </c>
      <c r="E65" s="49" t="s">
        <v>8521</v>
      </c>
      <c r="F65" s="169" t="s">
        <v>8277</v>
      </c>
      <c r="G65" s="169">
        <v>181378</v>
      </c>
      <c r="H65" s="169" t="s">
        <v>8522</v>
      </c>
      <c r="I65" s="169" t="s">
        <v>6820</v>
      </c>
      <c r="J65" s="169" t="s">
        <v>6829</v>
      </c>
      <c r="K65" s="169" t="s">
        <v>8523</v>
      </c>
      <c r="L65" s="169" t="s">
        <v>1757</v>
      </c>
      <c r="M65" s="169" t="s">
        <v>8524</v>
      </c>
      <c r="N65" s="170">
        <v>44272</v>
      </c>
      <c r="O65" s="169" t="s">
        <v>7729</v>
      </c>
      <c r="P65" s="170">
        <v>44272</v>
      </c>
      <c r="Q65" s="170">
        <v>44272</v>
      </c>
      <c r="R65" s="170">
        <v>44273</v>
      </c>
      <c r="S65" s="171" t="s">
        <v>7026</v>
      </c>
      <c r="T65" s="171" t="s">
        <v>7729</v>
      </c>
      <c r="U65" s="245">
        <v>44295</v>
      </c>
      <c r="V65" s="171" t="s">
        <v>8525</v>
      </c>
      <c r="W65" s="171">
        <v>2</v>
      </c>
      <c r="X65" s="171" t="s">
        <v>5683</v>
      </c>
      <c r="Y65" s="171" t="s">
        <v>4999</v>
      </c>
      <c r="Z65" s="245">
        <v>44301</v>
      </c>
      <c r="AA65" s="175" t="s">
        <v>264</v>
      </c>
      <c r="AB65" s="175">
        <v>44305</v>
      </c>
      <c r="AC65" s="175">
        <v>44305</v>
      </c>
      <c r="AF65" s="239"/>
      <c r="AG65" s="240"/>
      <c r="AH65" s="233"/>
    </row>
    <row r="66" spans="1:35" s="231" customFormat="1" ht="15" customHeight="1" thickBot="1" x14ac:dyDescent="0.25">
      <c r="A66" s="221" t="str">
        <f t="shared" si="0"/>
        <v>OK</v>
      </c>
      <c r="B66" s="222" t="str">
        <f t="shared" si="1"/>
        <v>OK</v>
      </c>
      <c r="C66" s="223" t="str">
        <f t="shared" si="2"/>
        <v>OK</v>
      </c>
      <c r="D66" s="28">
        <v>0</v>
      </c>
      <c r="E66" s="49" t="s">
        <v>8526</v>
      </c>
      <c r="F66" s="169" t="s">
        <v>8277</v>
      </c>
      <c r="G66" s="169">
        <v>181378</v>
      </c>
      <c r="H66" s="169" t="s">
        <v>8527</v>
      </c>
      <c r="I66" s="169" t="s">
        <v>6820</v>
      </c>
      <c r="J66" s="169" t="s">
        <v>6829</v>
      </c>
      <c r="K66" s="169" t="s">
        <v>8528</v>
      </c>
      <c r="L66" s="169" t="s">
        <v>8497</v>
      </c>
      <c r="M66" s="169" t="s">
        <v>5012</v>
      </c>
      <c r="N66" s="170">
        <v>44272</v>
      </c>
      <c r="O66" s="169" t="s">
        <v>7729</v>
      </c>
      <c r="P66" s="170">
        <v>44272</v>
      </c>
      <c r="Q66" s="170">
        <v>44272</v>
      </c>
      <c r="R66" s="170">
        <v>44273</v>
      </c>
      <c r="S66" s="171" t="s">
        <v>7026</v>
      </c>
      <c r="T66" s="171" t="s">
        <v>7729</v>
      </c>
      <c r="U66" s="245">
        <v>44295</v>
      </c>
      <c r="V66" s="171" t="s">
        <v>5008</v>
      </c>
      <c r="W66" s="171">
        <v>3</v>
      </c>
      <c r="X66" s="171" t="s">
        <v>5683</v>
      </c>
      <c r="Y66" s="171" t="s">
        <v>4999</v>
      </c>
      <c r="Z66" s="245">
        <v>44301</v>
      </c>
      <c r="AA66" s="175" t="s">
        <v>264</v>
      </c>
      <c r="AB66" s="175">
        <v>44305</v>
      </c>
      <c r="AC66" s="175">
        <v>44305</v>
      </c>
      <c r="AF66" s="239"/>
      <c r="AG66" s="240"/>
      <c r="AH66" s="233"/>
    </row>
    <row r="67" spans="1:35" s="231" customFormat="1" ht="15" customHeight="1" thickBot="1" x14ac:dyDescent="0.25">
      <c r="A67" s="221" t="str">
        <f t="shared" si="0"/>
        <v>OK</v>
      </c>
      <c r="B67" s="222" t="str">
        <f t="shared" si="1"/>
        <v>OK</v>
      </c>
      <c r="C67" s="223" t="str">
        <f t="shared" si="2"/>
        <v>OK</v>
      </c>
      <c r="D67" s="28">
        <v>0</v>
      </c>
      <c r="E67" s="49" t="s">
        <v>8529</v>
      </c>
      <c r="F67" s="169" t="s">
        <v>8277</v>
      </c>
      <c r="G67" s="169">
        <v>181378</v>
      </c>
      <c r="H67" s="169" t="s">
        <v>8530</v>
      </c>
      <c r="I67" s="169" t="s">
        <v>6820</v>
      </c>
      <c r="J67" s="169" t="s">
        <v>6829</v>
      </c>
      <c r="K67" s="169" t="s">
        <v>8531</v>
      </c>
      <c r="L67" s="169" t="s">
        <v>8532</v>
      </c>
      <c r="M67" s="169" t="s">
        <v>8533</v>
      </c>
      <c r="N67" s="170">
        <v>44272</v>
      </c>
      <c r="O67" s="169" t="s">
        <v>7729</v>
      </c>
      <c r="P67" s="170">
        <v>44272</v>
      </c>
      <c r="Q67" s="170">
        <v>44272</v>
      </c>
      <c r="R67" s="170">
        <v>44273</v>
      </c>
      <c r="S67" s="171" t="s">
        <v>7026</v>
      </c>
      <c r="T67" s="171" t="s">
        <v>7729</v>
      </c>
      <c r="U67" s="245">
        <v>44295</v>
      </c>
      <c r="V67" s="171" t="s">
        <v>74</v>
      </c>
      <c r="W67" s="171">
        <v>6</v>
      </c>
      <c r="X67" s="171" t="s">
        <v>5683</v>
      </c>
      <c r="Y67" s="171" t="s">
        <v>4999</v>
      </c>
      <c r="Z67" s="245">
        <v>44301</v>
      </c>
      <c r="AA67" s="175" t="s">
        <v>264</v>
      </c>
      <c r="AB67" s="175">
        <v>44305</v>
      </c>
      <c r="AC67" s="175">
        <v>44305</v>
      </c>
      <c r="AD67" s="227"/>
      <c r="AE67" s="227"/>
      <c r="AF67" s="228"/>
      <c r="AG67" s="229"/>
      <c r="AH67" s="232"/>
      <c r="AI67" s="227"/>
    </row>
    <row r="68" spans="1:35" s="227" customFormat="1" ht="15" customHeight="1" thickBot="1" x14ac:dyDescent="0.25">
      <c r="A68" s="221" t="str">
        <f t="shared" si="0"/>
        <v>OK</v>
      </c>
      <c r="B68" s="222" t="str">
        <f t="shared" si="1"/>
        <v>OK</v>
      </c>
      <c r="C68" s="223" t="str">
        <f t="shared" si="2"/>
        <v>OK</v>
      </c>
      <c r="D68" s="28">
        <v>0</v>
      </c>
      <c r="E68" s="49" t="s">
        <v>8534</v>
      </c>
      <c r="F68" s="169" t="s">
        <v>8277</v>
      </c>
      <c r="G68" s="169">
        <v>181378</v>
      </c>
      <c r="H68" s="169" t="s">
        <v>8535</v>
      </c>
      <c r="I68" s="169" t="s">
        <v>6820</v>
      </c>
      <c r="J68" s="169" t="s">
        <v>6829</v>
      </c>
      <c r="K68" s="169" t="s">
        <v>8454</v>
      </c>
      <c r="L68" s="169" t="s">
        <v>8455</v>
      </c>
      <c r="M68" s="169" t="s">
        <v>5012</v>
      </c>
      <c r="N68" s="170">
        <v>44272</v>
      </c>
      <c r="O68" s="169" t="s">
        <v>7729</v>
      </c>
      <c r="P68" s="170">
        <v>44272</v>
      </c>
      <c r="Q68" s="170">
        <v>44272</v>
      </c>
      <c r="R68" s="170">
        <v>44273</v>
      </c>
      <c r="S68" s="171" t="s">
        <v>7026</v>
      </c>
      <c r="T68" s="171" t="s">
        <v>7729</v>
      </c>
      <c r="U68" s="245">
        <v>44295</v>
      </c>
      <c r="V68" s="171" t="s">
        <v>8456</v>
      </c>
      <c r="W68" s="171">
        <v>3</v>
      </c>
      <c r="X68" s="171" t="s">
        <v>5683</v>
      </c>
      <c r="Y68" s="171" t="s">
        <v>4999</v>
      </c>
      <c r="Z68" s="245">
        <v>44301</v>
      </c>
      <c r="AA68" s="175" t="s">
        <v>264</v>
      </c>
      <c r="AB68" s="175">
        <v>44305</v>
      </c>
      <c r="AC68" s="175">
        <v>44305</v>
      </c>
      <c r="AF68" s="228"/>
      <c r="AG68" s="229"/>
      <c r="AH68" s="232"/>
    </row>
    <row r="69" spans="1:35" s="227" customFormat="1" ht="15" customHeight="1" thickBot="1" x14ac:dyDescent="0.25">
      <c r="A69" s="221" t="str">
        <f t="shared" si="0"/>
        <v>OK</v>
      </c>
      <c r="B69" s="222" t="str">
        <f t="shared" si="1"/>
        <v>OK</v>
      </c>
      <c r="C69" s="223" t="str">
        <f t="shared" si="2"/>
        <v>OK</v>
      </c>
      <c r="D69" s="92">
        <v>0</v>
      </c>
      <c r="E69" s="49" t="s">
        <v>8536</v>
      </c>
      <c r="F69" s="169" t="s">
        <v>5652</v>
      </c>
      <c r="G69" s="169">
        <v>181391</v>
      </c>
      <c r="H69" s="169" t="s">
        <v>8537</v>
      </c>
      <c r="I69" s="169" t="s">
        <v>6820</v>
      </c>
      <c r="J69" s="169" t="s">
        <v>6829</v>
      </c>
      <c r="K69" s="169" t="s">
        <v>1874</v>
      </c>
      <c r="L69" s="169" t="s">
        <v>8538</v>
      </c>
      <c r="M69" s="169" t="s">
        <v>8539</v>
      </c>
      <c r="N69" s="170">
        <v>44278</v>
      </c>
      <c r="O69" s="169" t="s">
        <v>7729</v>
      </c>
      <c r="P69" s="170">
        <v>44278</v>
      </c>
      <c r="Q69" s="170">
        <v>44278</v>
      </c>
      <c r="R69" s="170">
        <v>44280</v>
      </c>
      <c r="S69" s="171" t="s">
        <v>8248</v>
      </c>
      <c r="T69" s="171" t="s">
        <v>7729</v>
      </c>
      <c r="U69" s="245">
        <v>44291</v>
      </c>
      <c r="V69" s="171" t="s">
        <v>8540</v>
      </c>
      <c r="W69" s="171">
        <v>20</v>
      </c>
      <c r="X69" s="171" t="s">
        <v>5683</v>
      </c>
      <c r="Y69" s="171" t="s">
        <v>4999</v>
      </c>
      <c r="Z69" s="245">
        <v>44291</v>
      </c>
      <c r="AA69" s="175" t="s">
        <v>264</v>
      </c>
      <c r="AB69" s="175">
        <v>44292</v>
      </c>
      <c r="AC69" s="175">
        <v>44292</v>
      </c>
      <c r="AF69" s="228"/>
      <c r="AG69" s="229"/>
      <c r="AH69" s="232"/>
    </row>
    <row r="70" spans="1:35" s="227" customFormat="1" ht="15" customHeight="1" thickBot="1" x14ac:dyDescent="0.25">
      <c r="A70" s="221" t="str">
        <f t="shared" ref="A70:A136" si="3">IF(OR(ISBLANK(D70),ISBLANK(E70),ISBLANK(F70),ISBLANK(G70),ISBLANK(H70),ISBLANK(I70),ISBLANK(J70),ISBLANK(K70),ISBLANK(L70),ISBLANK(M70),ISBLANK(N70),ISBLANK(O70),ISBLANK(P70),ISBLANK(Q70),ISBLANK(R70))=TRUE,"P","OK")</f>
        <v>OK</v>
      </c>
      <c r="B70" s="222" t="str">
        <f t="shared" si="1"/>
        <v>OK</v>
      </c>
      <c r="C70" s="223" t="str">
        <f t="shared" si="2"/>
        <v>OK</v>
      </c>
      <c r="D70" s="92">
        <v>0</v>
      </c>
      <c r="E70" s="49" t="s">
        <v>8541</v>
      </c>
      <c r="F70" s="169" t="s">
        <v>8277</v>
      </c>
      <c r="G70" s="169">
        <v>181395</v>
      </c>
      <c r="H70" s="169" t="s">
        <v>8542</v>
      </c>
      <c r="I70" s="169" t="s">
        <v>6820</v>
      </c>
      <c r="J70" s="169" t="s">
        <v>6829</v>
      </c>
      <c r="K70" s="169" t="s">
        <v>8543</v>
      </c>
      <c r="L70" s="169" t="s">
        <v>8544</v>
      </c>
      <c r="M70" s="169" t="s">
        <v>7516</v>
      </c>
      <c r="N70" s="170">
        <v>44280</v>
      </c>
      <c r="O70" s="169" t="s">
        <v>7729</v>
      </c>
      <c r="P70" s="170">
        <v>44280</v>
      </c>
      <c r="Q70" s="170">
        <v>44280</v>
      </c>
      <c r="R70" s="170">
        <v>44281</v>
      </c>
      <c r="S70" s="171" t="s">
        <v>7026</v>
      </c>
      <c r="T70" s="171" t="s">
        <v>7729</v>
      </c>
      <c r="U70" s="245">
        <v>44298</v>
      </c>
      <c r="V70" s="171" t="s">
        <v>2138</v>
      </c>
      <c r="W70" s="171">
        <v>2</v>
      </c>
      <c r="X70" s="171" t="s">
        <v>5683</v>
      </c>
      <c r="Y70" s="171" t="s">
        <v>4999</v>
      </c>
      <c r="Z70" s="245">
        <v>44299</v>
      </c>
      <c r="AA70" s="175" t="s">
        <v>264</v>
      </c>
      <c r="AB70" s="175">
        <v>44299</v>
      </c>
      <c r="AC70" s="175">
        <v>44299</v>
      </c>
      <c r="AF70" s="228"/>
      <c r="AG70" s="229"/>
      <c r="AH70" s="232"/>
    </row>
    <row r="71" spans="1:35" s="227" customFormat="1" ht="15" customHeight="1" thickBot="1" x14ac:dyDescent="0.25">
      <c r="A71" s="221" t="str">
        <f t="shared" si="3"/>
        <v>OK</v>
      </c>
      <c r="B71" s="222" t="str">
        <f t="shared" ref="B71:B136" si="4">IF(OR(ISBLANK(S71),ISBLANK(T71),ISBLANK(U71),ISBLANK(V71),ISBLANK(W71),ISBLANK(X71),ISBLANK(Y71),ISBLANK(Z71))=TRUE,"P","OK")</f>
        <v>OK</v>
      </c>
      <c r="C71" s="223" t="str">
        <f t="shared" ref="C71:C136" si="5">IF(OR(ISBLANK(AA71),ISBLANK(AB71),ISBLANK(AC71))=TRUE,"P","OK")</f>
        <v>OK</v>
      </c>
      <c r="D71" s="28">
        <v>0</v>
      </c>
      <c r="E71" s="49" t="s">
        <v>8545</v>
      </c>
      <c r="F71" s="169" t="s">
        <v>8335</v>
      </c>
      <c r="G71" s="169">
        <v>181403</v>
      </c>
      <c r="H71" s="169" t="s">
        <v>8546</v>
      </c>
      <c r="I71" s="169" t="s">
        <v>6820</v>
      </c>
      <c r="J71" s="169" t="s">
        <v>6829</v>
      </c>
      <c r="K71" s="169" t="s">
        <v>8547</v>
      </c>
      <c r="L71" s="169" t="s">
        <v>8548</v>
      </c>
      <c r="M71" s="169" t="s">
        <v>46</v>
      </c>
      <c r="N71" s="170">
        <v>44285</v>
      </c>
      <c r="O71" s="169" t="s">
        <v>7729</v>
      </c>
      <c r="P71" s="170">
        <v>44285</v>
      </c>
      <c r="Q71" s="170">
        <v>44285</v>
      </c>
      <c r="R71" s="170">
        <v>44286</v>
      </c>
      <c r="S71" s="171" t="s">
        <v>7026</v>
      </c>
      <c r="T71" s="171" t="s">
        <v>7729</v>
      </c>
      <c r="U71" s="245">
        <v>44291</v>
      </c>
      <c r="V71" s="171" t="s">
        <v>8549</v>
      </c>
      <c r="W71" s="171">
        <v>1</v>
      </c>
      <c r="X71" s="171" t="s">
        <v>5683</v>
      </c>
      <c r="Y71" s="171" t="s">
        <v>4999</v>
      </c>
      <c r="Z71" s="245">
        <v>44292</v>
      </c>
      <c r="AA71" s="175" t="s">
        <v>264</v>
      </c>
      <c r="AB71" s="175">
        <v>44293</v>
      </c>
      <c r="AC71" s="175">
        <v>44293</v>
      </c>
      <c r="AD71" s="231"/>
      <c r="AE71" s="231"/>
      <c r="AF71" s="239"/>
      <c r="AG71" s="240"/>
      <c r="AH71" s="233"/>
      <c r="AI71" s="231"/>
    </row>
    <row r="72" spans="1:35" s="231" customFormat="1" ht="15" customHeight="1" thickBot="1" x14ac:dyDescent="0.25">
      <c r="A72" s="221" t="str">
        <f t="shared" si="3"/>
        <v>OK</v>
      </c>
      <c r="B72" s="222" t="str">
        <f t="shared" si="4"/>
        <v>OK</v>
      </c>
      <c r="C72" s="223" t="str">
        <f t="shared" si="5"/>
        <v>OK</v>
      </c>
      <c r="D72" s="92">
        <v>0</v>
      </c>
      <c r="E72" s="49" t="s">
        <v>8550</v>
      </c>
      <c r="F72" s="169" t="s">
        <v>8335</v>
      </c>
      <c r="G72" s="169">
        <v>181403</v>
      </c>
      <c r="H72" s="169" t="s">
        <v>8551</v>
      </c>
      <c r="I72" s="169" t="s">
        <v>6820</v>
      </c>
      <c r="J72" s="169" t="s">
        <v>6829</v>
      </c>
      <c r="K72" s="169" t="s">
        <v>5041</v>
      </c>
      <c r="L72" s="169" t="s">
        <v>8552</v>
      </c>
      <c r="M72" s="169" t="s">
        <v>46</v>
      </c>
      <c r="N72" s="170">
        <v>44285</v>
      </c>
      <c r="O72" s="169" t="s">
        <v>7729</v>
      </c>
      <c r="P72" s="170">
        <v>44285</v>
      </c>
      <c r="Q72" s="170">
        <v>44285</v>
      </c>
      <c r="R72" s="170">
        <v>44286</v>
      </c>
      <c r="S72" s="171" t="s">
        <v>7026</v>
      </c>
      <c r="T72" s="171" t="s">
        <v>7729</v>
      </c>
      <c r="U72" s="245">
        <v>44291</v>
      </c>
      <c r="V72" s="171" t="s">
        <v>8553</v>
      </c>
      <c r="W72" s="171">
        <v>2</v>
      </c>
      <c r="X72" s="171" t="s">
        <v>5683</v>
      </c>
      <c r="Y72" s="171" t="s">
        <v>4999</v>
      </c>
      <c r="Z72" s="245">
        <v>44292</v>
      </c>
      <c r="AA72" s="175" t="s">
        <v>264</v>
      </c>
      <c r="AB72" s="175">
        <v>44293</v>
      </c>
      <c r="AC72" s="175">
        <v>44293</v>
      </c>
      <c r="AD72" s="227"/>
      <c r="AE72" s="227"/>
      <c r="AF72" s="228"/>
      <c r="AG72" s="229"/>
      <c r="AH72" s="232"/>
      <c r="AI72" s="227"/>
    </row>
    <row r="73" spans="1:35" s="227" customFormat="1" ht="15" customHeight="1" thickBot="1" x14ac:dyDescent="0.25">
      <c r="A73" s="221" t="str">
        <f t="shared" si="3"/>
        <v>OK</v>
      </c>
      <c r="B73" s="222" t="str">
        <f t="shared" si="4"/>
        <v>OK</v>
      </c>
      <c r="C73" s="223" t="str">
        <f t="shared" si="5"/>
        <v>OK</v>
      </c>
      <c r="D73" s="92">
        <v>0</v>
      </c>
      <c r="E73" s="49" t="s">
        <v>8554</v>
      </c>
      <c r="F73" s="169" t="s">
        <v>3171</v>
      </c>
      <c r="G73" s="169">
        <v>181383</v>
      </c>
      <c r="H73" s="169" t="s">
        <v>8555</v>
      </c>
      <c r="I73" s="169" t="s">
        <v>6820</v>
      </c>
      <c r="J73" s="169" t="s">
        <v>6829</v>
      </c>
      <c r="K73" s="169" t="s">
        <v>8556</v>
      </c>
      <c r="L73" s="169" t="s">
        <v>8557</v>
      </c>
      <c r="M73" s="169" t="s">
        <v>8558</v>
      </c>
      <c r="N73" s="170">
        <v>44274</v>
      </c>
      <c r="O73" s="169" t="s">
        <v>7729</v>
      </c>
      <c r="P73" s="170">
        <v>44274</v>
      </c>
      <c r="Q73" s="170">
        <v>44274</v>
      </c>
      <c r="R73" s="170">
        <v>44293</v>
      </c>
      <c r="S73" s="171" t="s">
        <v>7026</v>
      </c>
      <c r="T73" s="171" t="s">
        <v>7729</v>
      </c>
      <c r="U73" s="245">
        <v>44295</v>
      </c>
      <c r="V73" s="171" t="s">
        <v>8559</v>
      </c>
      <c r="W73" s="171">
        <v>2</v>
      </c>
      <c r="X73" s="171" t="s">
        <v>5683</v>
      </c>
      <c r="Y73" s="171" t="s">
        <v>4999</v>
      </c>
      <c r="Z73" s="245">
        <v>44295</v>
      </c>
      <c r="AA73" s="175" t="s">
        <v>264</v>
      </c>
      <c r="AB73" s="175">
        <v>44295</v>
      </c>
      <c r="AC73" s="175">
        <v>44295</v>
      </c>
      <c r="AF73" s="228"/>
      <c r="AG73" s="229"/>
      <c r="AH73" s="232"/>
    </row>
    <row r="74" spans="1:35" s="227" customFormat="1" ht="15" customHeight="1" thickBot="1" x14ac:dyDescent="0.25">
      <c r="A74" s="221" t="str">
        <f t="shared" si="3"/>
        <v>OK</v>
      </c>
      <c r="B74" s="222" t="str">
        <f t="shared" si="4"/>
        <v>OK</v>
      </c>
      <c r="C74" s="223" t="str">
        <f t="shared" si="5"/>
        <v>OK</v>
      </c>
      <c r="D74" s="92">
        <v>0</v>
      </c>
      <c r="E74" s="49" t="s">
        <v>8560</v>
      </c>
      <c r="F74" s="169" t="s">
        <v>8561</v>
      </c>
      <c r="G74" s="169">
        <v>181402</v>
      </c>
      <c r="H74" s="169" t="s">
        <v>8562</v>
      </c>
      <c r="I74" s="169" t="s">
        <v>6820</v>
      </c>
      <c r="J74" s="169" t="s">
        <v>6829</v>
      </c>
      <c r="K74" s="169" t="s">
        <v>8563</v>
      </c>
      <c r="L74" s="169" t="s">
        <v>8564</v>
      </c>
      <c r="M74" s="169" t="s">
        <v>8565</v>
      </c>
      <c r="N74" s="170">
        <v>44285</v>
      </c>
      <c r="O74" s="169" t="s">
        <v>7729</v>
      </c>
      <c r="P74" s="170">
        <v>44285</v>
      </c>
      <c r="Q74" s="170">
        <v>44285</v>
      </c>
      <c r="R74" s="170">
        <v>44293</v>
      </c>
      <c r="S74" s="171" t="s">
        <v>7026</v>
      </c>
      <c r="T74" s="171" t="s">
        <v>7729</v>
      </c>
      <c r="U74" s="245">
        <v>44298</v>
      </c>
      <c r="V74" s="171" t="s">
        <v>7304</v>
      </c>
      <c r="W74" s="171">
        <v>11</v>
      </c>
      <c r="X74" s="171" t="s">
        <v>5683</v>
      </c>
      <c r="Y74" s="171" t="s">
        <v>4999</v>
      </c>
      <c r="Z74" s="245">
        <v>44299</v>
      </c>
      <c r="AA74" s="175" t="s">
        <v>264</v>
      </c>
      <c r="AB74" s="175">
        <v>44301</v>
      </c>
      <c r="AC74" s="175">
        <v>44301</v>
      </c>
      <c r="AF74" s="228"/>
      <c r="AG74" s="229"/>
      <c r="AH74" s="232"/>
    </row>
    <row r="75" spans="1:35" s="227" customFormat="1" ht="15" customHeight="1" thickBot="1" x14ac:dyDescent="0.25">
      <c r="A75" s="221" t="str">
        <f t="shared" si="3"/>
        <v>OK</v>
      </c>
      <c r="B75" s="222" t="str">
        <f t="shared" si="4"/>
        <v>OK</v>
      </c>
      <c r="C75" s="223" t="str">
        <f t="shared" si="5"/>
        <v>OK</v>
      </c>
      <c r="D75" s="92">
        <v>0</v>
      </c>
      <c r="E75" s="49" t="s">
        <v>8566</v>
      </c>
      <c r="F75" s="169" t="s">
        <v>8317</v>
      </c>
      <c r="G75" s="169">
        <v>181405</v>
      </c>
      <c r="H75" s="169" t="s">
        <v>8567</v>
      </c>
      <c r="I75" s="169" t="s">
        <v>6820</v>
      </c>
      <c r="J75" s="169" t="s">
        <v>6829</v>
      </c>
      <c r="K75" s="169" t="s">
        <v>8563</v>
      </c>
      <c r="L75" s="275" t="s">
        <v>8568</v>
      </c>
      <c r="M75" s="169" t="s">
        <v>8565</v>
      </c>
      <c r="N75" s="170">
        <v>44294</v>
      </c>
      <c r="O75" s="169" t="s">
        <v>7729</v>
      </c>
      <c r="P75" s="170">
        <v>44294</v>
      </c>
      <c r="Q75" s="170">
        <v>44294</v>
      </c>
      <c r="R75" s="170">
        <v>44298</v>
      </c>
      <c r="S75" s="171" t="s">
        <v>7026</v>
      </c>
      <c r="T75" s="171" t="s">
        <v>7729</v>
      </c>
      <c r="U75" s="245">
        <v>44298</v>
      </c>
      <c r="V75" s="171" t="s">
        <v>7304</v>
      </c>
      <c r="W75" s="171">
        <v>12</v>
      </c>
      <c r="X75" s="171" t="s">
        <v>5683</v>
      </c>
      <c r="Y75" s="171" t="s">
        <v>4999</v>
      </c>
      <c r="Z75" s="245">
        <v>44299</v>
      </c>
      <c r="AA75" s="175" t="s">
        <v>264</v>
      </c>
      <c r="AB75" s="175">
        <v>44301</v>
      </c>
      <c r="AC75" s="175">
        <v>44301</v>
      </c>
      <c r="AF75" s="228"/>
      <c r="AG75" s="229"/>
      <c r="AH75" s="232"/>
    </row>
    <row r="76" spans="1:35" s="227" customFormat="1" ht="15" customHeight="1" thickBot="1" x14ac:dyDescent="0.25">
      <c r="A76" s="221" t="str">
        <f t="shared" si="3"/>
        <v>OK</v>
      </c>
      <c r="B76" s="327" t="str">
        <f t="shared" si="4"/>
        <v>P</v>
      </c>
      <c r="C76" s="328" t="str">
        <f t="shared" si="5"/>
        <v>P</v>
      </c>
      <c r="D76" s="92">
        <v>0</v>
      </c>
      <c r="E76" s="49" t="s">
        <v>8569</v>
      </c>
      <c r="F76" s="169" t="s">
        <v>8272</v>
      </c>
      <c r="G76" s="169">
        <v>181407</v>
      </c>
      <c r="H76" s="169" t="s">
        <v>8570</v>
      </c>
      <c r="I76" s="169" t="s">
        <v>6820</v>
      </c>
      <c r="J76" s="169" t="s">
        <v>6829</v>
      </c>
      <c r="K76" s="169" t="s">
        <v>8274</v>
      </c>
      <c r="L76" s="169" t="s">
        <v>8571</v>
      </c>
      <c r="M76" s="169" t="s">
        <v>504</v>
      </c>
      <c r="N76" s="170">
        <v>44295</v>
      </c>
      <c r="O76" s="169" t="s">
        <v>7729</v>
      </c>
      <c r="P76" s="170">
        <v>44295</v>
      </c>
      <c r="Q76" s="170">
        <v>44295</v>
      </c>
      <c r="R76" s="170">
        <v>44295</v>
      </c>
      <c r="S76" s="171" t="s">
        <v>7026</v>
      </c>
      <c r="T76" s="171" t="s">
        <v>7729</v>
      </c>
      <c r="U76" s="171"/>
      <c r="V76" s="171" t="s">
        <v>505</v>
      </c>
      <c r="W76" s="171">
        <v>4</v>
      </c>
      <c r="X76" s="171" t="s">
        <v>5683</v>
      </c>
      <c r="Y76" s="171"/>
      <c r="Z76" s="171"/>
      <c r="AA76" s="175" t="s">
        <v>264</v>
      </c>
      <c r="AB76" s="175"/>
      <c r="AC76" s="175"/>
      <c r="AF76" s="228"/>
      <c r="AG76" s="229"/>
      <c r="AH76" s="232"/>
    </row>
    <row r="77" spans="1:35" s="248" customFormat="1" ht="15" customHeight="1" thickBot="1" x14ac:dyDescent="0.25">
      <c r="A77" s="277" t="str">
        <f t="shared" si="3"/>
        <v>OK</v>
      </c>
      <c r="B77" s="278" t="str">
        <f t="shared" si="4"/>
        <v>P</v>
      </c>
      <c r="C77" s="279" t="str">
        <f t="shared" si="5"/>
        <v>P</v>
      </c>
      <c r="D77" s="104">
        <v>0</v>
      </c>
      <c r="E77" s="75" t="s">
        <v>8572</v>
      </c>
      <c r="F77" s="276" t="s">
        <v>8573</v>
      </c>
      <c r="G77" s="276">
        <v>181408</v>
      </c>
      <c r="H77" s="276" t="s">
        <v>8574</v>
      </c>
      <c r="I77" s="276" t="s">
        <v>6820</v>
      </c>
      <c r="J77" s="276" t="s">
        <v>6829</v>
      </c>
      <c r="K77" s="276" t="s">
        <v>8575</v>
      </c>
      <c r="L77" s="276" t="s">
        <v>8576</v>
      </c>
      <c r="M77" s="276" t="s">
        <v>8577</v>
      </c>
      <c r="N77" s="280">
        <v>44295</v>
      </c>
      <c r="O77" s="276" t="s">
        <v>7729</v>
      </c>
      <c r="P77" s="280">
        <v>44295</v>
      </c>
      <c r="Q77" s="280">
        <v>44295</v>
      </c>
      <c r="R77" s="280">
        <v>44295</v>
      </c>
      <c r="S77" s="246" t="s">
        <v>7575</v>
      </c>
      <c r="T77" s="246" t="s">
        <v>7729</v>
      </c>
      <c r="U77" s="246"/>
      <c r="V77" s="246" t="s">
        <v>8578</v>
      </c>
      <c r="W77" s="246">
        <v>1</v>
      </c>
      <c r="X77" s="246" t="s">
        <v>5683</v>
      </c>
      <c r="Y77" s="246"/>
      <c r="Z77" s="246"/>
      <c r="AA77" s="247" t="s">
        <v>264</v>
      </c>
      <c r="AB77" s="247"/>
      <c r="AC77" s="247"/>
      <c r="AF77" s="249"/>
      <c r="AG77" s="250"/>
      <c r="AH77" s="281"/>
    </row>
    <row r="78" spans="1:35" s="227" customFormat="1" ht="15" customHeight="1" thickBot="1" x14ac:dyDescent="0.25">
      <c r="A78" s="221" t="str">
        <f t="shared" si="3"/>
        <v>OK</v>
      </c>
      <c r="B78" s="222" t="str">
        <f t="shared" si="4"/>
        <v>OK</v>
      </c>
      <c r="C78" s="223" t="str">
        <f t="shared" si="5"/>
        <v>OK</v>
      </c>
      <c r="D78" s="92">
        <v>0</v>
      </c>
      <c r="E78" s="49" t="s">
        <v>8579</v>
      </c>
      <c r="F78" s="169" t="s">
        <v>8335</v>
      </c>
      <c r="G78" s="169">
        <v>181409</v>
      </c>
      <c r="H78" s="169" t="s">
        <v>8580</v>
      </c>
      <c r="I78" s="169" t="s">
        <v>6820</v>
      </c>
      <c r="J78" s="169" t="s">
        <v>6829</v>
      </c>
      <c r="K78" s="169" t="s">
        <v>5041</v>
      </c>
      <c r="L78" s="169" t="s">
        <v>8581</v>
      </c>
      <c r="M78" s="169" t="s">
        <v>46</v>
      </c>
      <c r="N78" s="170">
        <v>44298</v>
      </c>
      <c r="O78" s="169" t="s">
        <v>7729</v>
      </c>
      <c r="P78" s="170">
        <v>44298</v>
      </c>
      <c r="Q78" s="170">
        <v>44298</v>
      </c>
      <c r="R78" s="170">
        <v>44298</v>
      </c>
      <c r="S78" s="171" t="s">
        <v>7729</v>
      </c>
      <c r="T78" s="171" t="s">
        <v>7729</v>
      </c>
      <c r="U78" s="245">
        <v>44300</v>
      </c>
      <c r="V78" s="171" t="s">
        <v>8553</v>
      </c>
      <c r="W78" s="171">
        <v>1</v>
      </c>
      <c r="X78" s="171" t="s">
        <v>5683</v>
      </c>
      <c r="Y78" s="171" t="s">
        <v>4999</v>
      </c>
      <c r="Z78" s="245">
        <v>44302</v>
      </c>
      <c r="AA78" s="175" t="s">
        <v>264</v>
      </c>
      <c r="AB78" s="175">
        <v>44305</v>
      </c>
      <c r="AC78" s="175">
        <v>44305</v>
      </c>
      <c r="AF78" s="228"/>
      <c r="AG78" s="229"/>
      <c r="AH78" s="232"/>
    </row>
    <row r="79" spans="1:35" s="227" customFormat="1" ht="15" customHeight="1" thickBot="1" x14ac:dyDescent="0.25">
      <c r="A79" s="221" t="str">
        <f t="shared" si="3"/>
        <v>OK</v>
      </c>
      <c r="B79" s="222" t="str">
        <f t="shared" si="4"/>
        <v>OK</v>
      </c>
      <c r="C79" s="223" t="str">
        <f t="shared" si="5"/>
        <v>OK</v>
      </c>
      <c r="D79" s="28">
        <v>0</v>
      </c>
      <c r="E79" s="49" t="s">
        <v>8582</v>
      </c>
      <c r="F79" s="169" t="s">
        <v>8335</v>
      </c>
      <c r="G79" s="169">
        <v>181409</v>
      </c>
      <c r="H79" s="169" t="s">
        <v>8583</v>
      </c>
      <c r="I79" s="169" t="s">
        <v>6820</v>
      </c>
      <c r="J79" s="169" t="s">
        <v>6829</v>
      </c>
      <c r="K79" s="169" t="s">
        <v>8584</v>
      </c>
      <c r="L79" s="169" t="s">
        <v>8585</v>
      </c>
      <c r="M79" s="169" t="s">
        <v>46</v>
      </c>
      <c r="N79" s="170">
        <v>44298</v>
      </c>
      <c r="O79" s="169" t="s">
        <v>7729</v>
      </c>
      <c r="P79" s="170">
        <v>44298</v>
      </c>
      <c r="Q79" s="170">
        <v>44298</v>
      </c>
      <c r="R79" s="170">
        <v>44298</v>
      </c>
      <c r="S79" s="171" t="s">
        <v>7729</v>
      </c>
      <c r="T79" s="171" t="s">
        <v>7729</v>
      </c>
      <c r="U79" s="245">
        <v>44300</v>
      </c>
      <c r="V79" s="171" t="s">
        <v>3107</v>
      </c>
      <c r="W79" s="171">
        <v>1</v>
      </c>
      <c r="X79" s="171" t="s">
        <v>5683</v>
      </c>
      <c r="Y79" s="171" t="s">
        <v>4999</v>
      </c>
      <c r="Z79" s="245">
        <v>44302</v>
      </c>
      <c r="AA79" s="175" t="s">
        <v>264</v>
      </c>
      <c r="AB79" s="175">
        <v>44305</v>
      </c>
      <c r="AC79" s="175">
        <v>44305</v>
      </c>
      <c r="AD79" s="231"/>
      <c r="AE79" s="231"/>
      <c r="AF79" s="239"/>
      <c r="AG79" s="240"/>
      <c r="AH79" s="233"/>
      <c r="AI79" s="231"/>
    </row>
    <row r="80" spans="1:35" s="231" customFormat="1" ht="15" customHeight="1" thickBot="1" x14ac:dyDescent="0.25">
      <c r="A80" s="221" t="str">
        <f t="shared" si="3"/>
        <v>OK</v>
      </c>
      <c r="B80" s="222" t="str">
        <f t="shared" si="4"/>
        <v>OK</v>
      </c>
      <c r="C80" s="223" t="str">
        <f t="shared" si="5"/>
        <v>OK</v>
      </c>
      <c r="D80" s="28">
        <v>0</v>
      </c>
      <c r="E80" s="49" t="s">
        <v>8586</v>
      </c>
      <c r="F80" s="169" t="s">
        <v>8587</v>
      </c>
      <c r="G80" s="169">
        <v>181406</v>
      </c>
      <c r="H80" s="169" t="s">
        <v>8588</v>
      </c>
      <c r="I80" s="169" t="s">
        <v>6820</v>
      </c>
      <c r="J80" s="169" t="s">
        <v>6829</v>
      </c>
      <c r="K80" s="169" t="s">
        <v>8589</v>
      </c>
      <c r="L80" s="169" t="s">
        <v>8590</v>
      </c>
      <c r="M80" s="169" t="s">
        <v>8591</v>
      </c>
      <c r="N80" s="170">
        <v>44295</v>
      </c>
      <c r="O80" s="169" t="s">
        <v>7729</v>
      </c>
      <c r="P80" s="170">
        <v>44295</v>
      </c>
      <c r="Q80" s="170">
        <v>44295</v>
      </c>
      <c r="R80" s="170">
        <v>44298</v>
      </c>
      <c r="S80" s="171" t="s">
        <v>8592</v>
      </c>
      <c r="T80" s="171" t="s">
        <v>7729</v>
      </c>
      <c r="U80" s="245">
        <v>44365</v>
      </c>
      <c r="V80" s="171" t="s">
        <v>8593</v>
      </c>
      <c r="W80" s="171">
        <v>18</v>
      </c>
      <c r="X80" s="171" t="s">
        <v>5683</v>
      </c>
      <c r="Y80" s="171" t="s">
        <v>4999</v>
      </c>
      <c r="Z80" s="245">
        <v>44365</v>
      </c>
      <c r="AA80" s="175" t="s">
        <v>264</v>
      </c>
      <c r="AB80" s="175">
        <v>44369</v>
      </c>
      <c r="AC80" s="175">
        <v>44369</v>
      </c>
      <c r="AF80" s="239"/>
      <c r="AG80" s="240"/>
      <c r="AH80" s="233"/>
    </row>
    <row r="81" spans="1:35" s="231" customFormat="1" ht="15" customHeight="1" thickBot="1" x14ac:dyDescent="0.25">
      <c r="A81" s="221" t="str">
        <f t="shared" si="3"/>
        <v>OK</v>
      </c>
      <c r="B81" s="222" t="str">
        <f t="shared" si="4"/>
        <v>OK</v>
      </c>
      <c r="C81" s="223" t="str">
        <f t="shared" si="5"/>
        <v>OK</v>
      </c>
      <c r="D81" s="28">
        <v>0</v>
      </c>
      <c r="E81" s="49" t="s">
        <v>8594</v>
      </c>
      <c r="F81" s="169" t="s">
        <v>8595</v>
      </c>
      <c r="G81" s="169">
        <v>180952</v>
      </c>
      <c r="H81" s="169" t="s">
        <v>8596</v>
      </c>
      <c r="I81" s="169" t="s">
        <v>6820</v>
      </c>
      <c r="J81" s="169" t="s">
        <v>6829</v>
      </c>
      <c r="K81" s="169" t="s">
        <v>5853</v>
      </c>
      <c r="L81" s="169" t="s">
        <v>8597</v>
      </c>
      <c r="M81" s="169" t="s">
        <v>8598</v>
      </c>
      <c r="N81" s="170">
        <v>44033</v>
      </c>
      <c r="O81" s="169" t="s">
        <v>7729</v>
      </c>
      <c r="P81" s="170">
        <v>44033</v>
      </c>
      <c r="Q81" s="170">
        <v>44033</v>
      </c>
      <c r="R81" s="170">
        <v>44299</v>
      </c>
      <c r="S81" s="171" t="s">
        <v>7026</v>
      </c>
      <c r="T81" s="171" t="s">
        <v>7026</v>
      </c>
      <c r="U81" s="245">
        <v>44301</v>
      </c>
      <c r="V81" s="171" t="s">
        <v>8599</v>
      </c>
      <c r="W81" s="171">
        <v>2</v>
      </c>
      <c r="X81" s="171" t="s">
        <v>5683</v>
      </c>
      <c r="Y81" s="171" t="s">
        <v>8600</v>
      </c>
      <c r="Z81" s="245">
        <v>44305</v>
      </c>
      <c r="AA81" s="175" t="s">
        <v>264</v>
      </c>
      <c r="AB81" s="175">
        <v>44308</v>
      </c>
      <c r="AC81" s="175">
        <v>44308</v>
      </c>
      <c r="AF81" s="239"/>
      <c r="AG81" s="240"/>
      <c r="AH81" s="233"/>
    </row>
    <row r="82" spans="1:35" s="231" customFormat="1" ht="15" customHeight="1" thickBot="1" x14ac:dyDescent="0.25">
      <c r="A82" s="221" t="str">
        <f t="shared" si="3"/>
        <v>OK</v>
      </c>
      <c r="B82" s="222" t="str">
        <f t="shared" si="4"/>
        <v>OK</v>
      </c>
      <c r="C82" s="223" t="str">
        <f t="shared" si="5"/>
        <v>OK</v>
      </c>
      <c r="D82" s="28">
        <v>0</v>
      </c>
      <c r="E82" s="49" t="s">
        <v>8601</v>
      </c>
      <c r="F82" s="169" t="s">
        <v>8595</v>
      </c>
      <c r="G82" s="169">
        <v>180952</v>
      </c>
      <c r="H82" s="169" t="s">
        <v>8602</v>
      </c>
      <c r="I82" s="169" t="s">
        <v>6820</v>
      </c>
      <c r="J82" s="169" t="s">
        <v>6829</v>
      </c>
      <c r="K82" s="169" t="s">
        <v>8603</v>
      </c>
      <c r="L82" s="169" t="s">
        <v>8604</v>
      </c>
      <c r="M82" s="169" t="s">
        <v>8605</v>
      </c>
      <c r="N82" s="170">
        <v>44033</v>
      </c>
      <c r="O82" s="169" t="s">
        <v>7729</v>
      </c>
      <c r="P82" s="170">
        <v>44033</v>
      </c>
      <c r="Q82" s="170">
        <v>44033</v>
      </c>
      <c r="R82" s="170">
        <v>44299</v>
      </c>
      <c r="S82" s="171" t="s">
        <v>7026</v>
      </c>
      <c r="T82" s="171" t="s">
        <v>7026</v>
      </c>
      <c r="U82" s="245">
        <v>44301</v>
      </c>
      <c r="V82" s="171" t="s">
        <v>8606</v>
      </c>
      <c r="W82" s="171">
        <v>2</v>
      </c>
      <c r="X82" s="171" t="s">
        <v>5683</v>
      </c>
      <c r="Y82" s="171" t="s">
        <v>8600</v>
      </c>
      <c r="Z82" s="245">
        <v>44305</v>
      </c>
      <c r="AA82" s="175" t="s">
        <v>264</v>
      </c>
      <c r="AB82" s="175">
        <v>44308</v>
      </c>
      <c r="AC82" s="175">
        <v>44308</v>
      </c>
      <c r="AF82" s="239"/>
      <c r="AG82" s="240"/>
      <c r="AH82" s="233"/>
    </row>
    <row r="83" spans="1:35" s="231" customFormat="1" ht="15" customHeight="1" thickBot="1" x14ac:dyDescent="0.25">
      <c r="A83" s="221" t="str">
        <f t="shared" si="3"/>
        <v>OK</v>
      </c>
      <c r="B83" s="222" t="str">
        <f t="shared" si="4"/>
        <v>OK</v>
      </c>
      <c r="C83" s="223" t="str">
        <f t="shared" si="5"/>
        <v>OK</v>
      </c>
      <c r="D83" s="28">
        <v>0</v>
      </c>
      <c r="E83" s="49" t="s">
        <v>8607</v>
      </c>
      <c r="F83" s="169" t="s">
        <v>8369</v>
      </c>
      <c r="G83" s="169">
        <v>181413</v>
      </c>
      <c r="H83" s="169" t="s">
        <v>8608</v>
      </c>
      <c r="I83" s="169" t="s">
        <v>6820</v>
      </c>
      <c r="J83" s="169" t="s">
        <v>6829</v>
      </c>
      <c r="K83" s="169" t="s">
        <v>8609</v>
      </c>
      <c r="L83" s="169" t="s">
        <v>8610</v>
      </c>
      <c r="M83" s="169" t="s">
        <v>8611</v>
      </c>
      <c r="N83" s="170">
        <v>44299</v>
      </c>
      <c r="O83" s="169" t="s">
        <v>7729</v>
      </c>
      <c r="P83" s="170">
        <v>44299</v>
      </c>
      <c r="Q83" s="170">
        <v>44299</v>
      </c>
      <c r="R83" s="170">
        <v>44299</v>
      </c>
      <c r="S83" s="171" t="s">
        <v>7026</v>
      </c>
      <c r="T83" s="171" t="s">
        <v>7729</v>
      </c>
      <c r="U83" s="245">
        <v>44300</v>
      </c>
      <c r="V83" s="171" t="s">
        <v>8612</v>
      </c>
      <c r="W83" s="171">
        <v>1</v>
      </c>
      <c r="X83" s="171" t="s">
        <v>5683</v>
      </c>
      <c r="Y83" s="171" t="s">
        <v>4999</v>
      </c>
      <c r="Z83" s="245">
        <v>44304</v>
      </c>
      <c r="AA83" s="175" t="s">
        <v>264</v>
      </c>
      <c r="AB83" s="175">
        <v>44305</v>
      </c>
      <c r="AC83" s="175">
        <v>44305</v>
      </c>
      <c r="AF83" s="239"/>
      <c r="AG83" s="240"/>
      <c r="AH83" s="233"/>
    </row>
    <row r="84" spans="1:35" s="231" customFormat="1" ht="15" customHeight="1" thickBot="1" x14ac:dyDescent="0.25">
      <c r="A84" s="221" t="str">
        <f t="shared" si="3"/>
        <v>OK</v>
      </c>
      <c r="B84" s="222" t="str">
        <f t="shared" si="4"/>
        <v>OK</v>
      </c>
      <c r="C84" s="223" t="str">
        <f t="shared" si="5"/>
        <v>OK</v>
      </c>
      <c r="D84" s="92">
        <v>0</v>
      </c>
      <c r="E84" s="49" t="s">
        <v>8613</v>
      </c>
      <c r="F84" s="169" t="s">
        <v>8369</v>
      </c>
      <c r="G84" s="169">
        <v>181415</v>
      </c>
      <c r="H84" s="169" t="s">
        <v>8614</v>
      </c>
      <c r="I84" s="169" t="s">
        <v>6820</v>
      </c>
      <c r="J84" s="169" t="s">
        <v>6829</v>
      </c>
      <c r="K84" s="169" t="s">
        <v>8371</v>
      </c>
      <c r="L84" s="169" t="s">
        <v>8372</v>
      </c>
      <c r="M84" s="169" t="s">
        <v>8615</v>
      </c>
      <c r="N84" s="170">
        <v>44300</v>
      </c>
      <c r="O84" s="169" t="s">
        <v>7729</v>
      </c>
      <c r="P84" s="170">
        <v>44300</v>
      </c>
      <c r="Q84" s="170">
        <v>44300</v>
      </c>
      <c r="R84" s="170">
        <v>44300</v>
      </c>
      <c r="S84" s="171" t="s">
        <v>7026</v>
      </c>
      <c r="T84" s="171" t="s">
        <v>7729</v>
      </c>
      <c r="U84" s="245">
        <v>44300</v>
      </c>
      <c r="V84" s="171" t="s">
        <v>8374</v>
      </c>
      <c r="W84" s="171">
        <v>4</v>
      </c>
      <c r="X84" s="171" t="s">
        <v>5683</v>
      </c>
      <c r="Y84" s="171" t="s">
        <v>4999</v>
      </c>
      <c r="Z84" s="245">
        <v>44304</v>
      </c>
      <c r="AA84" s="175" t="s">
        <v>264</v>
      </c>
      <c r="AB84" s="175">
        <v>44305</v>
      </c>
      <c r="AC84" s="175">
        <v>44305</v>
      </c>
      <c r="AD84" s="227"/>
      <c r="AE84" s="227"/>
      <c r="AF84" s="228"/>
      <c r="AG84" s="229"/>
      <c r="AH84" s="232"/>
      <c r="AI84" s="227"/>
    </row>
    <row r="85" spans="1:35" s="227" customFormat="1" ht="15" customHeight="1" thickBot="1" x14ac:dyDescent="0.25">
      <c r="A85" s="221" t="str">
        <f t="shared" si="3"/>
        <v>OK</v>
      </c>
      <c r="B85" s="222" t="str">
        <f t="shared" si="4"/>
        <v>OK</v>
      </c>
      <c r="C85" s="223" t="str">
        <f t="shared" si="5"/>
        <v>OK</v>
      </c>
      <c r="D85" s="92">
        <v>0</v>
      </c>
      <c r="E85" s="49" t="s">
        <v>8616</v>
      </c>
      <c r="F85" s="169" t="s">
        <v>8617</v>
      </c>
      <c r="G85" s="169">
        <v>181416</v>
      </c>
      <c r="H85" s="169" t="s">
        <v>8618</v>
      </c>
      <c r="I85" s="169" t="s">
        <v>6820</v>
      </c>
      <c r="J85" s="169" t="s">
        <v>6829</v>
      </c>
      <c r="K85" s="169" t="s">
        <v>8619</v>
      </c>
      <c r="L85" s="169" t="s">
        <v>5493</v>
      </c>
      <c r="M85" s="169" t="s">
        <v>8620</v>
      </c>
      <c r="N85" s="170">
        <v>44300</v>
      </c>
      <c r="O85" s="169" t="s">
        <v>7729</v>
      </c>
      <c r="P85" s="170">
        <v>44300</v>
      </c>
      <c r="Q85" s="170">
        <v>44300</v>
      </c>
      <c r="R85" s="170">
        <v>44300</v>
      </c>
      <c r="S85" s="171" t="s">
        <v>7026</v>
      </c>
      <c r="T85" s="171" t="s">
        <v>7729</v>
      </c>
      <c r="U85" s="245">
        <v>44301</v>
      </c>
      <c r="V85" s="171" t="s">
        <v>8621</v>
      </c>
      <c r="W85" s="171">
        <v>2</v>
      </c>
      <c r="X85" s="171" t="s">
        <v>5683</v>
      </c>
      <c r="Y85" s="171" t="s">
        <v>4999</v>
      </c>
      <c r="Z85" s="245">
        <v>44308</v>
      </c>
      <c r="AA85" s="175" t="s">
        <v>264</v>
      </c>
      <c r="AB85" s="175">
        <v>44319</v>
      </c>
      <c r="AC85" s="175">
        <v>44319</v>
      </c>
      <c r="AF85" s="228"/>
      <c r="AG85" s="229"/>
      <c r="AH85" s="232"/>
    </row>
    <row r="86" spans="1:35" s="227" customFormat="1" ht="15" customHeight="1" thickBot="1" x14ac:dyDescent="0.25">
      <c r="A86" s="221" t="str">
        <f t="shared" si="3"/>
        <v>OK</v>
      </c>
      <c r="B86" s="222" t="str">
        <f t="shared" si="4"/>
        <v>OK</v>
      </c>
      <c r="C86" s="223" t="str">
        <f t="shared" si="5"/>
        <v>OK</v>
      </c>
      <c r="D86" s="92">
        <v>0</v>
      </c>
      <c r="E86" s="49" t="s">
        <v>8622</v>
      </c>
      <c r="F86" s="169" t="s">
        <v>8356</v>
      </c>
      <c r="G86" s="169">
        <v>181421</v>
      </c>
      <c r="H86" s="169" t="s">
        <v>8623</v>
      </c>
      <c r="I86" s="169" t="s">
        <v>6820</v>
      </c>
      <c r="J86" s="169" t="s">
        <v>6829</v>
      </c>
      <c r="K86" s="169" t="s">
        <v>6046</v>
      </c>
      <c r="L86" s="169" t="s">
        <v>8624</v>
      </c>
      <c r="M86" s="169" t="s">
        <v>8625</v>
      </c>
      <c r="N86" s="170">
        <v>44302</v>
      </c>
      <c r="O86" s="169" t="s">
        <v>7729</v>
      </c>
      <c r="P86" s="170">
        <v>44302</v>
      </c>
      <c r="Q86" s="170">
        <v>44302</v>
      </c>
      <c r="R86" s="170">
        <v>44305</v>
      </c>
      <c r="S86" s="171" t="s">
        <v>7729</v>
      </c>
      <c r="T86" s="171" t="s">
        <v>7729</v>
      </c>
      <c r="U86" s="245">
        <v>44328</v>
      </c>
      <c r="V86" s="171" t="s">
        <v>8626</v>
      </c>
      <c r="W86" s="171">
        <v>7</v>
      </c>
      <c r="X86" s="171" t="s">
        <v>5683</v>
      </c>
      <c r="Y86" s="171" t="s">
        <v>8627</v>
      </c>
      <c r="Z86" s="245">
        <v>44336</v>
      </c>
      <c r="AA86" s="175" t="s">
        <v>264</v>
      </c>
      <c r="AB86" s="175">
        <v>44336</v>
      </c>
      <c r="AC86" s="175">
        <v>44336</v>
      </c>
      <c r="AF86" s="228"/>
      <c r="AG86" s="229"/>
      <c r="AH86" s="232"/>
    </row>
    <row r="87" spans="1:35" s="227" customFormat="1" ht="15" customHeight="1" thickBot="1" x14ac:dyDescent="0.25">
      <c r="A87" s="221" t="str">
        <f t="shared" si="3"/>
        <v>OK</v>
      </c>
      <c r="B87" s="222" t="str">
        <f t="shared" si="4"/>
        <v>OK</v>
      </c>
      <c r="C87" s="223" t="str">
        <f t="shared" si="5"/>
        <v>OK</v>
      </c>
      <c r="D87" s="28">
        <v>0</v>
      </c>
      <c r="E87" s="49" t="s">
        <v>8628</v>
      </c>
      <c r="F87" s="169" t="s">
        <v>8443</v>
      </c>
      <c r="G87" s="169">
        <v>181418</v>
      </c>
      <c r="H87" s="169" t="s">
        <v>8629</v>
      </c>
      <c r="I87" s="169" t="s">
        <v>6820</v>
      </c>
      <c r="J87" s="169" t="s">
        <v>6829</v>
      </c>
      <c r="K87" s="169" t="s">
        <v>8445</v>
      </c>
      <c r="L87" s="169" t="s">
        <v>8630</v>
      </c>
      <c r="M87" s="169" t="s">
        <v>8631</v>
      </c>
      <c r="N87" s="170">
        <v>44302</v>
      </c>
      <c r="O87" s="169" t="s">
        <v>7729</v>
      </c>
      <c r="P87" s="170">
        <v>44305</v>
      </c>
      <c r="Q87" s="170">
        <v>44305</v>
      </c>
      <c r="R87" s="170">
        <v>44306</v>
      </c>
      <c r="S87" s="171" t="s">
        <v>7729</v>
      </c>
      <c r="T87" s="171" t="s">
        <v>7729</v>
      </c>
      <c r="U87" s="245">
        <v>44306</v>
      </c>
      <c r="V87" s="171" t="s">
        <v>8632</v>
      </c>
      <c r="W87" s="171">
        <v>5</v>
      </c>
      <c r="X87" s="171" t="s">
        <v>5683</v>
      </c>
      <c r="Y87" s="171" t="s">
        <v>4999</v>
      </c>
      <c r="Z87" s="245">
        <v>44306</v>
      </c>
      <c r="AA87" s="175" t="s">
        <v>264</v>
      </c>
      <c r="AB87" s="175">
        <v>44307</v>
      </c>
      <c r="AC87" s="175">
        <v>44307</v>
      </c>
      <c r="AD87" s="231"/>
      <c r="AE87" s="231"/>
      <c r="AF87" s="239"/>
      <c r="AG87" s="240"/>
      <c r="AH87" s="233"/>
      <c r="AI87" s="231"/>
    </row>
    <row r="88" spans="1:35" s="231" customFormat="1" ht="15" customHeight="1" thickBot="1" x14ac:dyDescent="0.25">
      <c r="A88" s="221" t="str">
        <f t="shared" si="3"/>
        <v>OK</v>
      </c>
      <c r="B88" s="222" t="str">
        <f t="shared" si="4"/>
        <v>OK</v>
      </c>
      <c r="C88" s="223" t="str">
        <f t="shared" si="5"/>
        <v>OK</v>
      </c>
      <c r="D88" s="92">
        <v>0</v>
      </c>
      <c r="E88" s="49" t="s">
        <v>8633</v>
      </c>
      <c r="F88" s="169" t="s">
        <v>3171</v>
      </c>
      <c r="G88" s="169">
        <v>181417</v>
      </c>
      <c r="H88" s="169" t="s">
        <v>8634</v>
      </c>
      <c r="I88" s="169" t="s">
        <v>6820</v>
      </c>
      <c r="J88" s="169" t="s">
        <v>6829</v>
      </c>
      <c r="K88" s="169" t="s">
        <v>8556</v>
      </c>
      <c r="L88" s="169" t="s">
        <v>8557</v>
      </c>
      <c r="M88" s="169" t="s">
        <v>8558</v>
      </c>
      <c r="N88" s="170">
        <v>44301</v>
      </c>
      <c r="O88" s="169" t="s">
        <v>7729</v>
      </c>
      <c r="P88" s="170">
        <v>44301</v>
      </c>
      <c r="Q88" s="170">
        <v>44301</v>
      </c>
      <c r="R88" s="170">
        <v>44305</v>
      </c>
      <c r="S88" s="171" t="s">
        <v>7729</v>
      </c>
      <c r="T88" s="171" t="s">
        <v>7729</v>
      </c>
      <c r="U88" s="245">
        <v>44314</v>
      </c>
      <c r="V88" s="171" t="s">
        <v>8559</v>
      </c>
      <c r="W88" s="171">
        <v>2</v>
      </c>
      <c r="X88" s="171" t="s">
        <v>5683</v>
      </c>
      <c r="Y88" s="171" t="s">
        <v>4999</v>
      </c>
      <c r="Z88" s="245">
        <v>44315</v>
      </c>
      <c r="AA88" s="175" t="s">
        <v>264</v>
      </c>
      <c r="AB88" s="175">
        <v>44319</v>
      </c>
      <c r="AC88" s="175" t="s">
        <v>8635</v>
      </c>
      <c r="AD88" s="227"/>
      <c r="AE88" s="227"/>
      <c r="AF88" s="228"/>
      <c r="AG88" s="229"/>
      <c r="AH88" s="232"/>
      <c r="AI88" s="227"/>
    </row>
    <row r="89" spans="1:35" s="227" customFormat="1" ht="15" customHeight="1" thickBot="1" x14ac:dyDescent="0.25">
      <c r="A89" s="221" t="str">
        <f t="shared" si="3"/>
        <v>OK</v>
      </c>
      <c r="B89" s="222" t="str">
        <f t="shared" si="4"/>
        <v>OK</v>
      </c>
      <c r="C89" s="223" t="str">
        <f t="shared" si="5"/>
        <v>OK</v>
      </c>
      <c r="D89" s="28">
        <v>0</v>
      </c>
      <c r="E89" s="49" t="s">
        <v>8636</v>
      </c>
      <c r="F89" s="169" t="s">
        <v>8272</v>
      </c>
      <c r="G89" s="169">
        <v>181424</v>
      </c>
      <c r="H89" s="169" t="s">
        <v>8637</v>
      </c>
      <c r="I89" s="169" t="s">
        <v>6820</v>
      </c>
      <c r="J89" s="169" t="s">
        <v>6829</v>
      </c>
      <c r="K89" s="169" t="s">
        <v>8638</v>
      </c>
      <c r="L89" s="169" t="s">
        <v>8639</v>
      </c>
      <c r="M89" s="169" t="s">
        <v>8640</v>
      </c>
      <c r="N89" s="170">
        <v>44305</v>
      </c>
      <c r="O89" s="169" t="s">
        <v>7729</v>
      </c>
      <c r="P89" s="170">
        <v>44305</v>
      </c>
      <c r="Q89" s="170">
        <v>44305</v>
      </c>
      <c r="R89" s="170">
        <v>44308</v>
      </c>
      <c r="S89" s="171" t="s">
        <v>7729</v>
      </c>
      <c r="T89" s="171" t="s">
        <v>7729</v>
      </c>
      <c r="U89" s="245">
        <v>44315</v>
      </c>
      <c r="V89" s="171" t="s">
        <v>8641</v>
      </c>
      <c r="W89" s="171">
        <v>16</v>
      </c>
      <c r="X89" s="171" t="s">
        <v>5683</v>
      </c>
      <c r="Y89" s="171" t="s">
        <v>4999</v>
      </c>
      <c r="Z89" s="245">
        <v>44329</v>
      </c>
      <c r="AA89" s="175" t="s">
        <v>264</v>
      </c>
      <c r="AB89" s="175">
        <v>44330</v>
      </c>
      <c r="AC89" s="175">
        <v>44330</v>
      </c>
      <c r="AD89" s="231"/>
      <c r="AE89" s="231"/>
      <c r="AF89" s="239"/>
      <c r="AG89" s="240"/>
      <c r="AH89" s="233"/>
      <c r="AI89" s="231"/>
    </row>
    <row r="90" spans="1:35" s="236" customFormat="1" ht="15" customHeight="1" thickBot="1" x14ac:dyDescent="0.25">
      <c r="A90" s="221" t="str">
        <f t="shared" si="3"/>
        <v>OK</v>
      </c>
      <c r="B90" s="222" t="str">
        <f t="shared" si="4"/>
        <v>OK</v>
      </c>
      <c r="C90" s="223" t="str">
        <f t="shared" si="5"/>
        <v>OK</v>
      </c>
      <c r="D90" s="28">
        <v>0</v>
      </c>
      <c r="E90" s="49" t="s">
        <v>8642</v>
      </c>
      <c r="F90" s="169" t="s">
        <v>5921</v>
      </c>
      <c r="G90" s="169">
        <v>181263</v>
      </c>
      <c r="H90" s="169" t="s">
        <v>8643</v>
      </c>
      <c r="I90" s="169" t="s">
        <v>6820</v>
      </c>
      <c r="J90" s="169" t="s">
        <v>6829</v>
      </c>
      <c r="K90" s="169" t="s">
        <v>547</v>
      </c>
      <c r="L90" s="169" t="s">
        <v>5924</v>
      </c>
      <c r="M90" s="169" t="s">
        <v>8335</v>
      </c>
      <c r="N90" s="170">
        <v>44223</v>
      </c>
      <c r="O90" s="288" t="s">
        <v>8644</v>
      </c>
      <c r="P90" s="288" t="s">
        <v>8644</v>
      </c>
      <c r="Q90" s="170">
        <v>44245</v>
      </c>
      <c r="R90" s="170">
        <v>44301</v>
      </c>
      <c r="S90" s="171" t="s">
        <v>7026</v>
      </c>
      <c r="T90" s="171" t="s">
        <v>7026</v>
      </c>
      <c r="U90" s="245">
        <v>44309</v>
      </c>
      <c r="V90" s="171" t="s">
        <v>8645</v>
      </c>
      <c r="W90" s="171">
        <v>6</v>
      </c>
      <c r="X90" s="171" t="s">
        <v>5683</v>
      </c>
      <c r="Y90" s="171" t="s">
        <v>4999</v>
      </c>
      <c r="Z90" s="245">
        <v>44316</v>
      </c>
      <c r="AA90" s="175" t="s">
        <v>264</v>
      </c>
      <c r="AB90" s="175">
        <v>44341</v>
      </c>
      <c r="AC90" s="175">
        <v>44341</v>
      </c>
      <c r="AF90" s="237"/>
      <c r="AG90" s="238"/>
      <c r="AH90" s="241"/>
    </row>
    <row r="91" spans="1:35" s="231" customFormat="1" ht="15" customHeight="1" thickBot="1" x14ac:dyDescent="0.25">
      <c r="A91" s="221" t="str">
        <f t="shared" si="3"/>
        <v>OK</v>
      </c>
      <c r="B91" s="222" t="str">
        <f>IF(OR(ISBLANK(S91),ISBLANK(T91),ISBLANK(U91),ISBLANK(#REF!),ISBLANK(W91),ISBLANK(X91),ISBLANK(Y91),ISBLANK(Z91))=TRUE,"P","OK")</f>
        <v>OK</v>
      </c>
      <c r="C91" s="223" t="str">
        <f t="shared" si="5"/>
        <v>OK</v>
      </c>
      <c r="D91" s="28">
        <v>0</v>
      </c>
      <c r="E91" s="49" t="s">
        <v>8646</v>
      </c>
      <c r="F91" s="169" t="s">
        <v>5921</v>
      </c>
      <c r="G91" s="169">
        <v>181263</v>
      </c>
      <c r="H91" s="169" t="s">
        <v>8647</v>
      </c>
      <c r="I91" s="169" t="s">
        <v>6820</v>
      </c>
      <c r="J91" s="169" t="s">
        <v>6829</v>
      </c>
      <c r="K91" s="169" t="s">
        <v>8648</v>
      </c>
      <c r="L91" s="169" t="s">
        <v>5933</v>
      </c>
      <c r="M91" s="169" t="s">
        <v>8649</v>
      </c>
      <c r="N91" s="170">
        <v>44223</v>
      </c>
      <c r="O91" s="288" t="s">
        <v>8644</v>
      </c>
      <c r="P91" s="288" t="s">
        <v>8644</v>
      </c>
      <c r="Q91" s="170">
        <v>44245</v>
      </c>
      <c r="R91" s="170">
        <v>44301</v>
      </c>
      <c r="S91" s="171" t="s">
        <v>7026</v>
      </c>
      <c r="T91" s="171" t="s">
        <v>7026</v>
      </c>
      <c r="U91" s="245">
        <v>44309</v>
      </c>
      <c r="V91" s="171" t="s">
        <v>5935</v>
      </c>
      <c r="W91" s="171">
        <v>6</v>
      </c>
      <c r="X91" s="171" t="s">
        <v>5683</v>
      </c>
      <c r="Y91" s="171" t="s">
        <v>4999</v>
      </c>
      <c r="Z91" s="245">
        <v>44341</v>
      </c>
      <c r="AA91" s="175" t="s">
        <v>264</v>
      </c>
      <c r="AB91" s="175">
        <v>44341</v>
      </c>
      <c r="AC91" s="175">
        <v>44341</v>
      </c>
      <c r="AF91" s="239"/>
      <c r="AG91" s="240"/>
      <c r="AH91" s="233"/>
    </row>
    <row r="92" spans="1:35" s="231" customFormat="1" ht="15" customHeight="1" thickBot="1" x14ac:dyDescent="0.25">
      <c r="A92" s="221" t="str">
        <f t="shared" si="3"/>
        <v>OK</v>
      </c>
      <c r="B92" s="222" t="str">
        <f>IF(OR(ISBLANK(S92),ISBLANK(T92),ISBLANK(U92),ISBLANK(V91),ISBLANK(W92),ISBLANK(X92),ISBLANK(Y92),ISBLANK(Z92))=TRUE,"P","OK")</f>
        <v>OK</v>
      </c>
      <c r="C92" s="223" t="str">
        <f t="shared" si="5"/>
        <v>OK</v>
      </c>
      <c r="D92" s="28">
        <v>0</v>
      </c>
      <c r="E92" s="49" t="s">
        <v>8650</v>
      </c>
      <c r="F92" s="169" t="s">
        <v>5921</v>
      </c>
      <c r="G92" s="169">
        <v>181263</v>
      </c>
      <c r="H92" s="169" t="s">
        <v>8651</v>
      </c>
      <c r="I92" s="169" t="s">
        <v>6820</v>
      </c>
      <c r="J92" s="169" t="s">
        <v>6829</v>
      </c>
      <c r="K92" s="169" t="s">
        <v>8652</v>
      </c>
      <c r="L92" s="169" t="s">
        <v>8337</v>
      </c>
      <c r="M92" s="169" t="s">
        <v>8335</v>
      </c>
      <c r="N92" s="170">
        <v>44223</v>
      </c>
      <c r="O92" s="288" t="s">
        <v>8644</v>
      </c>
      <c r="P92" s="288" t="s">
        <v>8644</v>
      </c>
      <c r="Q92" s="170">
        <v>44245</v>
      </c>
      <c r="R92" s="170">
        <v>44301</v>
      </c>
      <c r="S92" s="171" t="s">
        <v>7026</v>
      </c>
      <c r="T92" s="171" t="s">
        <v>7026</v>
      </c>
      <c r="U92" s="245">
        <v>44309</v>
      </c>
      <c r="V92" s="171" t="s">
        <v>1876</v>
      </c>
      <c r="W92" s="171">
        <v>6</v>
      </c>
      <c r="X92" s="171" t="s">
        <v>5683</v>
      </c>
      <c r="Y92" s="171" t="s">
        <v>8653</v>
      </c>
      <c r="Z92" s="245">
        <v>44316</v>
      </c>
      <c r="AA92" s="175" t="s">
        <v>264</v>
      </c>
      <c r="AB92" s="175">
        <v>44341</v>
      </c>
      <c r="AC92" s="175">
        <v>44341</v>
      </c>
      <c r="AD92" s="227"/>
      <c r="AE92" s="227"/>
      <c r="AF92" s="228"/>
      <c r="AG92" s="229"/>
      <c r="AH92" s="232"/>
      <c r="AI92" s="227"/>
    </row>
    <row r="93" spans="1:35" s="227" customFormat="1" ht="15" customHeight="1" thickBot="1" x14ac:dyDescent="0.25">
      <c r="A93" s="221" t="str">
        <f t="shared" si="3"/>
        <v>OK</v>
      </c>
      <c r="B93" s="222" t="str">
        <f t="shared" si="4"/>
        <v>OK</v>
      </c>
      <c r="C93" s="223" t="str">
        <f t="shared" si="5"/>
        <v>OK</v>
      </c>
      <c r="D93" s="28">
        <v>0</v>
      </c>
      <c r="E93" s="49" t="s">
        <v>8654</v>
      </c>
      <c r="F93" s="169" t="s">
        <v>8277</v>
      </c>
      <c r="G93" s="169">
        <v>181430</v>
      </c>
      <c r="H93" s="169" t="s">
        <v>8655</v>
      </c>
      <c r="I93" s="169" t="s">
        <v>6820</v>
      </c>
      <c r="J93" s="169" t="s">
        <v>6829</v>
      </c>
      <c r="K93" s="169" t="s">
        <v>8656</v>
      </c>
      <c r="L93" s="169" t="s">
        <v>8657</v>
      </c>
      <c r="M93" s="169" t="s">
        <v>8658</v>
      </c>
      <c r="N93" s="170">
        <v>44312</v>
      </c>
      <c r="O93" s="169" t="s">
        <v>7729</v>
      </c>
      <c r="P93" s="170">
        <v>44312</v>
      </c>
      <c r="Q93" s="170">
        <v>44312</v>
      </c>
      <c r="R93" s="170">
        <v>44313</v>
      </c>
      <c r="S93" s="171" t="s">
        <v>7729</v>
      </c>
      <c r="T93" s="171" t="s">
        <v>7729</v>
      </c>
      <c r="U93" s="245">
        <v>44313</v>
      </c>
      <c r="V93" s="171" t="s">
        <v>8659</v>
      </c>
      <c r="W93" s="171">
        <v>1</v>
      </c>
      <c r="X93" s="171" t="s">
        <v>5683</v>
      </c>
      <c r="Y93" s="171" t="s">
        <v>4999</v>
      </c>
      <c r="Z93" s="245">
        <v>44319</v>
      </c>
      <c r="AA93" s="175" t="s">
        <v>264</v>
      </c>
      <c r="AB93" s="175">
        <v>44321</v>
      </c>
      <c r="AC93" s="175">
        <v>44321</v>
      </c>
      <c r="AD93" s="231"/>
      <c r="AE93" s="231"/>
      <c r="AF93" s="239"/>
      <c r="AG93" s="240"/>
      <c r="AH93" s="233"/>
      <c r="AI93" s="231"/>
    </row>
    <row r="94" spans="1:35" s="231" customFormat="1" ht="15" customHeight="1" thickBot="1" x14ac:dyDescent="0.25">
      <c r="A94" s="221" t="str">
        <f t="shared" si="3"/>
        <v>OK</v>
      </c>
      <c r="B94" s="222" t="str">
        <f t="shared" si="4"/>
        <v>OK</v>
      </c>
      <c r="C94" s="223" t="str">
        <f t="shared" si="5"/>
        <v>OK</v>
      </c>
      <c r="D94" s="28">
        <v>0</v>
      </c>
      <c r="E94" s="49" t="s">
        <v>8660</v>
      </c>
      <c r="F94" s="169" t="s">
        <v>8517</v>
      </c>
      <c r="G94" s="169">
        <v>181432</v>
      </c>
      <c r="H94" s="169" t="s">
        <v>8661</v>
      </c>
      <c r="I94" s="169" t="s">
        <v>6820</v>
      </c>
      <c r="J94" s="169" t="s">
        <v>6829</v>
      </c>
      <c r="K94" s="169" t="s">
        <v>8662</v>
      </c>
      <c r="L94" s="169" t="s">
        <v>6246</v>
      </c>
      <c r="M94" s="169" t="s">
        <v>8663</v>
      </c>
      <c r="N94" s="170">
        <v>44313</v>
      </c>
      <c r="O94" s="169" t="s">
        <v>7729</v>
      </c>
      <c r="P94" s="170">
        <v>44313</v>
      </c>
      <c r="Q94" s="170">
        <v>44313</v>
      </c>
      <c r="R94" s="170">
        <v>44314</v>
      </c>
      <c r="S94" s="171" t="s">
        <v>7729</v>
      </c>
      <c r="T94" s="171" t="s">
        <v>7729</v>
      </c>
      <c r="U94" s="245">
        <v>44314</v>
      </c>
      <c r="V94" s="171" t="s">
        <v>8664</v>
      </c>
      <c r="W94" s="171">
        <v>4</v>
      </c>
      <c r="X94" s="171" t="s">
        <v>5683</v>
      </c>
      <c r="Y94" s="171" t="s">
        <v>4999</v>
      </c>
      <c r="Z94" s="245">
        <v>44322</v>
      </c>
      <c r="AA94" s="175" t="s">
        <v>264</v>
      </c>
      <c r="AB94" s="175">
        <v>44323</v>
      </c>
      <c r="AC94" s="175">
        <v>44323</v>
      </c>
      <c r="AF94" s="239"/>
      <c r="AG94" s="240"/>
      <c r="AH94" s="233"/>
    </row>
    <row r="95" spans="1:35" s="231" customFormat="1" ht="15" customHeight="1" thickBot="1" x14ac:dyDescent="0.25">
      <c r="A95" s="221" t="str">
        <f t="shared" si="3"/>
        <v>OK</v>
      </c>
      <c r="B95" s="222" t="str">
        <f t="shared" si="4"/>
        <v>OK</v>
      </c>
      <c r="C95" s="223" t="str">
        <f t="shared" si="5"/>
        <v>OK</v>
      </c>
      <c r="D95" s="28">
        <v>0</v>
      </c>
      <c r="E95" s="49" t="s">
        <v>8665</v>
      </c>
      <c r="F95" s="169" t="s">
        <v>8317</v>
      </c>
      <c r="G95" s="169">
        <v>181434</v>
      </c>
      <c r="H95" s="169" t="s">
        <v>8666</v>
      </c>
      <c r="I95" s="169" t="s">
        <v>6820</v>
      </c>
      <c r="J95" s="169" t="s">
        <v>6829</v>
      </c>
      <c r="K95" s="169" t="s">
        <v>8667</v>
      </c>
      <c r="L95" s="169" t="s">
        <v>8668</v>
      </c>
      <c r="M95" s="169" t="s">
        <v>8565</v>
      </c>
      <c r="N95" s="170">
        <v>44314</v>
      </c>
      <c r="O95" s="169" t="s">
        <v>7729</v>
      </c>
      <c r="P95" s="170">
        <v>44314</v>
      </c>
      <c r="Q95" s="170">
        <v>44314</v>
      </c>
      <c r="R95" s="170">
        <v>44316</v>
      </c>
      <c r="S95" s="171" t="s">
        <v>7729</v>
      </c>
      <c r="T95" s="171" t="s">
        <v>7729</v>
      </c>
      <c r="U95" s="245">
        <v>44314</v>
      </c>
      <c r="V95" s="171" t="s">
        <v>6632</v>
      </c>
      <c r="W95" s="171">
        <v>1</v>
      </c>
      <c r="X95" s="171" t="s">
        <v>5683</v>
      </c>
      <c r="Y95" s="171" t="s">
        <v>4999</v>
      </c>
      <c r="Z95" s="245">
        <v>44315</v>
      </c>
      <c r="AA95" s="175" t="s">
        <v>264</v>
      </c>
      <c r="AB95" s="175">
        <v>44320</v>
      </c>
      <c r="AC95" s="175">
        <v>44320</v>
      </c>
      <c r="AF95" s="239"/>
      <c r="AG95" s="240"/>
      <c r="AH95" s="233"/>
    </row>
    <row r="96" spans="1:35" s="231" customFormat="1" ht="15" customHeight="1" thickBot="1" x14ac:dyDescent="0.25">
      <c r="A96" s="221" t="str">
        <f t="shared" si="3"/>
        <v>OK</v>
      </c>
      <c r="B96" s="222" t="str">
        <f t="shared" si="4"/>
        <v>OK</v>
      </c>
      <c r="C96" s="223" t="str">
        <f t="shared" si="5"/>
        <v>OK</v>
      </c>
      <c r="D96" s="28">
        <v>0</v>
      </c>
      <c r="E96" s="49" t="s">
        <v>8669</v>
      </c>
      <c r="F96" s="169" t="s">
        <v>156</v>
      </c>
      <c r="G96" s="169">
        <v>181436</v>
      </c>
      <c r="H96" s="169" t="s">
        <v>8670</v>
      </c>
      <c r="I96" s="169" t="s">
        <v>6820</v>
      </c>
      <c r="J96" s="169" t="s">
        <v>6829</v>
      </c>
      <c r="K96" s="169" t="s">
        <v>8671</v>
      </c>
      <c r="L96" s="169" t="s">
        <v>8672</v>
      </c>
      <c r="M96" s="169" t="s">
        <v>7382</v>
      </c>
      <c r="N96" s="170">
        <v>44315</v>
      </c>
      <c r="O96" s="169" t="s">
        <v>7729</v>
      </c>
      <c r="P96" s="170">
        <v>44315</v>
      </c>
      <c r="Q96" s="170">
        <v>44315</v>
      </c>
      <c r="R96" s="170">
        <v>44316</v>
      </c>
      <c r="S96" s="171" t="s">
        <v>7729</v>
      </c>
      <c r="T96" s="171" t="s">
        <v>7729</v>
      </c>
      <c r="U96" s="245">
        <v>44322</v>
      </c>
      <c r="V96" s="171" t="s">
        <v>8673</v>
      </c>
      <c r="W96" s="171">
        <v>1</v>
      </c>
      <c r="X96" s="171" t="s">
        <v>5683</v>
      </c>
      <c r="Y96" s="171" t="s">
        <v>4999</v>
      </c>
      <c r="Z96" s="245">
        <v>44342</v>
      </c>
      <c r="AA96" s="175" t="s">
        <v>264</v>
      </c>
      <c r="AB96" s="175">
        <v>44343</v>
      </c>
      <c r="AC96" s="175">
        <v>44343</v>
      </c>
      <c r="AF96" s="239"/>
      <c r="AG96" s="240"/>
      <c r="AH96" s="233"/>
    </row>
    <row r="97" spans="1:35" s="231" customFormat="1" ht="15" customHeight="1" thickBot="1" x14ac:dyDescent="0.25">
      <c r="A97" s="221" t="str">
        <f t="shared" si="3"/>
        <v>OK</v>
      </c>
      <c r="B97" s="222" t="str">
        <f t="shared" si="4"/>
        <v>OK</v>
      </c>
      <c r="C97" s="223" t="str">
        <f t="shared" si="5"/>
        <v>OK</v>
      </c>
      <c r="D97" s="28">
        <v>0</v>
      </c>
      <c r="E97" s="49" t="s">
        <v>8674</v>
      </c>
      <c r="F97" s="169" t="s">
        <v>8277</v>
      </c>
      <c r="G97" s="169">
        <v>181433</v>
      </c>
      <c r="H97" s="169" t="s">
        <v>8675</v>
      </c>
      <c r="I97" s="169" t="s">
        <v>6820</v>
      </c>
      <c r="J97" s="169" t="s">
        <v>6829</v>
      </c>
      <c r="K97" s="169" t="s">
        <v>8676</v>
      </c>
      <c r="L97" s="169" t="s">
        <v>8677</v>
      </c>
      <c r="M97" s="169" t="s">
        <v>8678</v>
      </c>
      <c r="N97" s="170">
        <v>44314</v>
      </c>
      <c r="O97" s="169" t="s">
        <v>7729</v>
      </c>
      <c r="P97" s="170">
        <v>44314</v>
      </c>
      <c r="Q97" s="170">
        <v>44314</v>
      </c>
      <c r="R97" s="170">
        <v>44316</v>
      </c>
      <c r="S97" s="171" t="s">
        <v>7729</v>
      </c>
      <c r="T97" s="171" t="s">
        <v>7729</v>
      </c>
      <c r="U97" s="245">
        <v>44319</v>
      </c>
      <c r="V97" s="171" t="s">
        <v>8679</v>
      </c>
      <c r="W97" s="171">
        <v>7</v>
      </c>
      <c r="X97" s="171" t="s">
        <v>5683</v>
      </c>
      <c r="Y97" s="171" t="s">
        <v>4999</v>
      </c>
      <c r="Z97" s="245">
        <v>44322</v>
      </c>
      <c r="AA97" s="175" t="s">
        <v>264</v>
      </c>
      <c r="AB97" s="175">
        <v>44323</v>
      </c>
      <c r="AC97" s="175">
        <v>44323</v>
      </c>
      <c r="AF97" s="239"/>
      <c r="AG97" s="240"/>
      <c r="AH97" s="233"/>
    </row>
    <row r="98" spans="1:35" s="231" customFormat="1" ht="15" customHeight="1" thickBot="1" x14ac:dyDescent="0.25">
      <c r="A98" s="221" t="str">
        <f t="shared" si="3"/>
        <v>OK</v>
      </c>
      <c r="B98" s="222" t="str">
        <f t="shared" si="4"/>
        <v>OK</v>
      </c>
      <c r="C98" s="223" t="str">
        <f t="shared" si="5"/>
        <v>OK</v>
      </c>
      <c r="D98" s="28">
        <v>0</v>
      </c>
      <c r="E98" s="49" t="s">
        <v>8680</v>
      </c>
      <c r="F98" s="169" t="s">
        <v>8277</v>
      </c>
      <c r="G98" s="169">
        <v>181433</v>
      </c>
      <c r="H98" s="169" t="s">
        <v>8681</v>
      </c>
      <c r="I98" s="169" t="s">
        <v>6820</v>
      </c>
      <c r="J98" s="169" t="s">
        <v>6829</v>
      </c>
      <c r="K98" s="169" t="s">
        <v>8682</v>
      </c>
      <c r="L98" s="169" t="s">
        <v>8683</v>
      </c>
      <c r="M98" s="169" t="s">
        <v>8658</v>
      </c>
      <c r="N98" s="170">
        <v>44314</v>
      </c>
      <c r="O98" s="169" t="s">
        <v>7729</v>
      </c>
      <c r="P98" s="170">
        <v>44314</v>
      </c>
      <c r="Q98" s="170">
        <v>44314</v>
      </c>
      <c r="R98" s="170">
        <v>44316</v>
      </c>
      <c r="S98" s="171" t="s">
        <v>7729</v>
      </c>
      <c r="T98" s="171" t="s">
        <v>7729</v>
      </c>
      <c r="U98" s="245">
        <v>44319</v>
      </c>
      <c r="V98" s="171" t="s">
        <v>8684</v>
      </c>
      <c r="W98" s="171">
        <v>1</v>
      </c>
      <c r="X98" s="171" t="s">
        <v>5683</v>
      </c>
      <c r="Y98" s="171" t="s">
        <v>4999</v>
      </c>
      <c r="Z98" s="245">
        <v>44322</v>
      </c>
      <c r="AA98" s="175" t="s">
        <v>264</v>
      </c>
      <c r="AB98" s="175">
        <v>44323</v>
      </c>
      <c r="AC98" s="175">
        <v>44323</v>
      </c>
      <c r="AF98" s="239"/>
      <c r="AG98" s="240"/>
      <c r="AH98" s="233"/>
    </row>
    <row r="99" spans="1:35" s="231" customFormat="1" ht="15" customHeight="1" thickBot="1" x14ac:dyDescent="0.25">
      <c r="A99" s="221" t="str">
        <f t="shared" si="3"/>
        <v>OK</v>
      </c>
      <c r="B99" s="222" t="str">
        <f t="shared" si="4"/>
        <v>OK</v>
      </c>
      <c r="C99" s="223" t="str">
        <f t="shared" si="5"/>
        <v>OK</v>
      </c>
      <c r="D99" s="28">
        <v>0</v>
      </c>
      <c r="E99" s="49" t="s">
        <v>8685</v>
      </c>
      <c r="F99" s="169" t="s">
        <v>8277</v>
      </c>
      <c r="G99" s="169">
        <v>181433</v>
      </c>
      <c r="H99" s="169" t="s">
        <v>8686</v>
      </c>
      <c r="I99" s="169" t="s">
        <v>6820</v>
      </c>
      <c r="J99" s="169" t="s">
        <v>6829</v>
      </c>
      <c r="K99" s="169" t="s">
        <v>8687</v>
      </c>
      <c r="L99" s="169" t="s">
        <v>7538</v>
      </c>
      <c r="M99" s="169" t="s">
        <v>8658</v>
      </c>
      <c r="N99" s="170">
        <v>44314</v>
      </c>
      <c r="O99" s="169" t="s">
        <v>7729</v>
      </c>
      <c r="P99" s="170">
        <v>44314</v>
      </c>
      <c r="Q99" s="170">
        <v>44314</v>
      </c>
      <c r="R99" s="170">
        <v>44316</v>
      </c>
      <c r="S99" s="171" t="s">
        <v>7729</v>
      </c>
      <c r="T99" s="171" t="s">
        <v>7729</v>
      </c>
      <c r="U99" s="245">
        <v>44319</v>
      </c>
      <c r="V99" s="171" t="s">
        <v>8688</v>
      </c>
      <c r="W99" s="171">
        <v>4</v>
      </c>
      <c r="X99" s="171" t="s">
        <v>5683</v>
      </c>
      <c r="Y99" s="171" t="s">
        <v>4999</v>
      </c>
      <c r="Z99" s="245">
        <v>44322</v>
      </c>
      <c r="AA99" s="175" t="s">
        <v>264</v>
      </c>
      <c r="AB99" s="175">
        <v>44323</v>
      </c>
      <c r="AC99" s="175">
        <v>44323</v>
      </c>
      <c r="AF99" s="239"/>
      <c r="AG99" s="240"/>
      <c r="AH99" s="233"/>
    </row>
    <row r="100" spans="1:35" s="231" customFormat="1" ht="15" customHeight="1" thickBot="1" x14ac:dyDescent="0.25">
      <c r="A100" s="221" t="str">
        <f t="shared" si="3"/>
        <v>OK</v>
      </c>
      <c r="B100" s="222" t="str">
        <f t="shared" si="4"/>
        <v>OK</v>
      </c>
      <c r="C100" s="223" t="str">
        <f t="shared" si="5"/>
        <v>OK</v>
      </c>
      <c r="D100" s="28">
        <v>0</v>
      </c>
      <c r="E100" s="49" t="s">
        <v>8689</v>
      </c>
      <c r="F100" s="169" t="s">
        <v>8277</v>
      </c>
      <c r="G100" s="169">
        <v>181433</v>
      </c>
      <c r="H100" s="169" t="s">
        <v>8690</v>
      </c>
      <c r="I100" s="169" t="s">
        <v>6820</v>
      </c>
      <c r="J100" s="169" t="s">
        <v>6829</v>
      </c>
      <c r="K100" s="169" t="s">
        <v>8691</v>
      </c>
      <c r="L100" s="169" t="s">
        <v>8692</v>
      </c>
      <c r="M100" s="169" t="s">
        <v>8658</v>
      </c>
      <c r="N100" s="170">
        <v>44314</v>
      </c>
      <c r="O100" s="169" t="s">
        <v>7729</v>
      </c>
      <c r="P100" s="170">
        <v>44314</v>
      </c>
      <c r="Q100" s="170">
        <v>44314</v>
      </c>
      <c r="R100" s="170">
        <v>44316</v>
      </c>
      <c r="S100" s="171" t="s">
        <v>7729</v>
      </c>
      <c r="T100" s="171" t="s">
        <v>7729</v>
      </c>
      <c r="U100" s="245">
        <v>44319</v>
      </c>
      <c r="V100" s="171" t="s">
        <v>8693</v>
      </c>
      <c r="W100" s="171">
        <v>1</v>
      </c>
      <c r="X100" s="171" t="s">
        <v>5683</v>
      </c>
      <c r="Y100" s="171" t="s">
        <v>4999</v>
      </c>
      <c r="Z100" s="245">
        <v>44322</v>
      </c>
      <c r="AA100" s="175" t="s">
        <v>264</v>
      </c>
      <c r="AB100" s="175">
        <v>44323</v>
      </c>
      <c r="AC100" s="175">
        <v>44323</v>
      </c>
      <c r="AF100" s="239"/>
      <c r="AG100" s="240"/>
      <c r="AH100" s="232"/>
    </row>
    <row r="101" spans="1:35" s="231" customFormat="1" ht="15" customHeight="1" thickBot="1" x14ac:dyDescent="0.25">
      <c r="A101" s="221" t="str">
        <f t="shared" si="3"/>
        <v>OK</v>
      </c>
      <c r="B101" s="222" t="str">
        <f t="shared" si="4"/>
        <v>OK</v>
      </c>
      <c r="C101" s="223" t="str">
        <f t="shared" si="5"/>
        <v>OK</v>
      </c>
      <c r="D101" s="28">
        <v>0</v>
      </c>
      <c r="E101" s="49" t="s">
        <v>8694</v>
      </c>
      <c r="F101" s="169" t="s">
        <v>8277</v>
      </c>
      <c r="G101" s="169">
        <v>181433</v>
      </c>
      <c r="H101" s="169" t="s">
        <v>8695</v>
      </c>
      <c r="I101" s="169" t="s">
        <v>6820</v>
      </c>
      <c r="J101" s="169" t="s">
        <v>6829</v>
      </c>
      <c r="K101" s="169" t="s">
        <v>8347</v>
      </c>
      <c r="L101" s="169" t="s">
        <v>8696</v>
      </c>
      <c r="M101" s="169" t="s">
        <v>8658</v>
      </c>
      <c r="N101" s="170">
        <v>44314</v>
      </c>
      <c r="O101" s="169" t="s">
        <v>7729</v>
      </c>
      <c r="P101" s="170">
        <v>44314</v>
      </c>
      <c r="Q101" s="170">
        <v>44314</v>
      </c>
      <c r="R101" s="170">
        <v>44316</v>
      </c>
      <c r="S101" s="171" t="s">
        <v>7729</v>
      </c>
      <c r="T101" s="171" t="s">
        <v>7729</v>
      </c>
      <c r="U101" s="245">
        <v>44319</v>
      </c>
      <c r="V101" s="171" t="s">
        <v>8697</v>
      </c>
      <c r="W101" s="171">
        <v>1</v>
      </c>
      <c r="X101" s="171" t="s">
        <v>5683</v>
      </c>
      <c r="Y101" s="171" t="s">
        <v>4999</v>
      </c>
      <c r="Z101" s="245">
        <v>44322</v>
      </c>
      <c r="AA101" s="175" t="s">
        <v>264</v>
      </c>
      <c r="AB101" s="175">
        <v>44323</v>
      </c>
      <c r="AC101" s="175">
        <v>44323</v>
      </c>
      <c r="AF101" s="239"/>
      <c r="AG101" s="240"/>
      <c r="AH101" s="232"/>
    </row>
    <row r="102" spans="1:35" s="231" customFormat="1" ht="15" customHeight="1" thickBot="1" x14ac:dyDescent="0.25">
      <c r="A102" s="221" t="str">
        <f t="shared" si="3"/>
        <v>OK</v>
      </c>
      <c r="B102" s="222" t="str">
        <f t="shared" si="4"/>
        <v>OK</v>
      </c>
      <c r="C102" s="223" t="str">
        <f t="shared" si="5"/>
        <v>OK</v>
      </c>
      <c r="D102" s="28">
        <v>0</v>
      </c>
      <c r="E102" s="49" t="s">
        <v>8698</v>
      </c>
      <c r="F102" s="169" t="s">
        <v>8277</v>
      </c>
      <c r="G102" s="169">
        <v>181433</v>
      </c>
      <c r="H102" s="169" t="s">
        <v>8699</v>
      </c>
      <c r="I102" s="169" t="s">
        <v>6820</v>
      </c>
      <c r="J102" s="169" t="s">
        <v>6829</v>
      </c>
      <c r="K102" s="169" t="s">
        <v>8279</v>
      </c>
      <c r="L102" s="169" t="s">
        <v>8280</v>
      </c>
      <c r="M102" s="169" t="s">
        <v>8700</v>
      </c>
      <c r="N102" s="170">
        <v>44314</v>
      </c>
      <c r="O102" s="169" t="s">
        <v>7729</v>
      </c>
      <c r="P102" s="170">
        <v>44314</v>
      </c>
      <c r="Q102" s="170">
        <v>44314</v>
      </c>
      <c r="R102" s="170">
        <v>44316</v>
      </c>
      <c r="S102" s="171" t="s">
        <v>7729</v>
      </c>
      <c r="T102" s="171" t="s">
        <v>7729</v>
      </c>
      <c r="U102" s="245">
        <v>44319</v>
      </c>
      <c r="V102" s="171" t="s">
        <v>8701</v>
      </c>
      <c r="W102" s="171">
        <v>5</v>
      </c>
      <c r="X102" s="171" t="s">
        <v>5683</v>
      </c>
      <c r="Y102" s="171" t="s">
        <v>4999</v>
      </c>
      <c r="Z102" s="245">
        <v>44320</v>
      </c>
      <c r="AA102" s="175" t="s">
        <v>264</v>
      </c>
      <c r="AB102" s="175">
        <v>44323</v>
      </c>
      <c r="AC102" s="175">
        <v>44323</v>
      </c>
      <c r="AF102" s="239"/>
      <c r="AG102" s="240"/>
      <c r="AH102" s="232"/>
    </row>
    <row r="103" spans="1:35" s="231" customFormat="1" ht="15" customHeight="1" thickBot="1" x14ac:dyDescent="0.25">
      <c r="A103" s="221" t="str">
        <f t="shared" si="3"/>
        <v>OK</v>
      </c>
      <c r="B103" s="222" t="str">
        <f t="shared" si="4"/>
        <v>OK</v>
      </c>
      <c r="C103" s="223" t="str">
        <f t="shared" si="5"/>
        <v>OK</v>
      </c>
      <c r="D103" s="28">
        <v>0</v>
      </c>
      <c r="E103" s="49" t="s">
        <v>8702</v>
      </c>
      <c r="F103" s="169" t="s">
        <v>8369</v>
      </c>
      <c r="G103" s="169">
        <v>181437</v>
      </c>
      <c r="H103" s="169" t="s">
        <v>8703</v>
      </c>
      <c r="I103" s="169" t="s">
        <v>6820</v>
      </c>
      <c r="J103" s="169" t="s">
        <v>6829</v>
      </c>
      <c r="K103" s="169" t="s">
        <v>8704</v>
      </c>
      <c r="L103" s="169" t="s">
        <v>8705</v>
      </c>
      <c r="M103" s="169" t="s">
        <v>8706</v>
      </c>
      <c r="N103" s="170">
        <v>44319</v>
      </c>
      <c r="O103" s="169" t="s">
        <v>7729</v>
      </c>
      <c r="P103" s="170">
        <v>44319</v>
      </c>
      <c r="Q103" s="170">
        <v>44319</v>
      </c>
      <c r="R103" s="170">
        <v>44319</v>
      </c>
      <c r="S103" s="171" t="s">
        <v>7729</v>
      </c>
      <c r="T103" s="171" t="s">
        <v>7729</v>
      </c>
      <c r="U103" s="171" t="s">
        <v>8707</v>
      </c>
      <c r="V103" s="171" t="s">
        <v>8708</v>
      </c>
      <c r="W103" s="171">
        <v>4</v>
      </c>
      <c r="X103" s="171" t="s">
        <v>5683</v>
      </c>
      <c r="Y103" s="171" t="s">
        <v>4999</v>
      </c>
      <c r="Z103" s="245">
        <v>44330</v>
      </c>
      <c r="AA103" s="175" t="s">
        <v>264</v>
      </c>
      <c r="AB103" s="175">
        <v>44330</v>
      </c>
      <c r="AC103" s="175">
        <v>44330</v>
      </c>
      <c r="AF103" s="239"/>
      <c r="AG103" s="240"/>
      <c r="AH103" s="232"/>
    </row>
    <row r="104" spans="1:35" s="231" customFormat="1" ht="15" customHeight="1" thickBot="1" x14ac:dyDescent="0.25">
      <c r="A104" s="221" t="str">
        <f t="shared" si="3"/>
        <v>OK</v>
      </c>
      <c r="B104" s="222" t="str">
        <f t="shared" si="4"/>
        <v>OK</v>
      </c>
      <c r="C104" s="223" t="str">
        <f t="shared" si="5"/>
        <v>OK</v>
      </c>
      <c r="D104" s="28">
        <v>0</v>
      </c>
      <c r="E104" s="49" t="s">
        <v>8709</v>
      </c>
      <c r="F104" s="169" t="s">
        <v>3171</v>
      </c>
      <c r="G104" s="169">
        <v>181439</v>
      </c>
      <c r="H104" s="169" t="s">
        <v>8710</v>
      </c>
      <c r="I104" s="169" t="s">
        <v>6820</v>
      </c>
      <c r="J104" s="169" t="s">
        <v>6829</v>
      </c>
      <c r="K104" s="169" t="s">
        <v>8711</v>
      </c>
      <c r="L104" s="169" t="s">
        <v>8712</v>
      </c>
      <c r="M104" s="169" t="s">
        <v>8713</v>
      </c>
      <c r="N104" s="170">
        <v>44319</v>
      </c>
      <c r="O104" s="170" t="s">
        <v>7729</v>
      </c>
      <c r="P104" s="170">
        <v>44319</v>
      </c>
      <c r="Q104" s="170">
        <v>44319</v>
      </c>
      <c r="R104" s="170">
        <v>44319</v>
      </c>
      <c r="S104" s="171" t="s">
        <v>7729</v>
      </c>
      <c r="T104" s="171" t="s">
        <v>7729</v>
      </c>
      <c r="U104" s="245">
        <v>44320</v>
      </c>
      <c r="V104" s="171" t="s">
        <v>8714</v>
      </c>
      <c r="W104" s="171">
        <v>2</v>
      </c>
      <c r="X104" s="171" t="s">
        <v>5683</v>
      </c>
      <c r="Y104" s="171" t="s">
        <v>4999</v>
      </c>
      <c r="Z104" s="245">
        <v>44322</v>
      </c>
      <c r="AA104" s="175" t="s">
        <v>264</v>
      </c>
      <c r="AB104" s="175">
        <v>44323</v>
      </c>
      <c r="AC104" s="175">
        <v>44323</v>
      </c>
      <c r="AF104" s="239"/>
      <c r="AG104" s="240"/>
      <c r="AH104" s="232"/>
    </row>
    <row r="105" spans="1:35" s="231" customFormat="1" ht="15" customHeight="1" thickBot="1" x14ac:dyDescent="0.25">
      <c r="A105" s="221" t="str">
        <f t="shared" si="3"/>
        <v>OK</v>
      </c>
      <c r="B105" s="222" t="str">
        <f t="shared" si="4"/>
        <v>OK</v>
      </c>
      <c r="C105" s="223" t="str">
        <f t="shared" si="5"/>
        <v>OK</v>
      </c>
      <c r="D105" s="28">
        <v>0</v>
      </c>
      <c r="E105" s="49" t="s">
        <v>8715</v>
      </c>
      <c r="F105" s="169" t="s">
        <v>3171</v>
      </c>
      <c r="G105" s="169">
        <v>181440</v>
      </c>
      <c r="H105" s="169" t="s">
        <v>8716</v>
      </c>
      <c r="I105" s="169" t="s">
        <v>6820</v>
      </c>
      <c r="J105" s="169" t="s">
        <v>6829</v>
      </c>
      <c r="K105" s="169" t="s">
        <v>8711</v>
      </c>
      <c r="L105" s="169" t="s">
        <v>8712</v>
      </c>
      <c r="M105" s="169" t="s">
        <v>8713</v>
      </c>
      <c r="N105" s="170">
        <v>44356</v>
      </c>
      <c r="O105" s="170" t="s">
        <v>7729</v>
      </c>
      <c r="P105" s="170">
        <v>44356</v>
      </c>
      <c r="Q105" s="170">
        <v>44356</v>
      </c>
      <c r="R105" s="170">
        <v>44375</v>
      </c>
      <c r="S105" s="171" t="s">
        <v>8717</v>
      </c>
      <c r="T105" s="171" t="s">
        <v>7729</v>
      </c>
      <c r="U105" s="245">
        <v>44390</v>
      </c>
      <c r="V105" s="171" t="s">
        <v>8714</v>
      </c>
      <c r="W105" s="171">
        <v>2</v>
      </c>
      <c r="X105" s="171" t="s">
        <v>5683</v>
      </c>
      <c r="Y105" s="171" t="s">
        <v>4999</v>
      </c>
      <c r="Z105" s="245">
        <v>44393</v>
      </c>
      <c r="AA105" s="175" t="s">
        <v>264</v>
      </c>
      <c r="AB105" s="175">
        <v>44396</v>
      </c>
      <c r="AC105" s="175">
        <v>44396</v>
      </c>
      <c r="AF105" s="239"/>
      <c r="AG105" s="240"/>
      <c r="AH105" s="232"/>
    </row>
    <row r="106" spans="1:35" s="231" customFormat="1" ht="15" customHeight="1" thickBot="1" x14ac:dyDescent="0.25">
      <c r="A106" s="221" t="str">
        <f t="shared" si="3"/>
        <v>OK</v>
      </c>
      <c r="B106" s="222" t="str">
        <f t="shared" si="4"/>
        <v>OK</v>
      </c>
      <c r="C106" s="223" t="str">
        <f t="shared" si="5"/>
        <v>OK</v>
      </c>
      <c r="D106" s="28">
        <v>0</v>
      </c>
      <c r="E106" s="49" t="s">
        <v>8718</v>
      </c>
      <c r="F106" s="169" t="s">
        <v>5652</v>
      </c>
      <c r="G106" s="169">
        <v>181446</v>
      </c>
      <c r="H106" s="169" t="s">
        <v>8719</v>
      </c>
      <c r="I106" s="169" t="s">
        <v>6820</v>
      </c>
      <c r="J106" s="169" t="s">
        <v>6829</v>
      </c>
      <c r="K106" s="169" t="s">
        <v>8720</v>
      </c>
      <c r="L106" s="169" t="s">
        <v>8721</v>
      </c>
      <c r="M106" s="169" t="s">
        <v>8722</v>
      </c>
      <c r="N106" s="170">
        <v>44321</v>
      </c>
      <c r="O106" s="169" t="s">
        <v>7729</v>
      </c>
      <c r="P106" s="170">
        <v>44321</v>
      </c>
      <c r="Q106" s="170">
        <v>44321</v>
      </c>
      <c r="R106" s="170">
        <v>44322</v>
      </c>
      <c r="S106" s="171" t="s">
        <v>7729</v>
      </c>
      <c r="T106" s="171" t="s">
        <v>7729</v>
      </c>
      <c r="U106" s="245">
        <v>44322</v>
      </c>
      <c r="V106" s="171" t="s">
        <v>8723</v>
      </c>
      <c r="W106" s="171">
        <v>1</v>
      </c>
      <c r="X106" s="171" t="s">
        <v>5683</v>
      </c>
      <c r="Y106" s="171" t="s">
        <v>4999</v>
      </c>
      <c r="Z106" s="245">
        <v>44322</v>
      </c>
      <c r="AA106" s="175" t="s">
        <v>264</v>
      </c>
      <c r="AB106" s="175">
        <v>44323</v>
      </c>
      <c r="AC106" s="175">
        <v>44323</v>
      </c>
      <c r="AF106" s="239"/>
      <c r="AG106" s="240"/>
      <c r="AH106" s="232"/>
    </row>
    <row r="107" spans="1:35" s="231" customFormat="1" ht="15" customHeight="1" thickBot="1" x14ac:dyDescent="0.25">
      <c r="A107" s="221" t="str">
        <f t="shared" si="3"/>
        <v>OK</v>
      </c>
      <c r="B107" s="222" t="str">
        <f t="shared" si="4"/>
        <v>OK</v>
      </c>
      <c r="C107" s="223" t="str">
        <f t="shared" si="5"/>
        <v>OK</v>
      </c>
      <c r="D107" s="28">
        <v>0</v>
      </c>
      <c r="E107" s="49" t="s">
        <v>8724</v>
      </c>
      <c r="F107" s="169" t="s">
        <v>156</v>
      </c>
      <c r="G107" s="169">
        <v>181436</v>
      </c>
      <c r="H107" s="169" t="s">
        <v>8670</v>
      </c>
      <c r="I107" s="169" t="s">
        <v>6820</v>
      </c>
      <c r="J107" s="169" t="s">
        <v>6829</v>
      </c>
      <c r="K107" s="169" t="s">
        <v>8725</v>
      </c>
      <c r="L107" s="169" t="s">
        <v>8200</v>
      </c>
      <c r="M107" s="169" t="s">
        <v>8726</v>
      </c>
      <c r="N107" s="170">
        <v>44315</v>
      </c>
      <c r="O107" s="169" t="s">
        <v>7729</v>
      </c>
      <c r="P107" s="170">
        <v>44315</v>
      </c>
      <c r="Q107" s="170">
        <v>44315</v>
      </c>
      <c r="R107" s="170">
        <v>44316</v>
      </c>
      <c r="S107" s="171" t="s">
        <v>7729</v>
      </c>
      <c r="T107" s="171" t="s">
        <v>7729</v>
      </c>
      <c r="U107" s="245">
        <v>44321</v>
      </c>
      <c r="V107" s="171" t="s">
        <v>8727</v>
      </c>
      <c r="W107" s="171">
        <v>1</v>
      </c>
      <c r="X107" s="171" t="s">
        <v>5683</v>
      </c>
      <c r="Y107" s="171" t="s">
        <v>4999</v>
      </c>
      <c r="Z107" s="245">
        <v>44342</v>
      </c>
      <c r="AA107" s="175" t="s">
        <v>264</v>
      </c>
      <c r="AB107" s="175">
        <v>44343</v>
      </c>
      <c r="AC107" s="175">
        <v>44343</v>
      </c>
      <c r="AF107" s="239"/>
      <c r="AG107" s="240"/>
      <c r="AH107" s="232"/>
    </row>
    <row r="108" spans="1:35" s="231" customFormat="1" ht="15" customHeight="1" thickBot="1" x14ac:dyDescent="0.25">
      <c r="A108" s="221" t="str">
        <f t="shared" si="3"/>
        <v>OK</v>
      </c>
      <c r="B108" s="222" t="str">
        <f t="shared" si="4"/>
        <v>OK</v>
      </c>
      <c r="C108" s="223" t="str">
        <f t="shared" si="5"/>
        <v>OK</v>
      </c>
      <c r="D108" s="28">
        <v>0</v>
      </c>
      <c r="E108" s="49" t="s">
        <v>8728</v>
      </c>
      <c r="F108" s="157" t="s">
        <v>8729</v>
      </c>
      <c r="G108" s="169">
        <v>181460</v>
      </c>
      <c r="H108" s="169" t="s">
        <v>8730</v>
      </c>
      <c r="I108" s="169" t="s">
        <v>6820</v>
      </c>
      <c r="J108" s="169" t="s">
        <v>6829</v>
      </c>
      <c r="K108" s="157" t="s">
        <v>8731</v>
      </c>
      <c r="L108" s="157" t="s">
        <v>8732</v>
      </c>
      <c r="M108" s="157" t="s">
        <v>8733</v>
      </c>
      <c r="N108" s="170">
        <v>44329</v>
      </c>
      <c r="O108" s="169" t="s">
        <v>7729</v>
      </c>
      <c r="P108" s="170">
        <v>44330</v>
      </c>
      <c r="Q108" s="170">
        <v>44330</v>
      </c>
      <c r="R108" s="170">
        <v>44336</v>
      </c>
      <c r="S108" s="171" t="s">
        <v>7729</v>
      </c>
      <c r="T108" s="171" t="s">
        <v>7729</v>
      </c>
      <c r="U108" s="245">
        <v>44336</v>
      </c>
      <c r="V108" s="171" t="s">
        <v>8734</v>
      </c>
      <c r="W108" s="171">
        <v>3</v>
      </c>
      <c r="X108" s="171" t="s">
        <v>5683</v>
      </c>
      <c r="Y108" s="171" t="s">
        <v>4999</v>
      </c>
      <c r="Z108" s="245">
        <v>44342</v>
      </c>
      <c r="AA108" s="175" t="s">
        <v>264</v>
      </c>
      <c r="AB108" s="175">
        <v>44342</v>
      </c>
      <c r="AC108" s="175">
        <v>44342</v>
      </c>
      <c r="AF108" s="239"/>
      <c r="AG108" s="240"/>
      <c r="AH108" s="232"/>
    </row>
    <row r="109" spans="1:35" s="231" customFormat="1" ht="15" customHeight="1" thickBot="1" x14ac:dyDescent="0.25">
      <c r="A109" s="221" t="str">
        <f t="shared" si="3"/>
        <v>OK</v>
      </c>
      <c r="B109" s="222" t="str">
        <f t="shared" si="4"/>
        <v>OK</v>
      </c>
      <c r="C109" s="223" t="str">
        <f t="shared" si="5"/>
        <v>OK</v>
      </c>
      <c r="D109" s="28">
        <v>0</v>
      </c>
      <c r="E109" s="49" t="s">
        <v>8735</v>
      </c>
      <c r="F109" s="169" t="s">
        <v>8277</v>
      </c>
      <c r="G109" s="169">
        <v>181468</v>
      </c>
      <c r="H109" s="169" t="s">
        <v>8736</v>
      </c>
      <c r="I109" s="169" t="s">
        <v>6820</v>
      </c>
      <c r="J109" s="169" t="s">
        <v>6829</v>
      </c>
      <c r="K109" s="169" t="s">
        <v>8737</v>
      </c>
      <c r="L109" s="169" t="s">
        <v>8738</v>
      </c>
      <c r="M109" s="169" t="s">
        <v>8738</v>
      </c>
      <c r="N109" s="170">
        <v>44335</v>
      </c>
      <c r="O109" s="169" t="s">
        <v>7729</v>
      </c>
      <c r="P109" s="170">
        <v>44336</v>
      </c>
      <c r="Q109" s="170">
        <v>44336</v>
      </c>
      <c r="R109" s="170">
        <v>44336</v>
      </c>
      <c r="S109" s="171" t="s">
        <v>7729</v>
      </c>
      <c r="T109" s="171" t="s">
        <v>7729</v>
      </c>
      <c r="U109" s="245">
        <v>44340</v>
      </c>
      <c r="V109" s="171" t="s">
        <v>8739</v>
      </c>
      <c r="W109" s="171">
        <v>1</v>
      </c>
      <c r="X109" s="171" t="s">
        <v>5683</v>
      </c>
      <c r="Y109" s="171" t="s">
        <v>4999</v>
      </c>
      <c r="Z109" s="245">
        <v>44340</v>
      </c>
      <c r="AA109" s="175" t="s">
        <v>264</v>
      </c>
      <c r="AB109" s="175">
        <v>44342</v>
      </c>
      <c r="AC109" s="175">
        <v>44342</v>
      </c>
      <c r="AF109" s="239"/>
      <c r="AG109" s="240"/>
      <c r="AH109" s="233"/>
    </row>
    <row r="110" spans="1:35" s="231" customFormat="1" ht="15" customHeight="1" thickBot="1" x14ac:dyDescent="0.25">
      <c r="A110" s="221" t="str">
        <f t="shared" si="3"/>
        <v>OK</v>
      </c>
      <c r="B110" s="222" t="str">
        <f t="shared" si="4"/>
        <v>OK</v>
      </c>
      <c r="C110" s="223" t="str">
        <f t="shared" si="5"/>
        <v>OK</v>
      </c>
      <c r="D110" s="28">
        <v>0</v>
      </c>
      <c r="E110" s="49" t="s">
        <v>8740</v>
      </c>
      <c r="F110" s="169" t="s">
        <v>6169</v>
      </c>
      <c r="G110" s="169">
        <v>181202</v>
      </c>
      <c r="H110" s="169" t="s">
        <v>8741</v>
      </c>
      <c r="I110" s="169" t="s">
        <v>6820</v>
      </c>
      <c r="J110" s="169" t="s">
        <v>6829</v>
      </c>
      <c r="K110" s="169" t="s">
        <v>1682</v>
      </c>
      <c r="L110" s="169" t="s">
        <v>8742</v>
      </c>
      <c r="M110" s="169" t="s">
        <v>8743</v>
      </c>
      <c r="N110" s="170">
        <v>44337</v>
      </c>
      <c r="O110" s="169" t="s">
        <v>7729</v>
      </c>
      <c r="P110" s="170">
        <v>44337</v>
      </c>
      <c r="Q110" s="170">
        <v>44337</v>
      </c>
      <c r="R110" s="170">
        <v>44337</v>
      </c>
      <c r="S110" s="171" t="s">
        <v>8744</v>
      </c>
      <c r="T110" s="171" t="s">
        <v>7026</v>
      </c>
      <c r="U110" s="245">
        <v>44341</v>
      </c>
      <c r="V110" s="171" t="s">
        <v>3191</v>
      </c>
      <c r="W110" s="171">
        <v>1</v>
      </c>
      <c r="X110" s="171" t="s">
        <v>5683</v>
      </c>
      <c r="Y110" s="171" t="s">
        <v>4999</v>
      </c>
      <c r="Z110" s="245">
        <v>44343</v>
      </c>
      <c r="AA110" s="175" t="s">
        <v>264</v>
      </c>
      <c r="AB110" s="175">
        <v>44343</v>
      </c>
      <c r="AC110" s="175">
        <v>44343</v>
      </c>
      <c r="AF110" s="239"/>
      <c r="AG110" s="240"/>
      <c r="AH110" s="232"/>
    </row>
    <row r="111" spans="1:35" s="231" customFormat="1" ht="15" customHeight="1" thickBot="1" x14ac:dyDescent="0.25">
      <c r="A111" s="221" t="str">
        <f t="shared" si="3"/>
        <v>OK</v>
      </c>
      <c r="B111" s="222" t="str">
        <f t="shared" si="4"/>
        <v>OK</v>
      </c>
      <c r="C111" s="223" t="str">
        <f t="shared" si="5"/>
        <v>OK</v>
      </c>
      <c r="D111" s="92">
        <v>0</v>
      </c>
      <c r="E111" s="49" t="s">
        <v>8745</v>
      </c>
      <c r="F111" s="169" t="s">
        <v>8277</v>
      </c>
      <c r="G111" s="169">
        <v>181475</v>
      </c>
      <c r="H111" s="169" t="s">
        <v>8746</v>
      </c>
      <c r="I111" s="169" t="s">
        <v>6820</v>
      </c>
      <c r="J111" s="169" t="s">
        <v>6829</v>
      </c>
      <c r="K111" s="169" t="s">
        <v>8279</v>
      </c>
      <c r="L111" s="169" t="s">
        <v>8280</v>
      </c>
      <c r="M111" s="169" t="s">
        <v>8700</v>
      </c>
      <c r="N111" s="170">
        <v>44341</v>
      </c>
      <c r="O111" s="169" t="s">
        <v>7729</v>
      </c>
      <c r="P111" s="170">
        <v>44341</v>
      </c>
      <c r="Q111" s="170">
        <v>44341</v>
      </c>
      <c r="R111" s="170">
        <v>44343</v>
      </c>
      <c r="S111" s="171" t="s">
        <v>7729</v>
      </c>
      <c r="T111" s="171" t="s">
        <v>7729</v>
      </c>
      <c r="U111" s="245">
        <v>44318</v>
      </c>
      <c r="V111" s="171" t="s">
        <v>8701</v>
      </c>
      <c r="W111" s="171">
        <v>1</v>
      </c>
      <c r="X111" s="171" t="s">
        <v>5683</v>
      </c>
      <c r="Y111" s="171" t="s">
        <v>4999</v>
      </c>
      <c r="Z111" s="245">
        <v>44355</v>
      </c>
      <c r="AA111" s="175" t="s">
        <v>264</v>
      </c>
      <c r="AB111" s="175">
        <v>44356</v>
      </c>
      <c r="AC111" s="175">
        <v>44356</v>
      </c>
      <c r="AD111" s="227"/>
      <c r="AE111" s="227"/>
      <c r="AF111" s="228"/>
      <c r="AG111" s="229"/>
      <c r="AH111" s="232"/>
      <c r="AI111" s="227"/>
    </row>
    <row r="112" spans="1:35" s="227" customFormat="1" ht="15" customHeight="1" thickBot="1" x14ac:dyDescent="0.25">
      <c r="A112" s="221" t="str">
        <f t="shared" si="3"/>
        <v>OK</v>
      </c>
      <c r="B112" s="222" t="str">
        <f t="shared" si="4"/>
        <v>OK</v>
      </c>
      <c r="C112" s="223" t="str">
        <f t="shared" si="5"/>
        <v>OK</v>
      </c>
      <c r="D112" s="92">
        <v>0</v>
      </c>
      <c r="E112" s="49" t="s">
        <v>8747</v>
      </c>
      <c r="F112" s="169" t="s">
        <v>8322</v>
      </c>
      <c r="G112" s="169">
        <v>181473</v>
      </c>
      <c r="H112" s="169" t="s">
        <v>8748</v>
      </c>
      <c r="I112" s="169" t="s">
        <v>6820</v>
      </c>
      <c r="J112" s="169" t="s">
        <v>6829</v>
      </c>
      <c r="K112" s="169" t="s">
        <v>8749</v>
      </c>
      <c r="L112" s="169" t="s">
        <v>8750</v>
      </c>
      <c r="M112" s="169" t="s">
        <v>8751</v>
      </c>
      <c r="N112" s="170">
        <v>44341</v>
      </c>
      <c r="O112" s="169" t="s">
        <v>7729</v>
      </c>
      <c r="P112" s="170">
        <v>44341</v>
      </c>
      <c r="Q112" s="170">
        <v>44341</v>
      </c>
      <c r="R112" s="170">
        <v>44343</v>
      </c>
      <c r="S112" s="171" t="s">
        <v>8717</v>
      </c>
      <c r="T112" s="171" t="s">
        <v>7729</v>
      </c>
      <c r="U112" s="245">
        <v>44358</v>
      </c>
      <c r="V112" s="171" t="s">
        <v>8752</v>
      </c>
      <c r="W112" s="171">
        <v>14</v>
      </c>
      <c r="X112" s="171" t="s">
        <v>5683</v>
      </c>
      <c r="Y112" s="171" t="s">
        <v>4999</v>
      </c>
      <c r="Z112" s="245">
        <v>44363</v>
      </c>
      <c r="AA112" s="175" t="s">
        <v>264</v>
      </c>
      <c r="AB112" s="175">
        <v>44363</v>
      </c>
      <c r="AC112" s="175">
        <v>44363</v>
      </c>
      <c r="AF112" s="228"/>
      <c r="AG112" s="229"/>
      <c r="AH112" s="232"/>
    </row>
    <row r="113" spans="1:35" s="227" customFormat="1" ht="15" customHeight="1" thickBot="1" x14ac:dyDescent="0.25">
      <c r="A113" s="221" t="str">
        <f t="shared" si="3"/>
        <v>OK</v>
      </c>
      <c r="B113" s="222" t="str">
        <f t="shared" si="4"/>
        <v>OK</v>
      </c>
      <c r="C113" s="223" t="str">
        <f t="shared" si="5"/>
        <v>OK</v>
      </c>
      <c r="D113" s="92">
        <v>0</v>
      </c>
      <c r="E113" s="49" t="s">
        <v>8753</v>
      </c>
      <c r="F113" s="169" t="s">
        <v>8322</v>
      </c>
      <c r="G113" s="169">
        <v>181474</v>
      </c>
      <c r="H113" s="169" t="s">
        <v>8754</v>
      </c>
      <c r="I113" s="169" t="s">
        <v>6820</v>
      </c>
      <c r="J113" s="169" t="s">
        <v>6829</v>
      </c>
      <c r="K113" s="169" t="s">
        <v>8755</v>
      </c>
      <c r="L113" s="169" t="s">
        <v>8756</v>
      </c>
      <c r="M113" s="169" t="s">
        <v>8757</v>
      </c>
      <c r="N113" s="170">
        <v>44341</v>
      </c>
      <c r="O113" s="169" t="s">
        <v>7729</v>
      </c>
      <c r="P113" s="170">
        <v>44341</v>
      </c>
      <c r="Q113" s="170">
        <v>44341</v>
      </c>
      <c r="R113" s="170">
        <v>44343</v>
      </c>
      <c r="S113" s="171" t="s">
        <v>8717</v>
      </c>
      <c r="T113" s="171" t="s">
        <v>7729</v>
      </c>
      <c r="U113" s="245">
        <v>44384</v>
      </c>
      <c r="V113" s="171" t="s">
        <v>8758</v>
      </c>
      <c r="W113" s="171">
        <v>8</v>
      </c>
      <c r="X113" s="171" t="s">
        <v>5683</v>
      </c>
      <c r="Y113" s="171" t="s">
        <v>4999</v>
      </c>
      <c r="Z113" s="245">
        <v>44403</v>
      </c>
      <c r="AA113" s="175" t="s">
        <v>264</v>
      </c>
      <c r="AB113" s="175">
        <v>44405</v>
      </c>
      <c r="AC113" s="175">
        <v>44405</v>
      </c>
      <c r="AF113" s="228"/>
      <c r="AG113" s="229"/>
      <c r="AH113" s="232"/>
    </row>
    <row r="114" spans="1:35" s="227" customFormat="1" ht="15" customHeight="1" thickBot="1" x14ac:dyDescent="0.25">
      <c r="A114" s="221" t="str">
        <f t="shared" si="3"/>
        <v>OK</v>
      </c>
      <c r="B114" s="222" t="str">
        <f t="shared" si="4"/>
        <v>OK</v>
      </c>
      <c r="C114" s="223" t="str">
        <f t="shared" si="5"/>
        <v>OK</v>
      </c>
      <c r="D114" s="28">
        <v>0</v>
      </c>
      <c r="E114" s="49" t="s">
        <v>8759</v>
      </c>
      <c r="F114" s="169" t="s">
        <v>8335</v>
      </c>
      <c r="G114" s="169">
        <v>181480</v>
      </c>
      <c r="H114" s="169" t="s">
        <v>8760</v>
      </c>
      <c r="I114" s="169" t="s">
        <v>6820</v>
      </c>
      <c r="J114" s="169" t="s">
        <v>6829</v>
      </c>
      <c r="K114" s="169" t="s">
        <v>5667</v>
      </c>
      <c r="L114" s="169" t="s">
        <v>8761</v>
      </c>
      <c r="M114" s="169" t="s">
        <v>1869</v>
      </c>
      <c r="N114" s="170">
        <v>44342</v>
      </c>
      <c r="O114" s="169" t="s">
        <v>7729</v>
      </c>
      <c r="P114" s="170">
        <v>44342</v>
      </c>
      <c r="Q114" s="170">
        <v>44342</v>
      </c>
      <c r="R114" s="170">
        <v>44344</v>
      </c>
      <c r="S114" s="171" t="s">
        <v>7729</v>
      </c>
      <c r="T114" s="171" t="s">
        <v>7729</v>
      </c>
      <c r="U114" s="245">
        <v>44355</v>
      </c>
      <c r="V114" s="171" t="s">
        <v>5792</v>
      </c>
      <c r="W114" s="171">
        <v>1</v>
      </c>
      <c r="X114" s="171" t="s">
        <v>5683</v>
      </c>
      <c r="Y114" s="171" t="s">
        <v>4999</v>
      </c>
      <c r="Z114" s="245">
        <v>44355</v>
      </c>
      <c r="AA114" s="175" t="s">
        <v>264</v>
      </c>
      <c r="AB114" s="175">
        <v>44355</v>
      </c>
      <c r="AC114" s="175">
        <v>44355</v>
      </c>
      <c r="AD114" s="231"/>
      <c r="AE114" s="231"/>
      <c r="AF114" s="228"/>
      <c r="AG114" s="229"/>
      <c r="AH114" s="232"/>
      <c r="AI114" s="231"/>
    </row>
    <row r="115" spans="1:35" s="231" customFormat="1" ht="15" customHeight="1" thickBot="1" x14ac:dyDescent="0.25">
      <c r="A115" s="221" t="str">
        <f t="shared" si="3"/>
        <v>OK</v>
      </c>
      <c r="B115" s="222" t="str">
        <f t="shared" si="4"/>
        <v>OK</v>
      </c>
      <c r="C115" s="223" t="str">
        <f t="shared" si="5"/>
        <v>OK</v>
      </c>
      <c r="D115" s="28">
        <v>0</v>
      </c>
      <c r="E115" s="49" t="s">
        <v>8762</v>
      </c>
      <c r="F115" s="169" t="s">
        <v>8335</v>
      </c>
      <c r="G115" s="169">
        <v>181480</v>
      </c>
      <c r="H115" s="169" t="s">
        <v>8763</v>
      </c>
      <c r="I115" s="169" t="s">
        <v>6820</v>
      </c>
      <c r="J115" s="169" t="s">
        <v>6829</v>
      </c>
      <c r="K115" s="169" t="s">
        <v>8584</v>
      </c>
      <c r="L115" s="169" t="s">
        <v>8764</v>
      </c>
      <c r="M115" s="169" t="s">
        <v>46</v>
      </c>
      <c r="N115" s="170">
        <v>44342</v>
      </c>
      <c r="O115" s="169" t="s">
        <v>7729</v>
      </c>
      <c r="P115" s="170">
        <v>44342</v>
      </c>
      <c r="Q115" s="170">
        <v>44342</v>
      </c>
      <c r="R115" s="170">
        <v>44344</v>
      </c>
      <c r="S115" s="171" t="s">
        <v>7729</v>
      </c>
      <c r="T115" s="171" t="s">
        <v>7729</v>
      </c>
      <c r="U115" s="245">
        <v>44355</v>
      </c>
      <c r="V115" s="171" t="s">
        <v>3107</v>
      </c>
      <c r="W115" s="171">
        <v>1</v>
      </c>
      <c r="X115" s="171" t="s">
        <v>5683</v>
      </c>
      <c r="Y115" s="171" t="s">
        <v>4999</v>
      </c>
      <c r="Z115" s="245">
        <v>44355</v>
      </c>
      <c r="AA115" s="175" t="s">
        <v>264</v>
      </c>
      <c r="AB115" s="175">
        <v>44355</v>
      </c>
      <c r="AC115" s="175" t="s">
        <v>8765</v>
      </c>
      <c r="AF115" s="239"/>
      <c r="AG115" s="240"/>
      <c r="AH115" s="233"/>
    </row>
    <row r="116" spans="1:35" s="231" customFormat="1" ht="15" customHeight="1" thickBot="1" x14ac:dyDescent="0.25">
      <c r="A116" s="221" t="str">
        <f t="shared" si="3"/>
        <v>OK</v>
      </c>
      <c r="B116" s="222" t="str">
        <f t="shared" si="4"/>
        <v>OK</v>
      </c>
      <c r="C116" s="223" t="str">
        <f t="shared" si="5"/>
        <v>OK</v>
      </c>
      <c r="D116" s="28">
        <v>0</v>
      </c>
      <c r="E116" s="49" t="s">
        <v>8766</v>
      </c>
      <c r="F116" s="169" t="s">
        <v>3171</v>
      </c>
      <c r="G116" s="169">
        <v>181470</v>
      </c>
      <c r="H116" s="169" t="s">
        <v>8767</v>
      </c>
      <c r="I116" s="169" t="s">
        <v>6820</v>
      </c>
      <c r="J116" s="169" t="s">
        <v>6829</v>
      </c>
      <c r="K116" s="169" t="s">
        <v>8556</v>
      </c>
      <c r="L116" s="169" t="s">
        <v>8557</v>
      </c>
      <c r="M116" s="169" t="s">
        <v>8558</v>
      </c>
      <c r="N116" s="170">
        <v>44336</v>
      </c>
      <c r="O116" s="169" t="s">
        <v>7729</v>
      </c>
      <c r="P116" s="170">
        <v>44336</v>
      </c>
      <c r="Q116" s="170">
        <v>44336</v>
      </c>
      <c r="R116" s="170">
        <v>44347</v>
      </c>
      <c r="S116" s="171" t="s">
        <v>7729</v>
      </c>
      <c r="T116" s="171" t="s">
        <v>7729</v>
      </c>
      <c r="U116" s="245">
        <v>44351</v>
      </c>
      <c r="V116" s="171" t="s">
        <v>8559</v>
      </c>
      <c r="W116" s="171">
        <v>1</v>
      </c>
      <c r="X116" s="171" t="s">
        <v>5683</v>
      </c>
      <c r="Y116" s="171" t="s">
        <v>4999</v>
      </c>
      <c r="Z116" s="245">
        <v>44351</v>
      </c>
      <c r="AA116" s="175" t="s">
        <v>264</v>
      </c>
      <c r="AB116" s="175">
        <v>44351</v>
      </c>
      <c r="AC116" s="175">
        <v>44351</v>
      </c>
      <c r="AF116" s="239"/>
      <c r="AG116" s="240"/>
      <c r="AH116" s="233"/>
    </row>
    <row r="117" spans="1:35" s="231" customFormat="1" ht="15" customHeight="1" thickBot="1" x14ac:dyDescent="0.25">
      <c r="A117" s="221" t="str">
        <f t="shared" si="3"/>
        <v>OK</v>
      </c>
      <c r="B117" s="222" t="str">
        <f t="shared" si="4"/>
        <v>OK</v>
      </c>
      <c r="C117" s="223" t="str">
        <f t="shared" si="5"/>
        <v>OK</v>
      </c>
      <c r="D117" s="28">
        <v>0</v>
      </c>
      <c r="E117" s="49" t="s">
        <v>8768</v>
      </c>
      <c r="F117" s="169" t="s">
        <v>6169</v>
      </c>
      <c r="G117" s="169">
        <v>181202</v>
      </c>
      <c r="H117" s="169" t="s">
        <v>8769</v>
      </c>
      <c r="I117" s="169" t="s">
        <v>6820</v>
      </c>
      <c r="J117" s="169" t="s">
        <v>6829</v>
      </c>
      <c r="K117" s="169" t="s">
        <v>8770</v>
      </c>
      <c r="L117" s="169" t="s">
        <v>1895</v>
      </c>
      <c r="M117" s="169" t="s">
        <v>8771</v>
      </c>
      <c r="N117" s="170">
        <v>44347</v>
      </c>
      <c r="O117" s="169" t="s">
        <v>7729</v>
      </c>
      <c r="P117" s="170">
        <v>44347</v>
      </c>
      <c r="Q117" s="170">
        <v>44347</v>
      </c>
      <c r="R117" s="170">
        <v>44347</v>
      </c>
      <c r="S117" s="171" t="s">
        <v>7026</v>
      </c>
      <c r="T117" s="171" t="s">
        <v>7729</v>
      </c>
      <c r="U117" s="245">
        <v>44351</v>
      </c>
      <c r="V117" s="171" t="s">
        <v>8772</v>
      </c>
      <c r="W117" s="171">
        <v>1</v>
      </c>
      <c r="X117" s="171" t="s">
        <v>5683</v>
      </c>
      <c r="Y117" s="171" t="s">
        <v>4999</v>
      </c>
      <c r="Z117" s="245">
        <v>44354</v>
      </c>
      <c r="AA117" s="175" t="s">
        <v>264</v>
      </c>
      <c r="AB117" s="175">
        <v>44355</v>
      </c>
      <c r="AC117" s="175">
        <v>44355</v>
      </c>
      <c r="AF117" s="239"/>
      <c r="AG117" s="240"/>
      <c r="AH117" s="233"/>
    </row>
    <row r="118" spans="1:35" s="231" customFormat="1" ht="15" customHeight="1" thickBot="1" x14ac:dyDescent="0.25">
      <c r="A118" s="221" t="str">
        <f t="shared" si="3"/>
        <v>OK</v>
      </c>
      <c r="B118" s="222" t="str">
        <f t="shared" si="4"/>
        <v>OK</v>
      </c>
      <c r="C118" s="223" t="str">
        <f t="shared" si="5"/>
        <v>OK</v>
      </c>
      <c r="D118" s="28">
        <v>0</v>
      </c>
      <c r="E118" s="49" t="s">
        <v>8773</v>
      </c>
      <c r="F118" s="169" t="s">
        <v>8774</v>
      </c>
      <c r="G118" s="169">
        <v>181489</v>
      </c>
      <c r="H118" s="169" t="s">
        <v>8775</v>
      </c>
      <c r="I118" s="169" t="s">
        <v>6820</v>
      </c>
      <c r="J118" s="169" t="s">
        <v>6829</v>
      </c>
      <c r="K118" s="169" t="s">
        <v>8445</v>
      </c>
      <c r="L118" s="169" t="s">
        <v>8630</v>
      </c>
      <c r="M118" s="169" t="s">
        <v>8631</v>
      </c>
      <c r="N118" s="170">
        <v>44354</v>
      </c>
      <c r="O118" s="169" t="s">
        <v>7729</v>
      </c>
      <c r="P118" s="170">
        <v>44355</v>
      </c>
      <c r="Q118" s="170">
        <v>44355</v>
      </c>
      <c r="R118" s="170">
        <v>44355</v>
      </c>
      <c r="S118" s="171" t="s">
        <v>8717</v>
      </c>
      <c r="T118" s="171" t="s">
        <v>7729</v>
      </c>
      <c r="U118" s="245">
        <v>44361</v>
      </c>
      <c r="V118" s="171" t="s">
        <v>8632</v>
      </c>
      <c r="W118" s="171">
        <v>20</v>
      </c>
      <c r="X118" s="171" t="s">
        <v>5683</v>
      </c>
      <c r="Y118" s="171" t="s">
        <v>4999</v>
      </c>
      <c r="Z118" s="245">
        <v>44363</v>
      </c>
      <c r="AA118" s="175" t="s">
        <v>264</v>
      </c>
      <c r="AB118" s="175">
        <v>44365</v>
      </c>
      <c r="AC118" s="175">
        <v>44365</v>
      </c>
      <c r="AF118" s="239"/>
      <c r="AG118" s="240"/>
      <c r="AH118" s="233"/>
    </row>
    <row r="119" spans="1:35" s="231" customFormat="1" ht="15" customHeight="1" thickBot="1" x14ac:dyDescent="0.25">
      <c r="A119" s="221" t="str">
        <f>IF(OR(ISBLANK(D119),ISBLANK(E119),ISBLANK(#REF!),ISBLANK(#REF!),ISBLANK(#REF!),ISBLANK(#REF!),ISBLANK(#REF!),ISBLANK(#REF!),ISBLANK(#REF!),ISBLANK(#REF!),ISBLANK(#REF!),ISBLANK(#REF!),ISBLANK(#REF!),ISBLANK(#REF!),ISBLANK(#REF!))=TRUE,"P","OK")</f>
        <v>OK</v>
      </c>
      <c r="B119" s="222" t="str">
        <f>IF(OR(ISBLANK(#REF!),ISBLANK(#REF!),ISBLANK(#REF!),ISBLANK(#REF!),ISBLANK(#REF!),ISBLANK(#REF!),ISBLANK(Y119),ISBLANK(Z119))=TRUE,"P","OK")</f>
        <v>OK</v>
      </c>
      <c r="C119" s="223" t="str">
        <f t="shared" si="5"/>
        <v>OK</v>
      </c>
      <c r="D119" s="28">
        <v>0</v>
      </c>
      <c r="E119" s="49" t="s">
        <v>8776</v>
      </c>
      <c r="F119" s="169" t="s">
        <v>8369</v>
      </c>
      <c r="G119" s="169">
        <v>181497</v>
      </c>
      <c r="H119" s="169" t="s">
        <v>8777</v>
      </c>
      <c r="I119" s="169" t="s">
        <v>6820</v>
      </c>
      <c r="J119" s="169" t="s">
        <v>6829</v>
      </c>
      <c r="K119" s="169" t="s">
        <v>8778</v>
      </c>
      <c r="L119" s="169" t="s">
        <v>8779</v>
      </c>
      <c r="M119" s="169" t="s">
        <v>8706</v>
      </c>
      <c r="N119" s="290">
        <v>44358</v>
      </c>
      <c r="O119" s="179" t="s">
        <v>7729</v>
      </c>
      <c r="P119" s="290">
        <v>44358</v>
      </c>
      <c r="Q119" s="290">
        <v>44358</v>
      </c>
      <c r="R119" s="290">
        <v>44358</v>
      </c>
      <c r="S119" s="171" t="s">
        <v>8717</v>
      </c>
      <c r="T119" s="171" t="s">
        <v>7729</v>
      </c>
      <c r="U119" s="245">
        <v>44358</v>
      </c>
      <c r="V119" s="245" t="s">
        <v>8780</v>
      </c>
      <c r="W119" s="245">
        <v>8</v>
      </c>
      <c r="X119" s="245" t="s">
        <v>5683</v>
      </c>
      <c r="Y119" s="171" t="s">
        <v>4999</v>
      </c>
      <c r="Z119" s="245">
        <v>44353</v>
      </c>
      <c r="AA119" s="175" t="s">
        <v>264</v>
      </c>
      <c r="AB119" s="175">
        <v>44368</v>
      </c>
      <c r="AC119" s="175">
        <v>44368</v>
      </c>
      <c r="AF119" s="239"/>
      <c r="AG119" s="240"/>
      <c r="AH119" s="233"/>
    </row>
    <row r="120" spans="1:35" s="231" customFormat="1" ht="15" customHeight="1" thickBot="1" x14ac:dyDescent="0.25">
      <c r="A120" s="221" t="str">
        <f>IF(OR(ISBLANK(D120),ISBLANK(E120),ISBLANK(#REF!),ISBLANK(#REF!),ISBLANK(#REF!),ISBLANK(#REF!),ISBLANK(#REF!),ISBLANK(#REF!),ISBLANK(#REF!),ISBLANK(#REF!),ISBLANK(#REF!),ISBLANK(#REF!),ISBLANK(#REF!),ISBLANK(#REF!),ISBLANK(#REF!))=TRUE,"P","OK")</f>
        <v>OK</v>
      </c>
      <c r="B120" s="222" t="str">
        <f>IF(OR(ISBLANK(#REF!),ISBLANK(#REF!),ISBLANK(#REF!),ISBLANK(#REF!),ISBLANK(#REF!),ISBLANK(#REF!),ISBLANK(Y120),ISBLANK(Z120))=TRUE,"P","OK")</f>
        <v>OK</v>
      </c>
      <c r="C120" s="223" t="str">
        <f t="shared" si="5"/>
        <v>OK</v>
      </c>
      <c r="D120" s="28">
        <v>0</v>
      </c>
      <c r="E120" s="49" t="s">
        <v>8781</v>
      </c>
      <c r="F120" s="169" t="s">
        <v>6169</v>
      </c>
      <c r="G120" s="169">
        <v>181202</v>
      </c>
      <c r="H120" s="169" t="s">
        <v>8782</v>
      </c>
      <c r="I120" s="169" t="s">
        <v>6820</v>
      </c>
      <c r="J120" s="169" t="s">
        <v>6829</v>
      </c>
      <c r="K120" s="169" t="s">
        <v>8783</v>
      </c>
      <c r="L120" s="169" t="s">
        <v>8784</v>
      </c>
      <c r="M120" s="169" t="s">
        <v>8785</v>
      </c>
      <c r="N120" s="290">
        <v>44361</v>
      </c>
      <c r="O120" s="179" t="s">
        <v>7729</v>
      </c>
      <c r="P120" s="290">
        <v>44361</v>
      </c>
      <c r="Q120" s="290">
        <v>44361</v>
      </c>
      <c r="R120" s="290">
        <v>44361</v>
      </c>
      <c r="S120" s="171" t="s">
        <v>7026</v>
      </c>
      <c r="T120" s="171" t="s">
        <v>7026</v>
      </c>
      <c r="U120" s="245">
        <v>44363</v>
      </c>
      <c r="V120" s="245" t="s">
        <v>7129</v>
      </c>
      <c r="W120" s="171">
        <v>6</v>
      </c>
      <c r="X120" s="245" t="s">
        <v>5683</v>
      </c>
      <c r="Y120" s="171" t="s">
        <v>4999</v>
      </c>
      <c r="Z120" s="245">
        <v>44363</v>
      </c>
      <c r="AA120" s="175" t="s">
        <v>264</v>
      </c>
      <c r="AB120" s="175">
        <v>44363</v>
      </c>
      <c r="AC120" s="175">
        <v>44363</v>
      </c>
      <c r="AF120" s="239"/>
      <c r="AG120" s="240"/>
      <c r="AH120" s="233"/>
    </row>
    <row r="121" spans="1:35" s="231" customFormat="1" ht="15" customHeight="1" thickBot="1" x14ac:dyDescent="0.25">
      <c r="A121" s="221" t="str">
        <f>IF(OR(ISBLANK(D121),ISBLANK(E121),ISBLANK(#REF!),ISBLANK(#REF!),ISBLANK(#REF!),ISBLANK(#REF!),ISBLANK(#REF!),ISBLANK(#REF!),ISBLANK(#REF!),ISBLANK(#REF!),ISBLANK(#REF!),ISBLANK(#REF!),ISBLANK(#REF!),ISBLANK(#REF!),ISBLANK(#REF!))=TRUE,"P","OK")</f>
        <v>OK</v>
      </c>
      <c r="B121" s="222" t="str">
        <f>IF(OR(ISBLANK(#REF!),ISBLANK(#REF!),ISBLANK(#REF!),ISBLANK(#REF!),ISBLANK(#REF!),ISBLANK(#REF!),ISBLANK(Y121),ISBLANK(Z121))=TRUE,"P","OK")</f>
        <v>OK</v>
      </c>
      <c r="C121" s="223" t="str">
        <f t="shared" si="5"/>
        <v>OK</v>
      </c>
      <c r="D121" s="28">
        <v>0</v>
      </c>
      <c r="E121" s="49" t="s">
        <v>8786</v>
      </c>
      <c r="F121" s="169" t="s">
        <v>6169</v>
      </c>
      <c r="G121" s="169">
        <v>181202</v>
      </c>
      <c r="H121" s="169" t="s">
        <v>8787</v>
      </c>
      <c r="I121" s="169" t="s">
        <v>6820</v>
      </c>
      <c r="J121" s="169" t="s">
        <v>6829</v>
      </c>
      <c r="K121" s="169" t="s">
        <v>8305</v>
      </c>
      <c r="L121" s="169" t="s">
        <v>8788</v>
      </c>
      <c r="M121" s="169" t="s">
        <v>8789</v>
      </c>
      <c r="N121" s="290">
        <v>44362</v>
      </c>
      <c r="O121" s="179" t="s">
        <v>7729</v>
      </c>
      <c r="P121" s="290">
        <v>44362</v>
      </c>
      <c r="Q121" s="290">
        <v>44362</v>
      </c>
      <c r="R121" s="290">
        <v>44362</v>
      </c>
      <c r="S121" s="171" t="s">
        <v>7026</v>
      </c>
      <c r="T121" s="171" t="s">
        <v>7729</v>
      </c>
      <c r="U121" s="245">
        <v>44370</v>
      </c>
      <c r="V121" s="245" t="s">
        <v>3416</v>
      </c>
      <c r="W121" s="171">
        <v>1</v>
      </c>
      <c r="X121" s="245" t="s">
        <v>5683</v>
      </c>
      <c r="Y121" s="171" t="s">
        <v>4999</v>
      </c>
      <c r="Z121" s="245">
        <v>44370</v>
      </c>
      <c r="AA121" s="175" t="s">
        <v>264</v>
      </c>
      <c r="AB121" s="175">
        <v>44370</v>
      </c>
      <c r="AC121" s="175">
        <v>44370</v>
      </c>
      <c r="AF121" s="239"/>
      <c r="AG121" s="240"/>
      <c r="AH121" s="233"/>
    </row>
    <row r="122" spans="1:35" s="231" customFormat="1" ht="15" customHeight="1" thickBot="1" x14ac:dyDescent="0.25">
      <c r="A122" s="221" t="str">
        <f t="shared" si="3"/>
        <v>OK</v>
      </c>
      <c r="B122" s="222" t="str">
        <f t="shared" si="4"/>
        <v>OK</v>
      </c>
      <c r="C122" s="223" t="str">
        <f t="shared" si="5"/>
        <v>OK</v>
      </c>
      <c r="D122" s="28">
        <v>0</v>
      </c>
      <c r="E122" s="49" t="s">
        <v>8790</v>
      </c>
      <c r="F122" s="169" t="s">
        <v>8317</v>
      </c>
      <c r="G122" s="169">
        <v>181503</v>
      </c>
      <c r="H122" s="169" t="s">
        <v>8791</v>
      </c>
      <c r="I122" s="169" t="s">
        <v>6820</v>
      </c>
      <c r="J122" s="169" t="s">
        <v>6829</v>
      </c>
      <c r="K122" s="169" t="s">
        <v>8563</v>
      </c>
      <c r="L122" s="169" t="s">
        <v>8792</v>
      </c>
      <c r="M122" s="169" t="s">
        <v>8565</v>
      </c>
      <c r="N122" s="170">
        <v>44362</v>
      </c>
      <c r="O122" s="169" t="s">
        <v>7729</v>
      </c>
      <c r="P122" s="170">
        <v>44362</v>
      </c>
      <c r="Q122" s="170">
        <v>44362</v>
      </c>
      <c r="R122" s="170">
        <v>44363</v>
      </c>
      <c r="S122" s="171" t="s">
        <v>8717</v>
      </c>
      <c r="T122" s="171" t="s">
        <v>7729</v>
      </c>
      <c r="U122" s="245">
        <v>44364</v>
      </c>
      <c r="V122" s="171" t="s">
        <v>7304</v>
      </c>
      <c r="W122" s="171">
        <v>5</v>
      </c>
      <c r="X122" s="171" t="s">
        <v>5683</v>
      </c>
      <c r="Y122" s="171" t="s">
        <v>4999</v>
      </c>
      <c r="Z122" s="245">
        <v>44371</v>
      </c>
      <c r="AA122" s="175" t="s">
        <v>264</v>
      </c>
      <c r="AB122" s="175">
        <v>44375</v>
      </c>
      <c r="AC122" s="175">
        <v>44375</v>
      </c>
      <c r="AF122" s="239"/>
      <c r="AG122" s="240"/>
      <c r="AH122" s="233"/>
    </row>
    <row r="123" spans="1:35" s="231" customFormat="1" ht="15" customHeight="1" thickBot="1" x14ac:dyDescent="0.25">
      <c r="A123" s="221" t="str">
        <f t="shared" si="3"/>
        <v>OK</v>
      </c>
      <c r="B123" s="222" t="str">
        <f t="shared" si="4"/>
        <v>OK</v>
      </c>
      <c r="C123" s="223" t="str">
        <f t="shared" si="5"/>
        <v>OK</v>
      </c>
      <c r="D123" s="28">
        <v>0</v>
      </c>
      <c r="E123" s="49" t="s">
        <v>8793</v>
      </c>
      <c r="F123" s="169" t="s">
        <v>6169</v>
      </c>
      <c r="G123" s="169">
        <v>181202</v>
      </c>
      <c r="H123" s="169" t="s">
        <v>8794</v>
      </c>
      <c r="I123" s="169" t="s">
        <v>6820</v>
      </c>
      <c r="J123" s="169" t="s">
        <v>6829</v>
      </c>
      <c r="K123" s="169" t="s">
        <v>8795</v>
      </c>
      <c r="L123" s="169" t="s">
        <v>8796</v>
      </c>
      <c r="M123" s="169" t="s">
        <v>8797</v>
      </c>
      <c r="N123" s="170">
        <v>44364</v>
      </c>
      <c r="O123" s="179" t="s">
        <v>7729</v>
      </c>
      <c r="P123" s="170">
        <v>44364</v>
      </c>
      <c r="Q123" s="170">
        <v>44364</v>
      </c>
      <c r="R123" s="170">
        <v>44364</v>
      </c>
      <c r="S123" s="245" t="s">
        <v>8717</v>
      </c>
      <c r="T123" s="171" t="s">
        <v>7729</v>
      </c>
      <c r="U123" s="245">
        <v>44370</v>
      </c>
      <c r="V123" s="245" t="s">
        <v>8798</v>
      </c>
      <c r="W123" s="171">
        <v>1</v>
      </c>
      <c r="X123" s="171" t="s">
        <v>5683</v>
      </c>
      <c r="Y123" s="171" t="s">
        <v>4999</v>
      </c>
      <c r="Z123" s="245">
        <v>44370</v>
      </c>
      <c r="AA123" s="175" t="s">
        <v>264</v>
      </c>
      <c r="AB123" s="175">
        <v>44372</v>
      </c>
      <c r="AC123" s="175">
        <v>44372</v>
      </c>
      <c r="AF123" s="239"/>
      <c r="AG123" s="240"/>
      <c r="AH123" s="233"/>
    </row>
    <row r="124" spans="1:35" s="231" customFormat="1" ht="15" customHeight="1" thickBot="1" x14ac:dyDescent="0.25">
      <c r="A124" s="221" t="str">
        <f t="shared" si="3"/>
        <v>OK</v>
      </c>
      <c r="B124" s="222" t="str">
        <f t="shared" si="4"/>
        <v>OK</v>
      </c>
      <c r="C124" s="223" t="str">
        <f t="shared" si="5"/>
        <v>OK</v>
      </c>
      <c r="D124" s="28">
        <v>0</v>
      </c>
      <c r="E124" s="49" t="s">
        <v>8799</v>
      </c>
      <c r="F124" s="169" t="s">
        <v>8369</v>
      </c>
      <c r="G124" s="169">
        <v>181512</v>
      </c>
      <c r="H124" s="169" t="s">
        <v>8800</v>
      </c>
      <c r="I124" s="169" t="s">
        <v>6820</v>
      </c>
      <c r="J124" s="169" t="s">
        <v>6829</v>
      </c>
      <c r="K124" s="169" t="s">
        <v>8801</v>
      </c>
      <c r="L124" s="169" t="s">
        <v>8802</v>
      </c>
      <c r="M124" s="169" t="s">
        <v>8803</v>
      </c>
      <c r="N124" s="170">
        <v>44368</v>
      </c>
      <c r="O124" s="179" t="s">
        <v>7729</v>
      </c>
      <c r="P124" s="170">
        <v>44368</v>
      </c>
      <c r="Q124" s="170">
        <v>44368</v>
      </c>
      <c r="R124" s="170">
        <v>44368</v>
      </c>
      <c r="S124" s="245" t="s">
        <v>8717</v>
      </c>
      <c r="T124" s="171" t="s">
        <v>7729</v>
      </c>
      <c r="U124" s="245">
        <v>44368</v>
      </c>
      <c r="V124" s="245" t="s">
        <v>8804</v>
      </c>
      <c r="W124" s="171">
        <v>1</v>
      </c>
      <c r="X124" s="171" t="s">
        <v>5683</v>
      </c>
      <c r="Y124" s="171" t="s">
        <v>4999</v>
      </c>
      <c r="Z124" s="245">
        <v>44371</v>
      </c>
      <c r="AA124" s="175" t="s">
        <v>264</v>
      </c>
      <c r="AB124" s="175">
        <v>44375</v>
      </c>
      <c r="AC124" s="175">
        <v>44375</v>
      </c>
      <c r="AF124" s="239"/>
      <c r="AG124" s="240"/>
      <c r="AH124" s="233"/>
    </row>
    <row r="125" spans="1:35" s="231" customFormat="1" ht="15" customHeight="1" thickBot="1" x14ac:dyDescent="0.25">
      <c r="A125" s="221" t="str">
        <f t="shared" si="3"/>
        <v>OK</v>
      </c>
      <c r="B125" s="222" t="str">
        <f t="shared" si="4"/>
        <v>OK</v>
      </c>
      <c r="C125" s="223" t="str">
        <f t="shared" si="5"/>
        <v>OK</v>
      </c>
      <c r="D125" s="28">
        <v>0</v>
      </c>
      <c r="E125" s="49" t="s">
        <v>8805</v>
      </c>
      <c r="F125" s="169" t="s">
        <v>7563</v>
      </c>
      <c r="G125" s="169">
        <v>181509</v>
      </c>
      <c r="H125" s="169" t="s">
        <v>8806</v>
      </c>
      <c r="I125" s="169" t="s">
        <v>6820</v>
      </c>
      <c r="J125" s="169" t="s">
        <v>6829</v>
      </c>
      <c r="K125" s="169" t="s">
        <v>2490</v>
      </c>
      <c r="L125" s="169" t="s">
        <v>8807</v>
      </c>
      <c r="M125" s="169" t="s">
        <v>8808</v>
      </c>
      <c r="N125" s="170">
        <v>44364</v>
      </c>
      <c r="O125" s="288" t="s">
        <v>8644</v>
      </c>
      <c r="P125" s="288" t="s">
        <v>8644</v>
      </c>
      <c r="Q125" s="170">
        <v>44364</v>
      </c>
      <c r="R125" s="170">
        <v>44368</v>
      </c>
      <c r="S125" s="245" t="s">
        <v>8717</v>
      </c>
      <c r="T125" s="171" t="s">
        <v>7729</v>
      </c>
      <c r="U125" s="245">
        <v>44370</v>
      </c>
      <c r="V125" s="245" t="s">
        <v>8809</v>
      </c>
      <c r="W125" s="171">
        <v>2</v>
      </c>
      <c r="X125" s="171" t="s">
        <v>5683</v>
      </c>
      <c r="Y125" s="171" t="s">
        <v>4999</v>
      </c>
      <c r="Z125" s="245">
        <v>44375</v>
      </c>
      <c r="AA125" s="175" t="s">
        <v>264</v>
      </c>
      <c r="AB125" s="175">
        <v>44375</v>
      </c>
      <c r="AC125" s="175">
        <v>44375</v>
      </c>
      <c r="AF125" s="239"/>
      <c r="AG125" s="240"/>
      <c r="AH125" s="233"/>
    </row>
    <row r="126" spans="1:35" s="231" customFormat="1" ht="15" customHeight="1" thickBot="1" x14ac:dyDescent="0.25">
      <c r="A126" s="221" t="str">
        <f t="shared" si="3"/>
        <v>OK</v>
      </c>
      <c r="B126" s="222" t="str">
        <f t="shared" si="4"/>
        <v>OK</v>
      </c>
      <c r="C126" s="223" t="str">
        <f t="shared" si="5"/>
        <v>OK</v>
      </c>
      <c r="D126" s="28">
        <v>0</v>
      </c>
      <c r="E126" s="49" t="s">
        <v>8810</v>
      </c>
      <c r="F126" s="169" t="s">
        <v>6169</v>
      </c>
      <c r="G126" s="169">
        <v>181202</v>
      </c>
      <c r="H126" s="169" t="s">
        <v>8811</v>
      </c>
      <c r="I126" s="169" t="s">
        <v>6820</v>
      </c>
      <c r="J126" s="169" t="s">
        <v>6829</v>
      </c>
      <c r="K126" s="169" t="s">
        <v>8812</v>
      </c>
      <c r="L126" s="169" t="s">
        <v>8813</v>
      </c>
      <c r="M126" s="169" t="s">
        <v>8814</v>
      </c>
      <c r="N126" s="170">
        <v>44370</v>
      </c>
      <c r="O126" s="169" t="s">
        <v>7729</v>
      </c>
      <c r="P126" s="170">
        <v>44370</v>
      </c>
      <c r="Q126" s="170">
        <v>44370</v>
      </c>
      <c r="R126" s="170">
        <v>44370</v>
      </c>
      <c r="S126" s="245" t="s">
        <v>7026</v>
      </c>
      <c r="T126" s="171" t="s">
        <v>7026</v>
      </c>
      <c r="U126" s="245">
        <v>44372</v>
      </c>
      <c r="V126" s="245" t="s">
        <v>8815</v>
      </c>
      <c r="W126" s="171">
        <v>4</v>
      </c>
      <c r="X126" s="171" t="s">
        <v>5683</v>
      </c>
      <c r="Y126" s="171" t="s">
        <v>4999</v>
      </c>
      <c r="Z126" s="245">
        <v>44375</v>
      </c>
      <c r="AA126" s="175" t="s">
        <v>264</v>
      </c>
      <c r="AB126" s="175">
        <v>44375</v>
      </c>
      <c r="AC126" s="175">
        <v>44375</v>
      </c>
      <c r="AF126" s="239"/>
      <c r="AG126" s="240"/>
      <c r="AH126" s="233"/>
    </row>
    <row r="127" spans="1:35" s="231" customFormat="1" ht="15" customHeight="1" thickBot="1" x14ac:dyDescent="0.25">
      <c r="A127" s="221" t="str">
        <f>IF(OR(ISBLANK(D127),ISBLANK(E127),ISBLANK(F127),ISBLANK(G127),ISBLANK(H127),ISBLANK(I127),ISBLANK(J127),ISBLANK(K127),ISBLANK(L127),ISBLANK(M127),ISBLANK(N127),ISBLANK(O127),ISBLANK(P127),ISBLANK(Q127),ISBLANK(R127))=TRUE,"P","OK")</f>
        <v>OK</v>
      </c>
      <c r="B127" s="222" t="str">
        <f t="shared" ref="B127:B134" si="6">IF(OR(ISBLANK(S127),ISBLANK(T127),ISBLANK(U127),ISBLANK(V127),ISBLANK(W127),ISBLANK(X127),ISBLANK(Y127),ISBLANK(Z127))=TRUE,"P","OK")</f>
        <v>OK</v>
      </c>
      <c r="C127" s="223" t="str">
        <f t="shared" ref="C127:C134" si="7">IF(OR(ISBLANK(AA127),ISBLANK(AB127),ISBLANK(AC127))=TRUE,"P","OK")</f>
        <v>OK</v>
      </c>
      <c r="D127" s="28">
        <v>0</v>
      </c>
      <c r="E127" s="49" t="s">
        <v>8816</v>
      </c>
      <c r="F127" s="169" t="s">
        <v>8277</v>
      </c>
      <c r="G127" s="169">
        <v>181510</v>
      </c>
      <c r="H127" s="169" t="s">
        <v>8817</v>
      </c>
      <c r="I127" s="169" t="s">
        <v>6820</v>
      </c>
      <c r="J127" s="169" t="s">
        <v>6829</v>
      </c>
      <c r="K127" s="169" t="s">
        <v>8528</v>
      </c>
      <c r="L127" s="169" t="s">
        <v>8818</v>
      </c>
      <c r="M127" s="169" t="s">
        <v>7516</v>
      </c>
      <c r="N127" s="170">
        <v>44377</v>
      </c>
      <c r="O127" s="169" t="s">
        <v>7729</v>
      </c>
      <c r="P127" s="170">
        <v>44365</v>
      </c>
      <c r="Q127" s="170">
        <v>44369</v>
      </c>
      <c r="R127" s="170">
        <v>44371</v>
      </c>
      <c r="S127" s="171" t="s">
        <v>8717</v>
      </c>
      <c r="T127" s="171" t="s">
        <v>7729</v>
      </c>
      <c r="U127" s="245">
        <v>44385</v>
      </c>
      <c r="V127" s="171" t="s">
        <v>8819</v>
      </c>
      <c r="W127" s="171">
        <v>1</v>
      </c>
      <c r="X127" s="171" t="s">
        <v>5683</v>
      </c>
      <c r="Y127" s="171" t="s">
        <v>4999</v>
      </c>
      <c r="Z127" s="245">
        <v>44385</v>
      </c>
      <c r="AA127" s="175" t="s">
        <v>264</v>
      </c>
      <c r="AB127" s="175">
        <v>44389</v>
      </c>
      <c r="AC127" s="175">
        <v>44389</v>
      </c>
      <c r="AF127" s="239"/>
      <c r="AG127" s="240"/>
      <c r="AH127" s="233"/>
    </row>
    <row r="128" spans="1:35" s="231" customFormat="1" ht="15" customHeight="1" thickBot="1" x14ac:dyDescent="0.25">
      <c r="A128" s="221" t="str">
        <f>IF(OR(ISBLANK(D128),ISBLANK(E128),ISBLANK(F128),ISBLANK(G128),ISBLANK(H128),ISBLANK(I128),ISBLANK(J128),ISBLANK(K128),ISBLANK(L128),ISBLANK(M128),ISBLANK(N128),ISBLANK(O128),ISBLANK(P128),ISBLANK(Q128),ISBLANK(R128))=TRUE,"P","OK")</f>
        <v>OK</v>
      </c>
      <c r="B128" s="222" t="str">
        <f t="shared" si="6"/>
        <v>OK</v>
      </c>
      <c r="C128" s="223" t="str">
        <f t="shared" si="7"/>
        <v>OK</v>
      </c>
      <c r="D128" s="28">
        <v>0</v>
      </c>
      <c r="E128" s="49" t="s">
        <v>8820</v>
      </c>
      <c r="F128" s="169" t="s">
        <v>8277</v>
      </c>
      <c r="G128" s="169">
        <v>181510</v>
      </c>
      <c r="H128" s="169" t="s">
        <v>8821</v>
      </c>
      <c r="I128" s="169" t="s">
        <v>6820</v>
      </c>
      <c r="J128" s="169" t="s">
        <v>6829</v>
      </c>
      <c r="K128" s="169" t="s">
        <v>8822</v>
      </c>
      <c r="L128" s="169" t="s">
        <v>292</v>
      </c>
      <c r="M128" s="169" t="s">
        <v>8823</v>
      </c>
      <c r="N128" s="170">
        <v>44377</v>
      </c>
      <c r="O128" s="169" t="s">
        <v>7729</v>
      </c>
      <c r="P128" s="170">
        <v>44365</v>
      </c>
      <c r="Q128" s="170">
        <v>44369</v>
      </c>
      <c r="R128" s="170">
        <v>44371</v>
      </c>
      <c r="S128" s="171" t="s">
        <v>8717</v>
      </c>
      <c r="T128" s="171" t="s">
        <v>7729</v>
      </c>
      <c r="U128" s="245">
        <v>44385</v>
      </c>
      <c r="V128" s="171" t="s">
        <v>293</v>
      </c>
      <c r="W128" s="171">
        <v>10</v>
      </c>
      <c r="X128" s="171" t="s">
        <v>5683</v>
      </c>
      <c r="Y128" s="171" t="s">
        <v>4999</v>
      </c>
      <c r="Z128" s="245">
        <v>44385</v>
      </c>
      <c r="AA128" s="175" t="s">
        <v>264</v>
      </c>
      <c r="AB128" s="175">
        <v>44389</v>
      </c>
      <c r="AC128" s="175">
        <v>44389</v>
      </c>
      <c r="AF128" s="239"/>
      <c r="AG128" s="240"/>
      <c r="AH128" s="233"/>
    </row>
    <row r="129" spans="1:54" s="231" customFormat="1" ht="15" customHeight="1" thickBot="1" x14ac:dyDescent="0.25">
      <c r="A129" s="221" t="str">
        <f>IF(OR(ISBLANK(D129),ISBLANK(E129),ISBLANK(F129),ISBLANK(G129),ISBLANK(H129),ISBLANK(I129),ISBLANK(J129),ISBLANK(K129),ISBLANK(L129),ISBLANK(M129),ISBLANK(N129),ISBLANK(O129),ISBLANK(P129),ISBLANK(Q129),ISBLANK(R129))=TRUE,"P","OK")</f>
        <v>OK</v>
      </c>
      <c r="B129" s="222" t="str">
        <f t="shared" si="6"/>
        <v>OK</v>
      </c>
      <c r="C129" s="223" t="str">
        <f t="shared" si="7"/>
        <v>OK</v>
      </c>
      <c r="D129" s="28">
        <v>0</v>
      </c>
      <c r="E129" s="49" t="s">
        <v>8824</v>
      </c>
      <c r="F129" s="169" t="s">
        <v>8277</v>
      </c>
      <c r="G129" s="169">
        <v>181510</v>
      </c>
      <c r="H129" s="169" t="s">
        <v>8825</v>
      </c>
      <c r="I129" s="169" t="s">
        <v>6820</v>
      </c>
      <c r="J129" s="169" t="s">
        <v>6829</v>
      </c>
      <c r="K129" s="169" t="s">
        <v>8826</v>
      </c>
      <c r="L129" s="169" t="s">
        <v>8827</v>
      </c>
      <c r="M129" s="169" t="s">
        <v>8823</v>
      </c>
      <c r="N129" s="170">
        <v>44377</v>
      </c>
      <c r="O129" s="169" t="s">
        <v>7729</v>
      </c>
      <c r="P129" s="170">
        <v>44365</v>
      </c>
      <c r="Q129" s="170">
        <v>44369</v>
      </c>
      <c r="R129" s="170">
        <v>44371</v>
      </c>
      <c r="S129" s="171" t="s">
        <v>8717</v>
      </c>
      <c r="T129" s="171" t="s">
        <v>7729</v>
      </c>
      <c r="U129" s="245">
        <v>44385</v>
      </c>
      <c r="V129" s="171" t="s">
        <v>8828</v>
      </c>
      <c r="W129" s="171">
        <v>1</v>
      </c>
      <c r="X129" s="171" t="s">
        <v>5683</v>
      </c>
      <c r="Y129" s="171" t="s">
        <v>4999</v>
      </c>
      <c r="Z129" s="245">
        <v>44385</v>
      </c>
      <c r="AA129" s="175" t="s">
        <v>264</v>
      </c>
      <c r="AB129" s="175">
        <v>44389</v>
      </c>
      <c r="AC129" s="175">
        <v>44389</v>
      </c>
      <c r="AF129" s="239"/>
      <c r="AG129" s="240"/>
      <c r="AH129" s="233"/>
    </row>
    <row r="130" spans="1:54" s="231" customFormat="1" ht="15" customHeight="1" thickBot="1" x14ac:dyDescent="0.25">
      <c r="A130" s="221" t="str">
        <f>IF(OR(ISBLANK(#REF!),ISBLANK(#REF!),ISBLANK(#REF!),ISBLANK(#REF!),ISBLANK(#REF!),ISBLANK(#REF!),ISBLANK(#REF!),ISBLANK(#REF!),ISBLANK(#REF!),ISBLANK(#REF!),ISBLANK(#REF!),ISBLANK(#REF!),ISBLANK(#REF!),ISBLANK(#REF!),ISBLANK(#REF!))=TRUE,"P","OK")</f>
        <v>OK</v>
      </c>
      <c r="B130" s="222" t="str">
        <f>IF(OR(ISBLANK(#REF!),ISBLANK(#REF!),ISBLANK(#REF!),ISBLANK(#REF!),ISBLANK(#REF!),ISBLANK(#REF!),ISBLANK(#REF!),ISBLANK(#REF!))=TRUE,"P","OK")</f>
        <v>OK</v>
      </c>
      <c r="C130" s="223" t="str">
        <f>IF(OR(ISBLANK(#REF!),ISBLANK(#REF!),ISBLANK(#REF!))=TRUE,"P","OK")</f>
        <v>OK</v>
      </c>
      <c r="D130" s="28">
        <v>0</v>
      </c>
      <c r="E130" s="49" t="s">
        <v>8829</v>
      </c>
      <c r="F130" s="169" t="s">
        <v>8277</v>
      </c>
      <c r="G130" s="169">
        <v>181510</v>
      </c>
      <c r="H130" s="169" t="s">
        <v>8830</v>
      </c>
      <c r="I130" s="169" t="s">
        <v>6820</v>
      </c>
      <c r="J130" s="169" t="s">
        <v>6829</v>
      </c>
      <c r="K130" s="169" t="s">
        <v>8831</v>
      </c>
      <c r="L130" s="169" t="s">
        <v>8832</v>
      </c>
      <c r="M130" s="169" t="s">
        <v>8823</v>
      </c>
      <c r="N130" s="170">
        <v>44377</v>
      </c>
      <c r="O130" s="169" t="s">
        <v>7729</v>
      </c>
      <c r="P130" s="170">
        <v>44365</v>
      </c>
      <c r="Q130" s="170">
        <v>44369</v>
      </c>
      <c r="R130" s="170">
        <v>44371</v>
      </c>
      <c r="S130" s="245" t="s">
        <v>8717</v>
      </c>
      <c r="T130" s="171" t="s">
        <v>7729</v>
      </c>
      <c r="U130" s="245">
        <v>44385</v>
      </c>
      <c r="V130" s="245" t="s">
        <v>79</v>
      </c>
      <c r="W130" s="171">
        <v>1</v>
      </c>
      <c r="X130" s="171" t="s">
        <v>5683</v>
      </c>
      <c r="Y130" s="171" t="s">
        <v>4999</v>
      </c>
      <c r="Z130" s="245">
        <v>44385</v>
      </c>
      <c r="AA130" s="175" t="s">
        <v>264</v>
      </c>
      <c r="AB130" s="175">
        <v>44389</v>
      </c>
      <c r="AC130" s="175">
        <v>44389</v>
      </c>
      <c r="AF130" s="239"/>
      <c r="AG130" s="240"/>
      <c r="AH130" s="233"/>
    </row>
    <row r="131" spans="1:54" s="231" customFormat="1" ht="15" customHeight="1" thickBot="1" x14ac:dyDescent="0.25">
      <c r="A131" s="221" t="str">
        <f>IF(OR(ISBLANK(#REF!),ISBLANK(#REF!),ISBLANK(#REF!),ISBLANK(#REF!),ISBLANK(#REF!),ISBLANK(#REF!),ISBLANK(#REF!),ISBLANK(#REF!),ISBLANK(#REF!),ISBLANK(#REF!),ISBLANK(#REF!),ISBLANK(#REF!),ISBLANK(#REF!),ISBLANK(#REF!),ISBLANK(#REF!))=TRUE,"P","OK")</f>
        <v>OK</v>
      </c>
      <c r="B131" s="222" t="str">
        <f>IF(OR(ISBLANK(#REF!),ISBLANK(#REF!),ISBLANK(#REF!),ISBLANK(#REF!),ISBLANK(#REF!),ISBLANK(#REF!),ISBLANK(#REF!),ISBLANK(#REF!))=TRUE,"P","OK")</f>
        <v>OK</v>
      </c>
      <c r="C131" s="223" t="str">
        <f>IF(OR(ISBLANK(#REF!),ISBLANK(#REF!),ISBLANK(#REF!))=TRUE,"P","OK")</f>
        <v>OK</v>
      </c>
      <c r="D131" s="28">
        <v>0</v>
      </c>
      <c r="E131" s="49" t="s">
        <v>8833</v>
      </c>
      <c r="F131" s="169" t="s">
        <v>8277</v>
      </c>
      <c r="G131" s="169">
        <v>181510</v>
      </c>
      <c r="H131" s="169" t="s">
        <v>8834</v>
      </c>
      <c r="I131" s="169" t="s">
        <v>6820</v>
      </c>
      <c r="J131" s="169" t="s">
        <v>6829</v>
      </c>
      <c r="K131" s="169" t="s">
        <v>8835</v>
      </c>
      <c r="L131" s="169" t="s">
        <v>8836</v>
      </c>
      <c r="M131" s="169" t="s">
        <v>8823</v>
      </c>
      <c r="N131" s="170">
        <v>44375</v>
      </c>
      <c r="O131" s="169" t="s">
        <v>7729</v>
      </c>
      <c r="P131" s="170">
        <v>44365</v>
      </c>
      <c r="Q131" s="170">
        <v>44369</v>
      </c>
      <c r="R131" s="170">
        <v>44376</v>
      </c>
      <c r="S131" s="245" t="s">
        <v>8717</v>
      </c>
      <c r="T131" s="245" t="s">
        <v>7729</v>
      </c>
      <c r="U131" s="245">
        <v>44384</v>
      </c>
      <c r="V131" s="245" t="s">
        <v>8837</v>
      </c>
      <c r="W131" s="171">
        <v>1</v>
      </c>
      <c r="X131" s="171" t="s">
        <v>5683</v>
      </c>
      <c r="Y131" s="171" t="s">
        <v>4999</v>
      </c>
      <c r="Z131" s="245">
        <v>44384</v>
      </c>
      <c r="AA131" s="175" t="s">
        <v>264</v>
      </c>
      <c r="AB131" s="175">
        <v>44389</v>
      </c>
      <c r="AC131" s="175">
        <v>44389</v>
      </c>
      <c r="AF131" s="239"/>
      <c r="AG131" s="240"/>
      <c r="AH131" s="233"/>
    </row>
    <row r="132" spans="1:54" s="231" customFormat="1" ht="15" customHeight="1" thickBot="1" x14ac:dyDescent="0.25">
      <c r="A132" s="221" t="str">
        <f>IF(OR(ISBLANK(#REF!),ISBLANK(#REF!),ISBLANK(#REF!),ISBLANK(#REF!),ISBLANK(#REF!),ISBLANK(#REF!),ISBLANK(#REF!),ISBLANK(#REF!),ISBLANK(#REF!),ISBLANK(#REF!),ISBLANK(#REF!),ISBLANK(#REF!),ISBLANK(#REF!),ISBLANK(#REF!),ISBLANK(#REF!))=TRUE,"P","OK")</f>
        <v>OK</v>
      </c>
      <c r="B132" s="222" t="str">
        <f>IF(OR(ISBLANK(#REF!),ISBLANK(#REF!),ISBLANK(#REF!),ISBLANK(#REF!),ISBLANK(#REF!),ISBLANK(#REF!),ISBLANK(#REF!),ISBLANK(#REF!))=TRUE,"P","OK")</f>
        <v>OK</v>
      </c>
      <c r="C132" s="223" t="str">
        <f>IF(OR(ISBLANK(#REF!),ISBLANK(#REF!),ISBLANK(#REF!))=TRUE,"P","OK")</f>
        <v>OK</v>
      </c>
      <c r="D132" s="28">
        <v>0</v>
      </c>
      <c r="E132" s="49" t="s">
        <v>8838</v>
      </c>
      <c r="F132" s="169" t="s">
        <v>8277</v>
      </c>
      <c r="G132" s="169">
        <v>181510</v>
      </c>
      <c r="H132" s="169" t="s">
        <v>8839</v>
      </c>
      <c r="I132" s="169" t="s">
        <v>6820</v>
      </c>
      <c r="J132" s="169" t="s">
        <v>6829</v>
      </c>
      <c r="K132" s="169" t="s">
        <v>8840</v>
      </c>
      <c r="L132" s="169" t="s">
        <v>3724</v>
      </c>
      <c r="M132" s="169" t="s">
        <v>8841</v>
      </c>
      <c r="N132" s="170">
        <v>44393</v>
      </c>
      <c r="O132" s="169" t="s">
        <v>7729</v>
      </c>
      <c r="P132" s="170">
        <v>44365</v>
      </c>
      <c r="Q132" s="170">
        <v>44369</v>
      </c>
      <c r="R132" s="170">
        <v>44396</v>
      </c>
      <c r="S132" s="171" t="s">
        <v>8717</v>
      </c>
      <c r="T132" s="171" t="s">
        <v>7729</v>
      </c>
      <c r="U132" s="245">
        <v>44400</v>
      </c>
      <c r="V132" s="171" t="s">
        <v>3726</v>
      </c>
      <c r="W132" s="171">
        <v>16</v>
      </c>
      <c r="X132" s="171" t="s">
        <v>5683</v>
      </c>
      <c r="Y132" s="171" t="s">
        <v>4999</v>
      </c>
      <c r="Z132" s="245">
        <v>44400</v>
      </c>
      <c r="AA132" s="175" t="s">
        <v>264</v>
      </c>
      <c r="AB132" s="175">
        <v>44399</v>
      </c>
      <c r="AC132" s="175">
        <v>44404</v>
      </c>
      <c r="AF132" s="239"/>
      <c r="AG132" s="240"/>
      <c r="AH132" s="233"/>
    </row>
    <row r="133" spans="1:54" s="231" customFormat="1" ht="15" customHeight="1" thickBot="1" x14ac:dyDescent="0.25">
      <c r="A133" s="221" t="str">
        <f>IF(OR(ISBLANK(#REF!),ISBLANK(#REF!),ISBLANK(#REF!),ISBLANK(#REF!),ISBLANK(#REF!),ISBLANK(#REF!),ISBLANK(#REF!),ISBLANK(#REF!),ISBLANK(#REF!),ISBLANK(#REF!),ISBLANK(#REF!),ISBLANK(#REF!),ISBLANK(#REF!),ISBLANK(#REF!),ISBLANK(#REF!))=TRUE,"P","OK")</f>
        <v>OK</v>
      </c>
      <c r="B133" s="222" t="str">
        <f>IF(OR(ISBLANK(#REF!),ISBLANK(#REF!),ISBLANK(#REF!),ISBLANK(#REF!),ISBLANK(#REF!),ISBLANK(#REF!),ISBLANK(#REF!),ISBLANK(#REF!))=TRUE,"P","OK")</f>
        <v>OK</v>
      </c>
      <c r="C133" s="223" t="str">
        <f>IF(OR(ISBLANK(#REF!),ISBLANK(#REF!),ISBLANK(#REF!))=TRUE,"P","OK")</f>
        <v>OK</v>
      </c>
      <c r="D133" s="28">
        <v>0</v>
      </c>
      <c r="E133" s="49" t="s">
        <v>8842</v>
      </c>
      <c r="F133" s="169" t="s">
        <v>8277</v>
      </c>
      <c r="G133" s="169">
        <v>181510</v>
      </c>
      <c r="H133" s="169" t="s">
        <v>8843</v>
      </c>
      <c r="I133" s="169" t="s">
        <v>6820</v>
      </c>
      <c r="J133" s="169" t="s">
        <v>6829</v>
      </c>
      <c r="K133" s="169" t="s">
        <v>8844</v>
      </c>
      <c r="L133" s="169" t="s">
        <v>8845</v>
      </c>
      <c r="M133" s="169" t="s">
        <v>7516</v>
      </c>
      <c r="N133" s="170">
        <v>44393</v>
      </c>
      <c r="O133" s="169" t="s">
        <v>7729</v>
      </c>
      <c r="P133" s="170">
        <v>44365</v>
      </c>
      <c r="Q133" s="170">
        <v>44369</v>
      </c>
      <c r="R133" s="170">
        <v>44396</v>
      </c>
      <c r="S133" s="171" t="s">
        <v>8717</v>
      </c>
      <c r="T133" s="171" t="s">
        <v>7729</v>
      </c>
      <c r="U133" s="245">
        <v>44399</v>
      </c>
      <c r="V133" s="171" t="s">
        <v>7539</v>
      </c>
      <c r="W133" s="171">
        <v>2</v>
      </c>
      <c r="X133" s="171" t="s">
        <v>5683</v>
      </c>
      <c r="Y133" s="171" t="s">
        <v>4999</v>
      </c>
      <c r="Z133" s="245">
        <v>44399</v>
      </c>
      <c r="AA133" s="175" t="s">
        <v>264</v>
      </c>
      <c r="AB133" s="175">
        <v>44399</v>
      </c>
      <c r="AC133" s="175">
        <v>44404</v>
      </c>
      <c r="AF133" s="239"/>
      <c r="AG133" s="240"/>
      <c r="AH133" s="233"/>
    </row>
    <row r="134" spans="1:54" s="231" customFormat="1" ht="15" customHeight="1" thickBot="1" x14ac:dyDescent="0.25">
      <c r="A134" s="221" t="str">
        <f>IF(OR(ISBLANK(#REF!),ISBLANK(#REF!),ISBLANK(#REF!),ISBLANK(#REF!),ISBLANK(#REF!),ISBLANK(#REF!),ISBLANK(#REF!),ISBLANK(#REF!),ISBLANK(#REF!),ISBLANK(#REF!),ISBLANK(#REF!),ISBLANK(#REF!),ISBLANK(#REF!),ISBLANK(#REF!),ISBLANK(#REF!))=TRUE,"P","OK")</f>
        <v>OK</v>
      </c>
      <c r="B134" s="222" t="str">
        <f t="shared" si="6"/>
        <v>OK</v>
      </c>
      <c r="C134" s="223" t="str">
        <f t="shared" si="7"/>
        <v>OK</v>
      </c>
      <c r="D134" s="28">
        <v>0</v>
      </c>
      <c r="E134" s="49" t="s">
        <v>8846</v>
      </c>
      <c r="F134" s="169" t="s">
        <v>8277</v>
      </c>
      <c r="G134" s="169">
        <v>181510</v>
      </c>
      <c r="H134" s="169" t="s">
        <v>8847</v>
      </c>
      <c r="I134" s="169" t="s">
        <v>6820</v>
      </c>
      <c r="J134" s="169" t="s">
        <v>6829</v>
      </c>
      <c r="K134" s="169" t="s">
        <v>8848</v>
      </c>
      <c r="L134" s="169" t="s">
        <v>8849</v>
      </c>
      <c r="M134" s="169" t="s">
        <v>8823</v>
      </c>
      <c r="N134" s="170">
        <v>44406</v>
      </c>
      <c r="O134" s="169" t="s">
        <v>7729</v>
      </c>
      <c r="P134" s="170">
        <v>44365</v>
      </c>
      <c r="Q134" s="170">
        <v>44369</v>
      </c>
      <c r="R134" s="170">
        <v>44396</v>
      </c>
      <c r="S134" s="245" t="s">
        <v>7026</v>
      </c>
      <c r="T134" s="171" t="s">
        <v>7729</v>
      </c>
      <c r="U134" s="245">
        <v>44412</v>
      </c>
      <c r="V134" s="245" t="s">
        <v>8850</v>
      </c>
      <c r="W134" s="171">
        <v>2</v>
      </c>
      <c r="X134" s="171" t="s">
        <v>5683</v>
      </c>
      <c r="Y134" s="171" t="s">
        <v>4999</v>
      </c>
      <c r="Z134" s="245">
        <v>44413</v>
      </c>
      <c r="AA134" s="175" t="s">
        <v>6825</v>
      </c>
      <c r="AB134" s="175">
        <v>44427</v>
      </c>
      <c r="AC134" s="175">
        <v>44427</v>
      </c>
      <c r="AF134" s="239"/>
      <c r="AG134" s="240"/>
      <c r="AH134" s="233"/>
    </row>
    <row r="135" spans="1:54" s="231" customFormat="1" ht="15" customHeight="1" thickBot="1" x14ac:dyDescent="0.25">
      <c r="A135" s="221" t="str">
        <f t="shared" si="3"/>
        <v>OK</v>
      </c>
      <c r="B135" s="222" t="str">
        <f t="shared" si="4"/>
        <v>OK</v>
      </c>
      <c r="C135" s="223" t="str">
        <f t="shared" si="5"/>
        <v>OK</v>
      </c>
      <c r="D135" s="28">
        <v>0</v>
      </c>
      <c r="E135" s="49" t="s">
        <v>8851</v>
      </c>
      <c r="F135" s="169" t="s">
        <v>8277</v>
      </c>
      <c r="G135" s="169">
        <v>181510</v>
      </c>
      <c r="H135" s="169" t="s">
        <v>8852</v>
      </c>
      <c r="I135" s="169" t="s">
        <v>6820</v>
      </c>
      <c r="J135" s="169" t="s">
        <v>6829</v>
      </c>
      <c r="K135" s="169" t="s">
        <v>8853</v>
      </c>
      <c r="L135" s="169" t="s">
        <v>8854</v>
      </c>
      <c r="M135" s="169" t="s">
        <v>8823</v>
      </c>
      <c r="N135" s="170">
        <v>44406</v>
      </c>
      <c r="O135" s="169" t="s">
        <v>7729</v>
      </c>
      <c r="P135" s="170">
        <v>44365</v>
      </c>
      <c r="Q135" s="170">
        <v>44369</v>
      </c>
      <c r="R135" s="170">
        <v>44433</v>
      </c>
      <c r="S135" s="245" t="s">
        <v>8855</v>
      </c>
      <c r="T135" s="171" t="s">
        <v>7026</v>
      </c>
      <c r="U135" s="245">
        <v>44454</v>
      </c>
      <c r="V135" s="245" t="s">
        <v>79</v>
      </c>
      <c r="W135" s="171">
        <v>3</v>
      </c>
      <c r="X135" s="171" t="s">
        <v>5683</v>
      </c>
      <c r="Y135" s="171" t="s">
        <v>4999</v>
      </c>
      <c r="Z135" s="245">
        <v>44454</v>
      </c>
      <c r="AA135" s="175" t="s">
        <v>6850</v>
      </c>
      <c r="AB135" s="175">
        <v>44454</v>
      </c>
      <c r="AC135" s="175">
        <v>44454</v>
      </c>
      <c r="AF135" s="239"/>
      <c r="AG135" s="240"/>
      <c r="AH135" s="233"/>
    </row>
    <row r="136" spans="1:54" s="231" customFormat="1" ht="15" customHeight="1" thickBot="1" x14ac:dyDescent="0.25">
      <c r="A136" s="221" t="str">
        <f t="shared" si="3"/>
        <v>OK</v>
      </c>
      <c r="B136" s="222" t="str">
        <f t="shared" si="4"/>
        <v>OK</v>
      </c>
      <c r="C136" s="223" t="str">
        <f t="shared" si="5"/>
        <v>OK</v>
      </c>
      <c r="D136" s="28">
        <v>0</v>
      </c>
      <c r="E136" s="49" t="s">
        <v>8856</v>
      </c>
      <c r="F136" s="169" t="s">
        <v>8277</v>
      </c>
      <c r="G136" s="169">
        <v>181510</v>
      </c>
      <c r="H136" s="169" t="s">
        <v>8857</v>
      </c>
      <c r="I136" s="169" t="s">
        <v>6820</v>
      </c>
      <c r="J136" s="169" t="s">
        <v>6829</v>
      </c>
      <c r="K136" s="169" t="s">
        <v>8858</v>
      </c>
      <c r="L136" s="169" t="s">
        <v>8859</v>
      </c>
      <c r="M136" s="169" t="s">
        <v>7460</v>
      </c>
      <c r="N136" s="170">
        <v>44406</v>
      </c>
      <c r="O136" s="169" t="s">
        <v>7729</v>
      </c>
      <c r="P136" s="170">
        <v>44365</v>
      </c>
      <c r="Q136" s="170">
        <v>44369</v>
      </c>
      <c r="R136" s="170">
        <v>44433</v>
      </c>
      <c r="S136" s="245" t="s">
        <v>8855</v>
      </c>
      <c r="T136" s="171" t="s">
        <v>7026</v>
      </c>
      <c r="U136" s="245">
        <v>44454</v>
      </c>
      <c r="V136" s="245" t="s">
        <v>5022</v>
      </c>
      <c r="W136" s="171">
        <v>1</v>
      </c>
      <c r="X136" s="171" t="s">
        <v>5683</v>
      </c>
      <c r="Y136" s="171" t="s">
        <v>4999</v>
      </c>
      <c r="Z136" s="245">
        <v>44454</v>
      </c>
      <c r="AA136" s="175" t="s">
        <v>6850</v>
      </c>
      <c r="AB136" s="175">
        <v>44454</v>
      </c>
      <c r="AC136" s="175">
        <v>44454</v>
      </c>
      <c r="AF136" s="239"/>
      <c r="AG136" s="240"/>
      <c r="AH136" s="233"/>
    </row>
    <row r="137" spans="1:54" s="231" customFormat="1" ht="15" customHeight="1" thickBot="1" x14ac:dyDescent="0.25">
      <c r="A137" s="221" t="str">
        <f>IF(OR(ISBLANK(D137),ISBLANK(E137),ISBLANK(F137),ISBLANK(G137),ISBLANK(H137),ISBLANK(I137),ISBLANK(J137),ISBLANK(F119),ISBLANK(G119),ISBLANK(H119),ISBLANK(I119),ISBLANK(J119),ISBLANK(K119),ISBLANK(L119),ISBLANK(M119))=TRUE,"P","OK")</f>
        <v>OK</v>
      </c>
      <c r="B137" s="327" t="str">
        <f>IF(OR(ISBLANK(N119),ISBLANK(O119),ISBLANK(P119),ISBLANK(Q119),ISBLANK(R119),ISBLANK(S119),ISBLANK(T119),ISBLANK(U119))=TRUE,"P","OK")</f>
        <v>OK</v>
      </c>
      <c r="C137" s="328" t="str">
        <f>IF(OR(ISBLANK(V119),ISBLANK(W119),ISBLANK(X119))=TRUE,"P","OK")</f>
        <v>OK</v>
      </c>
      <c r="D137" s="28">
        <v>0</v>
      </c>
      <c r="E137" s="49" t="s">
        <v>8860</v>
      </c>
      <c r="F137" s="169" t="s">
        <v>8277</v>
      </c>
      <c r="G137" s="169">
        <v>181510</v>
      </c>
      <c r="H137" s="169" t="s">
        <v>8861</v>
      </c>
      <c r="I137" s="169" t="s">
        <v>6820</v>
      </c>
      <c r="J137" s="169" t="s">
        <v>6829</v>
      </c>
      <c r="K137" s="169" t="s">
        <v>5813</v>
      </c>
      <c r="L137" s="169" t="s">
        <v>8862</v>
      </c>
      <c r="M137" s="169" t="s">
        <v>7460</v>
      </c>
      <c r="N137" s="170">
        <v>44406</v>
      </c>
      <c r="O137" s="169" t="s">
        <v>7729</v>
      </c>
      <c r="P137" s="170">
        <v>44365</v>
      </c>
      <c r="Q137" s="170">
        <v>44369</v>
      </c>
      <c r="R137" s="170">
        <v>44396</v>
      </c>
      <c r="S137" s="245" t="s">
        <v>8863</v>
      </c>
      <c r="T137" s="171" t="s">
        <v>7026</v>
      </c>
      <c r="U137" s="245">
        <v>44536</v>
      </c>
      <c r="V137" s="245" t="s">
        <v>8864</v>
      </c>
      <c r="W137" s="171">
        <v>1</v>
      </c>
      <c r="X137" s="171" t="s">
        <v>5683</v>
      </c>
      <c r="Y137" s="171" t="s">
        <v>4999</v>
      </c>
      <c r="Z137" s="245">
        <v>44540</v>
      </c>
      <c r="AA137" s="175"/>
      <c r="AB137" s="175"/>
      <c r="AC137" s="175"/>
      <c r="AD137" s="323"/>
      <c r="AE137" s="323"/>
      <c r="AF137" s="324"/>
      <c r="AG137" s="325"/>
      <c r="AH137" s="326"/>
      <c r="AI137" s="323"/>
      <c r="AJ137" s="323"/>
      <c r="AK137" s="323"/>
      <c r="AL137" s="323"/>
      <c r="AM137" s="323"/>
      <c r="AN137" s="323"/>
      <c r="AO137" s="323"/>
      <c r="AP137" s="323"/>
      <c r="AQ137" s="323"/>
      <c r="AR137" s="323"/>
      <c r="AS137" s="323"/>
      <c r="AT137" s="323"/>
      <c r="AU137" s="323"/>
      <c r="AV137" s="323"/>
      <c r="AW137" s="323"/>
      <c r="AX137" s="323"/>
      <c r="AY137" s="323"/>
      <c r="AZ137" s="323"/>
      <c r="BA137" s="323"/>
      <c r="BB137" s="323"/>
    </row>
    <row r="138" spans="1:54" s="231" customFormat="1" ht="15" customHeight="1" thickBot="1" x14ac:dyDescent="0.25">
      <c r="A138" s="221" t="str">
        <f>IF(OR(ISBLANK(D138),ISBLANK(E138),ISBLANK(F138),ISBLANK(G138),ISBLANK(H138),ISBLANK(I138),ISBLANK(J138),ISBLANK(F120),ISBLANK(G120),ISBLANK(H120),ISBLANK(I120),ISBLANK(J120),ISBLANK(K120),ISBLANK(L120),ISBLANK(M120))=TRUE,"P","OK")</f>
        <v>OK</v>
      </c>
      <c r="B138" s="222" t="str">
        <f>IF(OR(ISBLANK(N120),ISBLANK(O120),ISBLANK(P120),ISBLANK(Q120),ISBLANK(R120),ISBLANK(S120),ISBLANK(T120),ISBLANK(U120))=TRUE,"P","OK")</f>
        <v>OK</v>
      </c>
      <c r="C138" s="223" t="str">
        <f>IF(OR(ISBLANK(V120),ISBLANK(W120),ISBLANK(X120))=TRUE,"P","OK")</f>
        <v>OK</v>
      </c>
      <c r="D138" s="28">
        <v>0</v>
      </c>
      <c r="E138" s="49" t="s">
        <v>8865</v>
      </c>
      <c r="F138" s="169" t="s">
        <v>8277</v>
      </c>
      <c r="G138" s="169">
        <v>181510</v>
      </c>
      <c r="H138" s="169" t="s">
        <v>8866</v>
      </c>
      <c r="I138" s="169" t="s">
        <v>6820</v>
      </c>
      <c r="J138" s="169" t="s">
        <v>6829</v>
      </c>
      <c r="K138" s="169" t="s">
        <v>8867</v>
      </c>
      <c r="L138" s="169" t="s">
        <v>5412</v>
      </c>
      <c r="M138" s="169" t="s">
        <v>7516</v>
      </c>
      <c r="N138" s="170">
        <v>44406</v>
      </c>
      <c r="O138" s="169" t="s">
        <v>7729</v>
      </c>
      <c r="P138" s="170">
        <v>44365</v>
      </c>
      <c r="Q138" s="170">
        <v>44369</v>
      </c>
      <c r="R138" s="170">
        <v>44396</v>
      </c>
      <c r="S138" s="245" t="s">
        <v>7026</v>
      </c>
      <c r="T138" s="245" t="s">
        <v>7026</v>
      </c>
      <c r="U138" s="245">
        <v>44490</v>
      </c>
      <c r="V138" s="245" t="s">
        <v>5413</v>
      </c>
      <c r="W138" s="171">
        <v>1</v>
      </c>
      <c r="X138" s="171" t="s">
        <v>5683</v>
      </c>
      <c r="Y138" s="171" t="s">
        <v>4999</v>
      </c>
      <c r="Z138" s="245">
        <v>44494</v>
      </c>
      <c r="AA138" s="175" t="s">
        <v>264</v>
      </c>
      <c r="AB138" s="175">
        <v>44494</v>
      </c>
      <c r="AC138" s="175">
        <v>44221</v>
      </c>
      <c r="AF138" s="239"/>
      <c r="AG138" s="240"/>
      <c r="AH138" s="233"/>
    </row>
    <row r="139" spans="1:54" s="231" customFormat="1" ht="15" customHeight="1" thickBot="1" x14ac:dyDescent="0.25">
      <c r="A139" s="221" t="str">
        <f t="shared" ref="A139:A183" si="8">IF(OR(ISBLANK(D139),ISBLANK(E139),ISBLANK(F139),ISBLANK(G139),ISBLANK(H139),ISBLANK(I139),ISBLANK(J139),ISBLANK(K139),ISBLANK(L139),ISBLANK(M139),ISBLANK(N139),ISBLANK(O139),ISBLANK(P139),ISBLANK(Q139),ISBLANK(R139))=TRUE,"P","OK")</f>
        <v>OK</v>
      </c>
      <c r="B139" s="222" t="str">
        <f t="shared" ref="B139:B187" si="9">IF(OR(ISBLANK(S139),ISBLANK(T139),ISBLANK(U139),ISBLANK(V139),ISBLANK(W139),ISBLANK(X139),ISBLANK(Y139),ISBLANK(Z139))=TRUE,"P","OK")</f>
        <v>OK</v>
      </c>
      <c r="C139" s="223" t="str">
        <f t="shared" ref="C139:C187" si="10">IF(OR(ISBLANK(AA139),ISBLANK(AB139),ISBLANK(AC139))=TRUE,"P","OK")</f>
        <v>OK</v>
      </c>
      <c r="D139" s="28">
        <v>0</v>
      </c>
      <c r="E139" s="49" t="s">
        <v>8868</v>
      </c>
      <c r="F139" s="169" t="s">
        <v>8277</v>
      </c>
      <c r="G139" s="169">
        <v>181510</v>
      </c>
      <c r="H139" s="169" t="s">
        <v>8869</v>
      </c>
      <c r="I139" s="169" t="s">
        <v>6820</v>
      </c>
      <c r="J139" s="169" t="s">
        <v>6829</v>
      </c>
      <c r="K139" s="169" t="s">
        <v>8543</v>
      </c>
      <c r="L139" s="169" t="s">
        <v>5444</v>
      </c>
      <c r="M139" s="169" t="s">
        <v>7460</v>
      </c>
      <c r="N139" s="170">
        <v>44524</v>
      </c>
      <c r="O139" s="169" t="s">
        <v>7729</v>
      </c>
      <c r="P139" s="170">
        <v>44524</v>
      </c>
      <c r="Q139" s="170">
        <v>44524</v>
      </c>
      <c r="R139" s="170">
        <v>44524</v>
      </c>
      <c r="S139" s="171" t="s">
        <v>8863</v>
      </c>
      <c r="T139" s="171" t="s">
        <v>7026</v>
      </c>
      <c r="U139" s="245">
        <v>44537</v>
      </c>
      <c r="V139" s="171" t="s">
        <v>8870</v>
      </c>
      <c r="W139" s="171">
        <v>1</v>
      </c>
      <c r="X139" s="171" t="s">
        <v>5683</v>
      </c>
      <c r="Y139" s="171" t="s">
        <v>4999</v>
      </c>
      <c r="Z139" s="245">
        <v>44537</v>
      </c>
      <c r="AA139" s="175" t="s">
        <v>264</v>
      </c>
      <c r="AB139" s="175">
        <v>44543</v>
      </c>
      <c r="AC139" s="175">
        <v>44543</v>
      </c>
      <c r="AF139" s="239"/>
      <c r="AG139" s="240"/>
      <c r="AH139" s="233"/>
    </row>
    <row r="140" spans="1:54" s="231" customFormat="1" ht="15" customHeight="1" thickBot="1" x14ac:dyDescent="0.25">
      <c r="A140" s="221" t="str">
        <f t="shared" si="8"/>
        <v>P</v>
      </c>
      <c r="B140" s="222" t="str">
        <f t="shared" si="9"/>
        <v>OK</v>
      </c>
      <c r="C140" s="223" t="str">
        <f t="shared" si="10"/>
        <v>OK</v>
      </c>
      <c r="D140" s="28">
        <v>0</v>
      </c>
      <c r="E140" s="49" t="s">
        <v>8871</v>
      </c>
      <c r="F140" s="169" t="s">
        <v>8277</v>
      </c>
      <c r="G140" s="169">
        <v>181510</v>
      </c>
      <c r="H140" s="169" t="s">
        <v>8872</v>
      </c>
      <c r="I140" s="169" t="s">
        <v>6820</v>
      </c>
      <c r="J140" s="169" t="s">
        <v>6829</v>
      </c>
      <c r="K140" s="169" t="s">
        <v>5034</v>
      </c>
      <c r="L140" s="169" t="s">
        <v>2683</v>
      </c>
      <c r="M140" s="169" t="s">
        <v>73</v>
      </c>
      <c r="N140" s="170">
        <v>44377</v>
      </c>
      <c r="O140" s="169" t="s">
        <v>7729</v>
      </c>
      <c r="P140" s="170">
        <v>44365</v>
      </c>
      <c r="Q140" s="170">
        <v>44369</v>
      </c>
      <c r="R140" s="276"/>
      <c r="S140" s="171" t="s">
        <v>8863</v>
      </c>
      <c r="T140" s="171" t="s">
        <v>7026</v>
      </c>
      <c r="U140" s="245">
        <v>44525</v>
      </c>
      <c r="V140" s="171" t="s">
        <v>7450</v>
      </c>
      <c r="W140" s="171">
        <v>1</v>
      </c>
      <c r="X140" s="171" t="s">
        <v>5683</v>
      </c>
      <c r="Y140" s="171" t="s">
        <v>4999</v>
      </c>
      <c r="Z140" s="245">
        <v>44529</v>
      </c>
      <c r="AA140" s="175" t="s">
        <v>6825</v>
      </c>
      <c r="AB140" s="175">
        <v>44529</v>
      </c>
      <c r="AC140" s="175">
        <v>44529</v>
      </c>
      <c r="AF140" s="239"/>
      <c r="AG140" s="240"/>
      <c r="AH140" s="233"/>
    </row>
    <row r="141" spans="1:54" s="231" customFormat="1" ht="15" customHeight="1" thickBot="1" x14ac:dyDescent="0.25">
      <c r="A141" s="221" t="str">
        <f t="shared" si="8"/>
        <v>P</v>
      </c>
      <c r="B141" s="222" t="str">
        <f t="shared" si="9"/>
        <v>OK</v>
      </c>
      <c r="C141" s="223" t="str">
        <f t="shared" si="10"/>
        <v>OK</v>
      </c>
      <c r="D141" s="28">
        <v>0</v>
      </c>
      <c r="E141" s="49" t="s">
        <v>8873</v>
      </c>
      <c r="F141" s="169" t="s">
        <v>8277</v>
      </c>
      <c r="G141" s="169">
        <v>181510</v>
      </c>
      <c r="H141" s="169" t="s">
        <v>8874</v>
      </c>
      <c r="I141" s="169" t="s">
        <v>6820</v>
      </c>
      <c r="J141" s="169" t="s">
        <v>6829</v>
      </c>
      <c r="K141" s="169" t="s">
        <v>5034</v>
      </c>
      <c r="L141" s="169" t="s">
        <v>8875</v>
      </c>
      <c r="M141" s="169" t="s">
        <v>73</v>
      </c>
      <c r="N141" s="170">
        <v>44377</v>
      </c>
      <c r="O141" s="169" t="s">
        <v>7729</v>
      </c>
      <c r="P141" s="170">
        <v>44365</v>
      </c>
      <c r="Q141" s="170">
        <v>44369</v>
      </c>
      <c r="R141" s="276"/>
      <c r="S141" s="171" t="s">
        <v>8863</v>
      </c>
      <c r="T141" s="171" t="s">
        <v>7026</v>
      </c>
      <c r="U141" s="245">
        <v>44525</v>
      </c>
      <c r="V141" s="171" t="s">
        <v>8456</v>
      </c>
      <c r="W141" s="171">
        <v>1</v>
      </c>
      <c r="X141" s="171" t="s">
        <v>5683</v>
      </c>
      <c r="Y141" s="171" t="s">
        <v>4999</v>
      </c>
      <c r="Z141" s="245">
        <v>44529</v>
      </c>
      <c r="AA141" s="175" t="s">
        <v>6825</v>
      </c>
      <c r="AB141" s="175">
        <v>44529</v>
      </c>
      <c r="AC141" s="175">
        <v>44529</v>
      </c>
      <c r="AF141" s="239"/>
      <c r="AG141" s="240"/>
      <c r="AH141" s="233"/>
    </row>
    <row r="142" spans="1:54" s="231" customFormat="1" ht="15" customHeight="1" thickBot="1" x14ac:dyDescent="0.25">
      <c r="A142" s="221" t="str">
        <f t="shared" si="8"/>
        <v>OK</v>
      </c>
      <c r="B142" s="327" t="str">
        <f t="shared" si="9"/>
        <v>OK</v>
      </c>
      <c r="C142" s="328" t="str">
        <f t="shared" si="10"/>
        <v>P</v>
      </c>
      <c r="D142" s="28">
        <v>0</v>
      </c>
      <c r="E142" s="49" t="s">
        <v>8876</v>
      </c>
      <c r="F142" s="169" t="s">
        <v>8277</v>
      </c>
      <c r="G142" s="169">
        <v>181510</v>
      </c>
      <c r="H142" s="169" t="s">
        <v>8877</v>
      </c>
      <c r="I142" s="169" t="s">
        <v>6820</v>
      </c>
      <c r="J142" s="169" t="s">
        <v>6829</v>
      </c>
      <c r="K142" s="169" t="s">
        <v>8878</v>
      </c>
      <c r="L142" s="169" t="s">
        <v>1739</v>
      </c>
      <c r="M142" s="169" t="s">
        <v>8879</v>
      </c>
      <c r="N142" s="170">
        <v>44377</v>
      </c>
      <c r="O142" s="169" t="s">
        <v>7729</v>
      </c>
      <c r="P142" s="170">
        <v>44365</v>
      </c>
      <c r="Q142" s="170">
        <v>44369</v>
      </c>
      <c r="R142" s="170">
        <v>44543</v>
      </c>
      <c r="S142" s="171" t="s">
        <v>7026</v>
      </c>
      <c r="T142" s="171" t="s">
        <v>7026</v>
      </c>
      <c r="U142" s="245">
        <v>44552</v>
      </c>
      <c r="V142" s="171" t="s">
        <v>1740</v>
      </c>
      <c r="W142" s="171">
        <v>2</v>
      </c>
      <c r="X142" s="171" t="s">
        <v>5683</v>
      </c>
      <c r="Y142" s="171" t="s">
        <v>4999</v>
      </c>
      <c r="Z142" s="245">
        <v>44918</v>
      </c>
      <c r="AA142" s="175"/>
      <c r="AB142" s="175"/>
      <c r="AC142" s="175"/>
      <c r="AF142" s="239"/>
      <c r="AG142" s="240"/>
      <c r="AH142" s="233"/>
    </row>
    <row r="143" spans="1:54" s="231" customFormat="1" ht="15" customHeight="1" thickBot="1" x14ac:dyDescent="0.25">
      <c r="A143" s="221" t="str">
        <f t="shared" si="8"/>
        <v>OK</v>
      </c>
      <c r="B143" s="222" t="str">
        <f t="shared" si="9"/>
        <v>OK</v>
      </c>
      <c r="C143" s="223" t="str">
        <f t="shared" si="10"/>
        <v>OK</v>
      </c>
      <c r="D143" s="28">
        <v>0</v>
      </c>
      <c r="E143" s="49" t="s">
        <v>8880</v>
      </c>
      <c r="F143" s="169" t="s">
        <v>8277</v>
      </c>
      <c r="G143" s="169">
        <v>181510</v>
      </c>
      <c r="H143" s="169" t="s">
        <v>8881</v>
      </c>
      <c r="I143" s="169" t="s">
        <v>6820</v>
      </c>
      <c r="J143" s="169" t="s">
        <v>6829</v>
      </c>
      <c r="K143" s="169" t="s">
        <v>8882</v>
      </c>
      <c r="L143" s="169" t="s">
        <v>2678</v>
      </c>
      <c r="M143" s="169" t="s">
        <v>7460</v>
      </c>
      <c r="N143" s="170">
        <v>44377</v>
      </c>
      <c r="O143" s="169" t="s">
        <v>7729</v>
      </c>
      <c r="P143" s="170">
        <v>44365</v>
      </c>
      <c r="Q143" s="170">
        <v>44369</v>
      </c>
      <c r="R143" s="170">
        <v>44543</v>
      </c>
      <c r="S143" s="171" t="s">
        <v>8863</v>
      </c>
      <c r="T143" s="171" t="s">
        <v>7026</v>
      </c>
      <c r="U143" s="245">
        <v>44540</v>
      </c>
      <c r="V143" s="171" t="s">
        <v>2679</v>
      </c>
      <c r="W143" s="171">
        <v>9</v>
      </c>
      <c r="X143" s="171" t="s">
        <v>5683</v>
      </c>
      <c r="Y143" s="171" t="s">
        <v>4999</v>
      </c>
      <c r="Z143" s="245">
        <v>44543</v>
      </c>
      <c r="AA143" s="175" t="s">
        <v>264</v>
      </c>
      <c r="AB143" s="175">
        <v>44543</v>
      </c>
      <c r="AC143" s="175">
        <v>44543</v>
      </c>
      <c r="AF143" s="239"/>
      <c r="AG143" s="240"/>
      <c r="AH143" s="233"/>
    </row>
    <row r="144" spans="1:54" s="231" customFormat="1" ht="15" customHeight="1" thickBot="1" x14ac:dyDescent="0.25">
      <c r="A144" s="221" t="str">
        <f t="shared" si="8"/>
        <v>OK</v>
      </c>
      <c r="B144" s="222" t="str">
        <f t="shared" si="9"/>
        <v>OK</v>
      </c>
      <c r="C144" s="223" t="str">
        <f t="shared" si="10"/>
        <v>OK</v>
      </c>
      <c r="D144" s="28">
        <v>0</v>
      </c>
      <c r="E144" s="49" t="s">
        <v>8883</v>
      </c>
      <c r="F144" s="169" t="s">
        <v>8277</v>
      </c>
      <c r="G144" s="169">
        <v>181510</v>
      </c>
      <c r="H144" s="169" t="s">
        <v>8884</v>
      </c>
      <c r="I144" s="169" t="s">
        <v>6820</v>
      </c>
      <c r="J144" s="169" t="s">
        <v>6829</v>
      </c>
      <c r="K144" s="169" t="s">
        <v>8885</v>
      </c>
      <c r="L144" s="169" t="s">
        <v>8886</v>
      </c>
      <c r="M144" s="169" t="s">
        <v>7460</v>
      </c>
      <c r="N144" s="170">
        <v>44377</v>
      </c>
      <c r="O144" s="169" t="s">
        <v>7729</v>
      </c>
      <c r="P144" s="170">
        <v>44365</v>
      </c>
      <c r="Q144" s="170">
        <v>44369</v>
      </c>
      <c r="R144" s="170">
        <v>44524</v>
      </c>
      <c r="S144" s="171" t="s">
        <v>8863</v>
      </c>
      <c r="T144" s="171" t="s">
        <v>7026</v>
      </c>
      <c r="U144" s="245">
        <v>44537</v>
      </c>
      <c r="V144" s="171" t="s">
        <v>8659</v>
      </c>
      <c r="W144" s="171">
        <v>2</v>
      </c>
      <c r="X144" s="171" t="s">
        <v>5683</v>
      </c>
      <c r="Y144" s="171" t="s">
        <v>4999</v>
      </c>
      <c r="Z144" s="245">
        <v>44543</v>
      </c>
      <c r="AA144" s="175" t="s">
        <v>264</v>
      </c>
      <c r="AB144" s="175">
        <v>44543</v>
      </c>
      <c r="AC144" s="175">
        <v>44543</v>
      </c>
      <c r="AF144" s="239"/>
      <c r="AG144" s="240"/>
      <c r="AH144" s="233"/>
    </row>
    <row r="145" spans="1:35" s="231" customFormat="1" ht="15" customHeight="1" thickBot="1" x14ac:dyDescent="0.25">
      <c r="A145" s="221" t="str">
        <f t="shared" si="8"/>
        <v>P</v>
      </c>
      <c r="B145" s="222" t="str">
        <f t="shared" si="9"/>
        <v>OK</v>
      </c>
      <c r="C145" s="223" t="str">
        <f t="shared" si="10"/>
        <v>OK</v>
      </c>
      <c r="D145" s="28">
        <v>0</v>
      </c>
      <c r="E145" s="49" t="s">
        <v>8887</v>
      </c>
      <c r="F145" s="169" t="s">
        <v>8277</v>
      </c>
      <c r="G145" s="169">
        <v>181510</v>
      </c>
      <c r="H145" s="169" t="s">
        <v>8888</v>
      </c>
      <c r="I145" s="169" t="s">
        <v>6820</v>
      </c>
      <c r="J145" s="169" t="s">
        <v>6829</v>
      </c>
      <c r="K145" s="169" t="s">
        <v>5034</v>
      </c>
      <c r="L145" s="169" t="s">
        <v>8889</v>
      </c>
      <c r="M145" s="169" t="s">
        <v>7460</v>
      </c>
      <c r="N145" s="170">
        <v>44377</v>
      </c>
      <c r="O145" s="169" t="s">
        <v>7729</v>
      </c>
      <c r="P145" s="170">
        <v>44365</v>
      </c>
      <c r="Q145" s="170">
        <v>44369</v>
      </c>
      <c r="R145" s="276"/>
      <c r="S145" s="171" t="s">
        <v>8863</v>
      </c>
      <c r="T145" s="171" t="s">
        <v>7026</v>
      </c>
      <c r="U145" s="245">
        <v>44491</v>
      </c>
      <c r="V145" s="171" t="s">
        <v>8890</v>
      </c>
      <c r="W145" s="171">
        <v>1</v>
      </c>
      <c r="X145" s="171" t="s">
        <v>5683</v>
      </c>
      <c r="Y145" s="171" t="s">
        <v>4999</v>
      </c>
      <c r="Z145" s="245">
        <v>44494</v>
      </c>
      <c r="AA145" s="175" t="s">
        <v>264</v>
      </c>
      <c r="AB145" s="175">
        <v>44494</v>
      </c>
      <c r="AC145" s="175">
        <v>44494</v>
      </c>
      <c r="AF145" s="239"/>
      <c r="AG145" s="240"/>
      <c r="AH145" s="233"/>
    </row>
    <row r="146" spans="1:35" s="231" customFormat="1" ht="15" customHeight="1" thickBot="1" x14ac:dyDescent="0.25">
      <c r="A146" s="221" t="str">
        <f t="shared" si="8"/>
        <v>OK</v>
      </c>
      <c r="B146" s="222" t="str">
        <f t="shared" si="9"/>
        <v>OK</v>
      </c>
      <c r="C146" s="223" t="str">
        <f t="shared" si="10"/>
        <v>OK</v>
      </c>
      <c r="D146" s="28">
        <v>0</v>
      </c>
      <c r="E146" s="49" t="s">
        <v>8891</v>
      </c>
      <c r="F146" s="169" t="s">
        <v>8277</v>
      </c>
      <c r="G146" s="169">
        <v>181510</v>
      </c>
      <c r="H146" s="169" t="s">
        <v>8892</v>
      </c>
      <c r="I146" s="169" t="s">
        <v>6820</v>
      </c>
      <c r="J146" s="169" t="s">
        <v>6829</v>
      </c>
      <c r="K146" s="169" t="s">
        <v>8893</v>
      </c>
      <c r="L146" s="169" t="s">
        <v>5444</v>
      </c>
      <c r="M146" s="169" t="s">
        <v>7460</v>
      </c>
      <c r="N146" s="170">
        <v>44524</v>
      </c>
      <c r="O146" s="169" t="s">
        <v>7729</v>
      </c>
      <c r="P146" s="170">
        <v>44524</v>
      </c>
      <c r="Q146" s="170">
        <v>44524</v>
      </c>
      <c r="R146" s="170">
        <v>44524</v>
      </c>
      <c r="S146" s="171" t="s">
        <v>8863</v>
      </c>
      <c r="T146" s="171" t="s">
        <v>7026</v>
      </c>
      <c r="U146" s="245">
        <v>44490</v>
      </c>
      <c r="V146" s="171" t="s">
        <v>8870</v>
      </c>
      <c r="W146" s="171">
        <v>4</v>
      </c>
      <c r="X146" s="171" t="s">
        <v>5683</v>
      </c>
      <c r="Y146" s="171" t="s">
        <v>4999</v>
      </c>
      <c r="Z146" s="245">
        <v>44490</v>
      </c>
      <c r="AA146" s="175" t="s">
        <v>264</v>
      </c>
      <c r="AB146" s="175">
        <v>44543</v>
      </c>
      <c r="AC146" s="175">
        <v>44543</v>
      </c>
      <c r="AF146" s="239"/>
      <c r="AG146" s="240"/>
      <c r="AH146" s="233"/>
    </row>
    <row r="147" spans="1:35" s="231" customFormat="1" ht="15" customHeight="1" thickBot="1" x14ac:dyDescent="0.25">
      <c r="A147" s="221" t="str">
        <f t="shared" si="8"/>
        <v>P</v>
      </c>
      <c r="B147" s="222" t="str">
        <f t="shared" si="9"/>
        <v>OK</v>
      </c>
      <c r="C147" s="223" t="str">
        <f t="shared" si="10"/>
        <v>OK</v>
      </c>
      <c r="D147" s="28">
        <v>0</v>
      </c>
      <c r="E147" s="49" t="s">
        <v>8894</v>
      </c>
      <c r="F147" s="169" t="s">
        <v>8277</v>
      </c>
      <c r="G147" s="169">
        <v>181510</v>
      </c>
      <c r="H147" s="169" t="s">
        <v>8895</v>
      </c>
      <c r="I147" s="169" t="s">
        <v>6820</v>
      </c>
      <c r="J147" s="169" t="s">
        <v>6829</v>
      </c>
      <c r="K147" s="169" t="s">
        <v>8896</v>
      </c>
      <c r="L147" s="169" t="s">
        <v>8897</v>
      </c>
      <c r="M147" s="169" t="s">
        <v>7460</v>
      </c>
      <c r="N147" s="170">
        <v>44377</v>
      </c>
      <c r="O147" s="169" t="s">
        <v>7729</v>
      </c>
      <c r="P147" s="170">
        <v>44365</v>
      </c>
      <c r="Q147" s="170">
        <v>44369</v>
      </c>
      <c r="R147" s="276"/>
      <c r="S147" s="171" t="s">
        <v>8863</v>
      </c>
      <c r="T147" s="171" t="s">
        <v>7026</v>
      </c>
      <c r="U147" s="245">
        <v>44490</v>
      </c>
      <c r="V147" s="171" t="s">
        <v>8898</v>
      </c>
      <c r="W147" s="171">
        <v>12</v>
      </c>
      <c r="X147" s="171" t="s">
        <v>5683</v>
      </c>
      <c r="Y147" s="171" t="s">
        <v>4999</v>
      </c>
      <c r="Z147" s="245">
        <v>44490</v>
      </c>
      <c r="AA147" s="175" t="s">
        <v>264</v>
      </c>
      <c r="AB147" s="175">
        <v>44543</v>
      </c>
      <c r="AC147" s="175">
        <v>44543</v>
      </c>
      <c r="AF147" s="239"/>
      <c r="AG147" s="240"/>
      <c r="AH147" s="233"/>
    </row>
    <row r="148" spans="1:35" s="231" customFormat="1" ht="15" customHeight="1" thickBot="1" x14ac:dyDescent="0.25">
      <c r="A148" s="221" t="str">
        <f t="shared" si="8"/>
        <v>P</v>
      </c>
      <c r="B148" s="222" t="str">
        <f t="shared" si="9"/>
        <v>OK</v>
      </c>
      <c r="C148" s="223" t="str">
        <f t="shared" si="10"/>
        <v>OK</v>
      </c>
      <c r="D148" s="28">
        <v>0</v>
      </c>
      <c r="E148" s="49" t="s">
        <v>8899</v>
      </c>
      <c r="F148" s="169" t="s">
        <v>8277</v>
      </c>
      <c r="G148" s="169">
        <v>181510</v>
      </c>
      <c r="H148" s="169" t="s">
        <v>8900</v>
      </c>
      <c r="I148" s="169" t="s">
        <v>6820</v>
      </c>
      <c r="J148" s="169" t="s">
        <v>6829</v>
      </c>
      <c r="K148" s="169" t="s">
        <v>5034</v>
      </c>
      <c r="L148" s="169" t="s">
        <v>8901</v>
      </c>
      <c r="M148" s="169" t="s">
        <v>7460</v>
      </c>
      <c r="N148" s="170">
        <v>44377</v>
      </c>
      <c r="O148" s="169" t="s">
        <v>7729</v>
      </c>
      <c r="P148" s="170">
        <v>44365</v>
      </c>
      <c r="Q148" s="170">
        <v>44369</v>
      </c>
      <c r="R148" s="276"/>
      <c r="S148" s="171" t="s">
        <v>8863</v>
      </c>
      <c r="T148" s="171" t="s">
        <v>7026</v>
      </c>
      <c r="U148" s="245">
        <v>44491</v>
      </c>
      <c r="V148" s="171" t="s">
        <v>8902</v>
      </c>
      <c r="W148" s="171">
        <v>11</v>
      </c>
      <c r="X148" s="171" t="s">
        <v>5683</v>
      </c>
      <c r="Y148" s="171" t="s">
        <v>4999</v>
      </c>
      <c r="Z148" s="245">
        <v>44491</v>
      </c>
      <c r="AA148" s="175" t="s">
        <v>264</v>
      </c>
      <c r="AB148" s="175">
        <v>44494</v>
      </c>
      <c r="AC148" s="175">
        <v>44494</v>
      </c>
      <c r="AF148" s="239"/>
      <c r="AG148" s="240"/>
      <c r="AH148" s="233"/>
    </row>
    <row r="149" spans="1:35" s="231" customFormat="1" ht="15" customHeight="1" thickBot="1" x14ac:dyDescent="0.25">
      <c r="A149" s="221" t="str">
        <f t="shared" si="8"/>
        <v>P</v>
      </c>
      <c r="B149" s="222" t="str">
        <f t="shared" si="9"/>
        <v>OK</v>
      </c>
      <c r="C149" s="223" t="str">
        <f t="shared" si="10"/>
        <v>OK</v>
      </c>
      <c r="D149" s="28">
        <v>0</v>
      </c>
      <c r="E149" s="49" t="s">
        <v>8903</v>
      </c>
      <c r="F149" s="169" t="s">
        <v>8277</v>
      </c>
      <c r="G149" s="169">
        <v>181510</v>
      </c>
      <c r="H149" s="169" t="s">
        <v>8904</v>
      </c>
      <c r="I149" s="169" t="s">
        <v>6820</v>
      </c>
      <c r="J149" s="169" t="s">
        <v>6829</v>
      </c>
      <c r="K149" s="169" t="s">
        <v>8905</v>
      </c>
      <c r="L149" s="169" t="s">
        <v>8906</v>
      </c>
      <c r="M149" s="169" t="s">
        <v>73</v>
      </c>
      <c r="N149" s="170">
        <v>44377</v>
      </c>
      <c r="O149" s="169" t="s">
        <v>7729</v>
      </c>
      <c r="P149" s="170">
        <v>44365</v>
      </c>
      <c r="Q149" s="170">
        <v>44369</v>
      </c>
      <c r="R149" s="276"/>
      <c r="S149" s="171" t="s">
        <v>8863</v>
      </c>
      <c r="T149" s="171" t="s">
        <v>7026</v>
      </c>
      <c r="U149" s="245">
        <v>44470</v>
      </c>
      <c r="V149" s="171" t="s">
        <v>8907</v>
      </c>
      <c r="W149" s="171">
        <v>2</v>
      </c>
      <c r="X149" s="171" t="s">
        <v>5683</v>
      </c>
      <c r="Y149" s="171" t="s">
        <v>4999</v>
      </c>
      <c r="Z149" s="245">
        <v>44470</v>
      </c>
      <c r="AA149" s="175" t="s">
        <v>264</v>
      </c>
      <c r="AB149" s="175">
        <v>44470</v>
      </c>
      <c r="AC149" s="175">
        <v>44470</v>
      </c>
      <c r="AF149" s="239"/>
      <c r="AG149" s="240"/>
      <c r="AH149" s="233"/>
    </row>
    <row r="150" spans="1:35" s="231" customFormat="1" ht="45.75" thickBot="1" x14ac:dyDescent="0.25">
      <c r="A150" s="221" t="str">
        <f t="shared" si="8"/>
        <v>OK</v>
      </c>
      <c r="B150" s="222" t="str">
        <f t="shared" si="9"/>
        <v>OK</v>
      </c>
      <c r="C150" s="223" t="str">
        <f t="shared" si="10"/>
        <v>OK</v>
      </c>
      <c r="D150" s="28">
        <v>0</v>
      </c>
      <c r="E150" s="49" t="s">
        <v>8908</v>
      </c>
      <c r="F150" s="169" t="s">
        <v>8277</v>
      </c>
      <c r="G150" s="169">
        <v>181510</v>
      </c>
      <c r="H150" s="169" t="s">
        <v>8909</v>
      </c>
      <c r="I150" s="169" t="s">
        <v>6820</v>
      </c>
      <c r="J150" s="169" t="s">
        <v>6829</v>
      </c>
      <c r="K150" s="169" t="s">
        <v>8910</v>
      </c>
      <c r="L150" s="169" t="s">
        <v>8911</v>
      </c>
      <c r="M150" s="169" t="s">
        <v>8912</v>
      </c>
      <c r="N150" s="170">
        <v>44377</v>
      </c>
      <c r="O150" s="169" t="s">
        <v>7729</v>
      </c>
      <c r="P150" s="170">
        <v>44365</v>
      </c>
      <c r="Q150" s="170">
        <v>44369</v>
      </c>
      <c r="R150" s="170">
        <v>44543</v>
      </c>
      <c r="S150" s="171" t="s">
        <v>7026</v>
      </c>
      <c r="T150" s="171" t="s">
        <v>7026</v>
      </c>
      <c r="U150" s="245">
        <v>44551</v>
      </c>
      <c r="V150" s="171" t="s">
        <v>5027</v>
      </c>
      <c r="W150" s="171">
        <v>2</v>
      </c>
      <c r="X150" s="171" t="s">
        <v>5683</v>
      </c>
      <c r="Y150" s="171" t="s">
        <v>4999</v>
      </c>
      <c r="Z150" s="245">
        <v>44551</v>
      </c>
      <c r="AA150" s="175" t="s">
        <v>264</v>
      </c>
      <c r="AB150" s="175">
        <v>44551</v>
      </c>
      <c r="AC150" s="175">
        <v>44551</v>
      </c>
      <c r="AF150" s="239"/>
      <c r="AG150" s="240"/>
      <c r="AH150" s="233"/>
    </row>
    <row r="151" spans="1:35" s="231" customFormat="1" ht="15" customHeight="1" thickBot="1" x14ac:dyDescent="0.25">
      <c r="A151" s="221" t="str">
        <f t="shared" si="8"/>
        <v>OK</v>
      </c>
      <c r="B151" s="222" t="str">
        <f t="shared" si="9"/>
        <v>OK</v>
      </c>
      <c r="C151" s="223" t="str">
        <f t="shared" si="10"/>
        <v>OK</v>
      </c>
      <c r="D151" s="28">
        <v>0</v>
      </c>
      <c r="E151" s="49" t="s">
        <v>8913</v>
      </c>
      <c r="F151" s="169" t="s">
        <v>8277</v>
      </c>
      <c r="G151" s="169">
        <v>181510</v>
      </c>
      <c r="H151" s="169" t="s">
        <v>8914</v>
      </c>
      <c r="I151" s="169" t="s">
        <v>6820</v>
      </c>
      <c r="J151" s="169" t="s">
        <v>6829</v>
      </c>
      <c r="K151" s="169" t="s">
        <v>8915</v>
      </c>
      <c r="L151" s="169" t="s">
        <v>8916</v>
      </c>
      <c r="M151" s="169" t="s">
        <v>8397</v>
      </c>
      <c r="N151" s="170">
        <v>44377</v>
      </c>
      <c r="O151" s="169" t="s">
        <v>7729</v>
      </c>
      <c r="P151" s="170">
        <v>44365</v>
      </c>
      <c r="Q151" s="170">
        <v>44369</v>
      </c>
      <c r="R151" s="170">
        <v>44543</v>
      </c>
      <c r="S151" s="171" t="s">
        <v>7026</v>
      </c>
      <c r="T151" s="171" t="s">
        <v>7026</v>
      </c>
      <c r="U151" s="245">
        <v>44550</v>
      </c>
      <c r="V151" s="171" t="s">
        <v>1759</v>
      </c>
      <c r="W151" s="171">
        <v>4</v>
      </c>
      <c r="X151" s="171" t="s">
        <v>5683</v>
      </c>
      <c r="Y151" s="171" t="s">
        <v>4999</v>
      </c>
      <c r="Z151" s="245">
        <v>44564</v>
      </c>
      <c r="AA151" s="175" t="s">
        <v>264</v>
      </c>
      <c r="AB151" s="175">
        <v>44564</v>
      </c>
      <c r="AC151" s="175">
        <v>44564</v>
      </c>
      <c r="AF151" s="239"/>
      <c r="AG151" s="240"/>
      <c r="AH151" s="233"/>
    </row>
    <row r="152" spans="1:35" s="231" customFormat="1" ht="15" customHeight="1" thickBot="1" x14ac:dyDescent="0.25">
      <c r="A152" s="221" t="str">
        <f t="shared" si="8"/>
        <v>OK</v>
      </c>
      <c r="B152" s="222" t="str">
        <f t="shared" si="9"/>
        <v>OK</v>
      </c>
      <c r="C152" s="223" t="str">
        <f t="shared" si="10"/>
        <v>OK</v>
      </c>
      <c r="D152" s="28">
        <v>0</v>
      </c>
      <c r="E152" s="49" t="s">
        <v>8917</v>
      </c>
      <c r="F152" s="169" t="s">
        <v>8277</v>
      </c>
      <c r="G152" s="169">
        <v>181510</v>
      </c>
      <c r="H152" s="169" t="s">
        <v>8918</v>
      </c>
      <c r="I152" s="169" t="s">
        <v>6820</v>
      </c>
      <c r="J152" s="169" t="s">
        <v>6829</v>
      </c>
      <c r="K152" s="169" t="s">
        <v>8858</v>
      </c>
      <c r="L152" s="169" t="s">
        <v>2688</v>
      </c>
      <c r="M152" s="169" t="s">
        <v>1730</v>
      </c>
      <c r="N152" s="170">
        <v>44406</v>
      </c>
      <c r="O152" s="169" t="s">
        <v>7729</v>
      </c>
      <c r="P152" s="170">
        <v>44365</v>
      </c>
      <c r="Q152" s="170">
        <v>44369</v>
      </c>
      <c r="R152" s="170">
        <v>44433</v>
      </c>
      <c r="S152" s="171" t="s">
        <v>8855</v>
      </c>
      <c r="T152" s="171" t="s">
        <v>7026</v>
      </c>
      <c r="U152" s="245">
        <v>44454</v>
      </c>
      <c r="V152" s="171" t="s">
        <v>2690</v>
      </c>
      <c r="W152" s="171">
        <v>1</v>
      </c>
      <c r="X152" s="171" t="s">
        <v>5683</v>
      </c>
      <c r="Y152" s="171" t="s">
        <v>4999</v>
      </c>
      <c r="Z152" s="245">
        <v>44454</v>
      </c>
      <c r="AA152" s="175" t="s">
        <v>6850</v>
      </c>
      <c r="AB152" s="175">
        <v>44454</v>
      </c>
      <c r="AC152" s="175">
        <v>44454</v>
      </c>
      <c r="AD152" s="227"/>
      <c r="AE152" s="227"/>
      <c r="AF152" s="228"/>
      <c r="AG152" s="229"/>
      <c r="AH152" s="232"/>
      <c r="AI152" s="227"/>
    </row>
    <row r="153" spans="1:35" s="227" customFormat="1" ht="15" customHeight="1" thickBot="1" x14ac:dyDescent="0.25">
      <c r="A153" s="221" t="str">
        <f t="shared" si="8"/>
        <v>OK</v>
      </c>
      <c r="B153" s="222" t="str">
        <f t="shared" si="9"/>
        <v>OK</v>
      </c>
      <c r="C153" s="223" t="str">
        <f t="shared" si="10"/>
        <v>OK</v>
      </c>
      <c r="D153" s="28">
        <v>0</v>
      </c>
      <c r="E153" s="49" t="s">
        <v>8919</v>
      </c>
      <c r="F153" s="169" t="s">
        <v>8277</v>
      </c>
      <c r="G153" s="169">
        <v>181510</v>
      </c>
      <c r="H153" s="169" t="s">
        <v>8920</v>
      </c>
      <c r="I153" s="169" t="s">
        <v>6820</v>
      </c>
      <c r="J153" s="169" t="s">
        <v>6829</v>
      </c>
      <c r="K153" s="169" t="s">
        <v>8858</v>
      </c>
      <c r="L153" s="169" t="s">
        <v>8921</v>
      </c>
      <c r="M153" s="169" t="s">
        <v>8922</v>
      </c>
      <c r="N153" s="170">
        <v>44406</v>
      </c>
      <c r="O153" s="169" t="s">
        <v>7729</v>
      </c>
      <c r="P153" s="170">
        <v>44365</v>
      </c>
      <c r="Q153" s="170">
        <v>44369</v>
      </c>
      <c r="R153" s="170">
        <v>44433</v>
      </c>
      <c r="S153" s="171" t="s">
        <v>8855</v>
      </c>
      <c r="T153" s="171" t="s">
        <v>7026</v>
      </c>
      <c r="U153" s="245">
        <v>44454</v>
      </c>
      <c r="V153" s="171" t="s">
        <v>3720</v>
      </c>
      <c r="W153" s="171">
        <v>2</v>
      </c>
      <c r="X153" s="171" t="s">
        <v>5683</v>
      </c>
      <c r="Y153" s="171" t="s">
        <v>4999</v>
      </c>
      <c r="Z153" s="245">
        <v>44454</v>
      </c>
      <c r="AA153" s="175" t="s">
        <v>6850</v>
      </c>
      <c r="AB153" s="175">
        <v>44455</v>
      </c>
      <c r="AC153" s="175">
        <v>44455</v>
      </c>
      <c r="AD153" s="231"/>
      <c r="AE153" s="231"/>
      <c r="AF153" s="239"/>
      <c r="AG153" s="240"/>
      <c r="AH153" s="233"/>
      <c r="AI153" s="231"/>
    </row>
    <row r="154" spans="1:35" s="231" customFormat="1" ht="15" customHeight="1" thickBot="1" x14ac:dyDescent="0.25">
      <c r="A154" s="221" t="str">
        <f t="shared" si="8"/>
        <v>OK</v>
      </c>
      <c r="B154" s="222" t="str">
        <f t="shared" si="9"/>
        <v>OK</v>
      </c>
      <c r="C154" s="223" t="str">
        <f t="shared" si="10"/>
        <v>OK</v>
      </c>
      <c r="D154" s="28">
        <v>0</v>
      </c>
      <c r="E154" s="49" t="s">
        <v>8923</v>
      </c>
      <c r="F154" s="169" t="s">
        <v>8277</v>
      </c>
      <c r="G154" s="169">
        <v>181510</v>
      </c>
      <c r="H154" s="169" t="s">
        <v>8924</v>
      </c>
      <c r="I154" s="169" t="s">
        <v>6820</v>
      </c>
      <c r="J154" s="169" t="s">
        <v>6829</v>
      </c>
      <c r="K154" s="169" t="s">
        <v>7459</v>
      </c>
      <c r="L154" s="169" t="s">
        <v>2678</v>
      </c>
      <c r="M154" s="169" t="s">
        <v>8922</v>
      </c>
      <c r="N154" s="170">
        <v>44524</v>
      </c>
      <c r="O154" s="169" t="s">
        <v>7729</v>
      </c>
      <c r="P154" s="170">
        <v>44524</v>
      </c>
      <c r="Q154" s="170">
        <v>44524</v>
      </c>
      <c r="R154" s="170">
        <v>44524</v>
      </c>
      <c r="S154" s="171" t="s">
        <v>6837</v>
      </c>
      <c r="T154" s="171" t="s">
        <v>7026</v>
      </c>
      <c r="U154" s="245">
        <v>44540</v>
      </c>
      <c r="V154" s="171" t="s">
        <v>2679</v>
      </c>
      <c r="W154" s="171">
        <v>9</v>
      </c>
      <c r="X154" s="171" t="s">
        <v>5683</v>
      </c>
      <c r="Y154" s="171" t="s">
        <v>4999</v>
      </c>
      <c r="Z154" s="245">
        <v>44540</v>
      </c>
      <c r="AA154" s="175" t="s">
        <v>264</v>
      </c>
      <c r="AB154" s="175">
        <v>44543</v>
      </c>
      <c r="AC154" s="175">
        <v>44543</v>
      </c>
      <c r="AF154" s="239"/>
      <c r="AG154" s="240"/>
      <c r="AH154" s="233"/>
    </row>
    <row r="155" spans="1:35" s="231" customFormat="1" ht="15" customHeight="1" thickBot="1" x14ac:dyDescent="0.25">
      <c r="A155" s="221" t="str">
        <f t="shared" si="8"/>
        <v>OK</v>
      </c>
      <c r="B155" s="222" t="str">
        <f t="shared" si="9"/>
        <v>OK</v>
      </c>
      <c r="C155" s="223" t="str">
        <f t="shared" si="10"/>
        <v>OK</v>
      </c>
      <c r="D155" s="28">
        <v>0</v>
      </c>
      <c r="E155" s="49" t="s">
        <v>8925</v>
      </c>
      <c r="F155" s="169" t="s">
        <v>8277</v>
      </c>
      <c r="G155" s="169">
        <v>181510</v>
      </c>
      <c r="H155" s="169" t="s">
        <v>8926</v>
      </c>
      <c r="I155" s="169" t="s">
        <v>6820</v>
      </c>
      <c r="J155" s="169" t="s">
        <v>6829</v>
      </c>
      <c r="K155" s="169" t="s">
        <v>8927</v>
      </c>
      <c r="L155" s="169" t="s">
        <v>8928</v>
      </c>
      <c r="M155" s="169" t="s">
        <v>73</v>
      </c>
      <c r="N155" s="170">
        <v>44460</v>
      </c>
      <c r="O155" s="169" t="s">
        <v>7729</v>
      </c>
      <c r="P155" s="170">
        <v>44365</v>
      </c>
      <c r="Q155" s="170">
        <v>44369</v>
      </c>
      <c r="R155" s="170">
        <v>44396</v>
      </c>
      <c r="S155" s="171" t="s">
        <v>7026</v>
      </c>
      <c r="T155" s="171" t="s">
        <v>7026</v>
      </c>
      <c r="U155" s="245">
        <v>44460</v>
      </c>
      <c r="V155" s="171" t="s">
        <v>8929</v>
      </c>
      <c r="W155" s="171">
        <v>1</v>
      </c>
      <c r="X155" s="171" t="s">
        <v>5683</v>
      </c>
      <c r="Y155" s="171" t="s">
        <v>4999</v>
      </c>
      <c r="Z155" s="245">
        <v>44460</v>
      </c>
      <c r="AA155" s="175" t="s">
        <v>264</v>
      </c>
      <c r="AB155" s="175">
        <v>44543</v>
      </c>
      <c r="AC155" s="175">
        <v>44543</v>
      </c>
      <c r="AF155" s="228"/>
      <c r="AG155" s="229"/>
      <c r="AH155" s="232"/>
    </row>
    <row r="156" spans="1:35" s="231" customFormat="1" ht="15" customHeight="1" thickBot="1" x14ac:dyDescent="0.25">
      <c r="A156" s="221" t="str">
        <f t="shared" si="8"/>
        <v>OK</v>
      </c>
      <c r="B156" s="222" t="str">
        <f t="shared" si="9"/>
        <v>OK</v>
      </c>
      <c r="C156" s="223" t="str">
        <f t="shared" si="10"/>
        <v>OK</v>
      </c>
      <c r="D156" s="28">
        <v>0</v>
      </c>
      <c r="E156" s="49" t="s">
        <v>8930</v>
      </c>
      <c r="F156" s="169" t="s">
        <v>8277</v>
      </c>
      <c r="G156" s="169">
        <v>181510</v>
      </c>
      <c r="H156" s="169" t="s">
        <v>8931</v>
      </c>
      <c r="I156" s="169" t="s">
        <v>6820</v>
      </c>
      <c r="J156" s="169" t="s">
        <v>6829</v>
      </c>
      <c r="K156" s="169" t="s">
        <v>8932</v>
      </c>
      <c r="L156" s="169" t="s">
        <v>5444</v>
      </c>
      <c r="M156" s="169" t="s">
        <v>7460</v>
      </c>
      <c r="N156" s="170">
        <v>44377</v>
      </c>
      <c r="O156" s="169" t="s">
        <v>7729</v>
      </c>
      <c r="P156" s="170">
        <v>44365</v>
      </c>
      <c r="Q156" s="170">
        <v>44369</v>
      </c>
      <c r="R156" s="170">
        <v>44396</v>
      </c>
      <c r="S156" s="171" t="s">
        <v>7026</v>
      </c>
      <c r="T156" s="171" t="s">
        <v>7026</v>
      </c>
      <c r="U156" s="245">
        <v>44425</v>
      </c>
      <c r="V156" s="171" t="s">
        <v>2138</v>
      </c>
      <c r="W156" s="171">
        <v>4</v>
      </c>
      <c r="X156" s="171" t="s">
        <v>5683</v>
      </c>
      <c r="Y156" s="171" t="s">
        <v>4999</v>
      </c>
      <c r="Z156" s="245">
        <v>44427</v>
      </c>
      <c r="AA156" s="175" t="s">
        <v>264</v>
      </c>
      <c r="AB156" s="175">
        <v>44427</v>
      </c>
      <c r="AC156" s="175">
        <v>44427</v>
      </c>
      <c r="AF156" s="239"/>
      <c r="AG156" s="240"/>
      <c r="AH156" s="233"/>
    </row>
    <row r="157" spans="1:35" s="231" customFormat="1" ht="15" customHeight="1" thickBot="1" x14ac:dyDescent="0.25">
      <c r="A157" s="221" t="str">
        <f t="shared" si="8"/>
        <v>P</v>
      </c>
      <c r="B157" s="222" t="str">
        <f t="shared" si="9"/>
        <v>OK</v>
      </c>
      <c r="C157" s="223" t="str">
        <f t="shared" si="10"/>
        <v>OK</v>
      </c>
      <c r="D157" s="28">
        <v>0</v>
      </c>
      <c r="E157" s="49" t="s">
        <v>8933</v>
      </c>
      <c r="F157" s="169" t="s">
        <v>8277</v>
      </c>
      <c r="G157" s="169">
        <v>181510</v>
      </c>
      <c r="H157" s="169" t="s">
        <v>8934</v>
      </c>
      <c r="I157" s="169" t="s">
        <v>6820</v>
      </c>
      <c r="J157" s="169" t="s">
        <v>6829</v>
      </c>
      <c r="K157" s="169" t="s">
        <v>8935</v>
      </c>
      <c r="L157" s="169" t="s">
        <v>8936</v>
      </c>
      <c r="M157" s="169" t="s">
        <v>7516</v>
      </c>
      <c r="N157" s="170">
        <v>44377</v>
      </c>
      <c r="O157" s="169" t="s">
        <v>7729</v>
      </c>
      <c r="P157" s="170">
        <v>44365</v>
      </c>
      <c r="Q157" s="170">
        <v>44369</v>
      </c>
      <c r="R157" s="276"/>
      <c r="S157" s="171" t="s">
        <v>7026</v>
      </c>
      <c r="T157" s="171" t="s">
        <v>7026</v>
      </c>
      <c r="U157" s="245">
        <v>44488</v>
      </c>
      <c r="V157" s="171" t="s">
        <v>79</v>
      </c>
      <c r="W157" s="171">
        <v>12</v>
      </c>
      <c r="X157" s="171" t="s">
        <v>5683</v>
      </c>
      <c r="Y157" s="171" t="s">
        <v>4999</v>
      </c>
      <c r="Z157" s="245">
        <v>44494</v>
      </c>
      <c r="AA157" s="175" t="s">
        <v>264</v>
      </c>
      <c r="AB157" s="175">
        <v>44494</v>
      </c>
      <c r="AC157" s="175">
        <v>44494</v>
      </c>
      <c r="AF157" s="239"/>
      <c r="AG157" s="240"/>
      <c r="AH157" s="233"/>
    </row>
    <row r="158" spans="1:35" s="231" customFormat="1" ht="15" customHeight="1" thickBot="1" x14ac:dyDescent="0.25">
      <c r="A158" s="221" t="str">
        <f t="shared" si="8"/>
        <v>OK</v>
      </c>
      <c r="B158" s="222" t="str">
        <f t="shared" si="9"/>
        <v>OK</v>
      </c>
      <c r="C158" s="223" t="str">
        <f t="shared" si="10"/>
        <v>OK</v>
      </c>
      <c r="D158" s="28">
        <v>0</v>
      </c>
      <c r="E158" s="49" t="s">
        <v>8937</v>
      </c>
      <c r="F158" s="169" t="s">
        <v>8938</v>
      </c>
      <c r="G158" s="169">
        <v>181516</v>
      </c>
      <c r="H158" s="169" t="s">
        <v>8939</v>
      </c>
      <c r="I158" s="169" t="s">
        <v>6820</v>
      </c>
      <c r="J158" s="169" t="s">
        <v>6829</v>
      </c>
      <c r="K158" s="169" t="s">
        <v>8445</v>
      </c>
      <c r="L158" s="169" t="s">
        <v>8630</v>
      </c>
      <c r="M158" s="169" t="s">
        <v>8631</v>
      </c>
      <c r="N158" s="170">
        <v>44370</v>
      </c>
      <c r="O158" s="169" t="s">
        <v>7729</v>
      </c>
      <c r="P158" s="170">
        <v>44370</v>
      </c>
      <c r="Q158" s="170">
        <v>44370</v>
      </c>
      <c r="R158" s="170">
        <v>44371</v>
      </c>
      <c r="S158" s="171" t="s">
        <v>8717</v>
      </c>
      <c r="T158" s="171" t="s">
        <v>7729</v>
      </c>
      <c r="U158" s="245">
        <v>44385</v>
      </c>
      <c r="V158" s="171" t="s">
        <v>8632</v>
      </c>
      <c r="W158" s="171">
        <v>4</v>
      </c>
      <c r="X158" s="171" t="s">
        <v>5683</v>
      </c>
      <c r="Y158" s="171" t="s">
        <v>4999</v>
      </c>
      <c r="Z158" s="245">
        <v>44385</v>
      </c>
      <c r="AA158" s="175" t="s">
        <v>264</v>
      </c>
      <c r="AB158" s="175">
        <v>44389</v>
      </c>
      <c r="AC158" s="175">
        <v>44389</v>
      </c>
      <c r="AF158" s="228"/>
      <c r="AG158" s="240"/>
      <c r="AH158" s="232"/>
    </row>
    <row r="159" spans="1:35" s="231" customFormat="1" ht="15" customHeight="1" thickBot="1" x14ac:dyDescent="0.25">
      <c r="A159" s="221" t="str">
        <f t="shared" si="8"/>
        <v>OK</v>
      </c>
      <c r="B159" s="222" t="str">
        <f t="shared" si="9"/>
        <v>OK</v>
      </c>
      <c r="C159" s="223" t="str">
        <f t="shared" si="10"/>
        <v>OK</v>
      </c>
      <c r="D159" s="92">
        <v>0</v>
      </c>
      <c r="E159" s="49" t="s">
        <v>8940</v>
      </c>
      <c r="F159" s="169" t="s">
        <v>8335</v>
      </c>
      <c r="G159" s="169">
        <v>181520</v>
      </c>
      <c r="H159" s="169" t="s">
        <v>8941</v>
      </c>
      <c r="I159" s="169" t="s">
        <v>6820</v>
      </c>
      <c r="J159" s="169" t="s">
        <v>6829</v>
      </c>
      <c r="K159" s="169" t="s">
        <v>8942</v>
      </c>
      <c r="L159" s="169" t="s">
        <v>8943</v>
      </c>
      <c r="M159" s="169" t="s">
        <v>8944</v>
      </c>
      <c r="N159" s="170">
        <v>44375</v>
      </c>
      <c r="O159" s="169" t="s">
        <v>7729</v>
      </c>
      <c r="P159" s="170">
        <v>44375</v>
      </c>
      <c r="Q159" s="170">
        <v>44375</v>
      </c>
      <c r="R159" s="170">
        <v>44375</v>
      </c>
      <c r="S159" s="171" t="s">
        <v>8717</v>
      </c>
      <c r="T159" s="171" t="s">
        <v>7729</v>
      </c>
      <c r="U159" s="245">
        <v>44378</v>
      </c>
      <c r="V159" s="171" t="s">
        <v>8945</v>
      </c>
      <c r="W159" s="171">
        <v>2</v>
      </c>
      <c r="X159" s="171" t="s">
        <v>5683</v>
      </c>
      <c r="Y159" s="171" t="s">
        <v>4999</v>
      </c>
      <c r="Z159" s="245">
        <v>44379</v>
      </c>
      <c r="AA159" s="175" t="s">
        <v>264</v>
      </c>
      <c r="AB159" s="175">
        <v>44384</v>
      </c>
      <c r="AC159" s="175">
        <v>44384</v>
      </c>
      <c r="AD159" s="227"/>
      <c r="AE159" s="227"/>
      <c r="AF159" s="228"/>
      <c r="AG159" s="229"/>
      <c r="AH159" s="230"/>
      <c r="AI159" s="227"/>
    </row>
    <row r="160" spans="1:35" s="227" customFormat="1" ht="15" customHeight="1" thickBot="1" x14ac:dyDescent="0.25">
      <c r="A160" s="221" t="str">
        <f t="shared" si="8"/>
        <v>OK</v>
      </c>
      <c r="B160" s="222" t="str">
        <f t="shared" si="9"/>
        <v>OK</v>
      </c>
      <c r="C160" s="223" t="str">
        <f t="shared" si="10"/>
        <v>OK</v>
      </c>
      <c r="D160" s="28">
        <v>0</v>
      </c>
      <c r="E160" s="49" t="s">
        <v>8946</v>
      </c>
      <c r="F160" s="169" t="s">
        <v>8335</v>
      </c>
      <c r="G160" s="169">
        <v>181520</v>
      </c>
      <c r="H160" s="169" t="s">
        <v>8947</v>
      </c>
      <c r="I160" s="169" t="s">
        <v>6820</v>
      </c>
      <c r="J160" s="169" t="s">
        <v>6829</v>
      </c>
      <c r="K160" s="169" t="s">
        <v>8948</v>
      </c>
      <c r="L160" s="169" t="s">
        <v>8949</v>
      </c>
      <c r="M160" s="169" t="s">
        <v>46</v>
      </c>
      <c r="N160" s="170">
        <v>44375</v>
      </c>
      <c r="O160" s="169" t="s">
        <v>7729</v>
      </c>
      <c r="P160" s="170">
        <v>44375</v>
      </c>
      <c r="Q160" s="170">
        <v>44375</v>
      </c>
      <c r="R160" s="170">
        <v>44375</v>
      </c>
      <c r="S160" s="171" t="s">
        <v>8717</v>
      </c>
      <c r="T160" s="171" t="s">
        <v>7729</v>
      </c>
      <c r="U160" s="245">
        <v>44407</v>
      </c>
      <c r="V160" s="171" t="s">
        <v>48</v>
      </c>
      <c r="W160" s="171">
        <v>1</v>
      </c>
      <c r="X160" s="171" t="s">
        <v>5683</v>
      </c>
      <c r="Y160" s="171" t="s">
        <v>4999</v>
      </c>
      <c r="Z160" s="245">
        <v>44379</v>
      </c>
      <c r="AA160" s="175" t="s">
        <v>264</v>
      </c>
      <c r="AB160" s="175">
        <v>44384</v>
      </c>
      <c r="AC160" s="175">
        <v>44384</v>
      </c>
      <c r="AD160" s="231"/>
      <c r="AE160" s="231"/>
      <c r="AF160" s="228"/>
      <c r="AG160" s="240"/>
      <c r="AH160" s="232"/>
      <c r="AI160" s="231"/>
    </row>
    <row r="161" spans="1:35" s="231" customFormat="1" ht="15" customHeight="1" thickBot="1" x14ac:dyDescent="0.25">
      <c r="A161" s="221" t="str">
        <f t="shared" si="8"/>
        <v>OK</v>
      </c>
      <c r="B161" s="222" t="str">
        <f t="shared" si="9"/>
        <v>OK</v>
      </c>
      <c r="C161" s="223" t="str">
        <f t="shared" si="10"/>
        <v>OK</v>
      </c>
      <c r="D161" s="92">
        <v>0</v>
      </c>
      <c r="E161" s="49" t="s">
        <v>8950</v>
      </c>
      <c r="F161" s="169" t="s">
        <v>8326</v>
      </c>
      <c r="G161" s="169">
        <v>181529</v>
      </c>
      <c r="H161" s="169" t="s">
        <v>8951</v>
      </c>
      <c r="I161" s="169" t="s">
        <v>6820</v>
      </c>
      <c r="J161" s="169" t="s">
        <v>6829</v>
      </c>
      <c r="K161" s="169" t="s">
        <v>8952</v>
      </c>
      <c r="L161" s="169" t="s">
        <v>8953</v>
      </c>
      <c r="M161" s="169" t="s">
        <v>5062</v>
      </c>
      <c r="N161" s="170">
        <v>44377</v>
      </c>
      <c r="O161" s="169" t="s">
        <v>7729</v>
      </c>
      <c r="P161" s="170">
        <v>44377</v>
      </c>
      <c r="Q161" s="170">
        <v>44377</v>
      </c>
      <c r="R161" s="170">
        <v>44377</v>
      </c>
      <c r="S161" s="171" t="s">
        <v>7026</v>
      </c>
      <c r="T161" s="171" t="s">
        <v>7026</v>
      </c>
      <c r="U161" s="245">
        <v>44377</v>
      </c>
      <c r="V161" s="171" t="s">
        <v>5320</v>
      </c>
      <c r="W161" s="171">
        <v>2</v>
      </c>
      <c r="X161" s="171" t="s">
        <v>5683</v>
      </c>
      <c r="Y161" s="171" t="s">
        <v>4999</v>
      </c>
      <c r="Z161" s="245">
        <v>44377</v>
      </c>
      <c r="AA161" s="175" t="s">
        <v>264</v>
      </c>
      <c r="AB161" s="175">
        <v>44378</v>
      </c>
      <c r="AC161" s="175">
        <v>44378</v>
      </c>
      <c r="AF161" s="239"/>
      <c r="AG161" s="240"/>
      <c r="AH161" s="232"/>
      <c r="AI161" s="227"/>
    </row>
    <row r="162" spans="1:35" s="227" customFormat="1" ht="15" customHeight="1" thickBot="1" x14ac:dyDescent="0.25">
      <c r="A162" s="221" t="str">
        <f t="shared" si="8"/>
        <v>OK</v>
      </c>
      <c r="B162" s="222" t="str">
        <f t="shared" si="9"/>
        <v>OK</v>
      </c>
      <c r="C162" s="223" t="str">
        <f t="shared" si="10"/>
        <v>OK</v>
      </c>
      <c r="D162" s="92">
        <v>0</v>
      </c>
      <c r="E162" s="49" t="s">
        <v>8954</v>
      </c>
      <c r="F162" s="169" t="s">
        <v>6169</v>
      </c>
      <c r="G162" s="169">
        <v>181202</v>
      </c>
      <c r="H162" s="169" t="s">
        <v>8955</v>
      </c>
      <c r="I162" s="169" t="s">
        <v>6820</v>
      </c>
      <c r="J162" s="169" t="s">
        <v>6829</v>
      </c>
      <c r="K162" s="169" t="s">
        <v>8305</v>
      </c>
      <c r="L162" s="169" t="s">
        <v>7082</v>
      </c>
      <c r="M162" s="169" t="s">
        <v>8342</v>
      </c>
      <c r="N162" s="170">
        <v>44378</v>
      </c>
      <c r="O162" s="169" t="s">
        <v>7729</v>
      </c>
      <c r="P162" s="170">
        <v>44378</v>
      </c>
      <c r="Q162" s="170">
        <v>44378</v>
      </c>
      <c r="R162" s="170">
        <v>44378</v>
      </c>
      <c r="S162" s="171" t="s">
        <v>8717</v>
      </c>
      <c r="T162" s="171" t="s">
        <v>7026</v>
      </c>
      <c r="U162" s="245">
        <v>44385</v>
      </c>
      <c r="V162" s="171" t="s">
        <v>3384</v>
      </c>
      <c r="W162" s="171">
        <v>1</v>
      </c>
      <c r="X162" s="171" t="s">
        <v>5683</v>
      </c>
      <c r="Y162" s="171" t="s">
        <v>4999</v>
      </c>
      <c r="Z162" s="245">
        <v>44385</v>
      </c>
      <c r="AA162" s="175" t="s">
        <v>264</v>
      </c>
      <c r="AB162" s="175">
        <v>44389</v>
      </c>
      <c r="AC162" s="175">
        <v>44389</v>
      </c>
      <c r="AF162" s="228"/>
      <c r="AG162" s="229"/>
      <c r="AH162" s="232"/>
    </row>
    <row r="163" spans="1:35" s="227" customFormat="1" ht="15" customHeight="1" thickBot="1" x14ac:dyDescent="0.25">
      <c r="A163" s="221" t="str">
        <f t="shared" si="8"/>
        <v>OK</v>
      </c>
      <c r="B163" s="222" t="str">
        <f t="shared" si="9"/>
        <v>OK</v>
      </c>
      <c r="C163" s="223" t="str">
        <f t="shared" si="10"/>
        <v>OK</v>
      </c>
      <c r="D163" s="92">
        <v>0</v>
      </c>
      <c r="E163" s="49" t="s">
        <v>8956</v>
      </c>
      <c r="F163" s="169" t="s">
        <v>8517</v>
      </c>
      <c r="G163" s="169">
        <v>181533</v>
      </c>
      <c r="H163" s="169" t="s">
        <v>8957</v>
      </c>
      <c r="I163" s="169" t="s">
        <v>6820</v>
      </c>
      <c r="J163" s="169" t="s">
        <v>6829</v>
      </c>
      <c r="K163" s="169" t="s">
        <v>8958</v>
      </c>
      <c r="L163" s="169" t="s">
        <v>8959</v>
      </c>
      <c r="M163" s="169" t="s">
        <v>8960</v>
      </c>
      <c r="N163" s="170">
        <v>44379</v>
      </c>
      <c r="O163" s="169" t="s">
        <v>7729</v>
      </c>
      <c r="P163" s="170">
        <v>44379</v>
      </c>
      <c r="Q163" s="170">
        <v>44379</v>
      </c>
      <c r="R163" s="170">
        <v>44379</v>
      </c>
      <c r="S163" s="171" t="s">
        <v>8717</v>
      </c>
      <c r="T163" s="171" t="s">
        <v>7729</v>
      </c>
      <c r="U163" s="245">
        <v>44382</v>
      </c>
      <c r="V163" s="171" t="s">
        <v>8961</v>
      </c>
      <c r="W163" s="171">
        <v>2</v>
      </c>
      <c r="X163" s="171" t="s">
        <v>5683</v>
      </c>
      <c r="Y163" s="171" t="s">
        <v>4999</v>
      </c>
      <c r="Z163" s="245">
        <v>44383</v>
      </c>
      <c r="AA163" s="175" t="s">
        <v>264</v>
      </c>
      <c r="AB163" s="175">
        <v>44384</v>
      </c>
      <c r="AC163" s="175">
        <v>44384</v>
      </c>
      <c r="AD163" s="231"/>
      <c r="AE163" s="231"/>
      <c r="AF163" s="239"/>
      <c r="AG163" s="240"/>
      <c r="AH163" s="232"/>
    </row>
    <row r="164" spans="1:35" s="227" customFormat="1" ht="15" customHeight="1" thickBot="1" x14ac:dyDescent="0.25">
      <c r="A164" s="221" t="str">
        <f t="shared" si="8"/>
        <v>OK</v>
      </c>
      <c r="B164" s="222" t="str">
        <f t="shared" si="9"/>
        <v>OK</v>
      </c>
      <c r="C164" s="223" t="str">
        <f t="shared" si="10"/>
        <v>OK</v>
      </c>
      <c r="D164" s="92">
        <v>0</v>
      </c>
      <c r="E164" s="49" t="s">
        <v>8962</v>
      </c>
      <c r="F164" s="169" t="s">
        <v>8963</v>
      </c>
      <c r="G164" s="169">
        <v>181527</v>
      </c>
      <c r="H164" s="169" t="s">
        <v>8964</v>
      </c>
      <c r="I164" s="169" t="s">
        <v>6820</v>
      </c>
      <c r="J164" s="169" t="s">
        <v>6829</v>
      </c>
      <c r="K164" s="169" t="s">
        <v>8965</v>
      </c>
      <c r="L164" s="169" t="s">
        <v>8966</v>
      </c>
      <c r="M164" s="169" t="s">
        <v>8967</v>
      </c>
      <c r="N164" s="170">
        <v>44375</v>
      </c>
      <c r="O164" s="169" t="s">
        <v>7729</v>
      </c>
      <c r="P164" s="170">
        <v>44376</v>
      </c>
      <c r="Q164" s="170">
        <v>44376</v>
      </c>
      <c r="R164" s="170">
        <v>44383</v>
      </c>
      <c r="S164" s="171" t="s">
        <v>8717</v>
      </c>
      <c r="T164" s="171" t="s">
        <v>7729</v>
      </c>
      <c r="U164" s="245">
        <v>44383</v>
      </c>
      <c r="V164" s="171" t="s">
        <v>8968</v>
      </c>
      <c r="W164" s="171">
        <v>2</v>
      </c>
      <c r="X164" s="171" t="s">
        <v>5683</v>
      </c>
      <c r="Y164" s="171" t="s">
        <v>4999</v>
      </c>
      <c r="Z164" s="245">
        <v>44385</v>
      </c>
      <c r="AA164" s="175" t="s">
        <v>264</v>
      </c>
      <c r="AB164" s="175">
        <v>44390</v>
      </c>
      <c r="AC164" s="175">
        <v>44391</v>
      </c>
      <c r="AF164" s="228"/>
      <c r="AG164" s="229"/>
      <c r="AH164" s="232"/>
    </row>
    <row r="165" spans="1:35" s="227" customFormat="1" ht="15" customHeight="1" thickBot="1" x14ac:dyDescent="0.25">
      <c r="A165" s="221" t="str">
        <f t="shared" si="8"/>
        <v>OK</v>
      </c>
      <c r="B165" s="222" t="str">
        <f t="shared" si="9"/>
        <v>OK</v>
      </c>
      <c r="C165" s="223" t="str">
        <f t="shared" si="10"/>
        <v>OK</v>
      </c>
      <c r="D165" s="92">
        <v>0</v>
      </c>
      <c r="E165" s="49" t="s">
        <v>8969</v>
      </c>
      <c r="F165" s="169" t="s">
        <v>8335</v>
      </c>
      <c r="G165" s="169">
        <v>181534</v>
      </c>
      <c r="H165" s="169" t="s">
        <v>8970</v>
      </c>
      <c r="I165" s="169" t="s">
        <v>6820</v>
      </c>
      <c r="J165" s="169" t="s">
        <v>6829</v>
      </c>
      <c r="K165" s="169" t="s">
        <v>5041</v>
      </c>
      <c r="L165" s="169" t="s">
        <v>8971</v>
      </c>
      <c r="M165" s="169" t="s">
        <v>46</v>
      </c>
      <c r="N165" s="170">
        <v>44383</v>
      </c>
      <c r="O165" s="169" t="s">
        <v>7729</v>
      </c>
      <c r="P165" s="170">
        <v>44383</v>
      </c>
      <c r="Q165" s="170">
        <v>44383</v>
      </c>
      <c r="R165" s="170">
        <v>44383</v>
      </c>
      <c r="S165" s="171" t="s">
        <v>8717</v>
      </c>
      <c r="T165" s="171" t="s">
        <v>7729</v>
      </c>
      <c r="U165" s="245">
        <v>44385</v>
      </c>
      <c r="V165" s="171" t="s">
        <v>154</v>
      </c>
      <c r="W165" s="171">
        <v>4</v>
      </c>
      <c r="X165" s="171" t="s">
        <v>5683</v>
      </c>
      <c r="Y165" s="171" t="s">
        <v>4999</v>
      </c>
      <c r="Z165" s="245">
        <v>44385</v>
      </c>
      <c r="AA165" s="175" t="s">
        <v>264</v>
      </c>
      <c r="AB165" s="175">
        <v>44389</v>
      </c>
      <c r="AC165" s="175">
        <v>44389</v>
      </c>
      <c r="AF165" s="228"/>
      <c r="AG165" s="229"/>
      <c r="AH165" s="232"/>
    </row>
    <row r="166" spans="1:35" s="227" customFormat="1" ht="15" customHeight="1" thickBot="1" x14ac:dyDescent="0.25">
      <c r="A166" s="221" t="str">
        <f t="shared" si="8"/>
        <v>OK</v>
      </c>
      <c r="B166" s="222" t="str">
        <f t="shared" si="9"/>
        <v>OK</v>
      </c>
      <c r="C166" s="223" t="str">
        <f t="shared" si="10"/>
        <v>OK</v>
      </c>
      <c r="D166" s="92">
        <v>0</v>
      </c>
      <c r="E166" s="49" t="s">
        <v>8972</v>
      </c>
      <c r="F166" s="169" t="s">
        <v>6169</v>
      </c>
      <c r="G166" s="169">
        <v>181202</v>
      </c>
      <c r="H166" s="169" t="s">
        <v>8973</v>
      </c>
      <c r="I166" s="169" t="s">
        <v>6820</v>
      </c>
      <c r="J166" s="169" t="s">
        <v>6829</v>
      </c>
      <c r="K166" s="157" t="s">
        <v>8246</v>
      </c>
      <c r="L166" s="157">
        <v>74712</v>
      </c>
      <c r="M166" s="157" t="s">
        <v>7098</v>
      </c>
      <c r="N166" s="170">
        <v>44385</v>
      </c>
      <c r="O166" s="169" t="s">
        <v>7729</v>
      </c>
      <c r="P166" s="170">
        <v>44385</v>
      </c>
      <c r="Q166" s="170">
        <v>44385</v>
      </c>
      <c r="R166" s="170">
        <v>44385</v>
      </c>
      <c r="S166" s="171" t="s">
        <v>8717</v>
      </c>
      <c r="T166" s="171" t="s">
        <v>7729</v>
      </c>
      <c r="U166" s="245">
        <v>44391</v>
      </c>
      <c r="V166" s="161" t="s">
        <v>8974</v>
      </c>
      <c r="W166" s="171">
        <v>1</v>
      </c>
      <c r="X166" s="171" t="s">
        <v>5683</v>
      </c>
      <c r="Y166" s="171" t="s">
        <v>4999</v>
      </c>
      <c r="Z166" s="245">
        <v>44391</v>
      </c>
      <c r="AA166" s="175" t="s">
        <v>264</v>
      </c>
      <c r="AB166" s="175">
        <v>44392</v>
      </c>
      <c r="AC166" s="175">
        <v>44392</v>
      </c>
      <c r="AF166" s="228"/>
      <c r="AG166" s="229"/>
      <c r="AH166" s="232"/>
    </row>
    <row r="167" spans="1:35" s="227" customFormat="1" ht="15" customHeight="1" thickBot="1" x14ac:dyDescent="0.25">
      <c r="A167" s="221" t="str">
        <f t="shared" si="8"/>
        <v>OK</v>
      </c>
      <c r="B167" s="222" t="str">
        <f t="shared" si="9"/>
        <v>OK</v>
      </c>
      <c r="C167" s="223" t="str">
        <f t="shared" si="10"/>
        <v>OK</v>
      </c>
      <c r="D167" s="92">
        <v>0</v>
      </c>
      <c r="E167" s="49" t="s">
        <v>8975</v>
      </c>
      <c r="F167" s="169" t="s">
        <v>8976</v>
      </c>
      <c r="G167" s="169">
        <v>181540</v>
      </c>
      <c r="H167" s="169" t="s">
        <v>8977</v>
      </c>
      <c r="I167" s="169" t="s">
        <v>6820</v>
      </c>
      <c r="J167" s="169" t="s">
        <v>6829</v>
      </c>
      <c r="K167" s="169" t="s">
        <v>8978</v>
      </c>
      <c r="L167" s="169" t="s">
        <v>8979</v>
      </c>
      <c r="M167" s="169" t="s">
        <v>8980</v>
      </c>
      <c r="N167" s="170">
        <v>44389</v>
      </c>
      <c r="O167" s="169" t="s">
        <v>7729</v>
      </c>
      <c r="P167" s="170">
        <v>44389</v>
      </c>
      <c r="Q167" s="170">
        <v>44389</v>
      </c>
      <c r="R167" s="170">
        <v>44391</v>
      </c>
      <c r="S167" s="171" t="s">
        <v>8717</v>
      </c>
      <c r="T167" s="171" t="s">
        <v>7729</v>
      </c>
      <c r="U167" s="245">
        <v>44434</v>
      </c>
      <c r="V167" s="171" t="s">
        <v>8981</v>
      </c>
      <c r="W167" s="171">
        <v>2</v>
      </c>
      <c r="X167" s="171" t="s">
        <v>5683</v>
      </c>
      <c r="Y167" s="171" t="s">
        <v>4999</v>
      </c>
      <c r="Z167" s="245">
        <v>44434</v>
      </c>
      <c r="AA167" s="175" t="s">
        <v>264</v>
      </c>
      <c r="AB167" s="175">
        <v>44439</v>
      </c>
      <c r="AC167" s="175">
        <v>44439</v>
      </c>
      <c r="AF167" s="228"/>
      <c r="AG167" s="229"/>
      <c r="AH167" s="232"/>
    </row>
    <row r="168" spans="1:35" s="227" customFormat="1" ht="15" customHeight="1" thickBot="1" x14ac:dyDescent="0.25">
      <c r="A168" s="221" t="str">
        <f t="shared" si="8"/>
        <v>OK</v>
      </c>
      <c r="B168" s="222" t="str">
        <f t="shared" si="9"/>
        <v>OK</v>
      </c>
      <c r="C168" s="223" t="str">
        <f t="shared" si="10"/>
        <v>OK</v>
      </c>
      <c r="D168" s="28">
        <v>0</v>
      </c>
      <c r="E168" s="49" t="s">
        <v>8982</v>
      </c>
      <c r="F168" s="169" t="s">
        <v>8335</v>
      </c>
      <c r="G168" s="169">
        <v>181544</v>
      </c>
      <c r="H168" s="169" t="s">
        <v>8983</v>
      </c>
      <c r="I168" s="169" t="s">
        <v>6820</v>
      </c>
      <c r="J168" s="169" t="s">
        <v>6829</v>
      </c>
      <c r="K168" s="169" t="s">
        <v>8984</v>
      </c>
      <c r="L168" s="169" t="s">
        <v>8985</v>
      </c>
      <c r="M168" s="169" t="s">
        <v>8986</v>
      </c>
      <c r="N168" s="170">
        <v>44392</v>
      </c>
      <c r="O168" s="169" t="s">
        <v>7729</v>
      </c>
      <c r="P168" s="170">
        <v>44392</v>
      </c>
      <c r="Q168" s="170">
        <v>44392</v>
      </c>
      <c r="R168" s="170">
        <v>44392</v>
      </c>
      <c r="S168" s="171" t="s">
        <v>8717</v>
      </c>
      <c r="T168" s="171" t="s">
        <v>7729</v>
      </c>
      <c r="U168" s="245">
        <v>44396</v>
      </c>
      <c r="V168" s="171" t="s">
        <v>8945</v>
      </c>
      <c r="W168" s="171">
        <v>4</v>
      </c>
      <c r="X168" s="171" t="s">
        <v>5683</v>
      </c>
      <c r="Y168" s="171" t="s">
        <v>4999</v>
      </c>
      <c r="Z168" s="245">
        <v>44397</v>
      </c>
      <c r="AA168" s="175" t="s">
        <v>264</v>
      </c>
      <c r="AB168" s="175">
        <v>44398</v>
      </c>
      <c r="AC168" s="175">
        <v>44398</v>
      </c>
      <c r="AD168" s="231"/>
      <c r="AE168" s="231"/>
      <c r="AF168" s="239"/>
      <c r="AG168" s="240"/>
      <c r="AH168" s="233"/>
      <c r="AI168" s="231"/>
    </row>
    <row r="169" spans="1:35" s="231" customFormat="1" ht="15" customHeight="1" thickBot="1" x14ac:dyDescent="0.25">
      <c r="A169" s="221" t="str">
        <f t="shared" si="8"/>
        <v>OK</v>
      </c>
      <c r="B169" s="222" t="str">
        <f t="shared" si="9"/>
        <v>OK</v>
      </c>
      <c r="C169" s="223" t="str">
        <f t="shared" si="10"/>
        <v>OK</v>
      </c>
      <c r="D169" s="28">
        <v>0</v>
      </c>
      <c r="E169" s="49" t="s">
        <v>8987</v>
      </c>
      <c r="F169" s="169" t="s">
        <v>8335</v>
      </c>
      <c r="G169" s="169">
        <v>181544</v>
      </c>
      <c r="H169" s="169" t="s">
        <v>8988</v>
      </c>
      <c r="I169" s="169" t="s">
        <v>6820</v>
      </c>
      <c r="J169" s="169" t="s">
        <v>6829</v>
      </c>
      <c r="K169" s="169" t="s">
        <v>8989</v>
      </c>
      <c r="L169" s="169" t="s">
        <v>8990</v>
      </c>
      <c r="M169" s="169" t="s">
        <v>46</v>
      </c>
      <c r="N169" s="170">
        <v>44392</v>
      </c>
      <c r="O169" s="169" t="s">
        <v>7729</v>
      </c>
      <c r="P169" s="170">
        <v>44392</v>
      </c>
      <c r="Q169" s="170">
        <v>44392</v>
      </c>
      <c r="R169" s="170">
        <v>44392</v>
      </c>
      <c r="S169" s="171" t="s">
        <v>8717</v>
      </c>
      <c r="T169" s="171" t="s">
        <v>7729</v>
      </c>
      <c r="U169" s="245">
        <v>44396</v>
      </c>
      <c r="V169" s="171" t="s">
        <v>150</v>
      </c>
      <c r="W169" s="171">
        <v>6</v>
      </c>
      <c r="X169" s="171" t="s">
        <v>5683</v>
      </c>
      <c r="Y169" s="171" t="s">
        <v>4999</v>
      </c>
      <c r="Z169" s="245">
        <v>44397</v>
      </c>
      <c r="AA169" s="175" t="s">
        <v>264</v>
      </c>
      <c r="AB169" s="175">
        <v>44398</v>
      </c>
      <c r="AC169" s="175">
        <v>44398</v>
      </c>
      <c r="AF169" s="239"/>
      <c r="AG169" s="240"/>
      <c r="AH169" s="233"/>
    </row>
    <row r="170" spans="1:35" s="231" customFormat="1" ht="15" customHeight="1" thickBot="1" x14ac:dyDescent="0.25">
      <c r="A170" s="221" t="str">
        <f t="shared" si="8"/>
        <v>OK</v>
      </c>
      <c r="B170" s="222" t="str">
        <f t="shared" si="9"/>
        <v>OK</v>
      </c>
      <c r="C170" s="223" t="str">
        <f t="shared" si="10"/>
        <v>OK</v>
      </c>
      <c r="D170" s="28">
        <v>0</v>
      </c>
      <c r="E170" s="49" t="s">
        <v>8991</v>
      </c>
      <c r="F170" s="169" t="s">
        <v>8963</v>
      </c>
      <c r="G170" s="169">
        <v>181521</v>
      </c>
      <c r="H170" s="169" t="s">
        <v>8992</v>
      </c>
      <c r="I170" s="169" t="s">
        <v>6820</v>
      </c>
      <c r="J170" s="169" t="s">
        <v>6829</v>
      </c>
      <c r="K170" s="169" t="s">
        <v>8993</v>
      </c>
      <c r="L170" s="169" t="s">
        <v>5752</v>
      </c>
      <c r="M170" s="169" t="s">
        <v>7382</v>
      </c>
      <c r="N170" s="170">
        <v>44375</v>
      </c>
      <c r="O170" s="169" t="s">
        <v>7729</v>
      </c>
      <c r="P170" s="170">
        <v>44375</v>
      </c>
      <c r="Q170" s="170">
        <v>44375</v>
      </c>
      <c r="R170" s="170">
        <v>44392</v>
      </c>
      <c r="S170" s="171" t="s">
        <v>8717</v>
      </c>
      <c r="T170" s="171" t="s">
        <v>7729</v>
      </c>
      <c r="U170" s="245">
        <v>44392</v>
      </c>
      <c r="V170" s="171" t="s">
        <v>8994</v>
      </c>
      <c r="W170" s="171">
        <v>1</v>
      </c>
      <c r="X170" s="171" t="s">
        <v>5683</v>
      </c>
      <c r="Y170" s="171" t="s">
        <v>4999</v>
      </c>
      <c r="Z170" s="245">
        <v>44398</v>
      </c>
      <c r="AA170" s="175" t="s">
        <v>264</v>
      </c>
      <c r="AB170" s="175">
        <v>44407</v>
      </c>
      <c r="AC170" s="175">
        <v>44407</v>
      </c>
      <c r="AF170" s="239"/>
      <c r="AG170" s="240"/>
      <c r="AH170" s="233"/>
    </row>
    <row r="171" spans="1:35" s="231" customFormat="1" ht="15" customHeight="1" thickBot="1" x14ac:dyDescent="0.25">
      <c r="A171" s="221" t="str">
        <f t="shared" si="8"/>
        <v>OK</v>
      </c>
      <c r="B171" s="222" t="str">
        <f t="shared" si="9"/>
        <v>OK</v>
      </c>
      <c r="C171" s="223" t="str">
        <f t="shared" si="10"/>
        <v>OK</v>
      </c>
      <c r="D171" s="28">
        <v>0</v>
      </c>
      <c r="E171" s="49" t="s">
        <v>8995</v>
      </c>
      <c r="F171" s="169" t="s">
        <v>6169</v>
      </c>
      <c r="G171" s="169">
        <v>181202</v>
      </c>
      <c r="H171" s="169" t="s">
        <v>8996</v>
      </c>
      <c r="I171" s="169" t="s">
        <v>6820</v>
      </c>
      <c r="J171" s="169" t="s">
        <v>6829</v>
      </c>
      <c r="K171" s="169" t="s">
        <v>8770</v>
      </c>
      <c r="L171" s="169" t="s">
        <v>1895</v>
      </c>
      <c r="M171" s="169" t="s">
        <v>8771</v>
      </c>
      <c r="N171" s="170">
        <v>44396</v>
      </c>
      <c r="O171" s="169" t="s">
        <v>7729</v>
      </c>
      <c r="P171" s="170">
        <v>44396</v>
      </c>
      <c r="Q171" s="170">
        <v>44396</v>
      </c>
      <c r="R171" s="170">
        <v>44396</v>
      </c>
      <c r="S171" s="171" t="s">
        <v>8717</v>
      </c>
      <c r="T171" s="171" t="s">
        <v>7729</v>
      </c>
      <c r="U171" s="245">
        <v>44397</v>
      </c>
      <c r="V171" s="171" t="s">
        <v>1896</v>
      </c>
      <c r="W171" s="171">
        <v>1</v>
      </c>
      <c r="X171" s="171" t="s">
        <v>5683</v>
      </c>
      <c r="Y171" s="171" t="s">
        <v>4999</v>
      </c>
      <c r="Z171" s="245">
        <v>44397</v>
      </c>
      <c r="AA171" s="175" t="s">
        <v>264</v>
      </c>
      <c r="AB171" s="175">
        <v>44397</v>
      </c>
      <c r="AC171" s="175">
        <v>44397</v>
      </c>
      <c r="AF171" s="239"/>
      <c r="AG171" s="240"/>
      <c r="AH171" s="233"/>
    </row>
    <row r="172" spans="1:35" s="231" customFormat="1" ht="15" customHeight="1" thickBot="1" x14ac:dyDescent="0.25">
      <c r="A172" s="221" t="str">
        <f t="shared" si="8"/>
        <v>OK</v>
      </c>
      <c r="B172" s="222" t="str">
        <f t="shared" si="9"/>
        <v>OK</v>
      </c>
      <c r="C172" s="223" t="str">
        <f t="shared" si="10"/>
        <v>OK</v>
      </c>
      <c r="D172" s="28">
        <v>0</v>
      </c>
      <c r="E172" s="49" t="s">
        <v>8997</v>
      </c>
      <c r="F172" s="169" t="s">
        <v>8998</v>
      </c>
      <c r="G172" s="169">
        <v>181551</v>
      </c>
      <c r="H172" s="169" t="s">
        <v>8999</v>
      </c>
      <c r="I172" s="169" t="s">
        <v>6820</v>
      </c>
      <c r="J172" s="169" t="s">
        <v>6829</v>
      </c>
      <c r="K172" s="169" t="s">
        <v>9000</v>
      </c>
      <c r="L172" s="169" t="s">
        <v>9001</v>
      </c>
      <c r="M172" s="169" t="s">
        <v>9002</v>
      </c>
      <c r="N172" s="170">
        <v>44396</v>
      </c>
      <c r="O172" s="169" t="s">
        <v>7729</v>
      </c>
      <c r="P172" s="170">
        <v>44397</v>
      </c>
      <c r="Q172" s="170">
        <v>44397</v>
      </c>
      <c r="R172" s="170">
        <v>44397</v>
      </c>
      <c r="S172" s="171" t="s">
        <v>8717</v>
      </c>
      <c r="T172" s="171" t="s">
        <v>7729</v>
      </c>
      <c r="U172" s="245" t="s">
        <v>9003</v>
      </c>
      <c r="V172" s="171" t="s">
        <v>7400</v>
      </c>
      <c r="W172" s="171">
        <v>2</v>
      </c>
      <c r="X172" s="171" t="s">
        <v>5683</v>
      </c>
      <c r="Y172" s="171" t="s">
        <v>4999</v>
      </c>
      <c r="Z172" s="245">
        <v>44405</v>
      </c>
      <c r="AA172" s="175" t="s">
        <v>264</v>
      </c>
      <c r="AB172" s="175">
        <v>44407</v>
      </c>
      <c r="AC172" s="175">
        <v>44407</v>
      </c>
      <c r="AF172" s="239"/>
      <c r="AG172" s="240"/>
      <c r="AH172" s="232"/>
    </row>
    <row r="173" spans="1:35" s="231" customFormat="1" ht="15" customHeight="1" thickBot="1" x14ac:dyDescent="0.25">
      <c r="A173" s="221" t="str">
        <f t="shared" si="8"/>
        <v>OK</v>
      </c>
      <c r="B173" s="222" t="str">
        <f t="shared" si="9"/>
        <v>OK</v>
      </c>
      <c r="C173" s="223" t="str">
        <f t="shared" si="10"/>
        <v>OK</v>
      </c>
      <c r="D173" s="92">
        <v>0</v>
      </c>
      <c r="E173" s="49" t="s">
        <v>9004</v>
      </c>
      <c r="F173" s="169" t="s">
        <v>9005</v>
      </c>
      <c r="G173" s="169">
        <v>181561</v>
      </c>
      <c r="H173" s="169" t="s">
        <v>9006</v>
      </c>
      <c r="I173" s="169" t="s">
        <v>6820</v>
      </c>
      <c r="J173" s="169" t="s">
        <v>6829</v>
      </c>
      <c r="K173" s="169" t="s">
        <v>9007</v>
      </c>
      <c r="L173" s="169" t="s">
        <v>9008</v>
      </c>
      <c r="M173" s="169" t="s">
        <v>9009</v>
      </c>
      <c r="N173" s="170">
        <v>44399</v>
      </c>
      <c r="O173" s="169" t="s">
        <v>7729</v>
      </c>
      <c r="P173" s="170">
        <v>44399</v>
      </c>
      <c r="Q173" s="170">
        <v>44399</v>
      </c>
      <c r="R173" s="170">
        <v>44400</v>
      </c>
      <c r="S173" s="171" t="s">
        <v>8717</v>
      </c>
      <c r="T173" s="171" t="s">
        <v>7729</v>
      </c>
      <c r="U173" s="245">
        <v>44424</v>
      </c>
      <c r="V173" s="171" t="s">
        <v>9010</v>
      </c>
      <c r="W173" s="171">
        <v>1</v>
      </c>
      <c r="X173" s="171" t="s">
        <v>5683</v>
      </c>
      <c r="Y173" s="171" t="s">
        <v>4999</v>
      </c>
      <c r="Z173" s="245">
        <v>44434</v>
      </c>
      <c r="AA173" s="175" t="s">
        <v>264</v>
      </c>
      <c r="AB173" s="175">
        <v>44434</v>
      </c>
      <c r="AC173" s="175">
        <v>44434</v>
      </c>
      <c r="AD173" s="227"/>
      <c r="AE173" s="227"/>
      <c r="AF173" s="228"/>
      <c r="AG173" s="229"/>
      <c r="AH173" s="232"/>
      <c r="AI173" s="227"/>
    </row>
    <row r="174" spans="1:35" s="227" customFormat="1" ht="15" customHeight="1" thickBot="1" x14ac:dyDescent="0.25">
      <c r="A174" s="221" t="str">
        <f t="shared" si="8"/>
        <v>OK</v>
      </c>
      <c r="B174" s="222" t="str">
        <f t="shared" si="9"/>
        <v>OK</v>
      </c>
      <c r="C174" s="223" t="str">
        <f t="shared" si="10"/>
        <v>OK</v>
      </c>
      <c r="D174" s="92">
        <v>0</v>
      </c>
      <c r="E174" s="49" t="s">
        <v>9011</v>
      </c>
      <c r="F174" s="169" t="s">
        <v>156</v>
      </c>
      <c r="G174" s="169">
        <v>181519</v>
      </c>
      <c r="H174" s="169" t="s">
        <v>9012</v>
      </c>
      <c r="I174" s="169" t="s">
        <v>6820</v>
      </c>
      <c r="J174" s="169" t="s">
        <v>6829</v>
      </c>
      <c r="K174" s="169" t="s">
        <v>8993</v>
      </c>
      <c r="L174" s="169" t="s">
        <v>5752</v>
      </c>
      <c r="M174" s="169" t="s">
        <v>7382</v>
      </c>
      <c r="N174" s="170">
        <v>44372</v>
      </c>
      <c r="O174" s="169" t="s">
        <v>7729</v>
      </c>
      <c r="P174" s="170">
        <v>44372</v>
      </c>
      <c r="Q174" s="170">
        <v>44372</v>
      </c>
      <c r="R174" s="170">
        <v>44400</v>
      </c>
      <c r="S174" s="171" t="s">
        <v>8717</v>
      </c>
      <c r="T174" s="171" t="s">
        <v>7729</v>
      </c>
      <c r="U174" s="245">
        <v>44428</v>
      </c>
      <c r="V174" s="171" t="s">
        <v>8994</v>
      </c>
      <c r="W174" s="171">
        <v>1</v>
      </c>
      <c r="X174" s="171" t="s">
        <v>5683</v>
      </c>
      <c r="Y174" s="171" t="s">
        <v>4999</v>
      </c>
      <c r="Z174" s="245">
        <v>44433</v>
      </c>
      <c r="AA174" s="175" t="s">
        <v>264</v>
      </c>
      <c r="AB174" s="175">
        <v>44434</v>
      </c>
      <c r="AC174" s="175">
        <v>44434</v>
      </c>
      <c r="AF174" s="228"/>
      <c r="AG174" s="229"/>
      <c r="AH174" s="232"/>
    </row>
    <row r="175" spans="1:35" s="227" customFormat="1" ht="15" customHeight="1" thickBot="1" x14ac:dyDescent="0.25">
      <c r="A175" s="221" t="str">
        <f t="shared" si="8"/>
        <v>OK</v>
      </c>
      <c r="B175" s="222" t="str">
        <f t="shared" si="9"/>
        <v>OK</v>
      </c>
      <c r="C175" s="223" t="str">
        <f t="shared" si="10"/>
        <v>OK</v>
      </c>
      <c r="D175" s="92">
        <v>0</v>
      </c>
      <c r="E175" s="49" t="s">
        <v>9013</v>
      </c>
      <c r="F175" s="169" t="s">
        <v>8369</v>
      </c>
      <c r="G175" s="169">
        <v>181564</v>
      </c>
      <c r="H175" s="169" t="s">
        <v>9014</v>
      </c>
      <c r="I175" s="169" t="s">
        <v>6820</v>
      </c>
      <c r="J175" s="169" t="s">
        <v>6829</v>
      </c>
      <c r="K175" s="169" t="s">
        <v>9015</v>
      </c>
      <c r="L175" s="169" t="s">
        <v>9016</v>
      </c>
      <c r="M175" s="169" t="s">
        <v>9017</v>
      </c>
      <c r="N175" s="170">
        <v>44403</v>
      </c>
      <c r="O175" s="169" t="s">
        <v>7729</v>
      </c>
      <c r="P175" s="170">
        <v>44403</v>
      </c>
      <c r="Q175" s="170">
        <v>44403</v>
      </c>
      <c r="R175" s="170">
        <v>44404</v>
      </c>
      <c r="S175" s="171" t="s">
        <v>8717</v>
      </c>
      <c r="T175" s="171" t="s">
        <v>7729</v>
      </c>
      <c r="U175" s="245">
        <v>44403</v>
      </c>
      <c r="V175" s="171" t="s">
        <v>9018</v>
      </c>
      <c r="W175" s="171">
        <v>2</v>
      </c>
      <c r="X175" s="171" t="s">
        <v>5683</v>
      </c>
      <c r="Y175" s="171" t="s">
        <v>4999</v>
      </c>
      <c r="Z175" s="245">
        <v>44406</v>
      </c>
      <c r="AA175" s="175" t="s">
        <v>264</v>
      </c>
      <c r="AB175" s="175">
        <v>44407</v>
      </c>
      <c r="AC175" s="175">
        <v>44407</v>
      </c>
      <c r="AF175" s="228"/>
      <c r="AG175" s="229"/>
      <c r="AH175" s="232"/>
    </row>
    <row r="176" spans="1:35" s="227" customFormat="1" ht="15" customHeight="1" thickBot="1" x14ac:dyDescent="0.25">
      <c r="A176" s="221" t="str">
        <f t="shared" si="8"/>
        <v>OK</v>
      </c>
      <c r="B176" s="222" t="str">
        <f t="shared" si="9"/>
        <v>OK</v>
      </c>
      <c r="C176" s="223" t="str">
        <f t="shared" si="10"/>
        <v>OK</v>
      </c>
      <c r="D176" s="92">
        <v>0</v>
      </c>
      <c r="E176" s="49" t="s">
        <v>9019</v>
      </c>
      <c r="F176" s="169" t="s">
        <v>8369</v>
      </c>
      <c r="G176" s="169">
        <v>181565</v>
      </c>
      <c r="H176" s="169" t="s">
        <v>9020</v>
      </c>
      <c r="I176" s="169" t="s">
        <v>6820</v>
      </c>
      <c r="J176" s="169" t="s">
        <v>6829</v>
      </c>
      <c r="K176" s="169" t="s">
        <v>8381</v>
      </c>
      <c r="L176" s="169" t="s">
        <v>9021</v>
      </c>
      <c r="M176" s="169" t="s">
        <v>9022</v>
      </c>
      <c r="N176" s="170">
        <v>44403</v>
      </c>
      <c r="O176" s="169" t="s">
        <v>7729</v>
      </c>
      <c r="P176" s="170">
        <v>44403</v>
      </c>
      <c r="Q176" s="170">
        <v>44403</v>
      </c>
      <c r="R176" s="170">
        <v>44404</v>
      </c>
      <c r="S176" s="171" t="s">
        <v>8717</v>
      </c>
      <c r="T176" s="171" t="s">
        <v>7729</v>
      </c>
      <c r="U176" s="245">
        <v>44403</v>
      </c>
      <c r="V176" s="171" t="s">
        <v>7722</v>
      </c>
      <c r="W176" s="171">
        <v>2</v>
      </c>
      <c r="X176" s="171" t="s">
        <v>5683</v>
      </c>
      <c r="Y176" s="171" t="s">
        <v>4999</v>
      </c>
      <c r="Z176" s="245">
        <v>44406</v>
      </c>
      <c r="AA176" s="175" t="s">
        <v>264</v>
      </c>
      <c r="AB176" s="175">
        <v>44412</v>
      </c>
      <c r="AC176" s="175">
        <v>44412</v>
      </c>
      <c r="AF176" s="228"/>
      <c r="AG176" s="229"/>
      <c r="AH176" s="232"/>
    </row>
    <row r="177" spans="1:35" s="227" customFormat="1" ht="15" customHeight="1" thickBot="1" x14ac:dyDescent="0.25">
      <c r="A177" s="221" t="str">
        <f t="shared" si="8"/>
        <v>OK</v>
      </c>
      <c r="B177" s="222" t="str">
        <f t="shared" si="9"/>
        <v>OK</v>
      </c>
      <c r="C177" s="223" t="str">
        <f t="shared" si="10"/>
        <v>OK</v>
      </c>
      <c r="D177" s="92">
        <v>0</v>
      </c>
      <c r="E177" s="49" t="s">
        <v>9023</v>
      </c>
      <c r="F177" s="157" t="s">
        <v>9024</v>
      </c>
      <c r="G177" s="157">
        <v>181571</v>
      </c>
      <c r="H177" s="157" t="s">
        <v>9025</v>
      </c>
      <c r="I177" s="157" t="s">
        <v>6820</v>
      </c>
      <c r="J177" s="157" t="s">
        <v>6829</v>
      </c>
      <c r="K177" s="157" t="s">
        <v>9026</v>
      </c>
      <c r="L177" s="157" t="s">
        <v>9027</v>
      </c>
      <c r="M177" s="157" t="s">
        <v>9028</v>
      </c>
      <c r="N177" s="158">
        <v>44406</v>
      </c>
      <c r="O177" s="157" t="s">
        <v>7729</v>
      </c>
      <c r="P177" s="158">
        <v>44406</v>
      </c>
      <c r="Q177" s="158">
        <v>44406</v>
      </c>
      <c r="R177" s="170">
        <v>44406</v>
      </c>
      <c r="S177" s="171" t="s">
        <v>8717</v>
      </c>
      <c r="T177" s="171" t="s">
        <v>7729</v>
      </c>
      <c r="U177" s="245">
        <v>44414</v>
      </c>
      <c r="V177" s="171" t="s">
        <v>9029</v>
      </c>
      <c r="W177" s="171">
        <v>1</v>
      </c>
      <c r="X177" s="171" t="s">
        <v>5683</v>
      </c>
      <c r="Y177" s="171" t="s">
        <v>4999</v>
      </c>
      <c r="Z177" s="245">
        <v>44417</v>
      </c>
      <c r="AA177" s="175" t="s">
        <v>264</v>
      </c>
      <c r="AB177" s="175">
        <v>44418</v>
      </c>
      <c r="AC177" s="175">
        <v>44418</v>
      </c>
      <c r="AF177" s="228"/>
      <c r="AG177" s="229"/>
      <c r="AH177" s="232"/>
    </row>
    <row r="178" spans="1:35" s="227" customFormat="1" ht="15" customHeight="1" thickBot="1" x14ac:dyDescent="0.25">
      <c r="A178" s="221" t="str">
        <f t="shared" si="8"/>
        <v>OK</v>
      </c>
      <c r="B178" s="222" t="str">
        <f t="shared" si="9"/>
        <v>OK</v>
      </c>
      <c r="C178" s="223" t="str">
        <f t="shared" si="10"/>
        <v>OK</v>
      </c>
      <c r="D178" s="92">
        <v>0</v>
      </c>
      <c r="E178" s="49" t="s">
        <v>9030</v>
      </c>
      <c r="F178" s="169" t="s">
        <v>6169</v>
      </c>
      <c r="G178" s="169">
        <v>181202</v>
      </c>
      <c r="H178" s="169" t="s">
        <v>9031</v>
      </c>
      <c r="I178" s="169" t="s">
        <v>6820</v>
      </c>
      <c r="J178" s="169" t="s">
        <v>6829</v>
      </c>
      <c r="K178" s="169" t="s">
        <v>8770</v>
      </c>
      <c r="L178" s="169" t="s">
        <v>9032</v>
      </c>
      <c r="M178" s="169" t="s">
        <v>8785</v>
      </c>
      <c r="N178" s="170">
        <v>44407</v>
      </c>
      <c r="O178" s="169" t="s">
        <v>7729</v>
      </c>
      <c r="P178" s="170">
        <v>44407</v>
      </c>
      <c r="Q178" s="170">
        <v>44407</v>
      </c>
      <c r="R178" s="170">
        <v>44407</v>
      </c>
      <c r="S178" s="171" t="s">
        <v>7026</v>
      </c>
      <c r="T178" s="171" t="s">
        <v>7729</v>
      </c>
      <c r="U178" s="245">
        <v>44411</v>
      </c>
      <c r="V178" s="171" t="s">
        <v>7129</v>
      </c>
      <c r="W178" s="171">
        <v>1</v>
      </c>
      <c r="X178" s="171" t="s">
        <v>5683</v>
      </c>
      <c r="Y178" s="171" t="s">
        <v>4999</v>
      </c>
      <c r="Z178" s="245">
        <v>44412</v>
      </c>
      <c r="AA178" s="175" t="s">
        <v>264</v>
      </c>
      <c r="AB178" s="175">
        <v>44414</v>
      </c>
      <c r="AC178" s="175">
        <v>44414</v>
      </c>
      <c r="AF178" s="228"/>
      <c r="AG178" s="229"/>
      <c r="AH178" s="232"/>
    </row>
    <row r="179" spans="1:35" s="227" customFormat="1" ht="15" customHeight="1" thickBot="1" x14ac:dyDescent="0.25">
      <c r="A179" s="221" t="str">
        <f t="shared" si="8"/>
        <v>OK</v>
      </c>
      <c r="B179" s="222" t="str">
        <f t="shared" si="9"/>
        <v>OK</v>
      </c>
      <c r="C179" s="223" t="str">
        <f t="shared" si="10"/>
        <v>OK</v>
      </c>
      <c r="D179" s="92">
        <v>0</v>
      </c>
      <c r="E179" s="49" t="s">
        <v>9033</v>
      </c>
      <c r="F179" s="169" t="s">
        <v>6169</v>
      </c>
      <c r="G179" s="169">
        <v>181202</v>
      </c>
      <c r="H179" s="169" t="s">
        <v>9034</v>
      </c>
      <c r="I179" s="169" t="s">
        <v>6820</v>
      </c>
      <c r="J179" s="169" t="s">
        <v>6829</v>
      </c>
      <c r="K179" s="157" t="s">
        <v>9035</v>
      </c>
      <c r="L179" s="169" t="s">
        <v>9036</v>
      </c>
      <c r="M179" s="169" t="s">
        <v>9037</v>
      </c>
      <c r="N179" s="170">
        <v>44407</v>
      </c>
      <c r="O179" s="169" t="s">
        <v>7729</v>
      </c>
      <c r="P179" s="170">
        <v>44407</v>
      </c>
      <c r="Q179" s="170">
        <v>44407</v>
      </c>
      <c r="R179" s="170">
        <v>44407</v>
      </c>
      <c r="S179" s="171" t="s">
        <v>7026</v>
      </c>
      <c r="T179" s="171" t="s">
        <v>7729</v>
      </c>
      <c r="U179" s="245">
        <v>44411</v>
      </c>
      <c r="V179" s="171" t="s">
        <v>5995</v>
      </c>
      <c r="W179" s="171">
        <v>1</v>
      </c>
      <c r="X179" s="171" t="s">
        <v>5683</v>
      </c>
      <c r="Y179" s="171" t="s">
        <v>4999</v>
      </c>
      <c r="Z179" s="245">
        <v>44412</v>
      </c>
      <c r="AA179" s="175" t="s">
        <v>264</v>
      </c>
      <c r="AB179" s="175">
        <v>44414</v>
      </c>
      <c r="AC179" s="175">
        <v>44414</v>
      </c>
      <c r="AF179" s="228"/>
      <c r="AG179" s="229"/>
      <c r="AH179" s="232"/>
    </row>
    <row r="180" spans="1:35" s="227" customFormat="1" ht="15" customHeight="1" thickBot="1" x14ac:dyDescent="0.25">
      <c r="A180" s="221" t="str">
        <f t="shared" si="8"/>
        <v>OK</v>
      </c>
      <c r="B180" s="222" t="str">
        <f t="shared" si="9"/>
        <v>OK</v>
      </c>
      <c r="C180" s="223" t="str">
        <f t="shared" si="10"/>
        <v>OK</v>
      </c>
      <c r="D180" s="92">
        <v>0</v>
      </c>
      <c r="E180" s="49" t="s">
        <v>9038</v>
      </c>
      <c r="F180" s="169" t="s">
        <v>9039</v>
      </c>
      <c r="G180" s="169">
        <v>181572</v>
      </c>
      <c r="H180" s="169" t="s">
        <v>9040</v>
      </c>
      <c r="I180" s="169" t="s">
        <v>6820</v>
      </c>
      <c r="J180" s="169" t="s">
        <v>6829</v>
      </c>
      <c r="K180" s="169" t="s">
        <v>9041</v>
      </c>
      <c r="L180" s="169" t="s">
        <v>9042</v>
      </c>
      <c r="M180" s="169" t="s">
        <v>9043</v>
      </c>
      <c r="N180" s="170">
        <v>44407</v>
      </c>
      <c r="O180" s="169" t="s">
        <v>7729</v>
      </c>
      <c r="P180" s="170">
        <v>44407</v>
      </c>
      <c r="Q180" s="170">
        <v>44407</v>
      </c>
      <c r="R180" s="170">
        <v>44411</v>
      </c>
      <c r="S180" s="171" t="s">
        <v>7729</v>
      </c>
      <c r="T180" s="171" t="s">
        <v>7729</v>
      </c>
      <c r="U180" s="245">
        <v>44432</v>
      </c>
      <c r="V180" s="171" t="s">
        <v>9044</v>
      </c>
      <c r="W180" s="171">
        <v>20</v>
      </c>
      <c r="X180" s="171" t="s">
        <v>5683</v>
      </c>
      <c r="Y180" s="171" t="s">
        <v>4999</v>
      </c>
      <c r="Z180" s="245">
        <v>44441</v>
      </c>
      <c r="AA180" s="175" t="s">
        <v>264</v>
      </c>
      <c r="AB180" s="175">
        <v>44441</v>
      </c>
      <c r="AC180" s="175">
        <v>44441</v>
      </c>
      <c r="AF180" s="228"/>
      <c r="AG180" s="229"/>
      <c r="AH180" s="232"/>
    </row>
    <row r="181" spans="1:35" s="227" customFormat="1" ht="15" customHeight="1" thickBot="1" x14ac:dyDescent="0.25">
      <c r="A181" s="221" t="str">
        <f t="shared" si="8"/>
        <v>OK</v>
      </c>
      <c r="B181" s="222" t="str">
        <f t="shared" si="9"/>
        <v>OK</v>
      </c>
      <c r="C181" s="223" t="str">
        <f t="shared" si="10"/>
        <v>OK</v>
      </c>
      <c r="D181" s="28">
        <v>0</v>
      </c>
      <c r="E181" s="49" t="s">
        <v>9045</v>
      </c>
      <c r="F181" s="169" t="s">
        <v>9046</v>
      </c>
      <c r="G181" s="169">
        <v>181575</v>
      </c>
      <c r="H181" s="169" t="s">
        <v>9047</v>
      </c>
      <c r="I181" s="169" t="s">
        <v>6820</v>
      </c>
      <c r="J181" s="169" t="s">
        <v>6829</v>
      </c>
      <c r="K181" s="169" t="s">
        <v>8563</v>
      </c>
      <c r="L181" s="169" t="s">
        <v>9048</v>
      </c>
      <c r="M181" s="169" t="s">
        <v>8565</v>
      </c>
      <c r="N181" s="170">
        <v>44412</v>
      </c>
      <c r="O181" s="169" t="s">
        <v>7729</v>
      </c>
      <c r="P181" s="170">
        <v>44412</v>
      </c>
      <c r="Q181" s="170">
        <v>44412</v>
      </c>
      <c r="R181" s="170">
        <v>44413</v>
      </c>
      <c r="S181" s="171" t="s">
        <v>7729</v>
      </c>
      <c r="T181" s="171" t="s">
        <v>7729</v>
      </c>
      <c r="U181" s="245">
        <v>44413</v>
      </c>
      <c r="V181" s="171" t="s">
        <v>7304</v>
      </c>
      <c r="W181" s="171">
        <v>11</v>
      </c>
      <c r="X181" s="171" t="s">
        <v>5683</v>
      </c>
      <c r="Y181" s="171" t="s">
        <v>4999</v>
      </c>
      <c r="Z181" s="245">
        <v>44419</v>
      </c>
      <c r="AA181" s="175" t="s">
        <v>264</v>
      </c>
      <c r="AB181" s="175">
        <v>44420</v>
      </c>
      <c r="AC181" s="175">
        <v>44420</v>
      </c>
      <c r="AD181" s="231"/>
      <c r="AE181" s="231"/>
      <c r="AF181" s="228"/>
      <c r="AG181" s="229"/>
      <c r="AH181" s="232"/>
      <c r="AI181" s="231"/>
    </row>
    <row r="182" spans="1:35" s="231" customFormat="1" ht="15" customHeight="1" thickBot="1" x14ac:dyDescent="0.25">
      <c r="A182" s="221" t="str">
        <f t="shared" si="8"/>
        <v>OK</v>
      </c>
      <c r="B182" s="222" t="str">
        <f t="shared" si="9"/>
        <v>OK</v>
      </c>
      <c r="C182" s="223" t="str">
        <f t="shared" si="10"/>
        <v>OK</v>
      </c>
      <c r="D182" s="28">
        <v>0</v>
      </c>
      <c r="E182" s="49" t="s">
        <v>9049</v>
      </c>
      <c r="F182" s="169" t="s">
        <v>8369</v>
      </c>
      <c r="G182" s="169">
        <v>181576</v>
      </c>
      <c r="H182" s="169" t="s">
        <v>9050</v>
      </c>
      <c r="I182" s="169" t="s">
        <v>6820</v>
      </c>
      <c r="J182" s="169" t="s">
        <v>6829</v>
      </c>
      <c r="K182" s="169" t="s">
        <v>9051</v>
      </c>
      <c r="L182" s="169" t="s">
        <v>9052</v>
      </c>
      <c r="M182" s="169" t="s">
        <v>9053</v>
      </c>
      <c r="N182" s="170">
        <v>44412</v>
      </c>
      <c r="O182" s="169" t="s">
        <v>7729</v>
      </c>
      <c r="P182" s="170">
        <v>44412</v>
      </c>
      <c r="Q182" s="170">
        <v>44412</v>
      </c>
      <c r="R182" s="170">
        <v>44413</v>
      </c>
      <c r="S182" s="171" t="s">
        <v>6850</v>
      </c>
      <c r="T182" s="171" t="s">
        <v>7729</v>
      </c>
      <c r="U182" s="245">
        <v>44413</v>
      </c>
      <c r="V182" s="171" t="s">
        <v>9054</v>
      </c>
      <c r="W182" s="171">
        <v>1</v>
      </c>
      <c r="X182" s="171" t="s">
        <v>5683</v>
      </c>
      <c r="Y182" s="171" t="s">
        <v>4999</v>
      </c>
      <c r="Z182" s="245">
        <v>44413</v>
      </c>
      <c r="AA182" s="175" t="s">
        <v>264</v>
      </c>
      <c r="AB182" s="175">
        <v>44414</v>
      </c>
      <c r="AC182" s="175">
        <v>44414</v>
      </c>
      <c r="AF182" s="239"/>
      <c r="AG182" s="240"/>
      <c r="AH182" s="232"/>
    </row>
    <row r="183" spans="1:35" s="231" customFormat="1" ht="15" customHeight="1" thickBot="1" x14ac:dyDescent="0.25">
      <c r="A183" s="221" t="str">
        <f t="shared" si="8"/>
        <v>OK</v>
      </c>
      <c r="B183" s="222" t="str">
        <f t="shared" si="9"/>
        <v>OK</v>
      </c>
      <c r="C183" s="223" t="str">
        <f t="shared" si="10"/>
        <v>OK</v>
      </c>
      <c r="D183" s="28">
        <v>0</v>
      </c>
      <c r="E183" s="49" t="s">
        <v>9055</v>
      </c>
      <c r="F183" s="169" t="s">
        <v>3449</v>
      </c>
      <c r="G183" s="169">
        <v>181507</v>
      </c>
      <c r="H183" s="169" t="s">
        <v>9056</v>
      </c>
      <c r="I183" s="169" t="s">
        <v>6820</v>
      </c>
      <c r="J183" s="169" t="s">
        <v>6829</v>
      </c>
      <c r="K183" s="169" t="s">
        <v>9057</v>
      </c>
      <c r="L183" s="169" t="s">
        <v>9058</v>
      </c>
      <c r="M183" s="169" t="s">
        <v>9059</v>
      </c>
      <c r="N183" s="170">
        <v>44363</v>
      </c>
      <c r="O183" s="169" t="s">
        <v>7729</v>
      </c>
      <c r="P183" s="170">
        <v>44363</v>
      </c>
      <c r="Q183" s="170">
        <v>44318</v>
      </c>
      <c r="R183" s="170">
        <v>44413</v>
      </c>
      <c r="S183" s="171" t="s">
        <v>7026</v>
      </c>
      <c r="T183" s="171" t="s">
        <v>7729</v>
      </c>
      <c r="U183" s="245">
        <v>44418</v>
      </c>
      <c r="V183" s="171" t="s">
        <v>5070</v>
      </c>
      <c r="W183" s="171">
        <v>2</v>
      </c>
      <c r="X183" s="171" t="s">
        <v>5683</v>
      </c>
      <c r="Y183" s="171" t="s">
        <v>4999</v>
      </c>
      <c r="Z183" s="245">
        <v>44420</v>
      </c>
      <c r="AA183" s="175" t="s">
        <v>264</v>
      </c>
      <c r="AB183" s="175">
        <v>44424</v>
      </c>
      <c r="AC183" s="175">
        <v>44424</v>
      </c>
      <c r="AF183" s="228"/>
      <c r="AG183" s="229"/>
      <c r="AH183" s="232"/>
    </row>
    <row r="184" spans="1:35" s="231" customFormat="1" ht="15" customHeight="1" thickBot="1" x14ac:dyDescent="0.25">
      <c r="A184" s="221" t="str">
        <f t="shared" ref="A184:A191" si="11">IF(OR(ISBLANK(D184),ISBLANK(E184),ISBLANK(F184),ISBLANK(G184),ISBLANK(H184),ISBLANK(I184),ISBLANK(J184),ISBLANK(K184),ISBLANK(L184),ISBLANK(M184),ISBLANK(N184),ISBLANK(O184),ISBLANK(P184),ISBLANK(Q184),ISBLANK(R184))=TRUE,"P","OK")</f>
        <v>OK</v>
      </c>
      <c r="B184" s="222" t="str">
        <f t="shared" si="9"/>
        <v>OK</v>
      </c>
      <c r="C184" s="223" t="str">
        <f t="shared" si="10"/>
        <v>OK</v>
      </c>
      <c r="D184" s="28">
        <v>0</v>
      </c>
      <c r="E184" s="49" t="s">
        <v>9060</v>
      </c>
      <c r="F184" s="169" t="s">
        <v>8335</v>
      </c>
      <c r="G184" s="169">
        <v>181584</v>
      </c>
      <c r="H184" s="169" t="s">
        <v>9061</v>
      </c>
      <c r="I184" s="169" t="s">
        <v>6820</v>
      </c>
      <c r="J184" s="169" t="s">
        <v>6829</v>
      </c>
      <c r="K184" s="169" t="s">
        <v>8984</v>
      </c>
      <c r="L184" s="169" t="s">
        <v>9062</v>
      </c>
      <c r="M184" s="169" t="s">
        <v>8944</v>
      </c>
      <c r="N184" s="170">
        <v>44420</v>
      </c>
      <c r="O184" s="169" t="s">
        <v>7729</v>
      </c>
      <c r="P184" s="170">
        <v>44420</v>
      </c>
      <c r="Q184" s="170">
        <v>44420</v>
      </c>
      <c r="R184" s="170">
        <v>44420</v>
      </c>
      <c r="S184" s="171" t="s">
        <v>7729</v>
      </c>
      <c r="T184" s="171" t="s">
        <v>7026</v>
      </c>
      <c r="U184" s="245">
        <v>44420</v>
      </c>
      <c r="V184" s="171" t="s">
        <v>8945</v>
      </c>
      <c r="W184" s="171">
        <v>3</v>
      </c>
      <c r="X184" s="171" t="s">
        <v>5683</v>
      </c>
      <c r="Y184" s="171" t="s">
        <v>4999</v>
      </c>
      <c r="Z184" s="245">
        <v>44421</v>
      </c>
      <c r="AA184" s="175" t="s">
        <v>264</v>
      </c>
      <c r="AB184" s="175">
        <v>44421</v>
      </c>
      <c r="AC184" s="175">
        <v>44421</v>
      </c>
      <c r="AF184" s="239"/>
      <c r="AG184" s="240"/>
      <c r="AH184" s="233"/>
    </row>
    <row r="185" spans="1:35" s="231" customFormat="1" ht="15" customHeight="1" thickBot="1" x14ac:dyDescent="0.25">
      <c r="A185" s="221" t="str">
        <f t="shared" si="11"/>
        <v>OK</v>
      </c>
      <c r="B185" s="222" t="str">
        <f t="shared" si="9"/>
        <v>OK</v>
      </c>
      <c r="C185" s="223" t="str">
        <f t="shared" si="10"/>
        <v>OK</v>
      </c>
      <c r="D185" s="28">
        <v>0</v>
      </c>
      <c r="E185" s="49" t="s">
        <v>9063</v>
      </c>
      <c r="F185" s="169" t="s">
        <v>9064</v>
      </c>
      <c r="G185" s="169">
        <v>181579</v>
      </c>
      <c r="H185" s="169" t="s">
        <v>9065</v>
      </c>
      <c r="I185" s="169" t="s">
        <v>6820</v>
      </c>
      <c r="J185" s="169" t="s">
        <v>6829</v>
      </c>
      <c r="K185" s="169" t="s">
        <v>9041</v>
      </c>
      <c r="L185" s="169" t="s">
        <v>9042</v>
      </c>
      <c r="M185" s="169" t="s">
        <v>9043</v>
      </c>
      <c r="N185" s="170">
        <v>44407</v>
      </c>
      <c r="O185" s="169" t="s">
        <v>7729</v>
      </c>
      <c r="P185" s="170">
        <v>44407</v>
      </c>
      <c r="Q185" s="170">
        <v>44407</v>
      </c>
      <c r="R185" s="170">
        <v>44411</v>
      </c>
      <c r="S185" s="171" t="s">
        <v>7729</v>
      </c>
      <c r="T185" s="171" t="s">
        <v>7729</v>
      </c>
      <c r="U185" s="245">
        <v>44432</v>
      </c>
      <c r="V185" s="171" t="s">
        <v>9044</v>
      </c>
      <c r="W185" s="171">
        <v>20</v>
      </c>
      <c r="X185" s="171" t="s">
        <v>5683</v>
      </c>
      <c r="Y185" s="171" t="s">
        <v>4999</v>
      </c>
      <c r="Z185" s="245">
        <v>44441</v>
      </c>
      <c r="AA185" s="175" t="s">
        <v>264</v>
      </c>
      <c r="AB185" s="175">
        <v>44441</v>
      </c>
      <c r="AC185" s="175">
        <v>44441</v>
      </c>
      <c r="AD185" s="227"/>
      <c r="AE185" s="227"/>
      <c r="AF185" s="228"/>
      <c r="AG185" s="229"/>
      <c r="AH185" s="232"/>
      <c r="AI185" s="227"/>
    </row>
    <row r="186" spans="1:35" s="227" customFormat="1" ht="15" customHeight="1" thickBot="1" x14ac:dyDescent="0.25">
      <c r="A186" s="221" t="str">
        <f t="shared" si="11"/>
        <v>OK</v>
      </c>
      <c r="B186" s="222" t="str">
        <f t="shared" si="9"/>
        <v>OK</v>
      </c>
      <c r="C186" s="223" t="str">
        <f t="shared" si="10"/>
        <v>OK</v>
      </c>
      <c r="D186" s="28">
        <v>0</v>
      </c>
      <c r="E186" s="49" t="s">
        <v>9066</v>
      </c>
      <c r="F186" s="169" t="s">
        <v>9067</v>
      </c>
      <c r="G186" s="169">
        <v>181590</v>
      </c>
      <c r="H186" s="169" t="s">
        <v>9068</v>
      </c>
      <c r="I186" s="169" t="s">
        <v>6820</v>
      </c>
      <c r="J186" s="169" t="s">
        <v>6829</v>
      </c>
      <c r="K186" s="169" t="s">
        <v>9041</v>
      </c>
      <c r="L186" s="169" t="s">
        <v>9042</v>
      </c>
      <c r="M186" s="169" t="s">
        <v>9043</v>
      </c>
      <c r="N186" s="170">
        <v>44407</v>
      </c>
      <c r="O186" s="169" t="s">
        <v>7729</v>
      </c>
      <c r="P186" s="170">
        <v>44407</v>
      </c>
      <c r="Q186" s="170">
        <v>44407</v>
      </c>
      <c r="R186" s="170">
        <v>44411</v>
      </c>
      <c r="S186" s="171" t="s">
        <v>7729</v>
      </c>
      <c r="T186" s="171" t="s">
        <v>7729</v>
      </c>
      <c r="U186" s="245">
        <v>44432</v>
      </c>
      <c r="V186" s="171" t="s">
        <v>9044</v>
      </c>
      <c r="W186" s="171">
        <v>20</v>
      </c>
      <c r="X186" s="171" t="s">
        <v>5683</v>
      </c>
      <c r="Y186" s="171" t="s">
        <v>4999</v>
      </c>
      <c r="Z186" s="245">
        <v>44441</v>
      </c>
      <c r="AA186" s="175" t="s">
        <v>264</v>
      </c>
      <c r="AB186" s="175">
        <v>44441</v>
      </c>
      <c r="AC186" s="175">
        <v>44441</v>
      </c>
      <c r="AD186" s="231"/>
      <c r="AE186" s="231"/>
      <c r="AF186" s="228"/>
      <c r="AG186" s="240"/>
      <c r="AH186" s="232"/>
      <c r="AI186" s="231"/>
    </row>
    <row r="187" spans="1:35" s="231" customFormat="1" ht="15" customHeight="1" thickBot="1" x14ac:dyDescent="0.25">
      <c r="A187" s="221" t="str">
        <f t="shared" si="11"/>
        <v>OK</v>
      </c>
      <c r="B187" s="222" t="str">
        <f t="shared" si="9"/>
        <v>OK</v>
      </c>
      <c r="C187" s="223" t="str">
        <f t="shared" si="10"/>
        <v>OK</v>
      </c>
      <c r="D187" s="28">
        <v>0</v>
      </c>
      <c r="E187" s="49" t="s">
        <v>9069</v>
      </c>
      <c r="F187" s="169" t="s">
        <v>9070</v>
      </c>
      <c r="G187" s="169">
        <v>181591</v>
      </c>
      <c r="H187" s="169" t="s">
        <v>9071</v>
      </c>
      <c r="I187" s="169" t="s">
        <v>6820</v>
      </c>
      <c r="J187" s="169" t="s">
        <v>6829</v>
      </c>
      <c r="K187" s="169" t="s">
        <v>9041</v>
      </c>
      <c r="L187" s="169" t="s">
        <v>9042</v>
      </c>
      <c r="M187" s="169" t="s">
        <v>9043</v>
      </c>
      <c r="N187" s="170">
        <v>44407</v>
      </c>
      <c r="O187" s="169" t="s">
        <v>7729</v>
      </c>
      <c r="P187" s="170">
        <v>44407</v>
      </c>
      <c r="Q187" s="170">
        <v>44407</v>
      </c>
      <c r="R187" s="170">
        <v>44411</v>
      </c>
      <c r="S187" s="171" t="s">
        <v>7729</v>
      </c>
      <c r="T187" s="171" t="s">
        <v>7729</v>
      </c>
      <c r="U187" s="245">
        <v>44432</v>
      </c>
      <c r="V187" s="171" t="s">
        <v>9044</v>
      </c>
      <c r="W187" s="171">
        <v>20</v>
      </c>
      <c r="X187" s="171" t="s">
        <v>5683</v>
      </c>
      <c r="Y187" s="171" t="s">
        <v>4999</v>
      </c>
      <c r="Z187" s="245">
        <v>44441</v>
      </c>
      <c r="AA187" s="175" t="s">
        <v>264</v>
      </c>
      <c r="AB187" s="175">
        <v>44441</v>
      </c>
      <c r="AC187" s="175">
        <v>44441</v>
      </c>
      <c r="AF187" s="239"/>
      <c r="AG187" s="240"/>
      <c r="AH187" s="233"/>
    </row>
    <row r="188" spans="1:35" s="231" customFormat="1" ht="15" customHeight="1" thickBot="1" x14ac:dyDescent="0.25">
      <c r="A188" s="221" t="str">
        <f t="shared" si="11"/>
        <v>OK</v>
      </c>
      <c r="B188" s="222" t="str">
        <f t="shared" ref="B188:B248" si="12">IF(OR(ISBLANK(S188),ISBLANK(T188),ISBLANK(U188),ISBLANK(V188),ISBLANK(W188),ISBLANK(X188),ISBLANK(Y188),ISBLANK(Z188))=TRUE,"P","OK")</f>
        <v>OK</v>
      </c>
      <c r="C188" s="223" t="str">
        <f t="shared" ref="C188:C248" si="13">IF(OR(ISBLANK(AA188),ISBLANK(AB188),ISBLANK(AC188))=TRUE,"P","OK")</f>
        <v>OK</v>
      </c>
      <c r="D188" s="28">
        <v>0</v>
      </c>
      <c r="E188" s="49" t="s">
        <v>9072</v>
      </c>
      <c r="F188" s="169" t="s">
        <v>8335</v>
      </c>
      <c r="G188" s="169">
        <v>181597</v>
      </c>
      <c r="H188" s="169" t="s">
        <v>9073</v>
      </c>
      <c r="I188" s="169" t="s">
        <v>6820</v>
      </c>
      <c r="J188" s="169" t="s">
        <v>6829</v>
      </c>
      <c r="K188" s="169" t="s">
        <v>9074</v>
      </c>
      <c r="L188" s="169" t="s">
        <v>9075</v>
      </c>
      <c r="M188" s="169" t="s">
        <v>46</v>
      </c>
      <c r="N188" s="170">
        <v>44430</v>
      </c>
      <c r="O188" s="169" t="s">
        <v>7729</v>
      </c>
      <c r="P188" s="170">
        <v>44431</v>
      </c>
      <c r="Q188" s="170">
        <v>44431</v>
      </c>
      <c r="R188" s="170">
        <v>44433</v>
      </c>
      <c r="S188" s="171" t="s">
        <v>7729</v>
      </c>
      <c r="T188" s="171" t="s">
        <v>7729</v>
      </c>
      <c r="U188" s="245">
        <v>44434</v>
      </c>
      <c r="V188" s="171" t="s">
        <v>6782</v>
      </c>
      <c r="W188" s="171">
        <v>2</v>
      </c>
      <c r="X188" s="171" t="s">
        <v>5683</v>
      </c>
      <c r="Y188" s="171" t="s">
        <v>4999</v>
      </c>
      <c r="Z188" s="245">
        <v>44435</v>
      </c>
      <c r="AA188" s="175" t="s">
        <v>264</v>
      </c>
      <c r="AB188" s="175">
        <v>44435</v>
      </c>
      <c r="AC188" s="175">
        <v>44435</v>
      </c>
      <c r="AF188" s="239"/>
      <c r="AG188" s="240"/>
      <c r="AH188" s="233"/>
    </row>
    <row r="189" spans="1:35" s="231" customFormat="1" ht="15" customHeight="1" thickBot="1" x14ac:dyDescent="0.25">
      <c r="A189" s="221" t="str">
        <f t="shared" si="11"/>
        <v>OK</v>
      </c>
      <c r="B189" s="222" t="str">
        <f t="shared" si="12"/>
        <v>OK</v>
      </c>
      <c r="C189" s="223" t="str">
        <f t="shared" si="13"/>
        <v>OK</v>
      </c>
      <c r="D189" s="28">
        <v>0</v>
      </c>
      <c r="E189" s="49" t="s">
        <v>9076</v>
      </c>
      <c r="F189" s="169" t="s">
        <v>8272</v>
      </c>
      <c r="G189" s="169">
        <v>181604</v>
      </c>
      <c r="H189" s="169" t="s">
        <v>9077</v>
      </c>
      <c r="I189" s="169" t="s">
        <v>6820</v>
      </c>
      <c r="J189" s="169" t="s">
        <v>6829</v>
      </c>
      <c r="K189" s="169" t="s">
        <v>5951</v>
      </c>
      <c r="L189" s="169" t="s">
        <v>9078</v>
      </c>
      <c r="M189" s="169" t="s">
        <v>9079</v>
      </c>
      <c r="N189" s="170">
        <v>44433</v>
      </c>
      <c r="O189" s="169" t="s">
        <v>7729</v>
      </c>
      <c r="P189" s="170">
        <v>44433</v>
      </c>
      <c r="Q189" s="170">
        <v>44433</v>
      </c>
      <c r="R189" s="170">
        <v>44434</v>
      </c>
      <c r="S189" s="171" t="s">
        <v>6837</v>
      </c>
      <c r="T189" s="171" t="s">
        <v>7729</v>
      </c>
      <c r="U189" s="245">
        <v>44434</v>
      </c>
      <c r="V189" s="171" t="s">
        <v>9080</v>
      </c>
      <c r="W189" s="171">
        <v>1</v>
      </c>
      <c r="X189" s="171" t="s">
        <v>5683</v>
      </c>
      <c r="Y189" s="171" t="s">
        <v>4999</v>
      </c>
      <c r="Z189" s="321">
        <v>44596</v>
      </c>
      <c r="AA189" s="175" t="s">
        <v>264</v>
      </c>
      <c r="AB189" s="175">
        <v>44596</v>
      </c>
      <c r="AC189" s="175">
        <v>44596</v>
      </c>
      <c r="AD189" s="227"/>
      <c r="AE189" s="227"/>
      <c r="AF189" s="228"/>
      <c r="AG189" s="240"/>
      <c r="AH189" s="230"/>
      <c r="AI189" s="227"/>
    </row>
    <row r="190" spans="1:35" s="227" customFormat="1" ht="15" customHeight="1" thickBot="1" x14ac:dyDescent="0.25">
      <c r="A190" s="221" t="str">
        <f t="shared" si="11"/>
        <v>OK</v>
      </c>
      <c r="B190" s="222" t="str">
        <f t="shared" si="12"/>
        <v>OK</v>
      </c>
      <c r="C190" s="223" t="str">
        <f t="shared" si="13"/>
        <v>OK</v>
      </c>
      <c r="D190" s="28">
        <v>0</v>
      </c>
      <c r="E190" s="49" t="s">
        <v>9081</v>
      </c>
      <c r="F190" s="169" t="s">
        <v>6169</v>
      </c>
      <c r="G190" s="169">
        <v>181202</v>
      </c>
      <c r="H190" s="169" t="s">
        <v>9082</v>
      </c>
      <c r="I190" s="169" t="s">
        <v>6820</v>
      </c>
      <c r="J190" s="169" t="s">
        <v>6829</v>
      </c>
      <c r="K190" s="169" t="s">
        <v>9083</v>
      </c>
      <c r="L190" s="169" t="s">
        <v>9084</v>
      </c>
      <c r="M190" s="169" t="s">
        <v>8342</v>
      </c>
      <c r="N190" s="170">
        <v>44435</v>
      </c>
      <c r="O190" s="169" t="s">
        <v>7729</v>
      </c>
      <c r="P190" s="170">
        <v>44435</v>
      </c>
      <c r="Q190" s="170">
        <v>44435</v>
      </c>
      <c r="R190" s="170">
        <v>44435</v>
      </c>
      <c r="S190" s="171" t="s">
        <v>7026</v>
      </c>
      <c r="T190" s="171" t="s">
        <v>7729</v>
      </c>
      <c r="U190" s="245">
        <v>44435</v>
      </c>
      <c r="V190" s="171" t="s">
        <v>9085</v>
      </c>
      <c r="W190" s="171">
        <v>2</v>
      </c>
      <c r="X190" s="171" t="s">
        <v>5683</v>
      </c>
      <c r="Y190" s="171" t="s">
        <v>4999</v>
      </c>
      <c r="Z190" s="245">
        <v>44438</v>
      </c>
      <c r="AA190" s="175" t="s">
        <v>264</v>
      </c>
      <c r="AB190" s="175">
        <v>44439</v>
      </c>
      <c r="AC190" s="175">
        <v>44439</v>
      </c>
      <c r="AD190" s="242"/>
      <c r="AE190" s="242"/>
      <c r="AF190" s="228"/>
      <c r="AG190" s="240"/>
      <c r="AH190" s="230"/>
      <c r="AI190" s="242"/>
    </row>
    <row r="191" spans="1:35" s="242" customFormat="1" ht="15" customHeight="1" thickBot="1" x14ac:dyDescent="0.25">
      <c r="A191" s="221" t="str">
        <f t="shared" si="11"/>
        <v>OK</v>
      </c>
      <c r="B191" s="222" t="str">
        <f t="shared" si="12"/>
        <v>OK</v>
      </c>
      <c r="C191" s="223" t="str">
        <f t="shared" si="13"/>
        <v>OK</v>
      </c>
      <c r="D191" s="28">
        <v>0</v>
      </c>
      <c r="E191" s="49" t="s">
        <v>9086</v>
      </c>
      <c r="F191" s="169" t="s">
        <v>3171</v>
      </c>
      <c r="G191" s="169">
        <v>181587</v>
      </c>
      <c r="H191" s="169" t="s">
        <v>9087</v>
      </c>
      <c r="I191" s="169" t="s">
        <v>6820</v>
      </c>
      <c r="J191" s="169" t="s">
        <v>6829</v>
      </c>
      <c r="K191" s="169" t="s">
        <v>9088</v>
      </c>
      <c r="L191" s="169" t="s">
        <v>9089</v>
      </c>
      <c r="M191" s="169" t="s">
        <v>9090</v>
      </c>
      <c r="N191" s="170">
        <v>44420</v>
      </c>
      <c r="O191" s="169" t="s">
        <v>7729</v>
      </c>
      <c r="P191" s="170">
        <v>44420</v>
      </c>
      <c r="Q191" s="170">
        <v>44420</v>
      </c>
      <c r="R191" s="170">
        <v>44435</v>
      </c>
      <c r="S191" s="171" t="s">
        <v>7026</v>
      </c>
      <c r="T191" s="171" t="s">
        <v>264</v>
      </c>
      <c r="U191" s="245">
        <v>44442</v>
      </c>
      <c r="V191" s="171" t="s">
        <v>9091</v>
      </c>
      <c r="W191" s="171">
        <v>4</v>
      </c>
      <c r="X191" s="171" t="s">
        <v>5683</v>
      </c>
      <c r="Y191" s="171" t="s">
        <v>4999</v>
      </c>
      <c r="Z191" s="245">
        <v>44446</v>
      </c>
      <c r="AA191" s="175" t="s">
        <v>264</v>
      </c>
      <c r="AB191" s="175">
        <v>44446</v>
      </c>
      <c r="AC191" s="175">
        <v>44446</v>
      </c>
      <c r="AD191" s="231"/>
      <c r="AE191" s="231"/>
      <c r="AF191" s="228"/>
      <c r="AG191" s="240"/>
      <c r="AH191" s="232"/>
      <c r="AI191" s="231"/>
    </row>
    <row r="192" spans="1:35" s="231" customFormat="1" ht="15" customHeight="1" thickBot="1" x14ac:dyDescent="0.25">
      <c r="A192" s="221" t="str">
        <f t="shared" ref="A192:A247" si="14">IF(OR(ISBLANK(D192),ISBLANK(E192),ISBLANK(F192),ISBLANK(G192),ISBLANK(H192),ISBLANK(I192),ISBLANK(J192),ISBLANK(K192),ISBLANK(L192),ISBLANK(M192),ISBLANK(N192),ISBLANK(O192),ISBLANK(P192),ISBLANK(Q192),ISBLANK(R192))=TRUE,"P","OK")</f>
        <v>OK</v>
      </c>
      <c r="B192" s="222" t="str">
        <f t="shared" si="12"/>
        <v>OK</v>
      </c>
      <c r="C192" s="223" t="str">
        <f t="shared" si="13"/>
        <v>OK</v>
      </c>
      <c r="D192" s="28">
        <v>0</v>
      </c>
      <c r="E192" s="49" t="s">
        <v>9092</v>
      </c>
      <c r="F192" s="169" t="s">
        <v>3171</v>
      </c>
      <c r="G192" s="169">
        <v>181587</v>
      </c>
      <c r="H192" s="169" t="s">
        <v>9093</v>
      </c>
      <c r="I192" s="169" t="s">
        <v>6820</v>
      </c>
      <c r="J192" s="169" t="s">
        <v>6829</v>
      </c>
      <c r="K192" s="169" t="s">
        <v>9094</v>
      </c>
      <c r="L192" s="169" t="s">
        <v>9095</v>
      </c>
      <c r="M192" s="169" t="s">
        <v>9090</v>
      </c>
      <c r="N192" s="170">
        <v>44420</v>
      </c>
      <c r="O192" s="169" t="s">
        <v>7729</v>
      </c>
      <c r="P192" s="170">
        <v>44420</v>
      </c>
      <c r="Q192" s="170">
        <v>44420</v>
      </c>
      <c r="R192" s="170">
        <v>44435</v>
      </c>
      <c r="S192" s="171" t="s">
        <v>7026</v>
      </c>
      <c r="T192" s="171" t="s">
        <v>264</v>
      </c>
      <c r="U192" s="245">
        <v>44442</v>
      </c>
      <c r="V192" s="171" t="s">
        <v>9096</v>
      </c>
      <c r="W192" s="171">
        <v>8</v>
      </c>
      <c r="X192" s="171" t="s">
        <v>5683</v>
      </c>
      <c r="Y192" s="171" t="s">
        <v>4999</v>
      </c>
      <c r="Z192" s="245">
        <v>44446</v>
      </c>
      <c r="AA192" s="175" t="s">
        <v>264</v>
      </c>
      <c r="AB192" s="175">
        <v>44446</v>
      </c>
      <c r="AC192" s="175">
        <v>44446</v>
      </c>
      <c r="AF192" s="239"/>
      <c r="AG192" s="240"/>
      <c r="AH192" s="233"/>
    </row>
    <row r="193" spans="1:34" s="236" customFormat="1" ht="15" customHeight="1" thickBot="1" x14ac:dyDescent="0.25">
      <c r="A193" s="277" t="str">
        <f t="shared" si="14"/>
        <v>P</v>
      </c>
      <c r="B193" s="278" t="str">
        <f t="shared" si="12"/>
        <v>P</v>
      </c>
      <c r="C193" s="279" t="str">
        <f t="shared" si="13"/>
        <v>P</v>
      </c>
      <c r="D193" s="79">
        <v>0</v>
      </c>
      <c r="E193" s="75" t="s">
        <v>9097</v>
      </c>
      <c r="F193" s="276" t="s">
        <v>8272</v>
      </c>
      <c r="G193" s="276">
        <v>181619</v>
      </c>
      <c r="H193" s="276" t="s">
        <v>9098</v>
      </c>
      <c r="I193" s="276" t="s">
        <v>6820</v>
      </c>
      <c r="J193" s="276" t="s">
        <v>6829</v>
      </c>
      <c r="K193" s="276" t="s">
        <v>8471</v>
      </c>
      <c r="L193" s="276" t="s">
        <v>9099</v>
      </c>
      <c r="M193" s="276" t="s">
        <v>2618</v>
      </c>
      <c r="N193" s="280">
        <v>44438</v>
      </c>
      <c r="O193" s="276" t="s">
        <v>7729</v>
      </c>
      <c r="P193" s="280">
        <v>44438</v>
      </c>
      <c r="Q193" s="280">
        <v>44438</v>
      </c>
      <c r="R193" s="276"/>
      <c r="S193" s="246"/>
      <c r="T193" s="246"/>
      <c r="U193" s="246"/>
      <c r="V193" s="246"/>
      <c r="W193" s="246"/>
      <c r="X193" s="246" t="s">
        <v>5683</v>
      </c>
      <c r="Y193" s="246"/>
      <c r="Z193" s="246"/>
      <c r="AA193" s="247"/>
      <c r="AB193" s="247"/>
      <c r="AC193" s="247"/>
      <c r="AF193" s="237"/>
      <c r="AG193" s="238"/>
      <c r="AH193" s="241"/>
    </row>
    <row r="194" spans="1:34" s="236" customFormat="1" ht="15" customHeight="1" thickBot="1" x14ac:dyDescent="0.25">
      <c r="A194" s="277" t="str">
        <f t="shared" si="14"/>
        <v>P</v>
      </c>
      <c r="B194" s="278" t="str">
        <f t="shared" si="12"/>
        <v>P</v>
      </c>
      <c r="C194" s="279" t="str">
        <f t="shared" si="13"/>
        <v>P</v>
      </c>
      <c r="D194" s="79">
        <v>0</v>
      </c>
      <c r="E194" s="75" t="s">
        <v>9100</v>
      </c>
      <c r="F194" s="276" t="s">
        <v>8272</v>
      </c>
      <c r="G194" s="276">
        <v>181619</v>
      </c>
      <c r="H194" s="276" t="s">
        <v>9101</v>
      </c>
      <c r="I194" s="276" t="s">
        <v>6820</v>
      </c>
      <c r="J194" s="276" t="s">
        <v>6829</v>
      </c>
      <c r="K194" s="276" t="s">
        <v>9102</v>
      </c>
      <c r="L194" s="276" t="s">
        <v>9103</v>
      </c>
      <c r="M194" s="276" t="s">
        <v>2618</v>
      </c>
      <c r="N194" s="280">
        <v>44438</v>
      </c>
      <c r="O194" s="276" t="s">
        <v>7729</v>
      </c>
      <c r="P194" s="280">
        <v>44438</v>
      </c>
      <c r="Q194" s="280">
        <v>44438</v>
      </c>
      <c r="R194" s="276"/>
      <c r="S194" s="246"/>
      <c r="T194" s="246"/>
      <c r="U194" s="246"/>
      <c r="V194" s="246"/>
      <c r="W194" s="246"/>
      <c r="X194" s="246" t="s">
        <v>5683</v>
      </c>
      <c r="Y194" s="246"/>
      <c r="Z194" s="246"/>
      <c r="AA194" s="247"/>
      <c r="AB194" s="247"/>
      <c r="AC194" s="247"/>
      <c r="AF194" s="237"/>
      <c r="AG194" s="238"/>
      <c r="AH194" s="241"/>
    </row>
    <row r="195" spans="1:34" s="231" customFormat="1" ht="15" customHeight="1" thickBot="1" x14ac:dyDescent="0.25">
      <c r="A195" s="221" t="str">
        <f t="shared" si="14"/>
        <v>OK</v>
      </c>
      <c r="B195" s="222" t="str">
        <f t="shared" si="12"/>
        <v>OK</v>
      </c>
      <c r="C195" s="223" t="str">
        <f t="shared" si="13"/>
        <v>OK</v>
      </c>
      <c r="D195" s="28">
        <v>0</v>
      </c>
      <c r="E195" s="49" t="s">
        <v>9104</v>
      </c>
      <c r="F195" s="169" t="s">
        <v>6169</v>
      </c>
      <c r="G195" s="169">
        <v>181202</v>
      </c>
      <c r="H195" s="169" t="s">
        <v>9105</v>
      </c>
      <c r="I195" s="169" t="s">
        <v>6820</v>
      </c>
      <c r="J195" s="169" t="s">
        <v>6829</v>
      </c>
      <c r="K195" s="50" t="s">
        <v>1682</v>
      </c>
      <c r="L195" s="169" t="s">
        <v>9106</v>
      </c>
      <c r="M195" s="50" t="s">
        <v>9107</v>
      </c>
      <c r="N195" s="170">
        <v>44440</v>
      </c>
      <c r="O195" s="169" t="s">
        <v>7729</v>
      </c>
      <c r="P195" s="170">
        <v>44440</v>
      </c>
      <c r="Q195" s="170">
        <v>44440</v>
      </c>
      <c r="R195" s="170">
        <v>44440</v>
      </c>
      <c r="S195" s="171" t="s">
        <v>7026</v>
      </c>
      <c r="T195" s="171" t="s">
        <v>264</v>
      </c>
      <c r="U195" s="245">
        <v>44441</v>
      </c>
      <c r="V195" s="171" t="s">
        <v>9108</v>
      </c>
      <c r="W195" s="171">
        <v>1</v>
      </c>
      <c r="X195" s="171" t="s">
        <v>5683</v>
      </c>
      <c r="Y195" s="171" t="s">
        <v>4999</v>
      </c>
      <c r="Z195" s="245">
        <v>44442</v>
      </c>
      <c r="AA195" s="175" t="s">
        <v>264</v>
      </c>
      <c r="AB195" s="175">
        <v>44442</v>
      </c>
      <c r="AC195" s="175">
        <v>44442</v>
      </c>
      <c r="AF195" s="239"/>
      <c r="AG195" s="240"/>
      <c r="AH195" s="233"/>
    </row>
    <row r="196" spans="1:34" s="231" customFormat="1" ht="15" customHeight="1" thickBot="1" x14ac:dyDescent="0.25">
      <c r="A196" s="221" t="str">
        <f t="shared" si="14"/>
        <v>OK</v>
      </c>
      <c r="B196" s="222" t="str">
        <f t="shared" si="12"/>
        <v>OK</v>
      </c>
      <c r="C196" s="223" t="str">
        <f t="shared" si="13"/>
        <v>OK</v>
      </c>
      <c r="D196" s="28">
        <v>0</v>
      </c>
      <c r="E196" s="49" t="s">
        <v>9109</v>
      </c>
      <c r="F196" s="169" t="s">
        <v>8335</v>
      </c>
      <c r="G196" s="169">
        <v>181622</v>
      </c>
      <c r="H196" s="169" t="s">
        <v>9110</v>
      </c>
      <c r="I196" s="169" t="s">
        <v>6820</v>
      </c>
      <c r="J196" s="169" t="s">
        <v>6829</v>
      </c>
      <c r="K196" s="169" t="s">
        <v>9111</v>
      </c>
      <c r="L196" s="169" t="s">
        <v>9112</v>
      </c>
      <c r="M196" s="169" t="s">
        <v>46</v>
      </c>
      <c r="N196" s="170">
        <v>44440</v>
      </c>
      <c r="O196" s="169" t="s">
        <v>7729</v>
      </c>
      <c r="P196" s="170">
        <v>44441</v>
      </c>
      <c r="Q196" s="170">
        <v>44441</v>
      </c>
      <c r="R196" s="170">
        <v>44441</v>
      </c>
      <c r="S196" s="171" t="s">
        <v>7026</v>
      </c>
      <c r="T196" s="171" t="s">
        <v>264</v>
      </c>
      <c r="U196" s="245">
        <v>44447</v>
      </c>
      <c r="V196" s="171" t="s">
        <v>1858</v>
      </c>
      <c r="W196" s="171">
        <v>6</v>
      </c>
      <c r="X196" s="171" t="s">
        <v>5683</v>
      </c>
      <c r="Y196" s="171" t="s">
        <v>4999</v>
      </c>
      <c r="Z196" s="245">
        <v>44447</v>
      </c>
      <c r="AA196" s="175" t="s">
        <v>264</v>
      </c>
      <c r="AB196" s="175">
        <v>44447</v>
      </c>
      <c r="AC196" s="175">
        <v>44447</v>
      </c>
      <c r="AF196" s="239"/>
      <c r="AG196" s="240"/>
      <c r="AH196" s="233"/>
    </row>
    <row r="197" spans="1:34" s="231" customFormat="1" ht="15" customHeight="1" thickBot="1" x14ac:dyDescent="0.25">
      <c r="A197" s="221" t="str">
        <f t="shared" si="14"/>
        <v>OK</v>
      </c>
      <c r="B197" s="222" t="str">
        <f t="shared" si="12"/>
        <v>OK</v>
      </c>
      <c r="C197" s="223" t="str">
        <f t="shared" si="13"/>
        <v>OK</v>
      </c>
      <c r="D197" s="28">
        <v>0</v>
      </c>
      <c r="E197" s="49" t="s">
        <v>9113</v>
      </c>
      <c r="F197" s="169" t="s">
        <v>8595</v>
      </c>
      <c r="G197" s="169">
        <v>181620</v>
      </c>
      <c r="H197" s="169" t="s">
        <v>9114</v>
      </c>
      <c r="I197" s="169" t="s">
        <v>6820</v>
      </c>
      <c r="J197" s="169" t="s">
        <v>6829</v>
      </c>
      <c r="K197" s="169" t="s">
        <v>9115</v>
      </c>
      <c r="L197" s="169" t="s">
        <v>9116</v>
      </c>
      <c r="M197" s="169" t="s">
        <v>9117</v>
      </c>
      <c r="N197" s="170">
        <v>44439</v>
      </c>
      <c r="O197" s="169" t="s">
        <v>7729</v>
      </c>
      <c r="P197" s="170">
        <v>44439</v>
      </c>
      <c r="Q197" s="170">
        <v>44439</v>
      </c>
      <c r="R197" s="170">
        <v>44441</v>
      </c>
      <c r="S197" s="171" t="s">
        <v>7026</v>
      </c>
      <c r="T197" s="171" t="s">
        <v>7026</v>
      </c>
      <c r="U197" s="245">
        <v>44461</v>
      </c>
      <c r="V197" s="171" t="s">
        <v>199</v>
      </c>
      <c r="W197" s="171">
        <v>1</v>
      </c>
      <c r="X197" s="171" t="s">
        <v>5683</v>
      </c>
      <c r="Y197" s="171" t="s">
        <v>4999</v>
      </c>
      <c r="Z197" s="245">
        <v>44462</v>
      </c>
      <c r="AA197" s="175" t="s">
        <v>264</v>
      </c>
      <c r="AB197" s="175">
        <v>44462</v>
      </c>
      <c r="AC197" s="175">
        <v>44462</v>
      </c>
      <c r="AF197" s="239"/>
      <c r="AG197" s="240"/>
      <c r="AH197" s="233"/>
    </row>
    <row r="198" spans="1:34" s="231" customFormat="1" ht="24.2" customHeight="1" thickBot="1" x14ac:dyDescent="0.25">
      <c r="A198" s="221" t="str">
        <f t="shared" si="14"/>
        <v>OK</v>
      </c>
      <c r="B198" s="327" t="str">
        <f t="shared" si="12"/>
        <v>P</v>
      </c>
      <c r="C198" s="328" t="str">
        <f t="shared" si="13"/>
        <v>P</v>
      </c>
      <c r="D198" s="28">
        <v>0</v>
      </c>
      <c r="E198" s="49" t="s">
        <v>9118</v>
      </c>
      <c r="F198" s="169" t="s">
        <v>7331</v>
      </c>
      <c r="G198" s="169">
        <v>181612</v>
      </c>
      <c r="H198" s="169" t="s">
        <v>9119</v>
      </c>
      <c r="I198" s="169" t="s">
        <v>6820</v>
      </c>
      <c r="J198" s="169" t="s">
        <v>6829</v>
      </c>
      <c r="K198" s="169" t="s">
        <v>9120</v>
      </c>
      <c r="L198" s="169" t="s">
        <v>9121</v>
      </c>
      <c r="M198" s="169" t="s">
        <v>9122</v>
      </c>
      <c r="N198" s="170">
        <v>44434</v>
      </c>
      <c r="O198" s="169" t="s">
        <v>7729</v>
      </c>
      <c r="P198" s="170">
        <v>44435</v>
      </c>
      <c r="Q198" s="170">
        <v>44435</v>
      </c>
      <c r="R198" s="170">
        <v>44442</v>
      </c>
      <c r="S198" s="171"/>
      <c r="T198" s="171"/>
      <c r="U198" s="171"/>
      <c r="V198" s="171" t="s">
        <v>9123</v>
      </c>
      <c r="W198" s="171"/>
      <c r="X198" s="171" t="s">
        <v>5683</v>
      </c>
      <c r="Y198" s="171"/>
      <c r="Z198" s="171"/>
      <c r="AA198" s="175"/>
      <c r="AB198" s="175"/>
      <c r="AC198" s="175"/>
      <c r="AF198" s="239"/>
      <c r="AG198" s="240"/>
      <c r="AH198" s="233"/>
    </row>
    <row r="199" spans="1:34" s="231" customFormat="1" ht="26.25" customHeight="1" thickBot="1" x14ac:dyDescent="0.25">
      <c r="A199" s="221" t="str">
        <f t="shared" si="14"/>
        <v>OK</v>
      </c>
      <c r="B199" s="327" t="str">
        <f t="shared" si="12"/>
        <v>P</v>
      </c>
      <c r="C199" s="328" t="str">
        <f t="shared" si="13"/>
        <v>P</v>
      </c>
      <c r="D199" s="28">
        <v>0</v>
      </c>
      <c r="E199" s="49" t="s">
        <v>9124</v>
      </c>
      <c r="F199" s="169" t="s">
        <v>7331</v>
      </c>
      <c r="G199" s="169">
        <v>181612</v>
      </c>
      <c r="H199" s="169" t="s">
        <v>9125</v>
      </c>
      <c r="I199" s="169" t="s">
        <v>6820</v>
      </c>
      <c r="J199" s="169" t="s">
        <v>6829</v>
      </c>
      <c r="K199" s="169" t="s">
        <v>9120</v>
      </c>
      <c r="L199" s="169" t="s">
        <v>9126</v>
      </c>
      <c r="M199" s="169" t="s">
        <v>9122</v>
      </c>
      <c r="N199" s="170">
        <v>44434</v>
      </c>
      <c r="O199" s="169" t="s">
        <v>7729</v>
      </c>
      <c r="P199" s="170">
        <v>44435</v>
      </c>
      <c r="Q199" s="170">
        <v>44435</v>
      </c>
      <c r="R199" s="170">
        <v>44442</v>
      </c>
      <c r="S199" s="171"/>
      <c r="T199" s="171"/>
      <c r="U199" s="171"/>
      <c r="V199" s="171" t="s">
        <v>9123</v>
      </c>
      <c r="W199" s="171"/>
      <c r="X199" s="171" t="s">
        <v>5683</v>
      </c>
      <c r="Y199" s="171"/>
      <c r="Z199" s="171"/>
      <c r="AA199" s="175"/>
      <c r="AB199" s="175"/>
      <c r="AC199" s="175"/>
      <c r="AF199" s="239"/>
      <c r="AG199" s="240"/>
      <c r="AH199" s="233"/>
    </row>
    <row r="200" spans="1:34" s="231" customFormat="1" ht="27.6" customHeight="1" thickBot="1" x14ac:dyDescent="0.25">
      <c r="A200" s="221" t="str">
        <f t="shared" si="14"/>
        <v>OK</v>
      </c>
      <c r="B200" s="222" t="str">
        <f t="shared" si="12"/>
        <v>OK</v>
      </c>
      <c r="C200" s="223" t="str">
        <f t="shared" si="13"/>
        <v>OK</v>
      </c>
      <c r="D200" s="28">
        <v>0</v>
      </c>
      <c r="E200" s="49" t="s">
        <v>9127</v>
      </c>
      <c r="F200" s="169" t="s">
        <v>7331</v>
      </c>
      <c r="G200" s="169">
        <v>181612</v>
      </c>
      <c r="H200" s="169" t="s">
        <v>9128</v>
      </c>
      <c r="I200" s="169" t="s">
        <v>6820</v>
      </c>
      <c r="J200" s="169" t="s">
        <v>6829</v>
      </c>
      <c r="K200" s="169" t="s">
        <v>9120</v>
      </c>
      <c r="L200" s="169" t="s">
        <v>9129</v>
      </c>
      <c r="M200" s="169" t="s">
        <v>9122</v>
      </c>
      <c r="N200" s="170">
        <v>44434</v>
      </c>
      <c r="O200" s="169" t="s">
        <v>7729</v>
      </c>
      <c r="P200" s="170">
        <v>44435</v>
      </c>
      <c r="Q200" s="170">
        <v>44435</v>
      </c>
      <c r="R200" s="170">
        <v>44442</v>
      </c>
      <c r="S200" s="171" t="s">
        <v>6837</v>
      </c>
      <c r="T200" s="171" t="s">
        <v>7026</v>
      </c>
      <c r="U200" s="245">
        <v>44543</v>
      </c>
      <c r="V200" s="171" t="s">
        <v>9130</v>
      </c>
      <c r="W200" s="171">
        <v>1</v>
      </c>
      <c r="X200" s="171" t="s">
        <v>5683</v>
      </c>
      <c r="Y200" s="171" t="s">
        <v>4999</v>
      </c>
      <c r="Z200" s="321">
        <v>44613</v>
      </c>
      <c r="AA200" s="175" t="s">
        <v>264</v>
      </c>
      <c r="AB200" s="175">
        <v>44580</v>
      </c>
      <c r="AC200" s="175">
        <v>44580</v>
      </c>
      <c r="AF200" s="239"/>
      <c r="AG200" s="240"/>
      <c r="AH200" s="233"/>
    </row>
    <row r="201" spans="1:34" s="231" customFormat="1" ht="15.75" thickBot="1" x14ac:dyDescent="0.25">
      <c r="A201" s="221" t="str">
        <f t="shared" si="14"/>
        <v>OK</v>
      </c>
      <c r="B201" s="222" t="str">
        <f t="shared" si="12"/>
        <v>OK</v>
      </c>
      <c r="C201" s="223" t="str">
        <f t="shared" si="13"/>
        <v>OK</v>
      </c>
      <c r="D201" s="28">
        <v>0</v>
      </c>
      <c r="E201" s="49" t="s">
        <v>9131</v>
      </c>
      <c r="F201" s="169" t="s">
        <v>8517</v>
      </c>
      <c r="G201" s="169">
        <v>181623</v>
      </c>
      <c r="H201" s="169" t="s">
        <v>9132</v>
      </c>
      <c r="I201" s="169" t="s">
        <v>6820</v>
      </c>
      <c r="J201" s="169" t="s">
        <v>6829</v>
      </c>
      <c r="K201" s="169" t="s">
        <v>9133</v>
      </c>
      <c r="L201" s="169" t="s">
        <v>7025</v>
      </c>
      <c r="M201" s="169" t="s">
        <v>566</v>
      </c>
      <c r="N201" s="170">
        <v>44447</v>
      </c>
      <c r="O201" s="169" t="s">
        <v>264</v>
      </c>
      <c r="P201" s="170">
        <v>44447</v>
      </c>
      <c r="Q201" s="170">
        <v>44447</v>
      </c>
      <c r="R201" s="170">
        <v>44448</v>
      </c>
      <c r="S201" s="171" t="s">
        <v>7026</v>
      </c>
      <c r="T201" s="171" t="s">
        <v>264</v>
      </c>
      <c r="U201" s="245">
        <v>44459</v>
      </c>
      <c r="V201" s="171" t="s">
        <v>7045</v>
      </c>
      <c r="W201" s="171">
        <v>1</v>
      </c>
      <c r="X201" s="171" t="s">
        <v>5683</v>
      </c>
      <c r="Y201" s="171" t="s">
        <v>4999</v>
      </c>
      <c r="Z201" s="245">
        <v>44460</v>
      </c>
      <c r="AA201" s="175" t="s">
        <v>264</v>
      </c>
      <c r="AB201" s="175">
        <v>44460</v>
      </c>
      <c r="AC201" s="175">
        <v>44460</v>
      </c>
      <c r="AF201" s="239"/>
      <c r="AG201" s="240" t="s">
        <v>9134</v>
      </c>
      <c r="AH201" s="233"/>
    </row>
    <row r="202" spans="1:34" s="231" customFormat="1" ht="30.75" thickBot="1" x14ac:dyDescent="0.25">
      <c r="A202" s="221" t="str">
        <f t="shared" si="14"/>
        <v>OK</v>
      </c>
      <c r="B202" s="222" t="str">
        <f t="shared" si="12"/>
        <v>OK</v>
      </c>
      <c r="C202" s="223" t="str">
        <f t="shared" si="13"/>
        <v>OK</v>
      </c>
      <c r="D202" s="28">
        <v>0</v>
      </c>
      <c r="E202" s="49" t="s">
        <v>9135</v>
      </c>
      <c r="F202" s="169" t="s">
        <v>9136</v>
      </c>
      <c r="G202" s="169">
        <v>181627</v>
      </c>
      <c r="H202" s="169" t="s">
        <v>9137</v>
      </c>
      <c r="I202" s="169" t="s">
        <v>6820</v>
      </c>
      <c r="J202" s="169" t="s">
        <v>6829</v>
      </c>
      <c r="K202" s="169" t="s">
        <v>9138</v>
      </c>
      <c r="L202" s="169" t="s">
        <v>7970</v>
      </c>
      <c r="M202" s="169" t="s">
        <v>2618</v>
      </c>
      <c r="N202" s="170">
        <v>44454</v>
      </c>
      <c r="O202" s="169" t="s">
        <v>7026</v>
      </c>
      <c r="P202" s="170">
        <v>44454</v>
      </c>
      <c r="Q202" s="170">
        <v>44454</v>
      </c>
      <c r="R202" s="170">
        <v>44454</v>
      </c>
      <c r="S202" s="171" t="s">
        <v>7026</v>
      </c>
      <c r="T202" s="171" t="s">
        <v>7026</v>
      </c>
      <c r="U202" s="245">
        <v>44461</v>
      </c>
      <c r="V202" s="171" t="s">
        <v>9139</v>
      </c>
      <c r="W202" s="329">
        <v>9</v>
      </c>
      <c r="X202" s="171" t="s">
        <v>5683</v>
      </c>
      <c r="Y202" s="171" t="s">
        <v>1687</v>
      </c>
      <c r="Z202" s="245">
        <v>44461</v>
      </c>
      <c r="AA202" s="175" t="s">
        <v>6825</v>
      </c>
      <c r="AB202" s="175">
        <v>44462</v>
      </c>
      <c r="AC202" s="175">
        <v>44462</v>
      </c>
      <c r="AF202" s="239"/>
      <c r="AG202" s="240"/>
      <c r="AH202" s="233"/>
    </row>
    <row r="203" spans="1:34" s="231" customFormat="1" ht="15.75" thickBot="1" x14ac:dyDescent="0.25">
      <c r="A203" s="221" t="str">
        <f t="shared" si="14"/>
        <v>OK</v>
      </c>
      <c r="B203" s="222" t="str">
        <f t="shared" si="12"/>
        <v>OK</v>
      </c>
      <c r="C203" s="223" t="str">
        <f t="shared" si="13"/>
        <v>OK</v>
      </c>
      <c r="D203" s="28">
        <v>0</v>
      </c>
      <c r="E203" s="49" t="s">
        <v>9140</v>
      </c>
      <c r="F203" s="169" t="s">
        <v>9141</v>
      </c>
      <c r="G203" s="169">
        <v>181630</v>
      </c>
      <c r="H203" s="169" t="s">
        <v>9142</v>
      </c>
      <c r="I203" s="169" t="s">
        <v>6820</v>
      </c>
      <c r="J203" s="169" t="s">
        <v>6829</v>
      </c>
      <c r="K203" s="169" t="s">
        <v>9143</v>
      </c>
      <c r="L203" s="169">
        <v>5301</v>
      </c>
      <c r="M203" s="169" t="s">
        <v>9144</v>
      </c>
      <c r="N203" s="170">
        <v>44455</v>
      </c>
      <c r="O203" s="169" t="s">
        <v>7026</v>
      </c>
      <c r="P203" s="170">
        <v>44455</v>
      </c>
      <c r="Q203" s="170">
        <v>44455</v>
      </c>
      <c r="R203" s="170">
        <v>44455</v>
      </c>
      <c r="S203" s="171" t="s">
        <v>9145</v>
      </c>
      <c r="T203" s="171" t="s">
        <v>9145</v>
      </c>
      <c r="U203" s="245">
        <v>44456</v>
      </c>
      <c r="V203" s="171" t="s">
        <v>9146</v>
      </c>
      <c r="W203" s="171">
        <v>1</v>
      </c>
      <c r="X203" s="171" t="s">
        <v>5683</v>
      </c>
      <c r="Y203" s="171" t="s">
        <v>4999</v>
      </c>
      <c r="Z203" s="245">
        <v>44460</v>
      </c>
      <c r="AA203" s="175" t="s">
        <v>6850</v>
      </c>
      <c r="AB203" s="175">
        <v>44462</v>
      </c>
      <c r="AC203" s="175">
        <v>44462</v>
      </c>
      <c r="AF203" s="239"/>
      <c r="AG203" s="240"/>
      <c r="AH203" s="233"/>
    </row>
    <row r="204" spans="1:34" s="231" customFormat="1" ht="30.75" thickBot="1" x14ac:dyDescent="0.25">
      <c r="A204" s="221" t="str">
        <f t="shared" si="14"/>
        <v>OK</v>
      </c>
      <c r="B204" s="222" t="str">
        <f t="shared" si="12"/>
        <v>OK</v>
      </c>
      <c r="C204" s="223" t="str">
        <f t="shared" si="13"/>
        <v>OK</v>
      </c>
      <c r="D204" s="28">
        <v>0</v>
      </c>
      <c r="E204" s="49" t="s">
        <v>9147</v>
      </c>
      <c r="F204" s="169" t="s">
        <v>9136</v>
      </c>
      <c r="G204" s="169">
        <v>181636</v>
      </c>
      <c r="H204" s="169" t="s">
        <v>9148</v>
      </c>
      <c r="I204" s="169" t="s">
        <v>6820</v>
      </c>
      <c r="J204" s="169" t="s">
        <v>6829</v>
      </c>
      <c r="K204" s="169" t="s">
        <v>1512</v>
      </c>
      <c r="L204" s="169" t="s">
        <v>9149</v>
      </c>
      <c r="M204" s="169" t="s">
        <v>2618</v>
      </c>
      <c r="N204" s="170">
        <v>44460</v>
      </c>
      <c r="O204" s="169" t="s">
        <v>7729</v>
      </c>
      <c r="P204" s="170">
        <v>44460</v>
      </c>
      <c r="Q204" s="170">
        <v>44460</v>
      </c>
      <c r="R204" s="170">
        <v>44460</v>
      </c>
      <c r="S204" s="171" t="s">
        <v>7026</v>
      </c>
      <c r="T204" s="171" t="s">
        <v>7026</v>
      </c>
      <c r="U204" s="245">
        <v>44466</v>
      </c>
      <c r="V204" s="295" t="s">
        <v>9150</v>
      </c>
      <c r="W204" s="171">
        <v>2</v>
      </c>
      <c r="X204" s="171" t="s">
        <v>5683</v>
      </c>
      <c r="Y204" s="171" t="s">
        <v>4999</v>
      </c>
      <c r="Z204" s="245">
        <v>44468</v>
      </c>
      <c r="AA204" s="175" t="s">
        <v>264</v>
      </c>
      <c r="AB204" s="175">
        <v>44596</v>
      </c>
      <c r="AC204" s="175">
        <v>44596</v>
      </c>
      <c r="AF204" s="239"/>
      <c r="AG204" s="240"/>
      <c r="AH204" s="233"/>
    </row>
    <row r="205" spans="1:34" s="231" customFormat="1" ht="15.75" thickBot="1" x14ac:dyDescent="0.25">
      <c r="A205" s="221" t="str">
        <f t="shared" si="14"/>
        <v>OK</v>
      </c>
      <c r="B205" s="327" t="str">
        <f t="shared" si="12"/>
        <v>OK</v>
      </c>
      <c r="C205" s="328" t="str">
        <f t="shared" si="13"/>
        <v>OK</v>
      </c>
      <c r="D205" s="28">
        <v>0</v>
      </c>
      <c r="E205" s="49" t="s">
        <v>9151</v>
      </c>
      <c r="F205" s="169" t="s">
        <v>9136</v>
      </c>
      <c r="G205" s="169">
        <v>181637</v>
      </c>
      <c r="H205" s="169" t="s">
        <v>9152</v>
      </c>
      <c r="I205" s="169" t="s">
        <v>6820</v>
      </c>
      <c r="J205" s="169" t="s">
        <v>6829</v>
      </c>
      <c r="K205" s="169" t="s">
        <v>5951</v>
      </c>
      <c r="L205" s="169" t="s">
        <v>9153</v>
      </c>
      <c r="M205" s="169" t="s">
        <v>504</v>
      </c>
      <c r="N205" s="170">
        <v>44460</v>
      </c>
      <c r="O205" s="169" t="s">
        <v>7026</v>
      </c>
      <c r="P205" s="170">
        <v>44460</v>
      </c>
      <c r="Q205" s="170">
        <v>44460</v>
      </c>
      <c r="R205" s="170">
        <v>44460</v>
      </c>
      <c r="S205" s="171" t="s">
        <v>7026</v>
      </c>
      <c r="T205" s="171" t="s">
        <v>7026</v>
      </c>
      <c r="U205" s="245">
        <v>44461</v>
      </c>
      <c r="V205" s="171" t="s">
        <v>505</v>
      </c>
      <c r="W205" s="171">
        <v>5</v>
      </c>
      <c r="X205" s="171" t="s">
        <v>5683</v>
      </c>
      <c r="Y205" s="171" t="s">
        <v>4999</v>
      </c>
      <c r="Z205" s="245">
        <v>44461</v>
      </c>
      <c r="AA205" s="175" t="s">
        <v>6825</v>
      </c>
      <c r="AB205" s="175">
        <v>44462</v>
      </c>
      <c r="AC205" s="175">
        <v>44462</v>
      </c>
      <c r="AF205" s="239"/>
      <c r="AG205" s="240"/>
      <c r="AH205" s="233"/>
    </row>
    <row r="206" spans="1:34" s="231" customFormat="1" ht="15.75" thickBot="1" x14ac:dyDescent="0.25">
      <c r="A206" s="221" t="str">
        <f>IF(OR(ISBLANK(D206),ISBLANK(E206),ISBLANK(F206),ISBLANK(G206),ISBLANK(H206),ISBLANK(I206),ISBLANK(J206),ISBLANK(K208),ISBLANK(L208),ISBLANK(M208),ISBLANK(N208),ISBLANK(O208),ISBLANK(P208),ISBLANK(R208),ISBLANK(#REF!))=TRUE,"P","OK")</f>
        <v>OK</v>
      </c>
      <c r="B206" s="327" t="str">
        <f>IF(OR(ISBLANK(S208),ISBLANK(T208),ISBLANK(U208),ISBLANK(V208),ISBLANK(W208),ISBLANK(X208),ISBLANK(Y208),ISBLANK(Z208))=TRUE,"P","OK")</f>
        <v>OK</v>
      </c>
      <c r="C206" s="328" t="str">
        <f>IF(OR(ISBLANK(AA208),ISBLANK(AB208),ISBLANK(AC208))=TRUE,"P","OK")</f>
        <v>OK</v>
      </c>
      <c r="D206" s="28">
        <v>0</v>
      </c>
      <c r="E206" s="49" t="s">
        <v>9154</v>
      </c>
      <c r="F206" s="169" t="s">
        <v>9155</v>
      </c>
      <c r="G206" s="169">
        <v>181541</v>
      </c>
      <c r="H206" s="169" t="s">
        <v>7553</v>
      </c>
      <c r="I206" s="169" t="s">
        <v>6820</v>
      </c>
      <c r="J206" s="169" t="s">
        <v>6829</v>
      </c>
      <c r="K206" s="169"/>
      <c r="L206" s="169"/>
      <c r="M206" s="169"/>
      <c r="N206" s="169"/>
      <c r="O206" s="169"/>
      <c r="P206" s="169"/>
      <c r="Q206" s="169"/>
      <c r="R206" s="169"/>
      <c r="S206" s="171"/>
      <c r="T206" s="171"/>
      <c r="U206" s="171"/>
      <c r="V206" s="171"/>
      <c r="W206" s="171"/>
      <c r="X206" s="171"/>
      <c r="Y206" s="171"/>
      <c r="Z206" s="171"/>
      <c r="AA206" s="175"/>
      <c r="AB206" s="175"/>
      <c r="AC206" s="175"/>
      <c r="AF206" s="239"/>
      <c r="AG206" s="240"/>
      <c r="AH206" s="233"/>
    </row>
    <row r="207" spans="1:34" s="231" customFormat="1" ht="15.75" thickBot="1" x14ac:dyDescent="0.25">
      <c r="A207" s="221" t="str">
        <f>IF(OR(ISBLANK(D207),ISBLANK(E207),ISBLANK(F207),ISBLANK(G207),ISBLANK(H207),ISBLANK(I207),ISBLANK(J207),ISBLANK(K209),ISBLANK(L209),ISBLANK(M209),ISBLANK(N209),ISBLANK(O209),ISBLANK(P209),ISBLANK(Q209),ISBLANK(R209))=TRUE,"P","OK")</f>
        <v>OK</v>
      </c>
      <c r="B207" s="327" t="str">
        <f>IF(OR(ISBLANK(S209),ISBLANK(T209),ISBLANK(U209),ISBLANK(V209),ISBLANK(W209),ISBLANK(X209),ISBLANK(Y209),ISBLANK(Z209))=TRUE,"P","OK")</f>
        <v>OK</v>
      </c>
      <c r="C207" s="328" t="str">
        <f>IF(OR(ISBLANK(AA209),ISBLANK(AB209),ISBLANK(AC209))=TRUE,"P","OK")</f>
        <v>OK</v>
      </c>
      <c r="D207" s="28">
        <v>0</v>
      </c>
      <c r="E207" s="49" t="s">
        <v>9156</v>
      </c>
      <c r="F207" s="169" t="s">
        <v>9155</v>
      </c>
      <c r="G207" s="169">
        <v>181541</v>
      </c>
      <c r="H207" s="169" t="s">
        <v>7558</v>
      </c>
      <c r="I207" s="169" t="s">
        <v>6820</v>
      </c>
      <c r="J207" s="169" t="s">
        <v>6829</v>
      </c>
      <c r="K207" s="169"/>
      <c r="L207" s="169"/>
      <c r="M207" s="169"/>
      <c r="N207" s="169"/>
      <c r="O207" s="169"/>
      <c r="P207" s="169"/>
      <c r="Q207" s="169"/>
      <c r="R207" s="169"/>
      <c r="S207" s="171"/>
      <c r="T207" s="171"/>
      <c r="U207" s="171"/>
      <c r="V207" s="171"/>
      <c r="W207" s="171"/>
      <c r="X207" s="171"/>
      <c r="Y207" s="171"/>
      <c r="Z207" s="171"/>
      <c r="AA207" s="175"/>
      <c r="AB207" s="175"/>
      <c r="AC207" s="175"/>
      <c r="AF207" s="239"/>
      <c r="AG207" s="240"/>
      <c r="AH207" s="233"/>
    </row>
    <row r="208" spans="1:34" s="231" customFormat="1" ht="15.75" thickBot="1" x14ac:dyDescent="0.25">
      <c r="A208" s="221" t="str">
        <f>IF(OR(ISBLANK(D208),ISBLANK(E208),ISBLANK(F208),ISBLANK(G208),ISBLANK(H208),ISBLANK(I208),ISBLANK(J208),ISBLANK(#REF!),ISBLANK(#REF!),ISBLANK(#REF!),ISBLANK(#REF!),ISBLANK(#REF!),ISBLANK(#REF!),ISBLANK(#REF!),ISBLANK(#REF!))=TRUE,"P","OK")</f>
        <v>OK</v>
      </c>
      <c r="B208" s="222" t="str">
        <f>IF(OR(ISBLANK(#REF!),ISBLANK(#REF!),ISBLANK(#REF!),ISBLANK(#REF!),ISBLANK(#REF!),ISBLANK(#REF!),ISBLANK(#REF!),ISBLANK(#REF!))=TRUE,"P","OK")</f>
        <v>OK</v>
      </c>
      <c r="C208" s="223" t="str">
        <f>IF(OR(ISBLANK(#REF!),ISBLANK(#REF!),ISBLANK(#REF!))=TRUE,"P","OK")</f>
        <v>OK</v>
      </c>
      <c r="D208" s="28">
        <v>0</v>
      </c>
      <c r="E208" s="49" t="s">
        <v>9157</v>
      </c>
      <c r="F208" s="169" t="s">
        <v>7325</v>
      </c>
      <c r="G208" s="169">
        <v>181586</v>
      </c>
      <c r="H208" s="169" t="s">
        <v>9158</v>
      </c>
      <c r="I208" s="169" t="s">
        <v>6820</v>
      </c>
      <c r="J208" s="169" t="s">
        <v>6829</v>
      </c>
      <c r="K208" s="169" t="s">
        <v>9159</v>
      </c>
      <c r="L208" s="169" t="s">
        <v>9160</v>
      </c>
      <c r="M208" s="169" t="s">
        <v>9161</v>
      </c>
      <c r="N208" s="170">
        <v>44420</v>
      </c>
      <c r="O208" s="169" t="s">
        <v>7026</v>
      </c>
      <c r="P208" s="170">
        <v>44420</v>
      </c>
      <c r="Q208" s="292">
        <v>44426</v>
      </c>
      <c r="R208" s="170">
        <v>44461</v>
      </c>
      <c r="S208" s="171" t="s">
        <v>7026</v>
      </c>
      <c r="T208" s="171" t="s">
        <v>264</v>
      </c>
      <c r="U208" s="245">
        <v>44463</v>
      </c>
      <c r="V208" s="171" t="s">
        <v>9091</v>
      </c>
      <c r="W208" s="171">
        <v>3</v>
      </c>
      <c r="X208" s="171" t="s">
        <v>5683</v>
      </c>
      <c r="Y208" s="171" t="s">
        <v>4999</v>
      </c>
      <c r="Z208" s="245">
        <v>44467</v>
      </c>
      <c r="AA208" s="175" t="s">
        <v>264</v>
      </c>
      <c r="AB208" s="175">
        <v>44467</v>
      </c>
      <c r="AC208" s="175">
        <v>44467</v>
      </c>
      <c r="AF208" s="239"/>
      <c r="AG208" s="240"/>
      <c r="AH208" s="233"/>
    </row>
    <row r="209" spans="1:35" s="231" customFormat="1" ht="15.75" thickBot="1" x14ac:dyDescent="0.25">
      <c r="A209" s="221" t="str">
        <f>IF(OR(ISBLANK(D209),ISBLANK(E209),ISBLANK(F209),ISBLANK(G209),ISBLANK(H209),ISBLANK(I209),ISBLANK(J209),ISBLANK(#REF!),ISBLANK(#REF!),ISBLANK(#REF!),ISBLANK(#REF!),ISBLANK(#REF!),ISBLANK(#REF!),ISBLANK(#REF!),ISBLANK(#REF!))=TRUE,"P","OK")</f>
        <v>OK</v>
      </c>
      <c r="B209" s="222" t="str">
        <f>IF(OR(ISBLANK(#REF!),ISBLANK(#REF!),ISBLANK(#REF!),ISBLANK(#REF!),ISBLANK(#REF!),ISBLANK(#REF!),ISBLANK(#REF!),ISBLANK(#REF!))=TRUE,"P","OK")</f>
        <v>OK</v>
      </c>
      <c r="C209" s="223" t="str">
        <f>IF(OR(ISBLANK(#REF!),ISBLANK(#REF!),ISBLANK(#REF!))=TRUE,"P","OK")</f>
        <v>OK</v>
      </c>
      <c r="D209" s="28">
        <v>0</v>
      </c>
      <c r="E209" s="49" t="s">
        <v>9162</v>
      </c>
      <c r="F209" s="169" t="s">
        <v>7325</v>
      </c>
      <c r="G209" s="169">
        <v>181586</v>
      </c>
      <c r="H209" s="169" t="s">
        <v>9163</v>
      </c>
      <c r="I209" s="169" t="s">
        <v>6820</v>
      </c>
      <c r="J209" s="169" t="s">
        <v>6829</v>
      </c>
      <c r="K209" s="169" t="s">
        <v>9164</v>
      </c>
      <c r="L209" s="169" t="s">
        <v>9165</v>
      </c>
      <c r="M209" s="169" t="s">
        <v>9161</v>
      </c>
      <c r="N209" s="170">
        <v>44420</v>
      </c>
      <c r="O209" s="169" t="s">
        <v>7026</v>
      </c>
      <c r="P209" s="170">
        <v>44420</v>
      </c>
      <c r="Q209" s="292">
        <v>44426</v>
      </c>
      <c r="R209" s="170">
        <v>44461</v>
      </c>
      <c r="S209" s="171" t="s">
        <v>7026</v>
      </c>
      <c r="T209" s="171" t="s">
        <v>264</v>
      </c>
      <c r="U209" s="245">
        <v>44463</v>
      </c>
      <c r="V209" s="171" t="s">
        <v>9166</v>
      </c>
      <c r="W209" s="171">
        <v>6</v>
      </c>
      <c r="X209" s="171" t="s">
        <v>5683</v>
      </c>
      <c r="Y209" s="171" t="s">
        <v>4999</v>
      </c>
      <c r="Z209" s="245">
        <v>44467</v>
      </c>
      <c r="AA209" s="175" t="s">
        <v>264</v>
      </c>
      <c r="AB209" s="175">
        <v>44467</v>
      </c>
      <c r="AC209" s="175">
        <v>44467</v>
      </c>
      <c r="AF209" s="239"/>
      <c r="AG209" s="240"/>
      <c r="AH209" s="233"/>
    </row>
    <row r="210" spans="1:35" s="231" customFormat="1" ht="15.75" thickBot="1" x14ac:dyDescent="0.25">
      <c r="A210" s="221" t="str">
        <f t="shared" si="14"/>
        <v>P</v>
      </c>
      <c r="B210" s="222" t="str">
        <f t="shared" si="12"/>
        <v>OK</v>
      </c>
      <c r="C210" s="223" t="str">
        <f t="shared" si="13"/>
        <v>OK</v>
      </c>
      <c r="D210" s="28">
        <v>0</v>
      </c>
      <c r="E210" s="49" t="s">
        <v>9167</v>
      </c>
      <c r="F210" s="169" t="s">
        <v>9168</v>
      </c>
      <c r="G210" s="169">
        <v>181202</v>
      </c>
      <c r="H210" s="169" t="s">
        <v>9169</v>
      </c>
      <c r="I210" s="169" t="s">
        <v>6820</v>
      </c>
      <c r="J210" s="169" t="s">
        <v>6829</v>
      </c>
      <c r="K210" s="169" t="s">
        <v>7097</v>
      </c>
      <c r="L210" s="169" t="s">
        <v>5078</v>
      </c>
      <c r="M210" s="169" t="s">
        <v>1684</v>
      </c>
      <c r="N210" s="276"/>
      <c r="O210" s="276"/>
      <c r="P210" s="276" t="s">
        <v>9170</v>
      </c>
      <c r="Q210" s="276"/>
      <c r="R210" s="276"/>
      <c r="S210" s="171" t="s">
        <v>7026</v>
      </c>
      <c r="T210" s="171" t="s">
        <v>7026</v>
      </c>
      <c r="U210" s="245">
        <v>44467</v>
      </c>
      <c r="V210" s="171" t="s">
        <v>3191</v>
      </c>
      <c r="W210" s="171">
        <v>1</v>
      </c>
      <c r="X210" s="171" t="s">
        <v>5683</v>
      </c>
      <c r="Y210" s="171" t="s">
        <v>4999</v>
      </c>
      <c r="Z210" s="245">
        <v>44468</v>
      </c>
      <c r="AA210" s="175" t="s">
        <v>264</v>
      </c>
      <c r="AB210" s="175">
        <v>44468</v>
      </c>
      <c r="AC210" s="175">
        <v>44468</v>
      </c>
      <c r="AF210" s="239"/>
      <c r="AG210" s="240"/>
      <c r="AH210" s="233"/>
    </row>
    <row r="211" spans="1:35" s="231" customFormat="1" ht="30.75" thickBot="1" x14ac:dyDescent="0.25">
      <c r="A211" s="221" t="str">
        <f t="shared" si="14"/>
        <v>OK</v>
      </c>
      <c r="B211" s="222" t="str">
        <f t="shared" si="12"/>
        <v>OK</v>
      </c>
      <c r="C211" s="223" t="str">
        <f t="shared" si="13"/>
        <v>OK</v>
      </c>
      <c r="D211" s="28">
        <v>0</v>
      </c>
      <c r="E211" s="49" t="s">
        <v>9171</v>
      </c>
      <c r="F211" s="169" t="s">
        <v>9172</v>
      </c>
      <c r="G211" s="169">
        <v>181662</v>
      </c>
      <c r="H211" s="169" t="s">
        <v>9173</v>
      </c>
      <c r="I211" s="169" t="s">
        <v>6820</v>
      </c>
      <c r="J211" s="169" t="s">
        <v>6829</v>
      </c>
      <c r="K211" s="169" t="s">
        <v>9174</v>
      </c>
      <c r="L211" s="169" t="s">
        <v>9175</v>
      </c>
      <c r="M211" s="169" t="s">
        <v>8944</v>
      </c>
      <c r="N211" s="170">
        <v>44477</v>
      </c>
      <c r="O211" s="169" t="s">
        <v>7067</v>
      </c>
      <c r="P211" s="170">
        <v>44477</v>
      </c>
      <c r="Q211" s="170">
        <v>44477</v>
      </c>
      <c r="R211" s="294">
        <v>44483</v>
      </c>
      <c r="S211" s="171" t="s">
        <v>9176</v>
      </c>
      <c r="T211" s="171" t="s">
        <v>264</v>
      </c>
      <c r="U211" s="245">
        <v>44484</v>
      </c>
      <c r="V211" s="171" t="s">
        <v>3107</v>
      </c>
      <c r="W211" s="171">
        <v>12</v>
      </c>
      <c r="X211" s="171" t="s">
        <v>5683</v>
      </c>
      <c r="Y211" s="171" t="s">
        <v>4999</v>
      </c>
      <c r="Z211" s="245">
        <v>44484</v>
      </c>
      <c r="AA211" s="175" t="s">
        <v>264</v>
      </c>
      <c r="AB211" s="175">
        <v>44505</v>
      </c>
      <c r="AC211" s="175">
        <v>44505</v>
      </c>
      <c r="AF211" s="239"/>
      <c r="AG211" s="240"/>
      <c r="AH211" s="233"/>
    </row>
    <row r="212" spans="1:35" s="231" customFormat="1" ht="15.75" thickBot="1" x14ac:dyDescent="0.25">
      <c r="A212" s="221" t="str">
        <f>IF(OR(ISBLANK(D212),ISBLANK(E212),ISBLANK(#REF!),ISBLANK(#REF!),ISBLANK(#REF!),ISBLANK(I212),ISBLANK(J212),ISBLANK(K212),ISBLANK(L212),ISBLANK(M212),ISBLANK(N212),ISBLANK(O212),ISBLANK(P212),ISBLANK(Q212),ISBLANK(R212))=TRUE,"P","OK")</f>
        <v>OK</v>
      </c>
      <c r="B212" s="222" t="str">
        <f t="shared" si="12"/>
        <v>OK</v>
      </c>
      <c r="C212" s="223" t="str">
        <f t="shared" si="13"/>
        <v>OK</v>
      </c>
      <c r="D212" s="28">
        <v>0</v>
      </c>
      <c r="E212" s="49" t="s">
        <v>9177</v>
      </c>
      <c r="F212" s="169" t="s">
        <v>9178</v>
      </c>
      <c r="G212" s="169">
        <v>181656</v>
      </c>
      <c r="H212" s="169" t="s">
        <v>9179</v>
      </c>
      <c r="I212" s="169" t="s">
        <v>6820</v>
      </c>
      <c r="J212" s="169" t="s">
        <v>6829</v>
      </c>
      <c r="K212" s="169" t="s">
        <v>9180</v>
      </c>
      <c r="L212" s="169" t="s">
        <v>9181</v>
      </c>
      <c r="M212" s="169" t="s">
        <v>9182</v>
      </c>
      <c r="N212" s="280">
        <v>44841</v>
      </c>
      <c r="O212" s="276" t="s">
        <v>7026</v>
      </c>
      <c r="P212" s="280">
        <v>44476</v>
      </c>
      <c r="Q212" s="280">
        <v>44476</v>
      </c>
      <c r="R212" s="280">
        <v>44476</v>
      </c>
      <c r="S212" s="171" t="s">
        <v>9176</v>
      </c>
      <c r="T212" s="171" t="s">
        <v>264</v>
      </c>
      <c r="U212" s="245">
        <v>44477</v>
      </c>
      <c r="V212" s="171" t="s">
        <v>9183</v>
      </c>
      <c r="W212" s="171">
        <v>2</v>
      </c>
      <c r="X212" s="171" t="s">
        <v>5683</v>
      </c>
      <c r="Y212" s="171" t="s">
        <v>4999</v>
      </c>
      <c r="Z212" s="245">
        <v>44482</v>
      </c>
      <c r="AA212" s="175" t="s">
        <v>264</v>
      </c>
      <c r="AB212" s="175">
        <v>44494</v>
      </c>
      <c r="AC212" s="175">
        <v>44494</v>
      </c>
      <c r="AF212" s="239"/>
      <c r="AG212" s="240"/>
      <c r="AH212" s="233"/>
    </row>
    <row r="213" spans="1:35" s="231" customFormat="1" ht="30.75" thickBot="1" x14ac:dyDescent="0.25">
      <c r="A213" s="221" t="str">
        <f>IF(OR(ISBLANK(D213),ISBLANK(E213),ISBLANK(F212),ISBLANK(G212),ISBLANK(H212),ISBLANK(I213),ISBLANK(J213),ISBLANK(K213),ISBLANK(L213),ISBLANK(M213),ISBLANK(N213),ISBLANK(O213),ISBLANK(P213),ISBLANK(Q213),ISBLANK(R213))=TRUE,"P","OK")</f>
        <v>OK</v>
      </c>
      <c r="B213" s="222" t="str">
        <f t="shared" si="12"/>
        <v>OK</v>
      </c>
      <c r="C213" s="223" t="str">
        <f t="shared" si="13"/>
        <v>OK</v>
      </c>
      <c r="D213" s="28">
        <v>0</v>
      </c>
      <c r="E213" s="49" t="s">
        <v>9184</v>
      </c>
      <c r="F213" s="169" t="s">
        <v>9136</v>
      </c>
      <c r="G213" s="169">
        <v>181658</v>
      </c>
      <c r="H213" s="169" t="s">
        <v>9185</v>
      </c>
      <c r="I213" s="169" t="s">
        <v>6820</v>
      </c>
      <c r="J213" s="169" t="s">
        <v>6829</v>
      </c>
      <c r="K213" s="169" t="s">
        <v>7579</v>
      </c>
      <c r="L213" s="169" t="s">
        <v>7592</v>
      </c>
      <c r="M213" s="169" t="s">
        <v>2618</v>
      </c>
      <c r="N213" s="170">
        <v>44477</v>
      </c>
      <c r="O213" s="169" t="s">
        <v>7026</v>
      </c>
      <c r="P213" s="170">
        <v>44477</v>
      </c>
      <c r="Q213" s="170">
        <v>44477</v>
      </c>
      <c r="R213" s="170">
        <v>44477</v>
      </c>
      <c r="S213" s="171" t="s">
        <v>8863</v>
      </c>
      <c r="T213" s="171" t="s">
        <v>7026</v>
      </c>
      <c r="U213" s="245">
        <v>44487</v>
      </c>
      <c r="V213" s="171">
        <v>3058226</v>
      </c>
      <c r="W213" s="329">
        <v>5</v>
      </c>
      <c r="X213" s="171" t="s">
        <v>5683</v>
      </c>
      <c r="Y213" s="171" t="s">
        <v>4999</v>
      </c>
      <c r="Z213" s="245">
        <v>44487</v>
      </c>
      <c r="AA213" s="175" t="s">
        <v>6825</v>
      </c>
      <c r="AB213" s="175">
        <v>44488</v>
      </c>
      <c r="AC213" s="175">
        <v>44488</v>
      </c>
      <c r="AF213" s="239"/>
      <c r="AG213" s="240"/>
      <c r="AH213" s="233"/>
    </row>
    <row r="214" spans="1:35" s="231" customFormat="1" ht="15.75" thickBot="1" x14ac:dyDescent="0.25">
      <c r="A214" s="221" t="str">
        <f>IF(OR(ISBLANK(D214),ISBLANK(E214),ISBLANK(F213),ISBLANK(G213),ISBLANK(H213),ISBLANK(I214),ISBLANK(J214),ISBLANK(K214),ISBLANK(L214),ISBLANK(M214),ISBLANK(N214),ISBLANK(O214),ISBLANK(P214),ISBLANK(Q214),ISBLANK(R214))=TRUE,"P","OK")</f>
        <v>P</v>
      </c>
      <c r="B214" s="222" t="str">
        <f t="shared" si="12"/>
        <v>OK</v>
      </c>
      <c r="C214" s="223" t="str">
        <f t="shared" si="13"/>
        <v>OK</v>
      </c>
      <c r="D214" s="28">
        <v>0</v>
      </c>
      <c r="E214" s="49" t="s">
        <v>9186</v>
      </c>
      <c r="F214" s="169" t="s">
        <v>9187</v>
      </c>
      <c r="G214" s="291">
        <v>181202</v>
      </c>
      <c r="H214" s="291" t="s">
        <v>9188</v>
      </c>
      <c r="I214" s="169" t="s">
        <v>6820</v>
      </c>
      <c r="J214" s="169" t="s">
        <v>6829</v>
      </c>
      <c r="K214" s="169" t="s">
        <v>7070</v>
      </c>
      <c r="L214" s="169" t="s">
        <v>9189</v>
      </c>
      <c r="M214" s="169" t="s">
        <v>9190</v>
      </c>
      <c r="N214" s="276"/>
      <c r="O214" s="276"/>
      <c r="P214" s="276" t="s">
        <v>9170</v>
      </c>
      <c r="Q214" s="276"/>
      <c r="R214" s="276"/>
      <c r="S214" s="171" t="s">
        <v>9176</v>
      </c>
      <c r="T214" s="171" t="s">
        <v>7026</v>
      </c>
      <c r="U214" s="245">
        <v>44488</v>
      </c>
      <c r="V214" s="171" t="s">
        <v>7073</v>
      </c>
      <c r="W214" s="171">
        <v>1</v>
      </c>
      <c r="X214" s="171" t="s">
        <v>5683</v>
      </c>
      <c r="Y214" s="171" t="s">
        <v>4999</v>
      </c>
      <c r="Z214" s="245">
        <v>44488</v>
      </c>
      <c r="AA214" s="175" t="s">
        <v>9191</v>
      </c>
      <c r="AB214" s="175">
        <v>44488</v>
      </c>
      <c r="AC214" s="175">
        <v>44488</v>
      </c>
      <c r="AF214" s="239"/>
      <c r="AG214" s="240"/>
      <c r="AH214" s="233"/>
    </row>
    <row r="215" spans="1:35" s="231" customFormat="1" ht="15.75" thickBot="1" x14ac:dyDescent="0.25">
      <c r="A215" s="221" t="str">
        <f t="shared" si="14"/>
        <v>P</v>
      </c>
      <c r="B215" s="222" t="str">
        <f t="shared" si="12"/>
        <v>OK</v>
      </c>
      <c r="C215" s="223" t="str">
        <f t="shared" si="13"/>
        <v>OK</v>
      </c>
      <c r="D215" s="28">
        <v>0</v>
      </c>
      <c r="E215" s="49" t="s">
        <v>9192</v>
      </c>
      <c r="F215" s="169" t="s">
        <v>9193</v>
      </c>
      <c r="G215" s="169">
        <v>181665</v>
      </c>
      <c r="H215" s="169" t="s">
        <v>9194</v>
      </c>
      <c r="I215" s="169" t="s">
        <v>6820</v>
      </c>
      <c r="J215" s="169" t="s">
        <v>6829</v>
      </c>
      <c r="K215" s="169" t="s">
        <v>9195</v>
      </c>
      <c r="L215" s="169" t="s">
        <v>9196</v>
      </c>
      <c r="M215" s="169" t="s">
        <v>371</v>
      </c>
      <c r="N215" s="170">
        <v>44483</v>
      </c>
      <c r="O215" s="169" t="s">
        <v>264</v>
      </c>
      <c r="P215" s="170">
        <v>44483</v>
      </c>
      <c r="Q215" s="170">
        <v>44483</v>
      </c>
      <c r="R215" s="293"/>
      <c r="S215" s="171" t="s">
        <v>8863</v>
      </c>
      <c r="T215" s="171" t="s">
        <v>7026</v>
      </c>
      <c r="U215" s="245">
        <v>44483</v>
      </c>
      <c r="V215" s="171" t="s">
        <v>9197</v>
      </c>
      <c r="W215" s="171">
        <v>4</v>
      </c>
      <c r="X215" s="171" t="s">
        <v>5683</v>
      </c>
      <c r="Y215" s="171" t="s">
        <v>4999</v>
      </c>
      <c r="Z215" s="245">
        <v>44487</v>
      </c>
      <c r="AA215" s="175" t="s">
        <v>6850</v>
      </c>
      <c r="AB215" s="175">
        <v>44489</v>
      </c>
      <c r="AC215" s="175">
        <v>44489</v>
      </c>
      <c r="AF215" s="239"/>
      <c r="AG215" s="240"/>
      <c r="AH215" s="233"/>
    </row>
    <row r="216" spans="1:35" s="231" customFormat="1" ht="15.75" thickBot="1" x14ac:dyDescent="0.25">
      <c r="A216" s="221" t="str">
        <f t="shared" si="14"/>
        <v>P</v>
      </c>
      <c r="B216" s="327" t="str">
        <f t="shared" si="12"/>
        <v>P</v>
      </c>
      <c r="C216" s="328" t="str">
        <f t="shared" si="13"/>
        <v>P</v>
      </c>
      <c r="D216" s="28">
        <v>0</v>
      </c>
      <c r="E216" s="49" t="s">
        <v>9198</v>
      </c>
      <c r="F216" s="169" t="s">
        <v>9199</v>
      </c>
      <c r="G216" s="169"/>
      <c r="H216" s="169"/>
      <c r="I216" s="169" t="s">
        <v>6820</v>
      </c>
      <c r="J216" s="169" t="s">
        <v>6829</v>
      </c>
      <c r="K216" s="169"/>
      <c r="L216" s="169"/>
      <c r="M216" s="169"/>
      <c r="N216" s="169"/>
      <c r="O216" s="169"/>
      <c r="P216" s="169" t="s">
        <v>9170</v>
      </c>
      <c r="Q216" s="169"/>
      <c r="R216" s="169"/>
      <c r="S216" s="171" t="s">
        <v>8863</v>
      </c>
      <c r="T216" s="171" t="s">
        <v>7026</v>
      </c>
      <c r="U216" s="245">
        <v>44483</v>
      </c>
      <c r="V216" s="171" t="s">
        <v>9200</v>
      </c>
      <c r="W216" s="171">
        <v>12</v>
      </c>
      <c r="X216" s="171" t="s">
        <v>5683</v>
      </c>
      <c r="Y216" s="171" t="s">
        <v>6898</v>
      </c>
      <c r="Z216" s="245"/>
      <c r="AA216" s="175"/>
      <c r="AB216" s="175"/>
      <c r="AC216" s="175"/>
      <c r="AF216" s="239"/>
      <c r="AG216" s="240"/>
      <c r="AH216" s="233"/>
    </row>
    <row r="217" spans="1:35" s="231" customFormat="1" ht="15.75" thickBot="1" x14ac:dyDescent="0.25">
      <c r="A217" s="221" t="str">
        <f t="shared" si="14"/>
        <v>P</v>
      </c>
      <c r="B217" s="327" t="str">
        <f t="shared" si="12"/>
        <v>P</v>
      </c>
      <c r="C217" s="328" t="str">
        <f t="shared" si="13"/>
        <v>P</v>
      </c>
      <c r="D217" s="28">
        <v>0</v>
      </c>
      <c r="E217" s="49" t="s">
        <v>9201</v>
      </c>
      <c r="F217" s="169" t="s">
        <v>9199</v>
      </c>
      <c r="G217" s="169"/>
      <c r="H217" s="169"/>
      <c r="I217" s="169" t="s">
        <v>6820</v>
      </c>
      <c r="J217" s="169" t="s">
        <v>6829</v>
      </c>
      <c r="K217" s="169"/>
      <c r="L217" s="169"/>
      <c r="M217" s="169"/>
      <c r="N217" s="170"/>
      <c r="O217" s="169"/>
      <c r="P217" s="169" t="s">
        <v>9170</v>
      </c>
      <c r="Q217" s="169"/>
      <c r="R217" s="169"/>
      <c r="S217" s="171" t="s">
        <v>8863</v>
      </c>
      <c r="T217" s="171" t="s">
        <v>7026</v>
      </c>
      <c r="U217" s="245">
        <v>44483</v>
      </c>
      <c r="V217" s="171" t="s">
        <v>8902</v>
      </c>
      <c r="W217" s="171">
        <v>3</v>
      </c>
      <c r="X217" s="171" t="s">
        <v>5683</v>
      </c>
      <c r="Y217" s="171" t="s">
        <v>6898</v>
      </c>
      <c r="Z217" s="245"/>
      <c r="AA217" s="175"/>
      <c r="AB217" s="175"/>
      <c r="AC217" s="175"/>
      <c r="AF217" s="239"/>
      <c r="AG217" s="240"/>
      <c r="AH217" s="243"/>
      <c r="AI217" s="244"/>
    </row>
    <row r="218" spans="1:35" ht="30.75" thickBot="1" x14ac:dyDescent="0.25">
      <c r="A218" s="221" t="str">
        <f t="shared" si="14"/>
        <v>OK</v>
      </c>
      <c r="B218" s="222" t="str">
        <f t="shared" si="12"/>
        <v>OK</v>
      </c>
      <c r="C218" s="223" t="str">
        <f t="shared" si="13"/>
        <v>OK</v>
      </c>
      <c r="D218" s="28">
        <v>0</v>
      </c>
      <c r="E218" s="49" t="s">
        <v>9202</v>
      </c>
      <c r="F218" s="169" t="s">
        <v>8335</v>
      </c>
      <c r="G218" s="169">
        <v>181669</v>
      </c>
      <c r="H218" s="169" t="s">
        <v>9203</v>
      </c>
      <c r="I218" s="169" t="s">
        <v>6820</v>
      </c>
      <c r="J218" s="169" t="s">
        <v>6829</v>
      </c>
      <c r="K218" s="169" t="s">
        <v>1147</v>
      </c>
      <c r="L218" s="169" t="s">
        <v>9204</v>
      </c>
      <c r="M218" s="169" t="s">
        <v>1869</v>
      </c>
      <c r="N218" s="170">
        <v>44484</v>
      </c>
      <c r="O218" s="169" t="s">
        <v>264</v>
      </c>
      <c r="P218" s="170">
        <v>44484</v>
      </c>
      <c r="Q218" s="170">
        <v>44484</v>
      </c>
      <c r="R218" s="294">
        <v>44487</v>
      </c>
      <c r="S218" s="171" t="s">
        <v>8863</v>
      </c>
      <c r="T218" s="171" t="s">
        <v>7026</v>
      </c>
      <c r="U218" s="245">
        <v>44496</v>
      </c>
      <c r="V218" s="171" t="s">
        <v>1876</v>
      </c>
      <c r="W218" s="171">
        <v>19</v>
      </c>
      <c r="X218" s="171" t="s">
        <v>5683</v>
      </c>
      <c r="Y218" s="171" t="s">
        <v>4999</v>
      </c>
      <c r="Z218" s="245">
        <v>44496</v>
      </c>
      <c r="AA218" s="175" t="s">
        <v>264</v>
      </c>
      <c r="AB218" s="175">
        <v>44497</v>
      </c>
      <c r="AC218" s="175">
        <v>44497</v>
      </c>
      <c r="AF218" s="239"/>
      <c r="AG218" s="240"/>
    </row>
    <row r="219" spans="1:35" ht="30.75" thickBot="1" x14ac:dyDescent="0.25">
      <c r="A219" s="221" t="str">
        <f t="shared" si="14"/>
        <v>OK</v>
      </c>
      <c r="B219" s="222" t="str">
        <f t="shared" si="12"/>
        <v>OK</v>
      </c>
      <c r="C219" s="223" t="str">
        <f t="shared" si="13"/>
        <v>OK</v>
      </c>
      <c r="D219" s="28">
        <v>0</v>
      </c>
      <c r="E219" s="49" t="s">
        <v>9205</v>
      </c>
      <c r="F219" s="169" t="s">
        <v>8335</v>
      </c>
      <c r="G219" s="169">
        <v>181669</v>
      </c>
      <c r="H219" s="169" t="s">
        <v>9206</v>
      </c>
      <c r="I219" s="169" t="s">
        <v>6820</v>
      </c>
      <c r="J219" s="169" t="s">
        <v>6829</v>
      </c>
      <c r="K219" s="169" t="s">
        <v>1882</v>
      </c>
      <c r="L219" s="169" t="s">
        <v>9207</v>
      </c>
      <c r="M219" s="169" t="s">
        <v>1869</v>
      </c>
      <c r="N219" s="170">
        <v>44484</v>
      </c>
      <c r="O219" s="169" t="s">
        <v>264</v>
      </c>
      <c r="P219" s="170">
        <v>44484</v>
      </c>
      <c r="Q219" s="170">
        <v>44484</v>
      </c>
      <c r="R219" s="294">
        <v>44487</v>
      </c>
      <c r="S219" s="171" t="s">
        <v>8863</v>
      </c>
      <c r="T219" s="171" t="s">
        <v>7026</v>
      </c>
      <c r="U219" s="245">
        <v>44496</v>
      </c>
      <c r="V219" s="171" t="s">
        <v>4238</v>
      </c>
      <c r="W219" s="171">
        <v>20</v>
      </c>
      <c r="X219" s="171" t="s">
        <v>5683</v>
      </c>
      <c r="Y219" s="171" t="s">
        <v>4999</v>
      </c>
      <c r="Z219" s="245">
        <v>44496</v>
      </c>
      <c r="AA219" s="175" t="s">
        <v>264</v>
      </c>
      <c r="AB219" s="175">
        <v>44497</v>
      </c>
      <c r="AC219" s="175">
        <v>44497</v>
      </c>
      <c r="AF219" s="239"/>
      <c r="AG219" s="240"/>
    </row>
    <row r="220" spans="1:35" ht="15.75" thickBot="1" x14ac:dyDescent="0.25">
      <c r="A220" s="221" t="str">
        <f t="shared" si="14"/>
        <v>OK</v>
      </c>
      <c r="B220" s="222" t="str">
        <f t="shared" si="12"/>
        <v>OK</v>
      </c>
      <c r="C220" s="223" t="str">
        <f t="shared" si="13"/>
        <v>OK</v>
      </c>
      <c r="D220" s="28">
        <v>0</v>
      </c>
      <c r="E220" s="49" t="s">
        <v>9208</v>
      </c>
      <c r="F220" s="169" t="s">
        <v>8322</v>
      </c>
      <c r="G220" s="169">
        <v>181670</v>
      </c>
      <c r="H220" s="169" t="s">
        <v>9209</v>
      </c>
      <c r="I220" s="169" t="s">
        <v>6820</v>
      </c>
      <c r="J220" s="169" t="s">
        <v>6829</v>
      </c>
      <c r="K220" s="169" t="s">
        <v>9210</v>
      </c>
      <c r="L220" s="169" t="s">
        <v>9211</v>
      </c>
      <c r="M220" s="169" t="s">
        <v>5529</v>
      </c>
      <c r="N220" s="170">
        <v>44487</v>
      </c>
      <c r="O220" s="169" t="s">
        <v>264</v>
      </c>
      <c r="P220" s="170">
        <v>44487</v>
      </c>
      <c r="Q220" s="170">
        <v>44487</v>
      </c>
      <c r="R220" s="170">
        <v>44490</v>
      </c>
      <c r="S220" s="171" t="s">
        <v>7026</v>
      </c>
      <c r="T220" s="171" t="s">
        <v>7026</v>
      </c>
      <c r="U220" s="245">
        <v>44490</v>
      </c>
      <c r="V220" s="171" t="s">
        <v>9212</v>
      </c>
      <c r="W220" s="171">
        <v>2</v>
      </c>
      <c r="X220" s="171" t="s">
        <v>5683</v>
      </c>
      <c r="Y220" s="171" t="s">
        <v>4999</v>
      </c>
      <c r="Z220" s="245">
        <v>44490</v>
      </c>
      <c r="AA220" s="175" t="s">
        <v>264</v>
      </c>
      <c r="AB220" s="175">
        <v>44491</v>
      </c>
      <c r="AC220" s="175">
        <v>44491</v>
      </c>
      <c r="AF220" s="239"/>
      <c r="AG220" s="240"/>
    </row>
    <row r="221" spans="1:35" ht="25.5" customHeight="1" thickBot="1" x14ac:dyDescent="0.25">
      <c r="A221" s="221" t="str">
        <f t="shared" si="14"/>
        <v>OK</v>
      </c>
      <c r="B221" s="222" t="str">
        <f t="shared" si="12"/>
        <v>OK</v>
      </c>
      <c r="C221" s="223" t="str">
        <f t="shared" si="13"/>
        <v>OK</v>
      </c>
      <c r="D221" s="28">
        <v>0</v>
      </c>
      <c r="E221" s="49" t="s">
        <v>9213</v>
      </c>
      <c r="F221" s="169" t="s">
        <v>8369</v>
      </c>
      <c r="G221" s="169">
        <v>181677</v>
      </c>
      <c r="H221" s="169" t="s">
        <v>9214</v>
      </c>
      <c r="I221" s="169" t="s">
        <v>6820</v>
      </c>
      <c r="J221" s="169" t="s">
        <v>6829</v>
      </c>
      <c r="K221" s="169" t="s">
        <v>8371</v>
      </c>
      <c r="L221" s="169" t="s">
        <v>8372</v>
      </c>
      <c r="M221" s="169" t="s">
        <v>9215</v>
      </c>
      <c r="N221" s="170">
        <v>44495</v>
      </c>
      <c r="O221" s="169" t="s">
        <v>7026</v>
      </c>
      <c r="P221" s="170">
        <v>44495</v>
      </c>
      <c r="Q221" s="170">
        <v>44495</v>
      </c>
      <c r="R221" s="170">
        <v>44496</v>
      </c>
      <c r="S221" s="171" t="s">
        <v>8863</v>
      </c>
      <c r="T221" s="171" t="s">
        <v>7026</v>
      </c>
      <c r="U221" s="245">
        <v>44496</v>
      </c>
      <c r="V221" s="171" t="s">
        <v>8374</v>
      </c>
      <c r="W221" s="171">
        <v>3</v>
      </c>
      <c r="X221" s="171" t="s">
        <v>5683</v>
      </c>
      <c r="Y221" s="171" t="s">
        <v>4999</v>
      </c>
      <c r="Z221" s="245">
        <v>44511</v>
      </c>
      <c r="AA221" s="175" t="s">
        <v>264</v>
      </c>
      <c r="AB221" s="175">
        <v>44511</v>
      </c>
      <c r="AC221" s="175">
        <v>44511</v>
      </c>
      <c r="AF221" s="239"/>
      <c r="AG221" s="240"/>
    </row>
    <row r="222" spans="1:35" ht="15.75" thickBot="1" x14ac:dyDescent="0.25">
      <c r="A222" s="221" t="str">
        <f t="shared" si="14"/>
        <v>OK</v>
      </c>
      <c r="B222" s="222" t="str">
        <f t="shared" si="12"/>
        <v>OK</v>
      </c>
      <c r="C222" s="223" t="str">
        <f t="shared" si="13"/>
        <v>OK</v>
      </c>
      <c r="D222" s="28">
        <v>0</v>
      </c>
      <c r="E222" s="49" t="s">
        <v>9216</v>
      </c>
      <c r="F222" s="169" t="s">
        <v>8389</v>
      </c>
      <c r="G222" s="169">
        <v>181631</v>
      </c>
      <c r="H222" s="169" t="s">
        <v>9217</v>
      </c>
      <c r="I222" s="169" t="s">
        <v>6820</v>
      </c>
      <c r="J222" s="169" t="s">
        <v>6829</v>
      </c>
      <c r="K222" s="169" t="s">
        <v>8391</v>
      </c>
      <c r="L222" s="169" t="s">
        <v>9218</v>
      </c>
      <c r="M222" s="169" t="s">
        <v>389</v>
      </c>
      <c r="N222" s="170">
        <v>44431</v>
      </c>
      <c r="O222" s="169" t="s">
        <v>264</v>
      </c>
      <c r="P222" s="170">
        <v>44431</v>
      </c>
      <c r="Q222" s="170">
        <v>44434</v>
      </c>
      <c r="R222" s="170">
        <v>44495</v>
      </c>
      <c r="S222" s="171" t="s">
        <v>9219</v>
      </c>
      <c r="T222" s="171" t="s">
        <v>7026</v>
      </c>
      <c r="U222" s="245">
        <v>44517</v>
      </c>
      <c r="V222" s="171" t="s">
        <v>9220</v>
      </c>
      <c r="W222" s="171">
        <v>2</v>
      </c>
      <c r="X222" s="171" t="s">
        <v>5683</v>
      </c>
      <c r="Y222" s="171" t="s">
        <v>4999</v>
      </c>
      <c r="Z222" s="245">
        <v>44517</v>
      </c>
      <c r="AA222" s="175" t="s">
        <v>264</v>
      </c>
      <c r="AB222" s="175">
        <v>44517</v>
      </c>
      <c r="AC222" s="175">
        <v>44517</v>
      </c>
      <c r="AF222" s="239"/>
      <c r="AG222" s="240"/>
    </row>
    <row r="223" spans="1:35" ht="15.75" thickBot="1" x14ac:dyDescent="0.25">
      <c r="A223" s="221" t="str">
        <f t="shared" si="14"/>
        <v>OK</v>
      </c>
      <c r="B223" s="222" t="str">
        <f t="shared" si="12"/>
        <v>OK</v>
      </c>
      <c r="C223" s="223" t="str">
        <f t="shared" si="13"/>
        <v>OK</v>
      </c>
      <c r="D223" s="28">
        <v>0</v>
      </c>
      <c r="E223" s="49" t="s">
        <v>9221</v>
      </c>
      <c r="F223" s="169" t="s">
        <v>8389</v>
      </c>
      <c r="G223" s="169">
        <v>181631</v>
      </c>
      <c r="H223" s="169" t="s">
        <v>9222</v>
      </c>
      <c r="I223" s="169" t="s">
        <v>6820</v>
      </c>
      <c r="J223" s="169" t="s">
        <v>6829</v>
      </c>
      <c r="K223" s="169" t="s">
        <v>9223</v>
      </c>
      <c r="L223" s="169" t="s">
        <v>9224</v>
      </c>
      <c r="M223" s="169" t="s">
        <v>389</v>
      </c>
      <c r="N223" s="170">
        <v>44431</v>
      </c>
      <c r="O223" s="169" t="s">
        <v>264</v>
      </c>
      <c r="P223" s="170">
        <v>44431</v>
      </c>
      <c r="Q223" s="170">
        <v>44434</v>
      </c>
      <c r="R223" s="170">
        <v>44495</v>
      </c>
      <c r="S223" s="171" t="s">
        <v>9219</v>
      </c>
      <c r="T223" s="171" t="s">
        <v>7026</v>
      </c>
      <c r="U223" s="245">
        <v>44517</v>
      </c>
      <c r="V223" s="171" t="s">
        <v>9225</v>
      </c>
      <c r="W223" s="171">
        <v>2</v>
      </c>
      <c r="X223" s="171" t="s">
        <v>5683</v>
      </c>
      <c r="Y223" s="171" t="s">
        <v>4999</v>
      </c>
      <c r="Z223" s="245">
        <v>44517</v>
      </c>
      <c r="AA223" s="175" t="s">
        <v>264</v>
      </c>
      <c r="AB223" s="175">
        <v>44517</v>
      </c>
      <c r="AC223" s="175">
        <v>44517</v>
      </c>
      <c r="AF223" s="239"/>
      <c r="AG223" s="240"/>
    </row>
    <row r="224" spans="1:35" ht="15.75" thickBot="1" x14ac:dyDescent="0.25">
      <c r="A224" s="221" t="str">
        <f t="shared" si="14"/>
        <v>OK</v>
      </c>
      <c r="B224" s="222" t="str">
        <f t="shared" si="12"/>
        <v>OK</v>
      </c>
      <c r="C224" s="223" t="str">
        <f t="shared" si="13"/>
        <v>OK</v>
      </c>
      <c r="D224" s="28">
        <v>0</v>
      </c>
      <c r="E224" s="49" t="s">
        <v>9226</v>
      </c>
      <c r="F224" s="169" t="s">
        <v>8389</v>
      </c>
      <c r="G224" s="169">
        <v>181631</v>
      </c>
      <c r="H224" s="169" t="s">
        <v>9227</v>
      </c>
      <c r="I224" s="169" t="s">
        <v>6820</v>
      </c>
      <c r="J224" s="169" t="s">
        <v>6829</v>
      </c>
      <c r="K224" s="169" t="s">
        <v>9228</v>
      </c>
      <c r="L224" s="169" t="s">
        <v>9229</v>
      </c>
      <c r="M224" s="169" t="s">
        <v>389</v>
      </c>
      <c r="N224" s="170">
        <v>44431</v>
      </c>
      <c r="O224" s="169" t="s">
        <v>264</v>
      </c>
      <c r="P224" s="170">
        <v>44431</v>
      </c>
      <c r="Q224" s="170">
        <v>44434</v>
      </c>
      <c r="R224" s="170">
        <v>44495</v>
      </c>
      <c r="S224" s="171" t="s">
        <v>9219</v>
      </c>
      <c r="T224" s="171" t="s">
        <v>7026</v>
      </c>
      <c r="U224" s="245">
        <v>44516</v>
      </c>
      <c r="V224" s="171" t="s">
        <v>181</v>
      </c>
      <c r="W224" s="171">
        <v>2</v>
      </c>
      <c r="X224" s="171" t="s">
        <v>5683</v>
      </c>
      <c r="Y224" s="171" t="s">
        <v>4999</v>
      </c>
      <c r="Z224" s="245">
        <v>44516</v>
      </c>
      <c r="AA224" s="175" t="s">
        <v>264</v>
      </c>
      <c r="AB224" s="175">
        <v>44517</v>
      </c>
      <c r="AC224" s="175">
        <v>44517</v>
      </c>
      <c r="AF224" s="239"/>
      <c r="AG224" s="240"/>
    </row>
    <row r="225" spans="1:33" ht="15.75" thickBot="1" x14ac:dyDescent="0.25">
      <c r="A225" s="221" t="str">
        <f t="shared" si="14"/>
        <v>OK</v>
      </c>
      <c r="B225" s="222" t="str">
        <f t="shared" si="12"/>
        <v>OK</v>
      </c>
      <c r="C225" s="223" t="str">
        <f t="shared" si="13"/>
        <v>OK</v>
      </c>
      <c r="D225" s="28">
        <v>0</v>
      </c>
      <c r="E225" s="49" t="s">
        <v>9230</v>
      </c>
      <c r="F225" s="169" t="s">
        <v>8389</v>
      </c>
      <c r="G225" s="169">
        <v>181631</v>
      </c>
      <c r="H225" s="169" t="s">
        <v>9231</v>
      </c>
      <c r="I225" s="169" t="s">
        <v>6820</v>
      </c>
      <c r="J225" s="169" t="s">
        <v>6829</v>
      </c>
      <c r="K225" s="169" t="s">
        <v>9232</v>
      </c>
      <c r="L225" s="169" t="s">
        <v>9233</v>
      </c>
      <c r="M225" s="169" t="s">
        <v>389</v>
      </c>
      <c r="N225" s="170">
        <v>44431</v>
      </c>
      <c r="O225" s="169" t="s">
        <v>264</v>
      </c>
      <c r="P225" s="170">
        <v>44431</v>
      </c>
      <c r="Q225" s="170">
        <v>44434</v>
      </c>
      <c r="R225" s="170">
        <v>44495</v>
      </c>
      <c r="S225" s="171" t="s">
        <v>9219</v>
      </c>
      <c r="T225" s="171" t="s">
        <v>7026</v>
      </c>
      <c r="U225" s="245">
        <v>44512</v>
      </c>
      <c r="V225" s="171">
        <v>5014669</v>
      </c>
      <c r="W225" s="171">
        <v>1</v>
      </c>
      <c r="X225" s="171" t="s">
        <v>5683</v>
      </c>
      <c r="Y225" s="171" t="s">
        <v>4999</v>
      </c>
      <c r="Z225" s="245">
        <v>44512</v>
      </c>
      <c r="AA225" s="175" t="s">
        <v>264</v>
      </c>
      <c r="AB225" s="175">
        <v>44517</v>
      </c>
      <c r="AC225" s="175">
        <v>44517</v>
      </c>
      <c r="AF225" s="239"/>
      <c r="AG225" s="240"/>
    </row>
    <row r="226" spans="1:33" ht="45.75" thickBot="1" x14ac:dyDescent="0.25">
      <c r="A226" s="221" t="str">
        <f t="shared" si="14"/>
        <v>OK</v>
      </c>
      <c r="B226" s="222" t="str">
        <f t="shared" si="12"/>
        <v>OK</v>
      </c>
      <c r="C226" s="223" t="str">
        <f t="shared" si="13"/>
        <v>OK</v>
      </c>
      <c r="D226" s="28">
        <v>0</v>
      </c>
      <c r="E226" s="49" t="s">
        <v>9234</v>
      </c>
      <c r="F226" s="169" t="s">
        <v>9024</v>
      </c>
      <c r="G226" s="169">
        <v>181682</v>
      </c>
      <c r="H226" s="169" t="s">
        <v>9235</v>
      </c>
      <c r="I226" s="169" t="s">
        <v>6820</v>
      </c>
      <c r="J226" s="169" t="s">
        <v>6829</v>
      </c>
      <c r="K226" s="169" t="s">
        <v>9236</v>
      </c>
      <c r="L226" s="169" t="s">
        <v>9237</v>
      </c>
      <c r="M226" s="169" t="s">
        <v>8663</v>
      </c>
      <c r="N226" s="170">
        <v>44496</v>
      </c>
      <c r="O226" s="169" t="s">
        <v>7026</v>
      </c>
      <c r="P226" s="170">
        <v>44496</v>
      </c>
      <c r="Q226" s="170">
        <v>44496</v>
      </c>
      <c r="R226" s="170">
        <v>44496</v>
      </c>
      <c r="S226" s="171" t="s">
        <v>8863</v>
      </c>
      <c r="T226" s="171" t="s">
        <v>7026</v>
      </c>
      <c r="U226" s="245">
        <v>44497</v>
      </c>
      <c r="V226" s="171" t="s">
        <v>7037</v>
      </c>
      <c r="W226" s="171">
        <v>1</v>
      </c>
      <c r="X226" s="171" t="s">
        <v>5683</v>
      </c>
      <c r="Y226" s="171" t="s">
        <v>4999</v>
      </c>
      <c r="Z226" s="245">
        <v>44497</v>
      </c>
      <c r="AA226" s="175" t="s">
        <v>264</v>
      </c>
      <c r="AB226" s="175">
        <v>44503</v>
      </c>
      <c r="AC226" s="175">
        <v>44503</v>
      </c>
      <c r="AF226" s="239"/>
      <c r="AG226" s="240"/>
    </row>
    <row r="227" spans="1:33" ht="15.75" thickBot="1" x14ac:dyDescent="0.25">
      <c r="A227" s="221" t="str">
        <f t="shared" si="14"/>
        <v>P</v>
      </c>
      <c r="B227" s="222" t="str">
        <f t="shared" si="12"/>
        <v>OK</v>
      </c>
      <c r="C227" s="223" t="str">
        <f t="shared" si="13"/>
        <v>OK</v>
      </c>
      <c r="D227" s="28">
        <v>0</v>
      </c>
      <c r="E227" s="49" t="s">
        <v>9238</v>
      </c>
      <c r="F227" s="169" t="s">
        <v>9168</v>
      </c>
      <c r="G227" s="169">
        <v>181202</v>
      </c>
      <c r="H227" s="169" t="s">
        <v>9239</v>
      </c>
      <c r="I227" s="169" t="s">
        <v>6820</v>
      </c>
      <c r="J227" s="169" t="s">
        <v>6829</v>
      </c>
      <c r="K227" s="169" t="s">
        <v>6277</v>
      </c>
      <c r="L227" s="169" t="s">
        <v>9240</v>
      </c>
      <c r="M227" s="169" t="s">
        <v>7110</v>
      </c>
      <c r="N227" s="276"/>
      <c r="O227" s="276"/>
      <c r="P227" s="276" t="s">
        <v>9170</v>
      </c>
      <c r="Q227" s="276"/>
      <c r="R227" s="276"/>
      <c r="S227" s="171" t="s">
        <v>8863</v>
      </c>
      <c r="T227" s="171" t="s">
        <v>7026</v>
      </c>
      <c r="U227" s="245">
        <v>44508</v>
      </c>
      <c r="V227" s="171" t="s">
        <v>1939</v>
      </c>
      <c r="W227" s="171">
        <v>1</v>
      </c>
      <c r="X227" s="171" t="s">
        <v>5683</v>
      </c>
      <c r="Y227" s="171" t="s">
        <v>4999</v>
      </c>
      <c r="Z227" s="245">
        <v>44508</v>
      </c>
      <c r="AA227" s="175" t="s">
        <v>264</v>
      </c>
      <c r="AB227" s="175">
        <v>44512</v>
      </c>
      <c r="AC227" s="175">
        <v>44512</v>
      </c>
      <c r="AF227" s="239"/>
      <c r="AG227" s="240"/>
    </row>
    <row r="228" spans="1:33" ht="15.75" thickBot="1" x14ac:dyDescent="0.25">
      <c r="A228" s="221" t="str">
        <f t="shared" si="14"/>
        <v>P</v>
      </c>
      <c r="B228" s="222" t="str">
        <f t="shared" si="12"/>
        <v>OK</v>
      </c>
      <c r="C228" s="223" t="str">
        <f t="shared" si="13"/>
        <v>OK</v>
      </c>
      <c r="D228" s="28">
        <v>0</v>
      </c>
      <c r="E228" s="49" t="s">
        <v>9241</v>
      </c>
      <c r="F228" s="169" t="s">
        <v>9168</v>
      </c>
      <c r="G228" s="169">
        <v>181202</v>
      </c>
      <c r="H228" s="169" t="s">
        <v>9242</v>
      </c>
      <c r="I228" s="169" t="s">
        <v>6820</v>
      </c>
      <c r="J228" s="169" t="s">
        <v>6829</v>
      </c>
      <c r="K228" s="169" t="s">
        <v>9243</v>
      </c>
      <c r="L228" s="169" t="s">
        <v>1895</v>
      </c>
      <c r="M228" s="169" t="s">
        <v>8789</v>
      </c>
      <c r="N228" s="276"/>
      <c r="O228" s="276"/>
      <c r="P228" s="276" t="s">
        <v>9170</v>
      </c>
      <c r="Q228" s="276"/>
      <c r="R228" s="276"/>
      <c r="S228" s="171" t="s">
        <v>8863</v>
      </c>
      <c r="T228" s="171" t="s">
        <v>7026</v>
      </c>
      <c r="U228" s="245">
        <v>44504</v>
      </c>
      <c r="V228" s="171" t="s">
        <v>9244</v>
      </c>
      <c r="W228" s="171">
        <v>4</v>
      </c>
      <c r="X228" s="171" t="s">
        <v>5683</v>
      </c>
      <c r="Y228" s="171" t="s">
        <v>4999</v>
      </c>
      <c r="Z228" s="245">
        <v>44508</v>
      </c>
      <c r="AA228" s="175" t="s">
        <v>264</v>
      </c>
      <c r="AB228" s="175">
        <v>44509</v>
      </c>
      <c r="AC228" s="175">
        <v>44509</v>
      </c>
      <c r="AF228" s="239"/>
      <c r="AG228" s="240"/>
    </row>
    <row r="229" spans="1:33" ht="45.75" thickBot="1" x14ac:dyDescent="0.25">
      <c r="A229" s="221" t="str">
        <f t="shared" si="14"/>
        <v>OK</v>
      </c>
      <c r="B229" s="222" t="str">
        <f t="shared" si="12"/>
        <v>OK</v>
      </c>
      <c r="C229" s="223" t="str">
        <f t="shared" si="13"/>
        <v>OK</v>
      </c>
      <c r="D229" s="28">
        <v>0</v>
      </c>
      <c r="E229" s="49" t="s">
        <v>9245</v>
      </c>
      <c r="F229" s="169" t="s">
        <v>8369</v>
      </c>
      <c r="G229" s="169">
        <v>181701</v>
      </c>
      <c r="H229" s="169" t="s">
        <v>9246</v>
      </c>
      <c r="I229" s="169" t="s">
        <v>6820</v>
      </c>
      <c r="J229" s="169" t="s">
        <v>6829</v>
      </c>
      <c r="K229" s="169" t="s">
        <v>1964</v>
      </c>
      <c r="L229" s="169" t="s">
        <v>9247</v>
      </c>
      <c r="M229" s="169" t="s">
        <v>9248</v>
      </c>
      <c r="N229" s="170">
        <v>44510</v>
      </c>
      <c r="O229" s="169" t="s">
        <v>7026</v>
      </c>
      <c r="P229" s="170">
        <v>44510</v>
      </c>
      <c r="Q229" s="170">
        <v>44510</v>
      </c>
      <c r="R229" s="170">
        <v>44511</v>
      </c>
      <c r="S229" s="171" t="s">
        <v>6837</v>
      </c>
      <c r="T229" s="171" t="s">
        <v>7026</v>
      </c>
      <c r="U229" s="245">
        <v>44512</v>
      </c>
      <c r="V229" s="171" t="s">
        <v>9249</v>
      </c>
      <c r="W229" s="171">
        <v>1</v>
      </c>
      <c r="X229" s="171" t="s">
        <v>5683</v>
      </c>
      <c r="Y229" s="171" t="s">
        <v>4999</v>
      </c>
      <c r="Z229" s="245">
        <v>44523</v>
      </c>
      <c r="AA229" s="175" t="s">
        <v>264</v>
      </c>
      <c r="AB229" s="175">
        <v>44524</v>
      </c>
      <c r="AC229" s="175">
        <v>44524</v>
      </c>
      <c r="AF229" s="239"/>
      <c r="AG229" s="240"/>
    </row>
    <row r="230" spans="1:33" ht="30" customHeight="1" thickBot="1" x14ac:dyDescent="0.25">
      <c r="A230" s="221" t="str">
        <f t="shared" si="14"/>
        <v>OK</v>
      </c>
      <c r="B230" s="222" t="str">
        <f t="shared" si="12"/>
        <v>OK</v>
      </c>
      <c r="C230" s="223" t="str">
        <f t="shared" si="13"/>
        <v>OK</v>
      </c>
      <c r="D230" s="28">
        <v>0</v>
      </c>
      <c r="E230" s="49" t="s">
        <v>9250</v>
      </c>
      <c r="F230" s="169" t="s">
        <v>8369</v>
      </c>
      <c r="G230" s="169">
        <v>181702</v>
      </c>
      <c r="H230" s="169" t="s">
        <v>9251</v>
      </c>
      <c r="I230" s="169" t="s">
        <v>6820</v>
      </c>
      <c r="J230" s="169" t="s">
        <v>6829</v>
      </c>
      <c r="K230" s="169" t="s">
        <v>9252</v>
      </c>
      <c r="L230" s="169" t="s">
        <v>9253</v>
      </c>
      <c r="M230" s="169" t="s">
        <v>9254</v>
      </c>
      <c r="N230" s="170">
        <v>44511</v>
      </c>
      <c r="O230" s="169" t="s">
        <v>7026</v>
      </c>
      <c r="P230" s="170">
        <v>44511</v>
      </c>
      <c r="Q230" s="170">
        <v>44511</v>
      </c>
      <c r="R230" s="170">
        <v>44511</v>
      </c>
      <c r="S230" s="171" t="s">
        <v>6837</v>
      </c>
      <c r="T230" s="171" t="s">
        <v>7026</v>
      </c>
      <c r="U230" s="245">
        <v>44512</v>
      </c>
      <c r="V230" s="171" t="s">
        <v>9255</v>
      </c>
      <c r="W230" s="171">
        <v>1</v>
      </c>
      <c r="X230" s="171" t="s">
        <v>5683</v>
      </c>
      <c r="Y230" s="171" t="s">
        <v>4999</v>
      </c>
      <c r="Z230" s="245">
        <v>44523</v>
      </c>
      <c r="AA230" s="175" t="s">
        <v>264</v>
      </c>
      <c r="AB230" s="175">
        <v>44524</v>
      </c>
      <c r="AC230" s="175">
        <v>44524</v>
      </c>
      <c r="AF230" s="239"/>
      <c r="AG230" s="240"/>
    </row>
    <row r="231" spans="1:33" ht="15.75" thickBot="1" x14ac:dyDescent="0.25">
      <c r="A231" s="221" t="str">
        <f t="shared" si="14"/>
        <v>OK</v>
      </c>
      <c r="B231" s="222" t="str">
        <f t="shared" si="12"/>
        <v>OK</v>
      </c>
      <c r="C231" s="223" t="str">
        <f t="shared" si="13"/>
        <v>OK</v>
      </c>
      <c r="D231" s="28">
        <v>0</v>
      </c>
      <c r="E231" s="49" t="s">
        <v>9256</v>
      </c>
      <c r="F231" s="169" t="s">
        <v>7902</v>
      </c>
      <c r="G231" s="169">
        <v>181602</v>
      </c>
      <c r="H231" s="169" t="s">
        <v>9257</v>
      </c>
      <c r="I231" s="169" t="s">
        <v>6820</v>
      </c>
      <c r="J231" s="169" t="s">
        <v>6829</v>
      </c>
      <c r="K231" s="169" t="s">
        <v>6830</v>
      </c>
      <c r="L231" s="169" t="s">
        <v>495</v>
      </c>
      <c r="M231" s="169" t="s">
        <v>6831</v>
      </c>
      <c r="N231" s="280">
        <v>44432</v>
      </c>
      <c r="O231" s="276" t="s">
        <v>264</v>
      </c>
      <c r="P231" s="280">
        <v>44432</v>
      </c>
      <c r="Q231" s="280">
        <v>44434</v>
      </c>
      <c r="R231" s="280">
        <v>44434</v>
      </c>
      <c r="S231" s="171" t="s">
        <v>8863</v>
      </c>
      <c r="T231" s="171" t="s">
        <v>7026</v>
      </c>
      <c r="U231" s="245">
        <v>44509</v>
      </c>
      <c r="V231" s="171" t="s">
        <v>490</v>
      </c>
      <c r="W231" s="171">
        <v>8</v>
      </c>
      <c r="X231" s="171" t="s">
        <v>5683</v>
      </c>
      <c r="Y231" s="171" t="s">
        <v>4999</v>
      </c>
      <c r="Z231" s="245">
        <v>44511</v>
      </c>
      <c r="AA231" s="175" t="s">
        <v>264</v>
      </c>
      <c r="AB231" s="175">
        <v>44524</v>
      </c>
      <c r="AC231" s="175">
        <v>44524</v>
      </c>
      <c r="AF231" s="239"/>
      <c r="AG231" s="240"/>
    </row>
    <row r="232" spans="1:33" ht="29.25" customHeight="1" thickBot="1" x14ac:dyDescent="0.25">
      <c r="A232" s="221" t="str">
        <f t="shared" si="14"/>
        <v>OK</v>
      </c>
      <c r="B232" s="327" t="str">
        <f t="shared" si="12"/>
        <v>OK</v>
      </c>
      <c r="C232" s="328" t="str">
        <f t="shared" si="13"/>
        <v>OK</v>
      </c>
      <c r="D232" s="28">
        <v>0</v>
      </c>
      <c r="E232" s="49" t="s">
        <v>9258</v>
      </c>
      <c r="F232" s="169" t="s">
        <v>9172</v>
      </c>
      <c r="G232" s="169">
        <v>181704</v>
      </c>
      <c r="H232" s="169" t="s">
        <v>9259</v>
      </c>
      <c r="I232" s="169" t="s">
        <v>6820</v>
      </c>
      <c r="J232" s="169" t="s">
        <v>6829</v>
      </c>
      <c r="K232" s="169" t="s">
        <v>9260</v>
      </c>
      <c r="L232" s="169" t="s">
        <v>9261</v>
      </c>
      <c r="M232" s="169" t="s">
        <v>1869</v>
      </c>
      <c r="N232" s="170">
        <v>44511</v>
      </c>
      <c r="O232" s="169" t="s">
        <v>7067</v>
      </c>
      <c r="P232" s="170">
        <v>44511</v>
      </c>
      <c r="Q232" s="170">
        <v>44511</v>
      </c>
      <c r="R232" s="170">
        <v>44515</v>
      </c>
      <c r="S232" s="171" t="s">
        <v>9219</v>
      </c>
      <c r="T232" s="171" t="s">
        <v>7026</v>
      </c>
      <c r="U232" s="245">
        <v>44517</v>
      </c>
      <c r="V232" s="171" t="s">
        <v>150</v>
      </c>
      <c r="W232" s="171">
        <v>3</v>
      </c>
      <c r="X232" s="171" t="s">
        <v>5683</v>
      </c>
      <c r="Y232" s="171" t="s">
        <v>4999</v>
      </c>
      <c r="Z232" s="245">
        <v>44517</v>
      </c>
      <c r="AA232" s="175" t="s">
        <v>264</v>
      </c>
      <c r="AB232" s="175">
        <v>44517</v>
      </c>
      <c r="AC232" s="175">
        <v>44517</v>
      </c>
      <c r="AF232" s="239"/>
      <c r="AG232" s="240"/>
    </row>
    <row r="233" spans="1:33" ht="15.75" thickBot="1" x14ac:dyDescent="0.25">
      <c r="A233" s="221" t="str">
        <f t="shared" si="14"/>
        <v>OK</v>
      </c>
      <c r="B233" s="222" t="str">
        <f t="shared" si="12"/>
        <v>OK</v>
      </c>
      <c r="C233" s="223" t="str">
        <f t="shared" si="13"/>
        <v>OK</v>
      </c>
      <c r="D233" s="28">
        <v>0</v>
      </c>
      <c r="E233" s="49" t="s">
        <v>9262</v>
      </c>
      <c r="F233" s="169" t="s">
        <v>3386</v>
      </c>
      <c r="G233" s="169">
        <v>181697</v>
      </c>
      <c r="H233" s="169" t="s">
        <v>9263</v>
      </c>
      <c r="I233" s="169" t="s">
        <v>6820</v>
      </c>
      <c r="J233" s="169" t="s">
        <v>6829</v>
      </c>
      <c r="K233" s="169" t="s">
        <v>3458</v>
      </c>
      <c r="L233" s="169" t="s">
        <v>9264</v>
      </c>
      <c r="M233" s="169" t="s">
        <v>5638</v>
      </c>
      <c r="N233" s="170">
        <v>44508</v>
      </c>
      <c r="O233" s="169" t="s">
        <v>7067</v>
      </c>
      <c r="P233" s="170">
        <v>44508</v>
      </c>
      <c r="Q233" s="170">
        <v>44508</v>
      </c>
      <c r="R233" s="170">
        <v>44516</v>
      </c>
      <c r="S233" s="171" t="s">
        <v>9219</v>
      </c>
      <c r="T233" s="171" t="s">
        <v>7026</v>
      </c>
      <c r="U233" s="245">
        <v>44517</v>
      </c>
      <c r="V233" s="171" t="s">
        <v>3324</v>
      </c>
      <c r="W233" s="171">
        <v>3</v>
      </c>
      <c r="X233" s="171" t="s">
        <v>5683</v>
      </c>
      <c r="Y233" s="171" t="s">
        <v>4999</v>
      </c>
      <c r="Z233" s="245">
        <v>44517</v>
      </c>
      <c r="AA233" s="175" t="s">
        <v>264</v>
      </c>
      <c r="AB233" s="175">
        <v>44522</v>
      </c>
      <c r="AC233" s="175">
        <v>44522</v>
      </c>
      <c r="AF233" s="239"/>
      <c r="AG233" s="240"/>
    </row>
    <row r="234" spans="1:33" ht="30.75" thickBot="1" x14ac:dyDescent="0.25">
      <c r="A234" s="221" t="str">
        <f t="shared" si="14"/>
        <v>OK</v>
      </c>
      <c r="B234" s="327" t="str">
        <f t="shared" si="12"/>
        <v>OK</v>
      </c>
      <c r="C234" s="328" t="str">
        <f t="shared" si="13"/>
        <v>OK</v>
      </c>
      <c r="D234" s="28">
        <v>0</v>
      </c>
      <c r="E234" s="49" t="s">
        <v>9265</v>
      </c>
      <c r="F234" s="169" t="s">
        <v>9172</v>
      </c>
      <c r="G234" s="169">
        <v>181707</v>
      </c>
      <c r="H234" s="169" t="s">
        <v>9266</v>
      </c>
      <c r="I234" s="169" t="s">
        <v>6820</v>
      </c>
      <c r="J234" s="169" t="s">
        <v>6829</v>
      </c>
      <c r="K234" s="169" t="s">
        <v>9267</v>
      </c>
      <c r="L234" s="169" t="s">
        <v>9268</v>
      </c>
      <c r="M234" s="169" t="s">
        <v>1869</v>
      </c>
      <c r="N234" s="170">
        <v>44511</v>
      </c>
      <c r="O234" s="169" t="s">
        <v>7067</v>
      </c>
      <c r="P234" s="170">
        <v>44511</v>
      </c>
      <c r="Q234" s="170">
        <v>44512</v>
      </c>
      <c r="R234" s="170">
        <v>44516</v>
      </c>
      <c r="S234" s="171" t="s">
        <v>9176</v>
      </c>
      <c r="T234" s="171" t="s">
        <v>7026</v>
      </c>
      <c r="U234" s="245">
        <v>44516</v>
      </c>
      <c r="V234" s="171" t="s">
        <v>9269</v>
      </c>
      <c r="W234" s="171">
        <v>11</v>
      </c>
      <c r="X234" s="171" t="s">
        <v>5683</v>
      </c>
      <c r="Y234" s="171" t="s">
        <v>4999</v>
      </c>
      <c r="Z234" s="245">
        <v>44516</v>
      </c>
      <c r="AA234" s="175" t="s">
        <v>264</v>
      </c>
      <c r="AB234" s="175">
        <v>44518</v>
      </c>
      <c r="AC234" s="175">
        <v>44518</v>
      </c>
      <c r="AF234" s="239"/>
      <c r="AG234" s="240"/>
    </row>
    <row r="235" spans="1:33" ht="15.75" thickBot="1" x14ac:dyDescent="0.25">
      <c r="A235" s="221" t="str">
        <f t="shared" si="14"/>
        <v>OK</v>
      </c>
      <c r="B235" s="222" t="str">
        <f t="shared" si="12"/>
        <v>OK</v>
      </c>
      <c r="C235" s="223" t="str">
        <f t="shared" si="13"/>
        <v>OK</v>
      </c>
      <c r="D235" s="28">
        <v>0</v>
      </c>
      <c r="E235" s="49" t="s">
        <v>9270</v>
      </c>
      <c r="F235" s="169" t="s">
        <v>8322</v>
      </c>
      <c r="G235" s="169">
        <v>181708</v>
      </c>
      <c r="H235" s="169" t="s">
        <v>9271</v>
      </c>
      <c r="I235" s="169" t="s">
        <v>6820</v>
      </c>
      <c r="J235" s="169" t="s">
        <v>6829</v>
      </c>
      <c r="K235" s="169" t="s">
        <v>5599</v>
      </c>
      <c r="L235" s="169" t="s">
        <v>5600</v>
      </c>
      <c r="M235" s="169" t="s">
        <v>5529</v>
      </c>
      <c r="N235" s="170">
        <v>44516</v>
      </c>
      <c r="O235" s="169" t="s">
        <v>7067</v>
      </c>
      <c r="P235" s="170">
        <v>44516</v>
      </c>
      <c r="Q235" s="170">
        <v>44516</v>
      </c>
      <c r="R235" s="170">
        <v>44516</v>
      </c>
      <c r="S235" s="171" t="s">
        <v>9176</v>
      </c>
      <c r="T235" s="171" t="s">
        <v>7026</v>
      </c>
      <c r="U235" s="245">
        <v>44518</v>
      </c>
      <c r="V235" s="171" t="s">
        <v>5601</v>
      </c>
      <c r="W235" s="171">
        <v>2</v>
      </c>
      <c r="X235" s="171" t="s">
        <v>5683</v>
      </c>
      <c r="Y235" s="171" t="s">
        <v>4999</v>
      </c>
      <c r="Z235" s="245">
        <v>44518</v>
      </c>
      <c r="AA235" s="175" t="s">
        <v>6825</v>
      </c>
      <c r="AB235" s="175">
        <v>44519</v>
      </c>
      <c r="AC235" s="175">
        <v>44519</v>
      </c>
      <c r="AF235" s="239"/>
      <c r="AG235" s="240"/>
    </row>
    <row r="236" spans="1:33" ht="45.75" thickBot="1" x14ac:dyDescent="0.25">
      <c r="A236" s="221" t="str">
        <f t="shared" si="14"/>
        <v>OK</v>
      </c>
      <c r="B236" s="222" t="str">
        <f t="shared" si="12"/>
        <v>OK</v>
      </c>
      <c r="C236" s="223" t="str">
        <f t="shared" si="13"/>
        <v>OK</v>
      </c>
      <c r="D236" s="28">
        <v>0</v>
      </c>
      <c r="E236" s="49" t="s">
        <v>9272</v>
      </c>
      <c r="F236" s="169" t="s">
        <v>9273</v>
      </c>
      <c r="G236" s="169">
        <v>181654</v>
      </c>
      <c r="H236" s="169" t="s">
        <v>9274</v>
      </c>
      <c r="I236" s="169" t="s">
        <v>6820</v>
      </c>
      <c r="J236" s="169" t="s">
        <v>6829</v>
      </c>
      <c r="K236" s="169" t="s">
        <v>6577</v>
      </c>
      <c r="L236" s="169" t="s">
        <v>7398</v>
      </c>
      <c r="M236" s="169" t="s">
        <v>9002</v>
      </c>
      <c r="N236" s="170">
        <v>44474</v>
      </c>
      <c r="O236" s="169" t="s">
        <v>7067</v>
      </c>
      <c r="P236" s="170">
        <v>44474</v>
      </c>
      <c r="Q236" s="170">
        <v>44474</v>
      </c>
      <c r="R236" s="170">
        <v>44516</v>
      </c>
      <c r="S236" s="171" t="s">
        <v>9219</v>
      </c>
      <c r="T236" s="171" t="s">
        <v>7026</v>
      </c>
      <c r="U236" s="245">
        <v>44519</v>
      </c>
      <c r="V236" s="171" t="s">
        <v>7400</v>
      </c>
      <c r="W236" s="171">
        <v>1</v>
      </c>
      <c r="X236" s="171" t="s">
        <v>5683</v>
      </c>
      <c r="Y236" s="171" t="s">
        <v>4999</v>
      </c>
      <c r="Z236" s="245">
        <v>44519</v>
      </c>
      <c r="AA236" s="175" t="s">
        <v>264</v>
      </c>
      <c r="AB236" s="175">
        <v>44522</v>
      </c>
      <c r="AC236" s="175">
        <v>44522</v>
      </c>
      <c r="AF236" s="239"/>
      <c r="AG236" s="240"/>
    </row>
    <row r="237" spans="1:33" ht="45.75" thickBot="1" x14ac:dyDescent="0.25">
      <c r="A237" s="221" t="str">
        <f t="shared" si="14"/>
        <v>OK</v>
      </c>
      <c r="B237" s="222" t="str">
        <f t="shared" si="12"/>
        <v>OK</v>
      </c>
      <c r="C237" s="223" t="str">
        <f t="shared" si="13"/>
        <v>OK</v>
      </c>
      <c r="D237" s="28">
        <v>0</v>
      </c>
      <c r="E237" s="49" t="s">
        <v>9275</v>
      </c>
      <c r="F237" s="169" t="s">
        <v>5652</v>
      </c>
      <c r="G237" s="169">
        <v>181696</v>
      </c>
      <c r="H237" s="169" t="s">
        <v>9276</v>
      </c>
      <c r="I237" s="169" t="s">
        <v>6820</v>
      </c>
      <c r="J237" s="169" t="s">
        <v>6829</v>
      </c>
      <c r="K237" s="169" t="s">
        <v>9277</v>
      </c>
      <c r="L237" s="169" t="s">
        <v>9278</v>
      </c>
      <c r="M237" s="169" t="s">
        <v>8722</v>
      </c>
      <c r="N237" s="170">
        <v>44508</v>
      </c>
      <c r="O237" s="169" t="s">
        <v>7067</v>
      </c>
      <c r="P237" s="170">
        <v>44508</v>
      </c>
      <c r="Q237" s="170">
        <v>44508</v>
      </c>
      <c r="R237" s="170">
        <v>44518</v>
      </c>
      <c r="S237" s="171" t="s">
        <v>9219</v>
      </c>
      <c r="T237" s="171" t="s">
        <v>7026</v>
      </c>
      <c r="U237" s="245">
        <v>44519</v>
      </c>
      <c r="V237" s="171" t="s">
        <v>9279</v>
      </c>
      <c r="W237" s="171">
        <v>1</v>
      </c>
      <c r="X237" s="171" t="s">
        <v>5683</v>
      </c>
      <c r="Y237" s="171" t="s">
        <v>4999</v>
      </c>
      <c r="Z237" s="245">
        <v>44519</v>
      </c>
      <c r="AA237" s="175" t="s">
        <v>264</v>
      </c>
      <c r="AB237" s="175">
        <v>44524</v>
      </c>
      <c r="AC237" s="175">
        <v>44524</v>
      </c>
      <c r="AF237" s="239"/>
      <c r="AG237" s="240"/>
    </row>
    <row r="238" spans="1:33" ht="15.75" thickBot="1" x14ac:dyDescent="0.25">
      <c r="A238" s="221" t="str">
        <f t="shared" si="14"/>
        <v>OK</v>
      </c>
      <c r="B238" s="222" t="str">
        <f t="shared" si="12"/>
        <v>OK</v>
      </c>
      <c r="C238" s="223" t="str">
        <f t="shared" si="13"/>
        <v>OK</v>
      </c>
      <c r="D238" s="28">
        <v>0</v>
      </c>
      <c r="E238" s="49" t="s">
        <v>9280</v>
      </c>
      <c r="F238" s="169" t="s">
        <v>8369</v>
      </c>
      <c r="G238" s="169">
        <v>181714</v>
      </c>
      <c r="H238" s="169" t="s">
        <v>9281</v>
      </c>
      <c r="I238" s="169" t="s">
        <v>6820</v>
      </c>
      <c r="J238" s="169" t="s">
        <v>6829</v>
      </c>
      <c r="K238" s="169" t="s">
        <v>6930</v>
      </c>
      <c r="L238" s="169" t="s">
        <v>9282</v>
      </c>
      <c r="M238" s="169" t="s">
        <v>9283</v>
      </c>
      <c r="N238" s="170">
        <v>44525</v>
      </c>
      <c r="O238" s="169" t="s">
        <v>7067</v>
      </c>
      <c r="P238" s="170">
        <v>44525</v>
      </c>
      <c r="Q238" s="170">
        <v>44525</v>
      </c>
      <c r="R238" s="170">
        <v>44525</v>
      </c>
      <c r="S238" s="171" t="s">
        <v>6837</v>
      </c>
      <c r="T238" s="171" t="s">
        <v>7026</v>
      </c>
      <c r="U238" s="245">
        <v>44526</v>
      </c>
      <c r="V238" s="171" t="s">
        <v>7644</v>
      </c>
      <c r="W238" s="171">
        <v>1</v>
      </c>
      <c r="X238" s="171" t="s">
        <v>5683</v>
      </c>
      <c r="Y238" s="171" t="s">
        <v>4999</v>
      </c>
      <c r="Z238" s="245">
        <v>44526</v>
      </c>
      <c r="AA238" s="175" t="s">
        <v>6850</v>
      </c>
      <c r="AB238" s="175">
        <v>44526</v>
      </c>
      <c r="AC238" s="175">
        <v>44526</v>
      </c>
      <c r="AF238" s="239"/>
      <c r="AG238" s="240"/>
    </row>
    <row r="239" spans="1:33" ht="15.75" thickBot="1" x14ac:dyDescent="0.25">
      <c r="A239" s="221" t="str">
        <f t="shared" si="14"/>
        <v>OK</v>
      </c>
      <c r="B239" s="222" t="str">
        <f t="shared" si="12"/>
        <v>OK</v>
      </c>
      <c r="C239" s="223" t="str">
        <f t="shared" si="13"/>
        <v>OK</v>
      </c>
      <c r="D239" s="28">
        <v>0</v>
      </c>
      <c r="E239" s="49" t="s">
        <v>9284</v>
      </c>
      <c r="F239" s="169" t="s">
        <v>9285</v>
      </c>
      <c r="G239" s="169">
        <v>181713</v>
      </c>
      <c r="H239" s="169" t="s">
        <v>9286</v>
      </c>
      <c r="I239" s="169" t="s">
        <v>6820</v>
      </c>
      <c r="J239" s="169" t="s">
        <v>6829</v>
      </c>
      <c r="K239" s="169" t="s">
        <v>1862</v>
      </c>
      <c r="L239" s="169" t="s">
        <v>9287</v>
      </c>
      <c r="M239" s="169" t="s">
        <v>8631</v>
      </c>
      <c r="N239" s="170">
        <v>44525</v>
      </c>
      <c r="O239" s="169" t="s">
        <v>7067</v>
      </c>
      <c r="P239" s="170">
        <v>44525</v>
      </c>
      <c r="Q239" s="170">
        <v>44525</v>
      </c>
      <c r="R239" s="170">
        <v>44526</v>
      </c>
      <c r="S239" s="171" t="s">
        <v>6837</v>
      </c>
      <c r="T239" s="171" t="s">
        <v>7026</v>
      </c>
      <c r="U239" s="245">
        <v>44531</v>
      </c>
      <c r="V239" s="171" t="s">
        <v>8448</v>
      </c>
      <c r="W239" s="171">
        <v>1</v>
      </c>
      <c r="X239" s="171" t="s">
        <v>5683</v>
      </c>
      <c r="Y239" s="171" t="s">
        <v>4999</v>
      </c>
      <c r="Z239" s="245">
        <v>44531</v>
      </c>
      <c r="AA239" s="175" t="s">
        <v>264</v>
      </c>
      <c r="AB239" s="175">
        <v>44531</v>
      </c>
      <c r="AC239" s="175">
        <v>44531</v>
      </c>
      <c r="AF239" s="239"/>
      <c r="AG239" s="240"/>
    </row>
    <row r="240" spans="1:33" ht="15.75" thickBot="1" x14ac:dyDescent="0.25">
      <c r="A240" s="221" t="str">
        <f t="shared" si="14"/>
        <v>OK</v>
      </c>
      <c r="B240" s="222" t="str">
        <f t="shared" si="12"/>
        <v>OK</v>
      </c>
      <c r="C240" s="223" t="str">
        <f t="shared" si="13"/>
        <v>OK</v>
      </c>
      <c r="D240" s="28">
        <v>0</v>
      </c>
      <c r="E240" s="49" t="s">
        <v>9288</v>
      </c>
      <c r="F240" s="169" t="s">
        <v>8369</v>
      </c>
      <c r="G240" s="169">
        <v>181715</v>
      </c>
      <c r="H240" s="169" t="s">
        <v>9289</v>
      </c>
      <c r="I240" s="169" t="s">
        <v>6820</v>
      </c>
      <c r="J240" s="169" t="s">
        <v>6829</v>
      </c>
      <c r="K240" s="169" t="s">
        <v>9290</v>
      </c>
      <c r="L240" s="169" t="s">
        <v>9291</v>
      </c>
      <c r="M240" s="169" t="s">
        <v>9292</v>
      </c>
      <c r="N240" s="170">
        <v>44525</v>
      </c>
      <c r="O240" s="169" t="s">
        <v>7067</v>
      </c>
      <c r="P240" s="170">
        <v>44525</v>
      </c>
      <c r="Q240" s="170">
        <v>44525</v>
      </c>
      <c r="R240" s="170">
        <v>44525</v>
      </c>
      <c r="S240" s="171" t="s">
        <v>6837</v>
      </c>
      <c r="T240" s="171" t="s">
        <v>7026</v>
      </c>
      <c r="U240" s="245">
        <v>44533</v>
      </c>
      <c r="V240" s="171" t="s">
        <v>5682</v>
      </c>
      <c r="W240" s="171">
        <v>3</v>
      </c>
      <c r="X240" s="171" t="s">
        <v>5683</v>
      </c>
      <c r="Y240" s="171" t="s">
        <v>4999</v>
      </c>
      <c r="Z240" s="245">
        <v>44533</v>
      </c>
      <c r="AA240" s="175" t="s">
        <v>6850</v>
      </c>
      <c r="AB240" s="175">
        <v>44533</v>
      </c>
      <c r="AC240" s="175">
        <v>44533</v>
      </c>
      <c r="AF240" s="239"/>
      <c r="AG240" s="240"/>
    </row>
    <row r="241" spans="1:33" ht="45.75" thickBot="1" x14ac:dyDescent="0.25">
      <c r="A241" s="221" t="str">
        <f t="shared" si="14"/>
        <v>OK</v>
      </c>
      <c r="B241" s="222" t="str">
        <f t="shared" si="12"/>
        <v>OK</v>
      </c>
      <c r="C241" s="223" t="str">
        <f t="shared" si="13"/>
        <v>OK</v>
      </c>
      <c r="D241" s="28">
        <v>0</v>
      </c>
      <c r="E241" s="49" t="s">
        <v>9293</v>
      </c>
      <c r="F241" s="169" t="s">
        <v>8595</v>
      </c>
      <c r="G241" s="169">
        <v>181709</v>
      </c>
      <c r="H241" s="169" t="s">
        <v>9294</v>
      </c>
      <c r="I241" s="169" t="s">
        <v>6820</v>
      </c>
      <c r="J241" s="169" t="s">
        <v>6829</v>
      </c>
      <c r="K241" s="169" t="s">
        <v>9295</v>
      </c>
      <c r="L241" s="169" t="s">
        <v>9296</v>
      </c>
      <c r="M241" s="169" t="s">
        <v>9297</v>
      </c>
      <c r="N241" s="170">
        <v>44516</v>
      </c>
      <c r="O241" s="169" t="s">
        <v>7067</v>
      </c>
      <c r="P241" s="170">
        <v>44516</v>
      </c>
      <c r="Q241" s="170">
        <v>44516</v>
      </c>
      <c r="R241" s="170">
        <v>44529</v>
      </c>
      <c r="S241" s="171" t="s">
        <v>6837</v>
      </c>
      <c r="T241" s="171" t="s">
        <v>7026</v>
      </c>
      <c r="U241" s="245">
        <v>44540</v>
      </c>
      <c r="V241" s="171" t="s">
        <v>199</v>
      </c>
      <c r="W241" s="171">
        <v>1</v>
      </c>
      <c r="X241" s="171" t="s">
        <v>5683</v>
      </c>
      <c r="Y241" s="171" t="s">
        <v>4999</v>
      </c>
      <c r="Z241" s="245">
        <v>44540</v>
      </c>
      <c r="AA241" s="175" t="s">
        <v>264</v>
      </c>
      <c r="AB241" s="175">
        <v>44547</v>
      </c>
      <c r="AC241" s="175">
        <v>44547</v>
      </c>
      <c r="AF241" s="239"/>
      <c r="AG241" s="240"/>
    </row>
    <row r="242" spans="1:33" ht="45.75" thickBot="1" x14ac:dyDescent="0.25">
      <c r="A242" s="221" t="str">
        <f t="shared" si="14"/>
        <v>OK</v>
      </c>
      <c r="B242" s="222" t="str">
        <f t="shared" si="12"/>
        <v>OK</v>
      </c>
      <c r="C242" s="223" t="str">
        <f t="shared" si="13"/>
        <v>OK</v>
      </c>
      <c r="D242" s="28">
        <v>0</v>
      </c>
      <c r="E242" s="49" t="s">
        <v>9298</v>
      </c>
      <c r="F242" s="169" t="s">
        <v>8595</v>
      </c>
      <c r="G242" s="169">
        <v>181709</v>
      </c>
      <c r="H242" s="169" t="s">
        <v>9299</v>
      </c>
      <c r="I242" s="169" t="s">
        <v>6820</v>
      </c>
      <c r="J242" s="169" t="s">
        <v>6829</v>
      </c>
      <c r="K242" s="169" t="s">
        <v>9300</v>
      </c>
      <c r="L242" s="169" t="s">
        <v>9301</v>
      </c>
      <c r="M242" s="169" t="s">
        <v>9302</v>
      </c>
      <c r="N242" s="170">
        <v>44516</v>
      </c>
      <c r="O242" s="169" t="s">
        <v>7067</v>
      </c>
      <c r="P242" s="170">
        <v>44516</v>
      </c>
      <c r="Q242" s="170">
        <v>44516</v>
      </c>
      <c r="R242" s="170">
        <v>44529</v>
      </c>
      <c r="S242" s="171" t="s">
        <v>6837</v>
      </c>
      <c r="T242" s="171" t="s">
        <v>7026</v>
      </c>
      <c r="U242" s="245">
        <v>44540</v>
      </c>
      <c r="V242" s="171" t="s">
        <v>5581</v>
      </c>
      <c r="W242" s="171">
        <v>1</v>
      </c>
      <c r="X242" s="171" t="s">
        <v>5683</v>
      </c>
      <c r="Y242" s="171" t="s">
        <v>4999</v>
      </c>
      <c r="Z242" s="245">
        <v>44547</v>
      </c>
      <c r="AA242" s="175" t="s">
        <v>264</v>
      </c>
      <c r="AB242" s="175">
        <v>44547</v>
      </c>
      <c r="AC242" s="175">
        <v>44547</v>
      </c>
      <c r="AF242" s="239"/>
      <c r="AG242" s="240"/>
    </row>
    <row r="243" spans="1:33" ht="30.75" thickBot="1" x14ac:dyDescent="0.25">
      <c r="A243" s="221" t="str">
        <f t="shared" si="14"/>
        <v>OK</v>
      </c>
      <c r="B243" s="222" t="str">
        <f t="shared" si="12"/>
        <v>OK</v>
      </c>
      <c r="C243" s="223" t="str">
        <f t="shared" si="13"/>
        <v>OK</v>
      </c>
      <c r="D243" s="28">
        <v>0</v>
      </c>
      <c r="E243" s="49" t="s">
        <v>9303</v>
      </c>
      <c r="F243" s="169" t="s">
        <v>9304</v>
      </c>
      <c r="G243" s="169">
        <v>181494</v>
      </c>
      <c r="H243" s="169" t="s">
        <v>9305</v>
      </c>
      <c r="I243" s="169" t="s">
        <v>6820</v>
      </c>
      <c r="J243" s="169" t="s">
        <v>6829</v>
      </c>
      <c r="K243" s="169" t="s">
        <v>3270</v>
      </c>
      <c r="L243" s="169" t="s">
        <v>7424</v>
      </c>
      <c r="M243" s="169" t="s">
        <v>2556</v>
      </c>
      <c r="N243" s="170">
        <v>44524</v>
      </c>
      <c r="O243" s="169" t="s">
        <v>7067</v>
      </c>
      <c r="P243" s="170">
        <v>44524</v>
      </c>
      <c r="Q243" s="170">
        <v>44524</v>
      </c>
      <c r="R243" s="170">
        <v>44530</v>
      </c>
      <c r="S243" s="171" t="s">
        <v>6837</v>
      </c>
      <c r="T243" s="171" t="s">
        <v>7026</v>
      </c>
      <c r="U243" s="245">
        <v>44550</v>
      </c>
      <c r="V243" s="171">
        <v>3037411</v>
      </c>
      <c r="W243" s="171">
        <v>3</v>
      </c>
      <c r="X243" s="171" t="s">
        <v>5683</v>
      </c>
      <c r="Y243" s="171" t="s">
        <v>4999</v>
      </c>
      <c r="Z243" s="245">
        <v>44552</v>
      </c>
      <c r="AA243" s="175" t="s">
        <v>6825</v>
      </c>
      <c r="AB243" s="175">
        <v>44552</v>
      </c>
      <c r="AC243" s="175">
        <v>44552</v>
      </c>
      <c r="AF243" s="239"/>
      <c r="AG243" s="240"/>
    </row>
    <row r="244" spans="1:33" ht="30.75" thickBot="1" x14ac:dyDescent="0.25">
      <c r="A244" s="221" t="str">
        <f t="shared" si="14"/>
        <v>OK</v>
      </c>
      <c r="B244" s="222" t="str">
        <f t="shared" si="12"/>
        <v>OK</v>
      </c>
      <c r="C244" s="223" t="str">
        <f t="shared" si="13"/>
        <v>OK</v>
      </c>
      <c r="D244" s="28">
        <v>0</v>
      </c>
      <c r="E244" s="49" t="s">
        <v>9306</v>
      </c>
      <c r="F244" s="169" t="s">
        <v>9304</v>
      </c>
      <c r="G244" s="169">
        <v>181494</v>
      </c>
      <c r="H244" s="169" t="s">
        <v>9307</v>
      </c>
      <c r="I244" s="169" t="s">
        <v>6820</v>
      </c>
      <c r="J244" s="169" t="s">
        <v>6829</v>
      </c>
      <c r="K244" s="169" t="s">
        <v>7427</v>
      </c>
      <c r="L244" s="169" t="s">
        <v>9308</v>
      </c>
      <c r="M244" s="169" t="s">
        <v>2556</v>
      </c>
      <c r="N244" s="170">
        <v>44524</v>
      </c>
      <c r="O244" s="169" t="s">
        <v>7067</v>
      </c>
      <c r="P244" s="170">
        <v>44524</v>
      </c>
      <c r="Q244" s="170">
        <v>44524</v>
      </c>
      <c r="R244" s="170">
        <v>44530</v>
      </c>
      <c r="S244" s="171" t="s">
        <v>6837</v>
      </c>
      <c r="T244" s="171" t="s">
        <v>7026</v>
      </c>
      <c r="U244" s="245">
        <v>44550</v>
      </c>
      <c r="V244" s="171" t="s">
        <v>2557</v>
      </c>
      <c r="W244" s="171">
        <v>4</v>
      </c>
      <c r="X244" s="171" t="s">
        <v>5683</v>
      </c>
      <c r="Y244" s="171" t="s">
        <v>4999</v>
      </c>
      <c r="Z244" s="245">
        <v>44552</v>
      </c>
      <c r="AA244" s="175" t="s">
        <v>264</v>
      </c>
      <c r="AB244" s="175">
        <v>44552</v>
      </c>
      <c r="AC244" s="175">
        <v>44552</v>
      </c>
      <c r="AF244" s="239"/>
      <c r="AG244" s="240"/>
    </row>
    <row r="245" spans="1:33" ht="30.75" thickBot="1" x14ac:dyDescent="0.25">
      <c r="A245" s="221" t="str">
        <f t="shared" si="14"/>
        <v>OK</v>
      </c>
      <c r="B245" s="222" t="str">
        <f t="shared" si="12"/>
        <v>OK</v>
      </c>
      <c r="C245" s="223" t="str">
        <f t="shared" si="13"/>
        <v>OK</v>
      </c>
      <c r="D245" s="28">
        <v>0</v>
      </c>
      <c r="E245" s="49" t="s">
        <v>9309</v>
      </c>
      <c r="F245" s="169" t="s">
        <v>9310</v>
      </c>
      <c r="G245" s="169">
        <v>181723</v>
      </c>
      <c r="H245" s="169" t="s">
        <v>9311</v>
      </c>
      <c r="I245" s="169" t="s">
        <v>6820</v>
      </c>
      <c r="J245" s="169" t="s">
        <v>6829</v>
      </c>
      <c r="K245" s="169" t="s">
        <v>9312</v>
      </c>
      <c r="L245" s="169" t="s">
        <v>9313</v>
      </c>
      <c r="M245" s="169" t="s">
        <v>7253</v>
      </c>
      <c r="N245" s="170">
        <v>44532</v>
      </c>
      <c r="O245" s="169" t="s">
        <v>7067</v>
      </c>
      <c r="P245" s="170">
        <v>44532</v>
      </c>
      <c r="Q245" s="170">
        <v>44532</v>
      </c>
      <c r="R245" s="170">
        <v>44559</v>
      </c>
      <c r="S245" s="171" t="s">
        <v>6837</v>
      </c>
      <c r="T245" s="171" t="s">
        <v>7026</v>
      </c>
      <c r="U245" s="245">
        <v>44540</v>
      </c>
      <c r="V245" s="171" t="s">
        <v>9314</v>
      </c>
      <c r="W245" s="171">
        <v>2</v>
      </c>
      <c r="X245" s="171" t="s">
        <v>5683</v>
      </c>
      <c r="Y245" s="171" t="s">
        <v>4999</v>
      </c>
      <c r="Z245" s="245">
        <v>44559</v>
      </c>
      <c r="AA245" s="175" t="s">
        <v>6825</v>
      </c>
      <c r="AB245" s="175">
        <v>44533</v>
      </c>
      <c r="AC245" s="175">
        <v>44533</v>
      </c>
      <c r="AF245" s="239"/>
      <c r="AG245" s="240"/>
    </row>
    <row r="246" spans="1:33" ht="15.75" thickBot="1" x14ac:dyDescent="0.25">
      <c r="A246" s="221" t="str">
        <f t="shared" si="14"/>
        <v>OK</v>
      </c>
      <c r="B246" s="327" t="str">
        <f t="shared" si="12"/>
        <v>OK</v>
      </c>
      <c r="C246" s="328" t="str">
        <f t="shared" si="13"/>
        <v>P</v>
      </c>
      <c r="D246" s="28">
        <v>0</v>
      </c>
      <c r="E246" s="49" t="s">
        <v>9315</v>
      </c>
      <c r="F246" s="169" t="s">
        <v>9316</v>
      </c>
      <c r="G246" s="169">
        <v>181716</v>
      </c>
      <c r="H246" s="169" t="s">
        <v>9317</v>
      </c>
      <c r="I246" s="169" t="s">
        <v>6820</v>
      </c>
      <c r="J246" s="169" t="s">
        <v>6829</v>
      </c>
      <c r="K246" s="169" t="s">
        <v>9318</v>
      </c>
      <c r="L246" s="169" t="s">
        <v>9319</v>
      </c>
      <c r="M246" s="169" t="s">
        <v>9320</v>
      </c>
      <c r="N246" s="170">
        <v>44526</v>
      </c>
      <c r="O246" s="169" t="s">
        <v>7067</v>
      </c>
      <c r="P246" s="170">
        <v>44526</v>
      </c>
      <c r="Q246" s="170">
        <v>44526</v>
      </c>
      <c r="R246" s="170">
        <v>44526</v>
      </c>
      <c r="S246" s="171" t="s">
        <v>6837</v>
      </c>
      <c r="T246" s="171" t="s">
        <v>7026</v>
      </c>
      <c r="U246" s="245">
        <v>44540</v>
      </c>
      <c r="V246" s="171" t="s">
        <v>9321</v>
      </c>
      <c r="W246" s="171">
        <v>1</v>
      </c>
      <c r="X246" s="171" t="s">
        <v>5683</v>
      </c>
      <c r="Y246" s="171" t="s">
        <v>4999</v>
      </c>
      <c r="Z246" s="245">
        <v>44545</v>
      </c>
      <c r="AA246" s="175"/>
      <c r="AB246" s="175"/>
      <c r="AC246" s="175"/>
      <c r="AF246" s="239"/>
      <c r="AG246" s="240"/>
    </row>
    <row r="247" spans="1:33" ht="30.75" thickBot="1" x14ac:dyDescent="0.25">
      <c r="A247" s="221" t="str">
        <f t="shared" si="14"/>
        <v>OK</v>
      </c>
      <c r="B247" s="222" t="str">
        <f t="shared" si="12"/>
        <v>OK</v>
      </c>
      <c r="C247" s="223" t="str">
        <f t="shared" si="13"/>
        <v>OK</v>
      </c>
      <c r="D247" s="28">
        <v>0</v>
      </c>
      <c r="E247" s="49" t="s">
        <v>9322</v>
      </c>
      <c r="F247" s="169" t="s">
        <v>9172</v>
      </c>
      <c r="G247" s="169">
        <v>181724</v>
      </c>
      <c r="H247" s="169" t="s">
        <v>9323</v>
      </c>
      <c r="I247" s="169" t="s">
        <v>6820</v>
      </c>
      <c r="J247" s="169" t="s">
        <v>6829</v>
      </c>
      <c r="K247" s="169" t="s">
        <v>9324</v>
      </c>
      <c r="L247" s="169" t="s">
        <v>9325</v>
      </c>
      <c r="M247" s="169" t="s">
        <v>4237</v>
      </c>
      <c r="N247" s="170">
        <v>44536</v>
      </c>
      <c r="O247" s="169" t="s">
        <v>7067</v>
      </c>
      <c r="P247" s="170">
        <v>44536</v>
      </c>
      <c r="Q247" s="170">
        <v>44536</v>
      </c>
      <c r="R247" s="170">
        <v>44537</v>
      </c>
      <c r="S247" s="171" t="s">
        <v>6837</v>
      </c>
      <c r="T247" s="171" t="s">
        <v>7026</v>
      </c>
      <c r="U247" s="245">
        <v>44538</v>
      </c>
      <c r="V247" s="171" t="s">
        <v>2731</v>
      </c>
      <c r="W247" s="171">
        <v>5</v>
      </c>
      <c r="X247" s="171" t="s">
        <v>5683</v>
      </c>
      <c r="Y247" s="171" t="s">
        <v>4999</v>
      </c>
      <c r="Z247" s="245">
        <v>44550</v>
      </c>
      <c r="AA247" s="175" t="s">
        <v>6825</v>
      </c>
      <c r="AB247" s="175">
        <v>44538</v>
      </c>
      <c r="AC247" s="175">
        <v>44538</v>
      </c>
      <c r="AF247" s="239"/>
      <c r="AG247" s="240"/>
    </row>
    <row r="248" spans="1:33" ht="30.75" thickBot="1" x14ac:dyDescent="0.25">
      <c r="A248" s="221" t="str">
        <f t="shared" ref="A248:A252" si="15">IF(OR(ISBLANK(D248),ISBLANK(E248),ISBLANK(F248),ISBLANK(G248),ISBLANK(H248),ISBLANK(I248),ISBLANK(J248),ISBLANK(K248),ISBLANK(L248),ISBLANK(M248),ISBLANK(N248),ISBLANK(O248),ISBLANK(P248),ISBLANK(Q248),ISBLANK(R248))=TRUE,"P","OK")</f>
        <v>OK</v>
      </c>
      <c r="B248" s="327" t="str">
        <f t="shared" si="12"/>
        <v>OK</v>
      </c>
      <c r="C248" s="328" t="str">
        <f t="shared" si="13"/>
        <v>OK</v>
      </c>
      <c r="D248" s="28">
        <v>0</v>
      </c>
      <c r="E248" s="49" t="s">
        <v>9326</v>
      </c>
      <c r="F248" s="169" t="s">
        <v>5652</v>
      </c>
      <c r="G248" s="169">
        <v>181720</v>
      </c>
      <c r="H248" s="169" t="s">
        <v>9327</v>
      </c>
      <c r="I248" s="169" t="s">
        <v>6820</v>
      </c>
      <c r="J248" s="169" t="s">
        <v>6829</v>
      </c>
      <c r="K248" s="169" t="s">
        <v>9041</v>
      </c>
      <c r="L248" s="169" t="s">
        <v>9328</v>
      </c>
      <c r="M248" s="169" t="s">
        <v>9329</v>
      </c>
      <c r="N248" s="170">
        <v>44530</v>
      </c>
      <c r="O248" s="169" t="s">
        <v>7067</v>
      </c>
      <c r="P248" s="170">
        <v>44530</v>
      </c>
      <c r="Q248" s="170">
        <v>44530</v>
      </c>
      <c r="R248" s="170">
        <v>44530</v>
      </c>
      <c r="S248" s="171" t="s">
        <v>6837</v>
      </c>
      <c r="T248" s="171" t="s">
        <v>7026</v>
      </c>
      <c r="U248" s="245">
        <v>44546</v>
      </c>
      <c r="V248" s="171" t="s">
        <v>8540</v>
      </c>
      <c r="W248" s="171">
        <v>20</v>
      </c>
      <c r="X248" s="171" t="s">
        <v>5683</v>
      </c>
      <c r="Y248" s="171" t="s">
        <v>4999</v>
      </c>
      <c r="Z248" s="245">
        <v>44571</v>
      </c>
      <c r="AA248" s="175" t="s">
        <v>264</v>
      </c>
      <c r="AB248" s="175">
        <v>44571</v>
      </c>
      <c r="AC248" s="175">
        <v>44571</v>
      </c>
      <c r="AF248" s="239"/>
      <c r="AG248" s="240"/>
    </row>
    <row r="249" spans="1:33" ht="15.75" thickBot="1" x14ac:dyDescent="0.25">
      <c r="A249" s="221" t="str">
        <f t="shared" si="15"/>
        <v>OK</v>
      </c>
      <c r="B249" s="222" t="str">
        <f t="shared" ref="B249:B252" si="16">IF(OR(ISBLANK(S249),ISBLANK(T249),ISBLANK(U249),ISBLANK(V249),ISBLANK(W249),ISBLANK(X249),ISBLANK(Y249),ISBLANK(Z249))=TRUE,"P","OK")</f>
        <v>OK</v>
      </c>
      <c r="C249" s="223" t="str">
        <f t="shared" ref="C249:C252" si="17">IF(OR(ISBLANK(AA249),ISBLANK(AB249),ISBLANK(AC249))=TRUE,"P","OK")</f>
        <v>OK</v>
      </c>
      <c r="D249" s="28">
        <v>0</v>
      </c>
      <c r="E249" s="49" t="s">
        <v>9330</v>
      </c>
      <c r="F249" s="169" t="s">
        <v>8322</v>
      </c>
      <c r="G249" s="169">
        <v>181730</v>
      </c>
      <c r="H249" s="169" t="s">
        <v>9331</v>
      </c>
      <c r="I249" s="169" t="s">
        <v>6820</v>
      </c>
      <c r="J249" s="169" t="s">
        <v>6829</v>
      </c>
      <c r="K249" s="169" t="s">
        <v>8431</v>
      </c>
      <c r="L249" s="169" t="s">
        <v>8432</v>
      </c>
      <c r="M249" s="169" t="s">
        <v>5529</v>
      </c>
      <c r="N249" s="170">
        <v>44543</v>
      </c>
      <c r="O249" s="169" t="s">
        <v>7067</v>
      </c>
      <c r="P249" s="170">
        <v>44543</v>
      </c>
      <c r="Q249" s="170">
        <v>44543</v>
      </c>
      <c r="R249" s="170">
        <v>44545</v>
      </c>
      <c r="S249" s="171" t="s">
        <v>6837</v>
      </c>
      <c r="T249" s="171" t="s">
        <v>7026</v>
      </c>
      <c r="U249" s="245">
        <v>44547</v>
      </c>
      <c r="V249" s="171" t="s">
        <v>7876</v>
      </c>
      <c r="W249" s="171">
        <v>2</v>
      </c>
      <c r="X249" s="171" t="s">
        <v>5683</v>
      </c>
      <c r="Y249" s="171" t="s">
        <v>4999</v>
      </c>
      <c r="Z249" s="245">
        <v>44547</v>
      </c>
      <c r="AA249" s="175" t="s">
        <v>264</v>
      </c>
      <c r="AB249" s="175">
        <v>44547</v>
      </c>
      <c r="AC249" s="175">
        <v>44547</v>
      </c>
      <c r="AF249" s="239"/>
      <c r="AG249" s="240"/>
    </row>
    <row r="250" spans="1:33" ht="15.75" thickBot="1" x14ac:dyDescent="0.25">
      <c r="A250" s="221" t="str">
        <f t="shared" si="15"/>
        <v>OK</v>
      </c>
      <c r="B250" s="222" t="str">
        <f t="shared" si="16"/>
        <v>OK</v>
      </c>
      <c r="C250" s="223" t="str">
        <f t="shared" si="17"/>
        <v>OK</v>
      </c>
      <c r="D250" s="28">
        <v>0</v>
      </c>
      <c r="E250" s="49" t="s">
        <v>9332</v>
      </c>
      <c r="F250" s="169" t="s">
        <v>8322</v>
      </c>
      <c r="G250" s="169">
        <v>181730</v>
      </c>
      <c r="H250" s="169" t="s">
        <v>9333</v>
      </c>
      <c r="I250" s="169" t="s">
        <v>6820</v>
      </c>
      <c r="J250" s="169" t="s">
        <v>6829</v>
      </c>
      <c r="K250" s="169" t="s">
        <v>9334</v>
      </c>
      <c r="L250" s="169" t="s">
        <v>9335</v>
      </c>
      <c r="M250" s="169" t="s">
        <v>5529</v>
      </c>
      <c r="N250" s="170">
        <v>44543</v>
      </c>
      <c r="O250" s="169" t="s">
        <v>7067</v>
      </c>
      <c r="P250" s="170">
        <v>44543</v>
      </c>
      <c r="Q250" s="170">
        <v>44543</v>
      </c>
      <c r="R250" s="170">
        <v>44545</v>
      </c>
      <c r="S250" s="171" t="s">
        <v>6837</v>
      </c>
      <c r="T250" s="171" t="s">
        <v>7026</v>
      </c>
      <c r="U250" s="245">
        <v>44547</v>
      </c>
      <c r="V250" s="171" t="s">
        <v>7871</v>
      </c>
      <c r="W250" s="171">
        <v>2</v>
      </c>
      <c r="X250" s="171" t="s">
        <v>5683</v>
      </c>
      <c r="Y250" s="171" t="s">
        <v>4999</v>
      </c>
      <c r="Z250" s="245">
        <v>44547</v>
      </c>
      <c r="AA250" s="175" t="s">
        <v>264</v>
      </c>
      <c r="AB250" s="175">
        <v>44547</v>
      </c>
      <c r="AC250" s="175">
        <v>44547</v>
      </c>
      <c r="AF250" s="239"/>
      <c r="AG250" s="240"/>
    </row>
    <row r="251" spans="1:33" ht="15.75" thickBot="1" x14ac:dyDescent="0.25">
      <c r="A251" s="221" t="str">
        <f t="shared" si="15"/>
        <v>OK</v>
      </c>
      <c r="B251" s="222" t="str">
        <f t="shared" si="16"/>
        <v>OK</v>
      </c>
      <c r="C251" s="223" t="str">
        <f t="shared" si="17"/>
        <v>P</v>
      </c>
      <c r="D251" s="28">
        <v>0</v>
      </c>
      <c r="E251" s="49" t="s">
        <v>9336</v>
      </c>
      <c r="F251" s="169" t="s">
        <v>7841</v>
      </c>
      <c r="G251" s="169">
        <v>181681</v>
      </c>
      <c r="H251" s="169" t="s">
        <v>9337</v>
      </c>
      <c r="I251" s="169" t="s">
        <v>6820</v>
      </c>
      <c r="J251" s="169" t="s">
        <v>6829</v>
      </c>
      <c r="K251" s="169" t="s">
        <v>9300</v>
      </c>
      <c r="L251" s="169" t="s">
        <v>9301</v>
      </c>
      <c r="M251" s="169" t="s">
        <v>9302</v>
      </c>
      <c r="N251" s="170">
        <v>44470</v>
      </c>
      <c r="O251" s="169" t="s">
        <v>7067</v>
      </c>
      <c r="P251" s="170">
        <v>44470</v>
      </c>
      <c r="Q251" s="170">
        <v>44473</v>
      </c>
      <c r="R251" s="170">
        <v>44545</v>
      </c>
      <c r="S251" s="171" t="s">
        <v>6837</v>
      </c>
      <c r="T251" s="171" t="s">
        <v>7026</v>
      </c>
      <c r="U251" s="245">
        <v>44547</v>
      </c>
      <c r="V251" s="171" t="s">
        <v>5581</v>
      </c>
      <c r="W251" s="171">
        <v>1</v>
      </c>
      <c r="X251" s="171" t="s">
        <v>5683</v>
      </c>
      <c r="Y251" s="171" t="s">
        <v>4999</v>
      </c>
      <c r="Z251" s="245">
        <v>44550</v>
      </c>
      <c r="AA251" s="175"/>
      <c r="AB251" s="175"/>
      <c r="AC251" s="175"/>
      <c r="AF251" s="239"/>
      <c r="AG251" s="240"/>
    </row>
    <row r="252" spans="1:33" x14ac:dyDescent="0.2">
      <c r="A252" s="296" t="str">
        <f t="shared" si="15"/>
        <v>OK</v>
      </c>
      <c r="B252" s="222" t="str">
        <f t="shared" si="16"/>
        <v>OK</v>
      </c>
      <c r="C252" s="223" t="str">
        <f t="shared" si="17"/>
        <v>OK</v>
      </c>
      <c r="D252" s="28">
        <v>0</v>
      </c>
      <c r="E252" s="49" t="s">
        <v>9338</v>
      </c>
      <c r="F252" s="169" t="s">
        <v>9168</v>
      </c>
      <c r="G252" s="169">
        <v>181202</v>
      </c>
      <c r="H252" s="169" t="s">
        <v>9339</v>
      </c>
      <c r="I252" s="169" t="s">
        <v>6820</v>
      </c>
      <c r="J252" s="169" t="s">
        <v>6829</v>
      </c>
      <c r="K252" s="169" t="s">
        <v>6577</v>
      </c>
      <c r="L252" s="169" t="s">
        <v>7094</v>
      </c>
      <c r="M252" s="169" t="s">
        <v>143</v>
      </c>
      <c r="N252" s="170">
        <v>44549</v>
      </c>
      <c r="O252" s="169" t="s">
        <v>7067</v>
      </c>
      <c r="P252" s="170">
        <v>44549</v>
      </c>
      <c r="Q252" s="170">
        <v>44550</v>
      </c>
      <c r="R252" s="170">
        <v>44550</v>
      </c>
      <c r="S252" s="171" t="s">
        <v>6837</v>
      </c>
      <c r="T252" s="171" t="s">
        <v>7026</v>
      </c>
      <c r="U252" s="245">
        <v>44551</v>
      </c>
      <c r="V252" s="171" t="s">
        <v>3384</v>
      </c>
      <c r="W252" s="171">
        <v>2</v>
      </c>
      <c r="X252" s="171" t="s">
        <v>5683</v>
      </c>
      <c r="Y252" s="171" t="s">
        <v>4999</v>
      </c>
      <c r="Z252" s="245">
        <v>44551</v>
      </c>
      <c r="AA252" s="175" t="s">
        <v>264</v>
      </c>
      <c r="AB252" s="175">
        <v>44551</v>
      </c>
      <c r="AC252" s="175">
        <v>44551</v>
      </c>
      <c r="AF252" s="239"/>
      <c r="AG252" s="240"/>
    </row>
  </sheetData>
  <autoFilter ref="A6:AI252" xr:uid="{80D09D06-40C8-49C7-B788-A5DC3EC6C09B}"/>
  <mergeCells count="6">
    <mergeCell ref="A18:C18"/>
    <mergeCell ref="A2:R4"/>
    <mergeCell ref="D5:R5"/>
    <mergeCell ref="S5:Z5"/>
    <mergeCell ref="AA5:AE5"/>
    <mergeCell ref="A5:C5"/>
  </mergeCells>
  <phoneticPr fontId="6" type="noConversion"/>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7D05E-E7B9-46BD-844B-708DCA0BB695}">
  <sheetPr codeName="Planilha2"/>
  <dimension ref="A1:AI384"/>
  <sheetViews>
    <sheetView showGridLines="0" zoomScale="70" zoomScaleNormal="70" workbookViewId="0">
      <pane xSplit="3" ySplit="5" topLeftCell="D337" activePane="bottomRight" state="frozen"/>
      <selection pane="topRight" activeCell="D1" sqref="D1"/>
      <selection pane="bottomLeft" activeCell="A6" sqref="A6"/>
      <selection pane="bottomRight" activeCell="K5" sqref="K5"/>
    </sheetView>
  </sheetViews>
  <sheetFormatPr defaultColWidth="8.5703125" defaultRowHeight="15.75" outlineLevelCol="1" x14ac:dyDescent="0.25"/>
  <cols>
    <col min="1" max="1" width="5.5703125" style="218" bestFit="1" customWidth="1" outlineLevel="1"/>
    <col min="2" max="2" width="6.42578125" style="218" bestFit="1" customWidth="1" outlineLevel="1"/>
    <col min="3" max="3" width="5.42578125" style="218" bestFit="1" customWidth="1" outlineLevel="1"/>
    <col min="4" max="4" width="9.5703125" style="218" customWidth="1"/>
    <col min="5" max="5" width="19.5703125" style="218" customWidth="1" outlineLevel="1"/>
    <col min="6" max="6" width="31.5703125" style="218" customWidth="1" outlineLevel="1"/>
    <col min="7" max="7" width="10.5703125" style="218" customWidth="1" outlineLevel="1"/>
    <col min="8" max="8" width="14.42578125" style="218" customWidth="1" outlineLevel="1"/>
    <col min="9" max="9" width="10" style="218" customWidth="1" outlineLevel="1"/>
    <col min="10" max="10" width="14.42578125" style="218" customWidth="1" outlineLevel="1"/>
    <col min="11" max="11" width="65.42578125" style="218" customWidth="1" outlineLevel="1"/>
    <col min="12" max="12" width="70.42578125" style="218" customWidth="1" outlineLevel="1"/>
    <col min="13" max="13" width="72.42578125" style="218" customWidth="1" outlineLevel="1"/>
    <col min="14" max="14" width="13.42578125" style="218" customWidth="1" outlineLevel="1"/>
    <col min="15" max="15" width="27.42578125" style="218" customWidth="1" outlineLevel="1"/>
    <col min="16" max="16" width="25" style="218" customWidth="1" outlineLevel="1"/>
    <col min="17" max="18" width="13.42578125" style="218" customWidth="1" outlineLevel="1"/>
    <col min="19" max="19" width="15.42578125" style="218" bestFit="1" customWidth="1"/>
    <col min="20" max="20" width="12.5703125" style="218" customWidth="1" outlineLevel="1"/>
    <col min="21" max="21" width="22.42578125" style="218" customWidth="1" outlineLevel="1"/>
    <col min="22" max="22" width="36.42578125" style="218" customWidth="1" outlineLevel="1"/>
    <col min="23" max="23" width="8.42578125" style="218" customWidth="1" outlineLevel="1"/>
    <col min="24" max="24" width="9.5703125" style="218" customWidth="1" outlineLevel="1"/>
    <col min="25" max="25" width="14.42578125" style="218" customWidth="1" outlineLevel="1"/>
    <col min="26" max="26" width="18.5703125" style="218" customWidth="1" outlineLevel="1"/>
    <col min="27" max="27" width="15.42578125" style="218" bestFit="1" customWidth="1"/>
    <col min="28" max="28" width="13.42578125" style="218" bestFit="1" customWidth="1" outlineLevel="1"/>
    <col min="29" max="29" width="16.42578125" style="218" bestFit="1" customWidth="1" outlineLevel="1"/>
    <col min="30" max="30" width="7.42578125" style="218" bestFit="1" customWidth="1" outlineLevel="1"/>
    <col min="31" max="31" width="6.5703125" style="218" bestFit="1" customWidth="1" outlineLevel="1"/>
    <col min="32" max="32" width="15.5703125" style="218" bestFit="1" customWidth="1"/>
    <col min="33" max="33" width="5.42578125" style="218" bestFit="1" customWidth="1"/>
    <col min="34" max="34" width="69.42578125" style="218" bestFit="1" customWidth="1"/>
    <col min="35" max="16384" width="8.5703125" style="218"/>
  </cols>
  <sheetData>
    <row r="1" spans="1:35" s="208" customFormat="1" ht="15" customHeight="1" x14ac:dyDescent="0.25">
      <c r="A1" s="480" t="s">
        <v>9340</v>
      </c>
      <c r="B1" s="480"/>
      <c r="C1" s="480"/>
      <c r="D1" s="480"/>
      <c r="E1" s="480"/>
      <c r="F1" s="480"/>
      <c r="G1" s="480"/>
      <c r="H1" s="480"/>
      <c r="I1" s="480"/>
      <c r="J1" s="480"/>
      <c r="K1" s="480"/>
      <c r="L1" s="480"/>
      <c r="M1" s="480"/>
      <c r="N1" s="480"/>
      <c r="O1" s="480"/>
      <c r="P1" s="480"/>
      <c r="Q1" s="480"/>
      <c r="R1" s="480"/>
      <c r="S1" s="480"/>
      <c r="T1" s="480"/>
      <c r="U1" s="480"/>
      <c r="V1" s="480"/>
      <c r="W1" s="480"/>
      <c r="X1" s="480"/>
      <c r="Y1" s="480"/>
      <c r="Z1" s="480"/>
      <c r="AA1" s="480"/>
      <c r="AB1" s="480"/>
      <c r="AC1" s="480"/>
      <c r="AD1" s="480"/>
      <c r="AE1" s="480"/>
      <c r="AF1" s="480"/>
      <c r="AG1" s="480"/>
    </row>
    <row r="2" spans="1:35" s="208" customFormat="1" ht="15" customHeight="1" x14ac:dyDescent="0.25">
      <c r="A2" s="480"/>
      <c r="B2" s="480"/>
      <c r="C2" s="480"/>
      <c r="D2" s="480"/>
      <c r="E2" s="480"/>
      <c r="F2" s="480"/>
      <c r="G2" s="480"/>
      <c r="H2" s="480"/>
      <c r="I2" s="480"/>
      <c r="J2" s="480"/>
      <c r="K2" s="480"/>
      <c r="L2" s="480"/>
      <c r="M2" s="480"/>
      <c r="N2" s="480"/>
      <c r="O2" s="480"/>
      <c r="P2" s="480"/>
      <c r="Q2" s="480"/>
      <c r="R2" s="480"/>
      <c r="S2" s="480"/>
      <c r="T2" s="480"/>
      <c r="U2" s="480"/>
      <c r="V2" s="480"/>
      <c r="W2" s="480"/>
      <c r="X2" s="480"/>
      <c r="Y2" s="480"/>
      <c r="Z2" s="480"/>
      <c r="AA2" s="480"/>
      <c r="AB2" s="480"/>
      <c r="AC2" s="480"/>
      <c r="AD2" s="480"/>
      <c r="AE2" s="480"/>
      <c r="AF2" s="480"/>
      <c r="AG2" s="480"/>
    </row>
    <row r="3" spans="1:35" s="208" customFormat="1" ht="15" customHeight="1" thickBot="1" x14ac:dyDescent="0.3">
      <c r="A3" s="480"/>
      <c r="B3" s="480"/>
      <c r="C3" s="480"/>
      <c r="D3" s="480"/>
      <c r="E3" s="480"/>
      <c r="F3" s="480"/>
      <c r="G3" s="480"/>
      <c r="H3" s="480"/>
      <c r="I3" s="480"/>
      <c r="J3" s="480"/>
      <c r="K3" s="480"/>
      <c r="L3" s="480"/>
      <c r="M3" s="480"/>
      <c r="N3" s="480"/>
      <c r="O3" s="480"/>
      <c r="P3" s="480"/>
      <c r="Q3" s="480"/>
      <c r="R3" s="480"/>
      <c r="S3" s="480"/>
      <c r="T3" s="480"/>
      <c r="U3" s="480"/>
      <c r="V3" s="480"/>
      <c r="W3" s="480"/>
      <c r="X3" s="480"/>
      <c r="Y3" s="480"/>
      <c r="Z3" s="480"/>
      <c r="AA3" s="480"/>
      <c r="AB3" s="480"/>
      <c r="AC3" s="480"/>
      <c r="AD3" s="480"/>
      <c r="AE3" s="480"/>
      <c r="AF3" s="480"/>
      <c r="AG3" s="480"/>
    </row>
    <row r="4" spans="1:35" s="208" customFormat="1" ht="17.25" thickTop="1" thickBot="1" x14ac:dyDescent="0.3">
      <c r="A4" s="466" t="s">
        <v>6806</v>
      </c>
      <c r="B4" s="466"/>
      <c r="C4" s="467"/>
      <c r="D4" s="471" t="s">
        <v>0</v>
      </c>
      <c r="E4" s="472"/>
      <c r="F4" s="472"/>
      <c r="G4" s="472"/>
      <c r="H4" s="472"/>
      <c r="I4" s="472"/>
      <c r="J4" s="472"/>
      <c r="K4" s="472"/>
      <c r="L4" s="472"/>
      <c r="M4" s="472"/>
      <c r="N4" s="472"/>
      <c r="O4" s="472"/>
      <c r="P4" s="472"/>
      <c r="Q4" s="472"/>
      <c r="R4" s="473"/>
      <c r="S4" s="474" t="s">
        <v>1</v>
      </c>
      <c r="T4" s="475"/>
      <c r="U4" s="475"/>
      <c r="V4" s="475"/>
      <c r="W4" s="475"/>
      <c r="X4" s="475"/>
      <c r="Y4" s="475"/>
      <c r="Z4" s="476"/>
      <c r="AA4" s="477" t="s">
        <v>2</v>
      </c>
      <c r="AB4" s="478"/>
      <c r="AC4" s="478"/>
      <c r="AD4" s="478"/>
      <c r="AE4" s="479"/>
    </row>
    <row r="5" spans="1:35" s="208" customFormat="1" ht="37.15" customHeight="1" thickTop="1" thickBot="1" x14ac:dyDescent="0.3">
      <c r="A5" s="139" t="s">
        <v>8236</v>
      </c>
      <c r="B5" s="219" t="s">
        <v>6808</v>
      </c>
      <c r="C5" s="220" t="s">
        <v>6809</v>
      </c>
      <c r="D5" s="139" t="s">
        <v>6810</v>
      </c>
      <c r="E5" s="140" t="s">
        <v>4</v>
      </c>
      <c r="F5" s="141" t="s">
        <v>5</v>
      </c>
      <c r="G5" s="141" t="s">
        <v>7</v>
      </c>
      <c r="H5" s="141" t="s">
        <v>8</v>
      </c>
      <c r="I5" s="141" t="s">
        <v>6811</v>
      </c>
      <c r="J5" s="141" t="s">
        <v>4992</v>
      </c>
      <c r="K5" s="142" t="s">
        <v>9</v>
      </c>
      <c r="L5" s="141" t="s">
        <v>4993</v>
      </c>
      <c r="M5" s="141" t="s">
        <v>11</v>
      </c>
      <c r="N5" s="143" t="s">
        <v>12</v>
      </c>
      <c r="O5" s="143" t="s">
        <v>6812</v>
      </c>
      <c r="P5" s="143" t="s">
        <v>6813</v>
      </c>
      <c r="Q5" s="143" t="s">
        <v>6814</v>
      </c>
      <c r="R5" s="144" t="s">
        <v>13</v>
      </c>
      <c r="S5" s="145" t="s">
        <v>14</v>
      </c>
      <c r="T5" s="146" t="s">
        <v>8237</v>
      </c>
      <c r="U5" s="147" t="s">
        <v>8238</v>
      </c>
      <c r="V5" s="146" t="s">
        <v>6815</v>
      </c>
      <c r="W5" s="146" t="s">
        <v>8239</v>
      </c>
      <c r="X5" s="148" t="s">
        <v>8240</v>
      </c>
      <c r="Y5" s="146" t="s">
        <v>6816</v>
      </c>
      <c r="Z5" s="149" t="s">
        <v>17</v>
      </c>
      <c r="AA5" s="150" t="s">
        <v>18</v>
      </c>
      <c r="AB5" s="151" t="s">
        <v>19</v>
      </c>
      <c r="AC5" s="151" t="s">
        <v>20</v>
      </c>
      <c r="AD5" s="152" t="s">
        <v>8241</v>
      </c>
      <c r="AE5" s="153" t="s">
        <v>8242</v>
      </c>
      <c r="AF5" s="154" t="s">
        <v>8243</v>
      </c>
      <c r="AG5" s="154" t="s">
        <v>21</v>
      </c>
    </row>
    <row r="6" spans="1:35" s="209" customFormat="1" thickBot="1" x14ac:dyDescent="0.3">
      <c r="A6" s="221" t="str">
        <f t="shared" ref="A6:A69" si="0">IF(OR(ISBLANK(D6),ISBLANK(E6),ISBLANK(F6),ISBLANK(G6),ISBLANK(H6),ISBLANK(I6),ISBLANK(J6),ISBLANK(K6),ISBLANK(L6),ISBLANK(M6),ISBLANK(N6),ISBLANK(O6),ISBLANK(P6),ISBLANK(Q6),ISBLANK(R6))=TRUE,"P","OK")</f>
        <v>OK</v>
      </c>
      <c r="B6" s="222" t="str">
        <f>IF(OR(ISBLANK(S6),ISBLANK(T6),ISBLANK(U6),ISBLANK(V6),ISBLANK(W6),ISBLANK(X6),ISBLANK(Y6),ISBLANK(Z6))=TRUE,"P","OK")</f>
        <v>OK</v>
      </c>
      <c r="C6" s="223" t="str">
        <f>IF(OR(ISBLANK(AA6),ISBLANK(AB6),ISBLANK(AC6))=TRUE,"P","OK")</f>
        <v>OK</v>
      </c>
      <c r="D6" s="155">
        <v>0</v>
      </c>
      <c r="E6" s="156" t="s">
        <v>9341</v>
      </c>
      <c r="F6" s="157" t="s">
        <v>3171</v>
      </c>
      <c r="G6" s="157">
        <v>180674</v>
      </c>
      <c r="H6" s="157" t="s">
        <v>9342</v>
      </c>
      <c r="I6" s="157" t="s">
        <v>6820</v>
      </c>
      <c r="J6" s="157" t="s">
        <v>6829</v>
      </c>
      <c r="K6" s="157" t="s">
        <v>9343</v>
      </c>
      <c r="L6" s="157" t="s">
        <v>9344</v>
      </c>
      <c r="M6" s="157" t="s">
        <v>9345</v>
      </c>
      <c r="N6" s="158">
        <v>43803</v>
      </c>
      <c r="O6" s="157" t="s">
        <v>7729</v>
      </c>
      <c r="P6" s="158">
        <v>43803</v>
      </c>
      <c r="Q6" s="158">
        <v>43803</v>
      </c>
      <c r="R6" s="159">
        <v>43836</v>
      </c>
      <c r="S6" s="160" t="s">
        <v>264</v>
      </c>
      <c r="T6" s="161" t="s">
        <v>264</v>
      </c>
      <c r="U6" s="162">
        <v>43837</v>
      </c>
      <c r="V6" s="161" t="s">
        <v>9346</v>
      </c>
      <c r="W6" s="161">
        <v>3</v>
      </c>
      <c r="X6" s="161" t="s">
        <v>5683</v>
      </c>
      <c r="Y6" s="161" t="s">
        <v>4999</v>
      </c>
      <c r="Z6" s="163">
        <v>43840</v>
      </c>
      <c r="AA6" s="164" t="s">
        <v>264</v>
      </c>
      <c r="AB6" s="165">
        <v>43840</v>
      </c>
      <c r="AC6" s="166">
        <v>43840</v>
      </c>
      <c r="AF6" s="210"/>
      <c r="AG6" s="211" t="s">
        <v>4999</v>
      </c>
      <c r="AH6" s="212"/>
    </row>
    <row r="7" spans="1:35" s="209" customFormat="1" thickBot="1" x14ac:dyDescent="0.3">
      <c r="A7" s="221" t="str">
        <f t="shared" si="0"/>
        <v>OK</v>
      </c>
      <c r="B7" s="222" t="str">
        <f t="shared" ref="B7:B70" si="1">IF(OR(ISBLANK(S7),ISBLANK(T7),ISBLANK(U7),ISBLANK(V7),ISBLANK(W7),ISBLANK(X7),ISBLANK(Y7),ISBLANK(Z7))=TRUE,"P","OK")</f>
        <v>OK</v>
      </c>
      <c r="C7" s="223" t="str">
        <f t="shared" ref="C7:C70" si="2">IF(OR(ISBLANK(AA7),ISBLANK(AB7),ISBLANK(AC7))=TRUE,"P","OK")</f>
        <v>OK</v>
      </c>
      <c r="D7" s="155">
        <v>0</v>
      </c>
      <c r="E7" s="156" t="s">
        <v>9347</v>
      </c>
      <c r="F7" s="157" t="s">
        <v>8369</v>
      </c>
      <c r="G7" s="157">
        <v>180701</v>
      </c>
      <c r="H7" s="157" t="s">
        <v>9348</v>
      </c>
      <c r="I7" s="157" t="s">
        <v>6820</v>
      </c>
      <c r="J7" s="157" t="s">
        <v>6829</v>
      </c>
      <c r="K7" s="157" t="s">
        <v>1937</v>
      </c>
      <c r="L7" s="157" t="s">
        <v>8467</v>
      </c>
      <c r="M7" s="202" t="s">
        <v>9349</v>
      </c>
      <c r="N7" s="158">
        <v>43825</v>
      </c>
      <c r="O7" s="157" t="s">
        <v>9350</v>
      </c>
      <c r="P7" s="158">
        <v>43825</v>
      </c>
      <c r="Q7" s="158">
        <v>43825</v>
      </c>
      <c r="R7" s="159">
        <v>43825</v>
      </c>
      <c r="S7" s="160" t="s">
        <v>9351</v>
      </c>
      <c r="T7" s="161" t="s">
        <v>264</v>
      </c>
      <c r="U7" s="162">
        <v>43825</v>
      </c>
      <c r="V7" s="161" t="s">
        <v>8469</v>
      </c>
      <c r="W7" s="161">
        <v>6</v>
      </c>
      <c r="X7" s="161" t="s">
        <v>5683</v>
      </c>
      <c r="Y7" s="161" t="s">
        <v>4999</v>
      </c>
      <c r="Z7" s="163">
        <v>43845</v>
      </c>
      <c r="AA7" s="164" t="s">
        <v>264</v>
      </c>
      <c r="AB7" s="165">
        <v>43845</v>
      </c>
      <c r="AC7" s="166">
        <v>43845</v>
      </c>
      <c r="AF7" s="210"/>
      <c r="AG7" s="211" t="s">
        <v>4999</v>
      </c>
      <c r="AH7" s="212"/>
    </row>
    <row r="8" spans="1:35" s="209" customFormat="1" thickBot="1" x14ac:dyDescent="0.3">
      <c r="A8" s="221" t="str">
        <f t="shared" si="0"/>
        <v>OK</v>
      </c>
      <c r="B8" s="222" t="str">
        <f t="shared" si="1"/>
        <v>OK</v>
      </c>
      <c r="C8" s="223" t="str">
        <f t="shared" si="2"/>
        <v>OK</v>
      </c>
      <c r="D8" s="167">
        <v>0</v>
      </c>
      <c r="E8" s="168" t="s">
        <v>9352</v>
      </c>
      <c r="F8" s="169" t="s">
        <v>3386</v>
      </c>
      <c r="G8" s="169">
        <v>180697</v>
      </c>
      <c r="H8" s="169" t="s">
        <v>9353</v>
      </c>
      <c r="I8" s="169" t="s">
        <v>6820</v>
      </c>
      <c r="J8" s="169" t="s">
        <v>6829</v>
      </c>
      <c r="K8" s="169" t="s">
        <v>9354</v>
      </c>
      <c r="L8" s="169" t="s">
        <v>9355</v>
      </c>
      <c r="M8" s="169" t="s">
        <v>9356</v>
      </c>
      <c r="N8" s="170">
        <v>43818</v>
      </c>
      <c r="O8" s="169" t="s">
        <v>9350</v>
      </c>
      <c r="P8" s="170">
        <v>43818</v>
      </c>
      <c r="Q8" s="170">
        <v>43819</v>
      </c>
      <c r="R8" s="170">
        <v>43838</v>
      </c>
      <c r="S8" s="171" t="s">
        <v>9351</v>
      </c>
      <c r="T8" s="172" t="s">
        <v>9357</v>
      </c>
      <c r="U8" s="173">
        <v>43839</v>
      </c>
      <c r="V8" s="172" t="s">
        <v>9358</v>
      </c>
      <c r="W8" s="172">
        <v>2</v>
      </c>
      <c r="X8" s="172" t="s">
        <v>5683</v>
      </c>
      <c r="Y8" s="172" t="s">
        <v>1687</v>
      </c>
      <c r="Z8" s="174">
        <v>43847</v>
      </c>
      <c r="AA8" s="175" t="s">
        <v>264</v>
      </c>
      <c r="AB8" s="176">
        <v>43847</v>
      </c>
      <c r="AC8" s="177">
        <v>43847</v>
      </c>
      <c r="AD8" s="213"/>
      <c r="AE8" s="213"/>
      <c r="AF8" s="214"/>
      <c r="AG8" s="215" t="s">
        <v>4999</v>
      </c>
      <c r="AH8" s="212" t="s">
        <v>9359</v>
      </c>
      <c r="AI8" s="213"/>
    </row>
    <row r="9" spans="1:35" s="213" customFormat="1" ht="30.75" thickBot="1" x14ac:dyDescent="0.3">
      <c r="A9" s="221" t="str">
        <f t="shared" si="0"/>
        <v>OK</v>
      </c>
      <c r="B9" s="222" t="str">
        <f t="shared" si="1"/>
        <v>OK</v>
      </c>
      <c r="C9" s="223" t="str">
        <f t="shared" si="2"/>
        <v>OK</v>
      </c>
      <c r="D9" s="167">
        <v>0</v>
      </c>
      <c r="E9" s="168" t="s">
        <v>9360</v>
      </c>
      <c r="F9" s="169" t="s">
        <v>9361</v>
      </c>
      <c r="G9" s="169">
        <v>180705</v>
      </c>
      <c r="H9" s="169" t="s">
        <v>9362</v>
      </c>
      <c r="I9" s="169" t="s">
        <v>6820</v>
      </c>
      <c r="J9" s="169" t="s">
        <v>6829</v>
      </c>
      <c r="K9" s="169" t="s">
        <v>9363</v>
      </c>
      <c r="L9" s="169" t="s">
        <v>9364</v>
      </c>
      <c r="M9" s="169" t="s">
        <v>9365</v>
      </c>
      <c r="N9" s="170">
        <v>43836</v>
      </c>
      <c r="O9" s="169" t="s">
        <v>7729</v>
      </c>
      <c r="P9" s="170">
        <v>43836</v>
      </c>
      <c r="Q9" s="170">
        <v>43836</v>
      </c>
      <c r="R9" s="178">
        <v>43836</v>
      </c>
      <c r="S9" s="171" t="s">
        <v>9351</v>
      </c>
      <c r="T9" s="172" t="s">
        <v>264</v>
      </c>
      <c r="U9" s="173">
        <v>43838</v>
      </c>
      <c r="V9" s="172" t="s">
        <v>9366</v>
      </c>
      <c r="W9" s="172">
        <v>1</v>
      </c>
      <c r="X9" s="172" t="s">
        <v>5683</v>
      </c>
      <c r="Y9" s="172" t="s">
        <v>4999</v>
      </c>
      <c r="Z9" s="174">
        <v>43846</v>
      </c>
      <c r="AA9" s="175" t="s">
        <v>264</v>
      </c>
      <c r="AB9" s="176">
        <v>43846</v>
      </c>
      <c r="AC9" s="177">
        <v>43846</v>
      </c>
      <c r="AF9" s="214"/>
      <c r="AG9" s="215" t="s">
        <v>4999</v>
      </c>
      <c r="AH9" s="212" t="s">
        <v>9359</v>
      </c>
    </row>
    <row r="10" spans="1:35" s="213" customFormat="1" thickBot="1" x14ac:dyDescent="0.3">
      <c r="A10" s="221" t="str">
        <f t="shared" si="0"/>
        <v>OK</v>
      </c>
      <c r="B10" s="222" t="str">
        <f t="shared" si="1"/>
        <v>OK</v>
      </c>
      <c r="C10" s="223" t="str">
        <f t="shared" si="2"/>
        <v>OK</v>
      </c>
      <c r="D10" s="167">
        <v>0</v>
      </c>
      <c r="E10" s="168" t="s">
        <v>9367</v>
      </c>
      <c r="F10" s="169" t="s">
        <v>9361</v>
      </c>
      <c r="G10" s="169">
        <v>180705</v>
      </c>
      <c r="H10" s="169" t="s">
        <v>9368</v>
      </c>
      <c r="I10" s="169" t="s">
        <v>6820</v>
      </c>
      <c r="J10" s="169" t="s">
        <v>6829</v>
      </c>
      <c r="K10" s="169" t="s">
        <v>9369</v>
      </c>
      <c r="L10" s="169" t="s">
        <v>9370</v>
      </c>
      <c r="M10" s="169" t="s">
        <v>9365</v>
      </c>
      <c r="N10" s="170">
        <v>43836</v>
      </c>
      <c r="O10" s="169" t="s">
        <v>7729</v>
      </c>
      <c r="P10" s="170">
        <v>43836</v>
      </c>
      <c r="Q10" s="170">
        <v>43836</v>
      </c>
      <c r="R10" s="170">
        <v>43836</v>
      </c>
      <c r="S10" s="171" t="s">
        <v>9351</v>
      </c>
      <c r="T10" s="172" t="s">
        <v>264</v>
      </c>
      <c r="U10" s="173">
        <v>43838</v>
      </c>
      <c r="V10" s="172" t="s">
        <v>9371</v>
      </c>
      <c r="W10" s="172">
        <v>1</v>
      </c>
      <c r="X10" s="172" t="s">
        <v>5683</v>
      </c>
      <c r="Y10" s="172" t="s">
        <v>4999</v>
      </c>
      <c r="Z10" s="174">
        <v>43844</v>
      </c>
      <c r="AA10" s="175" t="s">
        <v>264</v>
      </c>
      <c r="AB10" s="176">
        <v>43846</v>
      </c>
      <c r="AC10" s="177">
        <v>43846</v>
      </c>
      <c r="AF10" s="214"/>
      <c r="AG10" s="215" t="s">
        <v>4999</v>
      </c>
      <c r="AH10" s="212"/>
    </row>
    <row r="11" spans="1:35" s="213" customFormat="1" thickBot="1" x14ac:dyDescent="0.3">
      <c r="A11" s="221" t="str">
        <f t="shared" si="0"/>
        <v>OK</v>
      </c>
      <c r="B11" s="222" t="str">
        <f t="shared" si="1"/>
        <v>OK</v>
      </c>
      <c r="C11" s="223" t="str">
        <f t="shared" si="2"/>
        <v>OK</v>
      </c>
      <c r="D11" s="167">
        <v>0</v>
      </c>
      <c r="E11" s="168" t="s">
        <v>9372</v>
      </c>
      <c r="F11" s="169" t="s">
        <v>3386</v>
      </c>
      <c r="G11" s="169">
        <v>180697</v>
      </c>
      <c r="H11" s="169" t="s">
        <v>9373</v>
      </c>
      <c r="I11" s="169" t="s">
        <v>6820</v>
      </c>
      <c r="J11" s="169" t="s">
        <v>6829</v>
      </c>
      <c r="K11" s="169" t="s">
        <v>9354</v>
      </c>
      <c r="L11" s="169" t="s">
        <v>9374</v>
      </c>
      <c r="M11" s="169" t="s">
        <v>9356</v>
      </c>
      <c r="N11" s="170">
        <v>43818</v>
      </c>
      <c r="O11" s="169" t="s">
        <v>9350</v>
      </c>
      <c r="P11" s="170">
        <v>43818</v>
      </c>
      <c r="Q11" s="170">
        <v>43819</v>
      </c>
      <c r="R11" s="170">
        <v>43838</v>
      </c>
      <c r="S11" s="171" t="s">
        <v>9351</v>
      </c>
      <c r="T11" s="172" t="s">
        <v>9357</v>
      </c>
      <c r="U11" s="173">
        <v>43839</v>
      </c>
      <c r="V11" s="172" t="s">
        <v>9375</v>
      </c>
      <c r="W11" s="172">
        <v>1</v>
      </c>
      <c r="X11" s="172" t="s">
        <v>5683</v>
      </c>
      <c r="Y11" s="172" t="s">
        <v>4999</v>
      </c>
      <c r="Z11" s="174">
        <v>43847</v>
      </c>
      <c r="AA11" s="175" t="s">
        <v>264</v>
      </c>
      <c r="AB11" s="176">
        <v>43847</v>
      </c>
      <c r="AC11" s="177">
        <v>43847</v>
      </c>
      <c r="AF11" s="214"/>
      <c r="AG11" s="215" t="s">
        <v>4999</v>
      </c>
      <c r="AH11" s="212" t="s">
        <v>9359</v>
      </c>
    </row>
    <row r="12" spans="1:35" s="213" customFormat="1" thickBot="1" x14ac:dyDescent="0.3">
      <c r="A12" s="221" t="str">
        <f t="shared" si="0"/>
        <v>OK</v>
      </c>
      <c r="B12" s="222" t="str">
        <f t="shared" si="1"/>
        <v>OK</v>
      </c>
      <c r="C12" s="223" t="str">
        <f t="shared" si="2"/>
        <v>OK</v>
      </c>
      <c r="D12" s="167">
        <v>0</v>
      </c>
      <c r="E12" s="168" t="s">
        <v>9376</v>
      </c>
      <c r="F12" s="169" t="s">
        <v>9377</v>
      </c>
      <c r="G12" s="169">
        <v>180677</v>
      </c>
      <c r="H12" s="169" t="s">
        <v>9378</v>
      </c>
      <c r="I12" s="169" t="s">
        <v>6820</v>
      </c>
      <c r="J12" s="169" t="s">
        <v>6829</v>
      </c>
      <c r="K12" s="169" t="s">
        <v>9379</v>
      </c>
      <c r="L12" s="169" t="s">
        <v>9380</v>
      </c>
      <c r="M12" s="169" t="s">
        <v>8268</v>
      </c>
      <c r="N12" s="170">
        <v>43804</v>
      </c>
      <c r="O12" s="169" t="s">
        <v>9350</v>
      </c>
      <c r="P12" s="170">
        <v>43804</v>
      </c>
      <c r="Q12" s="170">
        <v>43852</v>
      </c>
      <c r="R12" s="178">
        <v>43852</v>
      </c>
      <c r="S12" s="171" t="s">
        <v>9351</v>
      </c>
      <c r="T12" s="172" t="s">
        <v>9357</v>
      </c>
      <c r="U12" s="173">
        <v>43851</v>
      </c>
      <c r="V12" s="172" t="s">
        <v>9381</v>
      </c>
      <c r="W12" s="172">
        <v>3</v>
      </c>
      <c r="X12" s="172" t="s">
        <v>5683</v>
      </c>
      <c r="Y12" s="172" t="s">
        <v>4999</v>
      </c>
      <c r="Z12" s="174">
        <v>43854</v>
      </c>
      <c r="AA12" s="175" t="s">
        <v>264</v>
      </c>
      <c r="AB12" s="176">
        <v>43857</v>
      </c>
      <c r="AC12" s="177">
        <v>43857</v>
      </c>
      <c r="AF12" s="214"/>
      <c r="AG12" s="215" t="s">
        <v>4999</v>
      </c>
    </row>
    <row r="13" spans="1:35" s="213" customFormat="1" thickBot="1" x14ac:dyDescent="0.3">
      <c r="A13" s="221" t="str">
        <f t="shared" si="0"/>
        <v>OK</v>
      </c>
      <c r="B13" s="222" t="str">
        <f t="shared" si="1"/>
        <v>OK</v>
      </c>
      <c r="C13" s="223" t="str">
        <f t="shared" si="2"/>
        <v>OK</v>
      </c>
      <c r="D13" s="167">
        <v>0</v>
      </c>
      <c r="E13" s="168" t="s">
        <v>9382</v>
      </c>
      <c r="F13" s="169" t="s">
        <v>9024</v>
      </c>
      <c r="G13" s="169">
        <v>180711</v>
      </c>
      <c r="H13" s="169" t="s">
        <v>9383</v>
      </c>
      <c r="I13" s="169" t="s">
        <v>6820</v>
      </c>
      <c r="J13" s="169" t="s">
        <v>6829</v>
      </c>
      <c r="K13" s="169" t="s">
        <v>6577</v>
      </c>
      <c r="L13" s="169" t="s">
        <v>9384</v>
      </c>
      <c r="M13" s="181" t="s">
        <v>2504</v>
      </c>
      <c r="N13" s="170">
        <v>43843</v>
      </c>
      <c r="O13" s="169" t="s">
        <v>7729</v>
      </c>
      <c r="P13" s="170">
        <v>43843</v>
      </c>
      <c r="Q13" s="170">
        <v>43843</v>
      </c>
      <c r="R13" s="170">
        <v>43843</v>
      </c>
      <c r="S13" s="171" t="s">
        <v>9351</v>
      </c>
      <c r="T13" s="172" t="s">
        <v>264</v>
      </c>
      <c r="U13" s="173">
        <v>43845</v>
      </c>
      <c r="V13" s="172" t="s">
        <v>9385</v>
      </c>
      <c r="W13" s="172">
        <v>1</v>
      </c>
      <c r="X13" s="172" t="s">
        <v>5683</v>
      </c>
      <c r="Y13" s="172" t="s">
        <v>4999</v>
      </c>
      <c r="Z13" s="174">
        <v>43847</v>
      </c>
      <c r="AA13" s="175" t="s">
        <v>264</v>
      </c>
      <c r="AB13" s="176">
        <v>43847</v>
      </c>
      <c r="AC13" s="176">
        <v>43847</v>
      </c>
      <c r="AF13" s="214"/>
      <c r="AG13" s="215" t="s">
        <v>4999</v>
      </c>
      <c r="AH13" s="212" t="s">
        <v>9386</v>
      </c>
    </row>
    <row r="14" spans="1:35" s="213" customFormat="1" thickBot="1" x14ac:dyDescent="0.3">
      <c r="A14" s="221" t="str">
        <f t="shared" si="0"/>
        <v>OK</v>
      </c>
      <c r="B14" s="222" t="str">
        <f t="shared" si="1"/>
        <v>OK</v>
      </c>
      <c r="C14" s="223" t="str">
        <f t="shared" si="2"/>
        <v>OK</v>
      </c>
      <c r="D14" s="179">
        <v>0</v>
      </c>
      <c r="E14" s="180" t="s">
        <v>9387</v>
      </c>
      <c r="F14" s="181" t="s">
        <v>9172</v>
      </c>
      <c r="G14" s="181">
        <v>180715</v>
      </c>
      <c r="H14" s="181" t="s">
        <v>9388</v>
      </c>
      <c r="I14" s="181" t="s">
        <v>6820</v>
      </c>
      <c r="J14" s="181" t="s">
        <v>6829</v>
      </c>
      <c r="K14" s="181" t="s">
        <v>9389</v>
      </c>
      <c r="L14" s="181" t="s">
        <v>7738</v>
      </c>
      <c r="M14" s="181" t="s">
        <v>1869</v>
      </c>
      <c r="N14" s="182">
        <v>43846</v>
      </c>
      <c r="O14" s="181" t="s">
        <v>7729</v>
      </c>
      <c r="P14" s="182">
        <v>43846</v>
      </c>
      <c r="Q14" s="182">
        <v>43846</v>
      </c>
      <c r="R14" s="182">
        <v>43846</v>
      </c>
      <c r="S14" s="171" t="s">
        <v>9351</v>
      </c>
      <c r="T14" s="172" t="s">
        <v>9357</v>
      </c>
      <c r="U14" s="173">
        <v>43847</v>
      </c>
      <c r="V14" s="172" t="s">
        <v>9390</v>
      </c>
      <c r="W14" s="172">
        <v>16</v>
      </c>
      <c r="X14" s="172" t="s">
        <v>5683</v>
      </c>
      <c r="Y14" s="172" t="s">
        <v>4999</v>
      </c>
      <c r="Z14" s="174">
        <v>43851</v>
      </c>
      <c r="AA14" s="175" t="s">
        <v>264</v>
      </c>
      <c r="AB14" s="176">
        <v>43852</v>
      </c>
      <c r="AC14" s="177">
        <v>43852</v>
      </c>
      <c r="AF14" s="214"/>
      <c r="AG14" s="215" t="s">
        <v>4999</v>
      </c>
      <c r="AH14" s="212" t="s">
        <v>9391</v>
      </c>
    </row>
    <row r="15" spans="1:35" s="213" customFormat="1" thickBot="1" x14ac:dyDescent="0.3">
      <c r="A15" s="221" t="str">
        <f t="shared" si="0"/>
        <v>OK</v>
      </c>
      <c r="B15" s="222" t="str">
        <f t="shared" si="1"/>
        <v>OK</v>
      </c>
      <c r="C15" s="223" t="str">
        <f t="shared" si="2"/>
        <v>OK</v>
      </c>
      <c r="D15" s="179">
        <v>0</v>
      </c>
      <c r="E15" s="180" t="s">
        <v>9392</v>
      </c>
      <c r="F15" s="181" t="s">
        <v>9172</v>
      </c>
      <c r="G15" s="181">
        <v>180715</v>
      </c>
      <c r="H15" s="181" t="s">
        <v>9393</v>
      </c>
      <c r="I15" s="181" t="s">
        <v>6820</v>
      </c>
      <c r="J15" s="181" t="s">
        <v>6829</v>
      </c>
      <c r="K15" s="181" t="s">
        <v>1874</v>
      </c>
      <c r="L15" s="181" t="s">
        <v>5723</v>
      </c>
      <c r="M15" s="181" t="s">
        <v>1869</v>
      </c>
      <c r="N15" s="182">
        <v>43846</v>
      </c>
      <c r="O15" s="181" t="s">
        <v>7729</v>
      </c>
      <c r="P15" s="182">
        <v>43846</v>
      </c>
      <c r="Q15" s="182">
        <v>43846</v>
      </c>
      <c r="R15" s="182">
        <v>43846</v>
      </c>
      <c r="S15" s="171" t="s">
        <v>9351</v>
      </c>
      <c r="T15" s="172" t="s">
        <v>9357</v>
      </c>
      <c r="U15" s="173">
        <v>43847</v>
      </c>
      <c r="V15" s="172" t="s">
        <v>9394</v>
      </c>
      <c r="W15" s="172">
        <v>4</v>
      </c>
      <c r="X15" s="172" t="s">
        <v>5683</v>
      </c>
      <c r="Y15" s="172" t="s">
        <v>4999</v>
      </c>
      <c r="Z15" s="174">
        <v>43852</v>
      </c>
      <c r="AA15" s="175" t="s">
        <v>264</v>
      </c>
      <c r="AB15" s="176">
        <v>43852</v>
      </c>
      <c r="AC15" s="177">
        <v>43852</v>
      </c>
      <c r="AF15" s="214"/>
      <c r="AG15" s="215" t="s">
        <v>4999</v>
      </c>
      <c r="AH15" s="212" t="s">
        <v>9391</v>
      </c>
    </row>
    <row r="16" spans="1:35" s="213" customFormat="1" thickBot="1" x14ac:dyDescent="0.3">
      <c r="A16" s="221" t="str">
        <f t="shared" si="0"/>
        <v>OK</v>
      </c>
      <c r="B16" s="222" t="str">
        <f t="shared" si="1"/>
        <v>OK</v>
      </c>
      <c r="C16" s="223" t="str">
        <f t="shared" si="2"/>
        <v>OK</v>
      </c>
      <c r="D16" s="167">
        <v>0</v>
      </c>
      <c r="E16" s="168" t="s">
        <v>9395</v>
      </c>
      <c r="F16" s="169" t="s">
        <v>9396</v>
      </c>
      <c r="G16" s="169">
        <v>180712</v>
      </c>
      <c r="H16" s="169" t="s">
        <v>9397</v>
      </c>
      <c r="I16" s="169" t="s">
        <v>6820</v>
      </c>
      <c r="J16" s="169" t="s">
        <v>6829</v>
      </c>
      <c r="K16" s="181" t="s">
        <v>9398</v>
      </c>
      <c r="L16" s="169" t="s">
        <v>1749</v>
      </c>
      <c r="M16" s="169" t="s">
        <v>7516</v>
      </c>
      <c r="N16" s="182">
        <v>43844</v>
      </c>
      <c r="O16" s="169" t="s">
        <v>7729</v>
      </c>
      <c r="P16" s="182">
        <v>43844</v>
      </c>
      <c r="Q16" s="182">
        <v>43844</v>
      </c>
      <c r="R16" s="182">
        <v>43846</v>
      </c>
      <c r="S16" s="171" t="s">
        <v>9351</v>
      </c>
      <c r="T16" s="172" t="s">
        <v>9357</v>
      </c>
      <c r="U16" s="173">
        <v>43847</v>
      </c>
      <c r="V16" s="172" t="s">
        <v>9399</v>
      </c>
      <c r="W16" s="172">
        <v>20</v>
      </c>
      <c r="X16" s="172" t="s">
        <v>5683</v>
      </c>
      <c r="Y16" s="172" t="s">
        <v>4999</v>
      </c>
      <c r="Z16" s="174">
        <v>43850</v>
      </c>
      <c r="AA16" s="175" t="s">
        <v>264</v>
      </c>
      <c r="AB16" s="176">
        <v>43853</v>
      </c>
      <c r="AC16" s="177">
        <v>43853</v>
      </c>
      <c r="AF16" s="214"/>
      <c r="AG16" s="215" t="s">
        <v>4999</v>
      </c>
      <c r="AH16" s="212" t="s">
        <v>9391</v>
      </c>
    </row>
    <row r="17" spans="1:35" s="213" customFormat="1" thickBot="1" x14ac:dyDescent="0.3">
      <c r="A17" s="221" t="str">
        <f t="shared" si="0"/>
        <v>OK</v>
      </c>
      <c r="B17" s="222" t="str">
        <f t="shared" si="1"/>
        <v>OK</v>
      </c>
      <c r="C17" s="223" t="str">
        <f t="shared" si="2"/>
        <v>OK</v>
      </c>
      <c r="D17" s="167">
        <v>0</v>
      </c>
      <c r="E17" s="168" t="s">
        <v>9400</v>
      </c>
      <c r="F17" s="169" t="s">
        <v>9396</v>
      </c>
      <c r="G17" s="169">
        <v>180712</v>
      </c>
      <c r="H17" s="169" t="s">
        <v>9401</v>
      </c>
      <c r="I17" s="169" t="s">
        <v>6820</v>
      </c>
      <c r="J17" s="169" t="s">
        <v>6829</v>
      </c>
      <c r="K17" s="169" t="s">
        <v>9402</v>
      </c>
      <c r="L17" s="169" t="s">
        <v>9403</v>
      </c>
      <c r="M17" s="169" t="s">
        <v>7516</v>
      </c>
      <c r="N17" s="182">
        <v>43844</v>
      </c>
      <c r="O17" s="169" t="s">
        <v>7729</v>
      </c>
      <c r="P17" s="182">
        <v>43844</v>
      </c>
      <c r="Q17" s="182">
        <v>43844</v>
      </c>
      <c r="R17" s="182">
        <v>43846</v>
      </c>
      <c r="S17" s="171" t="s">
        <v>9351</v>
      </c>
      <c r="T17" s="172" t="s">
        <v>9357</v>
      </c>
      <c r="U17" s="173">
        <v>43847</v>
      </c>
      <c r="V17" s="172" t="s">
        <v>293</v>
      </c>
      <c r="W17" s="172">
        <v>10</v>
      </c>
      <c r="X17" s="172" t="s">
        <v>5683</v>
      </c>
      <c r="Y17" s="172" t="s">
        <v>4999</v>
      </c>
      <c r="Z17" s="174">
        <v>43852</v>
      </c>
      <c r="AA17" s="175" t="s">
        <v>264</v>
      </c>
      <c r="AB17" s="176">
        <v>43853</v>
      </c>
      <c r="AC17" s="177">
        <v>43853</v>
      </c>
      <c r="AF17" s="214"/>
      <c r="AG17" s="215" t="s">
        <v>4999</v>
      </c>
      <c r="AH17" s="212" t="s">
        <v>9391</v>
      </c>
    </row>
    <row r="18" spans="1:35" s="213" customFormat="1" thickBot="1" x14ac:dyDescent="0.3">
      <c r="A18" s="221" t="str">
        <f t="shared" si="0"/>
        <v>OK</v>
      </c>
      <c r="B18" s="222" t="str">
        <f t="shared" si="1"/>
        <v>OK</v>
      </c>
      <c r="C18" s="223" t="str">
        <f t="shared" si="2"/>
        <v>OK</v>
      </c>
      <c r="D18" s="167">
        <v>0</v>
      </c>
      <c r="E18" s="168" t="s">
        <v>9404</v>
      </c>
      <c r="F18" s="169" t="s">
        <v>9396</v>
      </c>
      <c r="G18" s="169">
        <v>180712</v>
      </c>
      <c r="H18" s="169" t="s">
        <v>9405</v>
      </c>
      <c r="I18" s="169" t="s">
        <v>6820</v>
      </c>
      <c r="J18" s="169" t="s">
        <v>6829</v>
      </c>
      <c r="K18" s="169" t="s">
        <v>9406</v>
      </c>
      <c r="L18" s="169" t="s">
        <v>9407</v>
      </c>
      <c r="M18" s="169" t="s">
        <v>7516</v>
      </c>
      <c r="N18" s="182">
        <v>43844</v>
      </c>
      <c r="O18" s="169" t="s">
        <v>7729</v>
      </c>
      <c r="P18" s="182">
        <v>43844</v>
      </c>
      <c r="Q18" s="182">
        <v>43844</v>
      </c>
      <c r="R18" s="182">
        <v>43846</v>
      </c>
      <c r="S18" s="171" t="s">
        <v>9351</v>
      </c>
      <c r="T18" s="172" t="s">
        <v>9357</v>
      </c>
      <c r="U18" s="173">
        <v>43847</v>
      </c>
      <c r="V18" s="172" t="s">
        <v>9408</v>
      </c>
      <c r="W18" s="172">
        <v>3</v>
      </c>
      <c r="X18" s="172" t="s">
        <v>5683</v>
      </c>
      <c r="Y18" s="172" t="s">
        <v>4999</v>
      </c>
      <c r="Z18" s="174">
        <v>43852</v>
      </c>
      <c r="AA18" s="175" t="s">
        <v>264</v>
      </c>
      <c r="AB18" s="176">
        <v>43853</v>
      </c>
      <c r="AC18" s="177">
        <v>43853</v>
      </c>
      <c r="AF18" s="214"/>
      <c r="AG18" s="215" t="s">
        <v>4999</v>
      </c>
      <c r="AH18" s="212" t="s">
        <v>9391</v>
      </c>
    </row>
    <row r="19" spans="1:35" s="213" customFormat="1" thickBot="1" x14ac:dyDescent="0.3">
      <c r="A19" s="221" t="str">
        <f t="shared" si="0"/>
        <v>OK</v>
      </c>
      <c r="B19" s="222" t="str">
        <f t="shared" si="1"/>
        <v>OK</v>
      </c>
      <c r="C19" s="223" t="str">
        <f t="shared" si="2"/>
        <v>OK</v>
      </c>
      <c r="D19" s="167">
        <v>0</v>
      </c>
      <c r="E19" s="168" t="s">
        <v>9409</v>
      </c>
      <c r="F19" s="169" t="s">
        <v>8322</v>
      </c>
      <c r="G19" s="169">
        <v>180713</v>
      </c>
      <c r="H19" s="169" t="s">
        <v>9410</v>
      </c>
      <c r="I19" s="169" t="s">
        <v>6820</v>
      </c>
      <c r="J19" s="169" t="s">
        <v>6829</v>
      </c>
      <c r="K19" s="169" t="s">
        <v>8589</v>
      </c>
      <c r="L19" s="169" t="s">
        <v>8590</v>
      </c>
      <c r="M19" s="181" t="s">
        <v>9411</v>
      </c>
      <c r="N19" s="170">
        <v>43845</v>
      </c>
      <c r="O19" s="169" t="s">
        <v>9350</v>
      </c>
      <c r="P19" s="170">
        <v>43845</v>
      </c>
      <c r="Q19" s="170">
        <v>43846</v>
      </c>
      <c r="R19" s="170">
        <v>43846</v>
      </c>
      <c r="S19" s="171" t="s">
        <v>9351</v>
      </c>
      <c r="T19" s="172" t="s">
        <v>9357</v>
      </c>
      <c r="U19" s="173">
        <v>43864</v>
      </c>
      <c r="V19" s="183" t="s">
        <v>9412</v>
      </c>
      <c r="W19" s="172">
        <v>18</v>
      </c>
      <c r="X19" s="172" t="s">
        <v>5683</v>
      </c>
      <c r="Y19" s="172" t="s">
        <v>4999</v>
      </c>
      <c r="Z19" s="174">
        <v>43867</v>
      </c>
      <c r="AA19" s="175" t="s">
        <v>264</v>
      </c>
      <c r="AB19" s="176">
        <v>43867</v>
      </c>
      <c r="AC19" s="176">
        <v>43867</v>
      </c>
      <c r="AF19" s="214"/>
      <c r="AG19" s="215" t="s">
        <v>4999</v>
      </c>
      <c r="AH19" s="212"/>
    </row>
    <row r="20" spans="1:35" s="213" customFormat="1" thickBot="1" x14ac:dyDescent="0.3">
      <c r="A20" s="221" t="str">
        <f t="shared" si="0"/>
        <v>OK</v>
      </c>
      <c r="B20" s="222" t="str">
        <f t="shared" si="1"/>
        <v>OK</v>
      </c>
      <c r="C20" s="223" t="str">
        <f t="shared" si="2"/>
        <v>OK</v>
      </c>
      <c r="D20" s="167">
        <v>0</v>
      </c>
      <c r="E20" s="168" t="s">
        <v>9413</v>
      </c>
      <c r="F20" s="169" t="s">
        <v>9414</v>
      </c>
      <c r="G20" s="169">
        <v>180680</v>
      </c>
      <c r="H20" s="169" t="s">
        <v>9415</v>
      </c>
      <c r="I20" s="169" t="s">
        <v>6820</v>
      </c>
      <c r="J20" s="169" t="s">
        <v>6829</v>
      </c>
      <c r="K20" s="169" t="s">
        <v>5143</v>
      </c>
      <c r="L20" s="169" t="s">
        <v>9416</v>
      </c>
      <c r="M20" s="169" t="s">
        <v>9417</v>
      </c>
      <c r="N20" s="170">
        <v>43805</v>
      </c>
      <c r="O20" s="169" t="s">
        <v>9350</v>
      </c>
      <c r="P20" s="170">
        <v>43805</v>
      </c>
      <c r="Q20" s="170">
        <v>43808</v>
      </c>
      <c r="R20" s="170">
        <v>43811</v>
      </c>
      <c r="S20" s="171" t="s">
        <v>9351</v>
      </c>
      <c r="T20" s="172" t="s">
        <v>9357</v>
      </c>
      <c r="U20" s="173">
        <v>43851</v>
      </c>
      <c r="V20" s="172" t="s">
        <v>9418</v>
      </c>
      <c r="W20" s="172">
        <v>5</v>
      </c>
      <c r="X20" s="172" t="s">
        <v>5683</v>
      </c>
      <c r="Y20" s="172" t="s">
        <v>4999</v>
      </c>
      <c r="Z20" s="174">
        <v>43854</v>
      </c>
      <c r="AA20" s="175" t="s">
        <v>264</v>
      </c>
      <c r="AB20" s="176">
        <v>43858</v>
      </c>
      <c r="AC20" s="177">
        <v>43858</v>
      </c>
      <c r="AF20" s="214"/>
      <c r="AG20" s="215" t="s">
        <v>4999</v>
      </c>
    </row>
    <row r="21" spans="1:35" s="213" customFormat="1" thickBot="1" x14ac:dyDescent="0.3">
      <c r="A21" s="221" t="str">
        <f t="shared" si="0"/>
        <v>OK</v>
      </c>
      <c r="B21" s="222" t="str">
        <f t="shared" si="1"/>
        <v>OK</v>
      </c>
      <c r="C21" s="223" t="str">
        <f t="shared" si="2"/>
        <v>OK</v>
      </c>
      <c r="D21" s="167">
        <v>0</v>
      </c>
      <c r="E21" s="168" t="s">
        <v>9419</v>
      </c>
      <c r="F21" s="169" t="s">
        <v>9414</v>
      </c>
      <c r="G21" s="169">
        <v>180702</v>
      </c>
      <c r="H21" s="169" t="s">
        <v>9420</v>
      </c>
      <c r="I21" s="169" t="s">
        <v>6820</v>
      </c>
      <c r="J21" s="169" t="s">
        <v>6829</v>
      </c>
      <c r="K21" s="169" t="s">
        <v>1125</v>
      </c>
      <c r="L21" s="169" t="s">
        <v>9421</v>
      </c>
      <c r="M21" s="169" t="s">
        <v>9417</v>
      </c>
      <c r="N21" s="170">
        <v>43832</v>
      </c>
      <c r="O21" s="169" t="s">
        <v>9350</v>
      </c>
      <c r="P21" s="170">
        <v>43832</v>
      </c>
      <c r="Q21" s="170">
        <v>43833</v>
      </c>
      <c r="R21" s="170">
        <v>43857</v>
      </c>
      <c r="S21" s="171" t="s">
        <v>9351</v>
      </c>
      <c r="T21" s="172" t="s">
        <v>9357</v>
      </c>
      <c r="U21" s="173">
        <v>43859</v>
      </c>
      <c r="V21" s="172" t="s">
        <v>9422</v>
      </c>
      <c r="W21" s="172">
        <v>6</v>
      </c>
      <c r="X21" s="172" t="s">
        <v>5683</v>
      </c>
      <c r="Y21" s="172" t="s">
        <v>4999</v>
      </c>
      <c r="Z21" s="174">
        <v>43859</v>
      </c>
      <c r="AA21" s="175" t="s">
        <v>264</v>
      </c>
      <c r="AB21" s="176">
        <v>43860</v>
      </c>
      <c r="AC21" s="176">
        <v>43860</v>
      </c>
      <c r="AF21" s="214"/>
      <c r="AG21" s="215" t="s">
        <v>4999</v>
      </c>
      <c r="AH21" s="212"/>
    </row>
    <row r="22" spans="1:35" s="213" customFormat="1" thickBot="1" x14ac:dyDescent="0.3">
      <c r="A22" s="221" t="str">
        <f t="shared" si="0"/>
        <v>OK</v>
      </c>
      <c r="B22" s="222" t="str">
        <f t="shared" si="1"/>
        <v>OK</v>
      </c>
      <c r="C22" s="223" t="str">
        <f t="shared" si="2"/>
        <v>OK</v>
      </c>
      <c r="D22" s="167">
        <v>1</v>
      </c>
      <c r="E22" s="168" t="s">
        <v>9423</v>
      </c>
      <c r="F22" s="169" t="s">
        <v>9377</v>
      </c>
      <c r="G22" s="169">
        <v>180677</v>
      </c>
      <c r="H22" s="169" t="s">
        <v>9424</v>
      </c>
      <c r="I22" s="169" t="s">
        <v>6820</v>
      </c>
      <c r="J22" s="169" t="s">
        <v>6829</v>
      </c>
      <c r="K22" s="169" t="s">
        <v>9425</v>
      </c>
      <c r="L22" s="169" t="s">
        <v>9426</v>
      </c>
      <c r="M22" s="169" t="s">
        <v>8268</v>
      </c>
      <c r="N22" s="170">
        <v>43804</v>
      </c>
      <c r="O22" s="169" t="s">
        <v>9350</v>
      </c>
      <c r="P22" s="170">
        <v>43804</v>
      </c>
      <c r="Q22" s="170">
        <v>43852</v>
      </c>
      <c r="R22" s="170">
        <v>43852</v>
      </c>
      <c r="S22" s="171" t="s">
        <v>9351</v>
      </c>
      <c r="T22" s="172" t="s">
        <v>5683</v>
      </c>
      <c r="U22" s="173" t="s">
        <v>5683</v>
      </c>
      <c r="V22" s="172" t="s">
        <v>9427</v>
      </c>
      <c r="W22" s="172">
        <v>3</v>
      </c>
      <c r="X22" s="172" t="s">
        <v>5683</v>
      </c>
      <c r="Y22" s="172" t="s">
        <v>5683</v>
      </c>
      <c r="Z22" s="174">
        <v>43944</v>
      </c>
      <c r="AA22" s="175" t="s">
        <v>264</v>
      </c>
      <c r="AB22" s="176">
        <v>43949</v>
      </c>
      <c r="AC22" s="184">
        <v>43949</v>
      </c>
      <c r="AF22" s="214"/>
      <c r="AG22" s="215" t="s">
        <v>4999</v>
      </c>
    </row>
    <row r="23" spans="1:35" s="213" customFormat="1" thickBot="1" x14ac:dyDescent="0.3">
      <c r="A23" s="221" t="str">
        <f t="shared" si="0"/>
        <v>OK</v>
      </c>
      <c r="B23" s="222" t="str">
        <f t="shared" si="1"/>
        <v>OK</v>
      </c>
      <c r="C23" s="223" t="str">
        <f t="shared" si="2"/>
        <v>OK</v>
      </c>
      <c r="D23" s="167">
        <v>0</v>
      </c>
      <c r="E23" s="168" t="s">
        <v>9423</v>
      </c>
      <c r="F23" s="169" t="s">
        <v>9377</v>
      </c>
      <c r="G23" s="169">
        <v>180677</v>
      </c>
      <c r="H23" s="169" t="s">
        <v>9428</v>
      </c>
      <c r="I23" s="169" t="s">
        <v>6820</v>
      </c>
      <c r="J23" s="169" t="s">
        <v>6829</v>
      </c>
      <c r="K23" s="169" t="s">
        <v>9425</v>
      </c>
      <c r="L23" s="169" t="s">
        <v>9426</v>
      </c>
      <c r="M23" s="169" t="s">
        <v>8268</v>
      </c>
      <c r="N23" s="170">
        <v>43804</v>
      </c>
      <c r="O23" s="169" t="s">
        <v>9350</v>
      </c>
      <c r="P23" s="170">
        <v>43804</v>
      </c>
      <c r="Q23" s="170">
        <v>43852</v>
      </c>
      <c r="R23" s="170">
        <v>43852</v>
      </c>
      <c r="S23" s="171" t="s">
        <v>9351</v>
      </c>
      <c r="T23" s="172" t="s">
        <v>9357</v>
      </c>
      <c r="U23" s="173">
        <v>43851</v>
      </c>
      <c r="V23" s="172" t="s">
        <v>9429</v>
      </c>
      <c r="W23" s="172">
        <v>3</v>
      </c>
      <c r="X23" s="172" t="s">
        <v>5683</v>
      </c>
      <c r="Y23" s="172" t="s">
        <v>4999</v>
      </c>
      <c r="Z23" s="174">
        <v>43854</v>
      </c>
      <c r="AA23" s="175" t="s">
        <v>264</v>
      </c>
      <c r="AB23" s="176">
        <v>43858</v>
      </c>
      <c r="AC23" s="176">
        <v>43858</v>
      </c>
      <c r="AF23" s="214"/>
      <c r="AG23" s="215" t="s">
        <v>4999</v>
      </c>
    </row>
    <row r="24" spans="1:35" s="213" customFormat="1" thickBot="1" x14ac:dyDescent="0.3">
      <c r="A24" s="221" t="str">
        <f t="shared" si="0"/>
        <v>OK</v>
      </c>
      <c r="B24" s="222" t="str">
        <f t="shared" si="1"/>
        <v>OK</v>
      </c>
      <c r="C24" s="223" t="str">
        <f t="shared" si="2"/>
        <v>OK</v>
      </c>
      <c r="D24" s="167">
        <v>2</v>
      </c>
      <c r="E24" s="168" t="s">
        <v>9423</v>
      </c>
      <c r="F24" s="169" t="s">
        <v>9377</v>
      </c>
      <c r="G24" s="169">
        <v>180677</v>
      </c>
      <c r="H24" s="169" t="s">
        <v>9430</v>
      </c>
      <c r="I24" s="169" t="s">
        <v>6820</v>
      </c>
      <c r="J24" s="169" t="s">
        <v>6829</v>
      </c>
      <c r="K24" s="169" t="s">
        <v>9425</v>
      </c>
      <c r="L24" s="169" t="s">
        <v>9431</v>
      </c>
      <c r="M24" s="169" t="s">
        <v>8268</v>
      </c>
      <c r="N24" s="170">
        <v>43804</v>
      </c>
      <c r="O24" s="169" t="s">
        <v>9350</v>
      </c>
      <c r="P24" s="170">
        <v>43804</v>
      </c>
      <c r="Q24" s="170">
        <v>43852</v>
      </c>
      <c r="R24" s="170">
        <v>43852</v>
      </c>
      <c r="S24" s="171" t="s">
        <v>9351</v>
      </c>
      <c r="T24" s="172" t="s">
        <v>5683</v>
      </c>
      <c r="U24" s="173" t="s">
        <v>5683</v>
      </c>
      <c r="V24" s="172" t="s">
        <v>9427</v>
      </c>
      <c r="W24" s="172">
        <v>3</v>
      </c>
      <c r="X24" s="172" t="s">
        <v>5683</v>
      </c>
      <c r="Y24" s="172" t="s">
        <v>5683</v>
      </c>
      <c r="Z24" s="174">
        <v>43950</v>
      </c>
      <c r="AA24" s="175" t="s">
        <v>264</v>
      </c>
      <c r="AB24" s="176">
        <v>43950</v>
      </c>
      <c r="AC24" s="176">
        <v>43950</v>
      </c>
      <c r="AF24" s="214"/>
      <c r="AG24" s="215" t="s">
        <v>4999</v>
      </c>
    </row>
    <row r="25" spans="1:35" s="213" customFormat="1" thickBot="1" x14ac:dyDescent="0.3">
      <c r="A25" s="221" t="str">
        <f t="shared" si="0"/>
        <v>OK</v>
      </c>
      <c r="B25" s="222" t="str">
        <f t="shared" si="1"/>
        <v>OK</v>
      </c>
      <c r="C25" s="223" t="str">
        <f t="shared" si="2"/>
        <v>OK</v>
      </c>
      <c r="D25" s="167">
        <v>0</v>
      </c>
      <c r="E25" s="168" t="s">
        <v>9432</v>
      </c>
      <c r="F25" s="169" t="s">
        <v>9433</v>
      </c>
      <c r="G25" s="169">
        <v>180721</v>
      </c>
      <c r="H25" s="169" t="s">
        <v>9434</v>
      </c>
      <c r="I25" s="169" t="s">
        <v>6820</v>
      </c>
      <c r="J25" s="169" t="s">
        <v>6829</v>
      </c>
      <c r="K25" s="169" t="s">
        <v>9435</v>
      </c>
      <c r="L25" s="169" t="s">
        <v>9436</v>
      </c>
      <c r="M25" s="169" t="s">
        <v>9437</v>
      </c>
      <c r="N25" s="170">
        <v>43857</v>
      </c>
      <c r="O25" s="169" t="s">
        <v>9350</v>
      </c>
      <c r="P25" s="170">
        <v>43859</v>
      </c>
      <c r="Q25" s="170">
        <v>43859</v>
      </c>
      <c r="R25" s="170">
        <v>43868</v>
      </c>
      <c r="S25" s="171" t="s">
        <v>9351</v>
      </c>
      <c r="T25" s="172" t="s">
        <v>9350</v>
      </c>
      <c r="U25" s="173">
        <v>43871</v>
      </c>
      <c r="V25" s="172" t="s">
        <v>9438</v>
      </c>
      <c r="W25" s="172">
        <v>2</v>
      </c>
      <c r="X25" s="172" t="s">
        <v>5683</v>
      </c>
      <c r="Y25" s="172" t="s">
        <v>4999</v>
      </c>
      <c r="Z25" s="174">
        <v>43880</v>
      </c>
      <c r="AA25" s="175" t="s">
        <v>264</v>
      </c>
      <c r="AB25" s="176">
        <v>43902</v>
      </c>
      <c r="AC25" s="177">
        <v>43902</v>
      </c>
      <c r="AF25" s="214"/>
      <c r="AG25" s="215" t="s">
        <v>4999</v>
      </c>
      <c r="AH25" s="212"/>
    </row>
    <row r="26" spans="1:35" s="213" customFormat="1" thickBot="1" x14ac:dyDescent="0.3">
      <c r="A26" s="221" t="str">
        <f t="shared" si="0"/>
        <v>OK</v>
      </c>
      <c r="B26" s="222" t="str">
        <f t="shared" si="1"/>
        <v>OK</v>
      </c>
      <c r="C26" s="223" t="str">
        <f t="shared" si="2"/>
        <v>OK</v>
      </c>
      <c r="D26" s="167">
        <v>0</v>
      </c>
      <c r="E26" s="168" t="s">
        <v>9439</v>
      </c>
      <c r="F26" s="169" t="s">
        <v>9414</v>
      </c>
      <c r="G26" s="169">
        <v>180751</v>
      </c>
      <c r="H26" s="169" t="s">
        <v>9440</v>
      </c>
      <c r="I26" s="169" t="s">
        <v>6820</v>
      </c>
      <c r="J26" s="169" t="s">
        <v>6829</v>
      </c>
      <c r="K26" s="169" t="s">
        <v>9441</v>
      </c>
      <c r="L26" s="169" t="s">
        <v>9442</v>
      </c>
      <c r="M26" s="169" t="s">
        <v>9417</v>
      </c>
      <c r="N26" s="170">
        <v>43873</v>
      </c>
      <c r="O26" s="169" t="s">
        <v>9350</v>
      </c>
      <c r="P26" s="170">
        <v>43873</v>
      </c>
      <c r="Q26" s="170">
        <v>43873</v>
      </c>
      <c r="R26" s="170">
        <v>43878</v>
      </c>
      <c r="S26" s="171" t="s">
        <v>9350</v>
      </c>
      <c r="T26" s="172" t="s">
        <v>9350</v>
      </c>
      <c r="U26" s="173">
        <v>43878</v>
      </c>
      <c r="V26" s="172" t="s">
        <v>9443</v>
      </c>
      <c r="W26" s="172">
        <v>3</v>
      </c>
      <c r="X26" s="172" t="s">
        <v>5683</v>
      </c>
      <c r="Y26" s="172" t="s">
        <v>4999</v>
      </c>
      <c r="Z26" s="174">
        <v>43880</v>
      </c>
      <c r="AA26" s="175" t="s">
        <v>264</v>
      </c>
      <c r="AB26" s="176">
        <v>43881</v>
      </c>
      <c r="AC26" s="176">
        <v>43881</v>
      </c>
      <c r="AF26" s="214"/>
      <c r="AG26" s="215" t="s">
        <v>4999</v>
      </c>
    </row>
    <row r="27" spans="1:35" s="213" customFormat="1" thickBot="1" x14ac:dyDescent="0.3">
      <c r="A27" s="221" t="str">
        <f t="shared" si="0"/>
        <v>OK</v>
      </c>
      <c r="B27" s="222" t="str">
        <f t="shared" si="1"/>
        <v>OK</v>
      </c>
      <c r="C27" s="223" t="str">
        <f t="shared" si="2"/>
        <v>OK</v>
      </c>
      <c r="D27" s="167">
        <v>0</v>
      </c>
      <c r="E27" s="168" t="s">
        <v>9444</v>
      </c>
      <c r="F27" s="169" t="s">
        <v>9414</v>
      </c>
      <c r="G27" s="169">
        <v>180751</v>
      </c>
      <c r="H27" s="169" t="s">
        <v>9445</v>
      </c>
      <c r="I27" s="169" t="s">
        <v>6820</v>
      </c>
      <c r="J27" s="169" t="s">
        <v>6829</v>
      </c>
      <c r="K27" s="169" t="s">
        <v>9441</v>
      </c>
      <c r="L27" s="169" t="s">
        <v>9442</v>
      </c>
      <c r="M27" s="169" t="s">
        <v>9417</v>
      </c>
      <c r="N27" s="170">
        <v>43873</v>
      </c>
      <c r="O27" s="169" t="s">
        <v>9350</v>
      </c>
      <c r="P27" s="170">
        <v>43873</v>
      </c>
      <c r="Q27" s="170">
        <v>43873</v>
      </c>
      <c r="R27" s="170">
        <v>43878</v>
      </c>
      <c r="S27" s="171" t="s">
        <v>9350</v>
      </c>
      <c r="T27" s="172" t="s">
        <v>9350</v>
      </c>
      <c r="U27" s="173">
        <v>43878</v>
      </c>
      <c r="V27" s="172" t="s">
        <v>9443</v>
      </c>
      <c r="W27" s="172">
        <v>4</v>
      </c>
      <c r="X27" s="172" t="s">
        <v>5683</v>
      </c>
      <c r="Y27" s="172" t="s">
        <v>4999</v>
      </c>
      <c r="Z27" s="174">
        <v>43880</v>
      </c>
      <c r="AA27" s="175" t="s">
        <v>264</v>
      </c>
      <c r="AB27" s="176">
        <v>43881</v>
      </c>
      <c r="AC27" s="176">
        <v>43881</v>
      </c>
      <c r="AF27" s="214"/>
      <c r="AG27" s="215" t="s">
        <v>4999</v>
      </c>
    </row>
    <row r="28" spans="1:35" s="213" customFormat="1" thickBot="1" x14ac:dyDescent="0.3">
      <c r="A28" s="221" t="str">
        <f t="shared" si="0"/>
        <v>OK</v>
      </c>
      <c r="B28" s="222" t="str">
        <f t="shared" si="1"/>
        <v>OK</v>
      </c>
      <c r="C28" s="223" t="str">
        <f t="shared" si="2"/>
        <v>OK</v>
      </c>
      <c r="D28" s="167">
        <v>0</v>
      </c>
      <c r="E28" s="168" t="s">
        <v>9446</v>
      </c>
      <c r="F28" s="169" t="s">
        <v>9414</v>
      </c>
      <c r="G28" s="169">
        <v>180770</v>
      </c>
      <c r="H28" s="169" t="s">
        <v>9447</v>
      </c>
      <c r="I28" s="169" t="s">
        <v>6820</v>
      </c>
      <c r="J28" s="169" t="s">
        <v>6829</v>
      </c>
      <c r="K28" s="169" t="s">
        <v>1874</v>
      </c>
      <c r="L28" s="169" t="s">
        <v>9448</v>
      </c>
      <c r="M28" s="169" t="s">
        <v>9417</v>
      </c>
      <c r="N28" s="170">
        <v>43895</v>
      </c>
      <c r="O28" s="169" t="s">
        <v>9350</v>
      </c>
      <c r="P28" s="170">
        <v>43895</v>
      </c>
      <c r="Q28" s="170">
        <v>43895</v>
      </c>
      <c r="R28" s="170">
        <v>43896</v>
      </c>
      <c r="S28" s="171" t="s">
        <v>9351</v>
      </c>
      <c r="T28" s="172" t="s">
        <v>9350</v>
      </c>
      <c r="U28" s="173">
        <v>43921</v>
      </c>
      <c r="V28" s="172" t="s">
        <v>1149</v>
      </c>
      <c r="W28" s="172">
        <v>2</v>
      </c>
      <c r="X28" s="172" t="s">
        <v>5683</v>
      </c>
      <c r="Y28" s="172" t="s">
        <v>4999</v>
      </c>
      <c r="Z28" s="174">
        <v>43921</v>
      </c>
      <c r="AA28" s="175" t="s">
        <v>264</v>
      </c>
      <c r="AB28" s="176">
        <v>43921</v>
      </c>
      <c r="AC28" s="177">
        <v>43921</v>
      </c>
      <c r="AF28" s="214"/>
      <c r="AG28" s="215" t="s">
        <v>4999</v>
      </c>
    </row>
    <row r="29" spans="1:35" s="213" customFormat="1" thickBot="1" x14ac:dyDescent="0.3">
      <c r="A29" s="221" t="str">
        <f t="shared" si="0"/>
        <v>OK</v>
      </c>
      <c r="B29" s="222" t="str">
        <f t="shared" si="1"/>
        <v>OK</v>
      </c>
      <c r="C29" s="223" t="str">
        <f t="shared" si="2"/>
        <v>OK</v>
      </c>
      <c r="D29" s="167">
        <v>0</v>
      </c>
      <c r="E29" s="168" t="s">
        <v>9449</v>
      </c>
      <c r="F29" s="169" t="s">
        <v>9414</v>
      </c>
      <c r="G29" s="169">
        <v>180782</v>
      </c>
      <c r="H29" s="169" t="s">
        <v>9450</v>
      </c>
      <c r="I29" s="169" t="s">
        <v>6820</v>
      </c>
      <c r="J29" s="169" t="s">
        <v>6829</v>
      </c>
      <c r="K29" s="169" t="s">
        <v>9451</v>
      </c>
      <c r="L29" s="169" t="s">
        <v>9452</v>
      </c>
      <c r="M29" s="169" t="s">
        <v>9417</v>
      </c>
      <c r="N29" s="170">
        <v>43907</v>
      </c>
      <c r="O29" s="169" t="s">
        <v>9350</v>
      </c>
      <c r="P29" s="170">
        <v>43907</v>
      </c>
      <c r="Q29" s="170">
        <v>43907</v>
      </c>
      <c r="R29" s="178">
        <v>43907</v>
      </c>
      <c r="S29" s="171" t="s">
        <v>9351</v>
      </c>
      <c r="T29" s="172" t="s">
        <v>9351</v>
      </c>
      <c r="U29" s="173">
        <v>43934</v>
      </c>
      <c r="V29" s="172" t="s">
        <v>9422</v>
      </c>
      <c r="W29" s="172">
        <v>5</v>
      </c>
      <c r="X29" s="172" t="s">
        <v>5683</v>
      </c>
      <c r="Y29" s="172" t="s">
        <v>4999</v>
      </c>
      <c r="Z29" s="174">
        <v>43934</v>
      </c>
      <c r="AA29" s="175" t="s">
        <v>264</v>
      </c>
      <c r="AB29" s="176">
        <v>43935</v>
      </c>
      <c r="AC29" s="177">
        <v>43935</v>
      </c>
      <c r="AF29" s="214"/>
      <c r="AG29" s="215" t="s">
        <v>4999</v>
      </c>
    </row>
    <row r="30" spans="1:35" s="213" customFormat="1" ht="15" customHeight="1" thickBot="1" x14ac:dyDescent="0.3">
      <c r="A30" s="221" t="str">
        <f t="shared" si="0"/>
        <v>OK</v>
      </c>
      <c r="B30" s="222" t="str">
        <f t="shared" si="1"/>
        <v>OK</v>
      </c>
      <c r="C30" s="223" t="str">
        <f t="shared" si="2"/>
        <v>OK</v>
      </c>
      <c r="D30" s="167">
        <v>0</v>
      </c>
      <c r="E30" s="168" t="s">
        <v>9453</v>
      </c>
      <c r="F30" s="169" t="s">
        <v>9414</v>
      </c>
      <c r="G30" s="169">
        <v>180781</v>
      </c>
      <c r="H30" s="169" t="s">
        <v>9454</v>
      </c>
      <c r="I30" s="169" t="s">
        <v>6820</v>
      </c>
      <c r="J30" s="169" t="s">
        <v>6829</v>
      </c>
      <c r="K30" s="169" t="s">
        <v>9451</v>
      </c>
      <c r="L30" s="169" t="s">
        <v>9455</v>
      </c>
      <c r="M30" s="169" t="s">
        <v>9417</v>
      </c>
      <c r="N30" s="170">
        <v>43907</v>
      </c>
      <c r="O30" s="169" t="s">
        <v>9350</v>
      </c>
      <c r="P30" s="170">
        <v>43907</v>
      </c>
      <c r="Q30" s="170">
        <v>43907</v>
      </c>
      <c r="R30" s="178">
        <v>43907</v>
      </c>
      <c r="S30" s="171" t="s">
        <v>9351</v>
      </c>
      <c r="T30" s="172" t="s">
        <v>264</v>
      </c>
      <c r="U30" s="173">
        <v>43908</v>
      </c>
      <c r="V30" s="172" t="s">
        <v>3594</v>
      </c>
      <c r="W30" s="172">
        <v>5</v>
      </c>
      <c r="X30" s="172" t="s">
        <v>5683</v>
      </c>
      <c r="Y30" s="172" t="s">
        <v>4999</v>
      </c>
      <c r="Z30" s="174">
        <v>43908</v>
      </c>
      <c r="AA30" s="175" t="s">
        <v>264</v>
      </c>
      <c r="AB30" s="176">
        <v>43908</v>
      </c>
      <c r="AC30" s="177">
        <v>43908</v>
      </c>
      <c r="AF30" s="214"/>
      <c r="AG30" s="215" t="s">
        <v>4999</v>
      </c>
    </row>
    <row r="31" spans="1:35" s="213" customFormat="1" ht="15" customHeight="1" thickBot="1" x14ac:dyDescent="0.3">
      <c r="A31" s="221" t="str">
        <f t="shared" si="0"/>
        <v>OK</v>
      </c>
      <c r="B31" s="222" t="str">
        <f t="shared" si="1"/>
        <v>OK</v>
      </c>
      <c r="C31" s="223" t="str">
        <f t="shared" si="2"/>
        <v>OK</v>
      </c>
      <c r="D31" s="179">
        <v>0</v>
      </c>
      <c r="E31" s="180" t="s">
        <v>9456</v>
      </c>
      <c r="F31" s="181" t="s">
        <v>8322</v>
      </c>
      <c r="G31" s="181">
        <v>180655</v>
      </c>
      <c r="H31" s="181" t="s">
        <v>9457</v>
      </c>
      <c r="I31" s="181" t="s">
        <v>6820</v>
      </c>
      <c r="J31" s="181" t="s">
        <v>6829</v>
      </c>
      <c r="K31" s="181" t="s">
        <v>9458</v>
      </c>
      <c r="L31" s="181" t="s">
        <v>9459</v>
      </c>
      <c r="M31" s="181" t="s">
        <v>9460</v>
      </c>
      <c r="N31" s="182">
        <v>43790</v>
      </c>
      <c r="O31" s="181" t="s">
        <v>9350</v>
      </c>
      <c r="P31" s="182">
        <v>43790</v>
      </c>
      <c r="Q31" s="182">
        <v>43791</v>
      </c>
      <c r="R31" s="185">
        <v>43796</v>
      </c>
      <c r="S31" s="171" t="s">
        <v>9351</v>
      </c>
      <c r="T31" s="172" t="s">
        <v>9357</v>
      </c>
      <c r="U31" s="173">
        <v>43851</v>
      </c>
      <c r="V31" s="172" t="s">
        <v>9461</v>
      </c>
      <c r="W31" s="172">
        <v>6</v>
      </c>
      <c r="X31" s="172" t="s">
        <v>5683</v>
      </c>
      <c r="Y31" s="172" t="s">
        <v>4999</v>
      </c>
      <c r="Z31" s="174">
        <v>43859</v>
      </c>
      <c r="AA31" s="175" t="s">
        <v>264</v>
      </c>
      <c r="AB31" s="176">
        <v>43859</v>
      </c>
      <c r="AC31" s="177">
        <v>43859</v>
      </c>
      <c r="AF31" s="214"/>
      <c r="AG31" s="215" t="s">
        <v>4999</v>
      </c>
    </row>
    <row r="32" spans="1:35" s="213" customFormat="1" ht="24.2" customHeight="1" thickBot="1" x14ac:dyDescent="0.3">
      <c r="A32" s="221" t="str">
        <f t="shared" si="0"/>
        <v>OK</v>
      </c>
      <c r="B32" s="222" t="str">
        <f t="shared" si="1"/>
        <v>OK</v>
      </c>
      <c r="C32" s="223" t="str">
        <f t="shared" si="2"/>
        <v>OK</v>
      </c>
      <c r="D32" s="155">
        <v>0</v>
      </c>
      <c r="E32" s="156" t="s">
        <v>9462</v>
      </c>
      <c r="F32" s="157" t="s">
        <v>8421</v>
      </c>
      <c r="G32" s="157">
        <v>180629</v>
      </c>
      <c r="H32" s="157" t="s">
        <v>9463</v>
      </c>
      <c r="I32" s="157" t="s">
        <v>6820</v>
      </c>
      <c r="J32" s="157" t="s">
        <v>8423</v>
      </c>
      <c r="K32" s="157" t="s">
        <v>9464</v>
      </c>
      <c r="L32" s="157" t="s">
        <v>9465</v>
      </c>
      <c r="M32" s="157" t="s">
        <v>8426</v>
      </c>
      <c r="N32" s="158">
        <v>43770</v>
      </c>
      <c r="O32" s="157" t="s">
        <v>7729</v>
      </c>
      <c r="P32" s="158">
        <v>43770</v>
      </c>
      <c r="Q32" s="158">
        <v>43819</v>
      </c>
      <c r="R32" s="159">
        <v>43846</v>
      </c>
      <c r="S32" s="160" t="s">
        <v>9351</v>
      </c>
      <c r="T32" s="161" t="s">
        <v>9350</v>
      </c>
      <c r="U32" s="162">
        <v>44085</v>
      </c>
      <c r="V32" s="226" t="s">
        <v>9466</v>
      </c>
      <c r="W32" s="161">
        <v>2</v>
      </c>
      <c r="X32" s="161" t="s">
        <v>5683</v>
      </c>
      <c r="Y32" s="161" t="s">
        <v>4999</v>
      </c>
      <c r="Z32" s="163">
        <v>44096</v>
      </c>
      <c r="AA32" s="164" t="s">
        <v>8250</v>
      </c>
      <c r="AB32" s="165">
        <v>44118</v>
      </c>
      <c r="AC32" s="166">
        <v>44118</v>
      </c>
      <c r="AD32" s="209"/>
      <c r="AE32" s="209"/>
      <c r="AF32" s="214"/>
      <c r="AG32" s="215"/>
      <c r="AH32" s="209"/>
      <c r="AI32" s="209"/>
    </row>
    <row r="33" spans="1:35" s="209" customFormat="1" thickBot="1" x14ac:dyDescent="0.3">
      <c r="A33" s="221" t="str">
        <f t="shared" si="0"/>
        <v>OK</v>
      </c>
      <c r="B33" s="222" t="str">
        <f t="shared" si="1"/>
        <v>OK</v>
      </c>
      <c r="C33" s="223" t="str">
        <f t="shared" si="2"/>
        <v>OK</v>
      </c>
      <c r="D33" s="167">
        <v>0</v>
      </c>
      <c r="E33" s="168" t="s">
        <v>9467</v>
      </c>
      <c r="F33" s="169" t="s">
        <v>8443</v>
      </c>
      <c r="G33" s="169">
        <v>180668</v>
      </c>
      <c r="H33" s="169" t="s">
        <v>9468</v>
      </c>
      <c r="I33" s="169" t="s">
        <v>6820</v>
      </c>
      <c r="J33" s="169" t="s">
        <v>6829</v>
      </c>
      <c r="K33" s="169" t="s">
        <v>9469</v>
      </c>
      <c r="L33" s="169" t="s">
        <v>9470</v>
      </c>
      <c r="M33" s="169" t="s">
        <v>8631</v>
      </c>
      <c r="N33" s="170">
        <v>43798</v>
      </c>
      <c r="O33" s="169" t="s">
        <v>9350</v>
      </c>
      <c r="P33" s="170">
        <v>44164</v>
      </c>
      <c r="Q33" s="170">
        <v>43798</v>
      </c>
      <c r="R33" s="178">
        <v>43798</v>
      </c>
      <c r="S33" s="171" t="s">
        <v>9351</v>
      </c>
      <c r="T33" s="172" t="s">
        <v>9350</v>
      </c>
      <c r="U33" s="173">
        <v>43861</v>
      </c>
      <c r="V33" s="172" t="s">
        <v>8448</v>
      </c>
      <c r="W33" s="172">
        <v>20</v>
      </c>
      <c r="X33" s="172" t="s">
        <v>5683</v>
      </c>
      <c r="Y33" s="172" t="s">
        <v>4999</v>
      </c>
      <c r="Z33" s="174">
        <v>43864</v>
      </c>
      <c r="AA33" s="175" t="s">
        <v>264</v>
      </c>
      <c r="AB33" s="176">
        <v>43865</v>
      </c>
      <c r="AC33" s="176">
        <v>43865</v>
      </c>
      <c r="AD33" s="213"/>
      <c r="AE33" s="213"/>
      <c r="AF33" s="214"/>
      <c r="AG33" s="215" t="s">
        <v>4999</v>
      </c>
      <c r="AH33" s="212" t="s">
        <v>9359</v>
      </c>
      <c r="AI33" s="213"/>
    </row>
    <row r="34" spans="1:35" s="216" customFormat="1" thickBot="1" x14ac:dyDescent="0.3">
      <c r="A34" s="221" t="str">
        <f t="shared" si="0"/>
        <v>OK</v>
      </c>
      <c r="B34" s="222" t="str">
        <f t="shared" si="1"/>
        <v>OK</v>
      </c>
      <c r="C34" s="223" t="str">
        <f t="shared" si="2"/>
        <v>OK</v>
      </c>
      <c r="D34" s="167">
        <v>0</v>
      </c>
      <c r="E34" s="168" t="s">
        <v>9471</v>
      </c>
      <c r="F34" s="169" t="s">
        <v>3449</v>
      </c>
      <c r="G34" s="169">
        <v>180653</v>
      </c>
      <c r="H34" s="169" t="s">
        <v>9472</v>
      </c>
      <c r="I34" s="169" t="s">
        <v>6820</v>
      </c>
      <c r="J34" s="169" t="s">
        <v>6829</v>
      </c>
      <c r="K34" s="169" t="s">
        <v>9473</v>
      </c>
      <c r="L34" s="169" t="s">
        <v>9474</v>
      </c>
      <c r="M34" s="169" t="s">
        <v>9475</v>
      </c>
      <c r="N34" s="170">
        <v>43788</v>
      </c>
      <c r="O34" s="169" t="s">
        <v>7729</v>
      </c>
      <c r="P34" s="170">
        <v>43788</v>
      </c>
      <c r="Q34" s="170">
        <v>43788</v>
      </c>
      <c r="R34" s="170">
        <v>43788</v>
      </c>
      <c r="S34" s="171" t="s">
        <v>9351</v>
      </c>
      <c r="T34" s="172" t="s">
        <v>9351</v>
      </c>
      <c r="U34" s="173">
        <v>43867</v>
      </c>
      <c r="V34" s="183" t="s">
        <v>9476</v>
      </c>
      <c r="W34" s="172">
        <v>3</v>
      </c>
      <c r="X34" s="172" t="s">
        <v>5683</v>
      </c>
      <c r="Y34" s="172" t="s">
        <v>4999</v>
      </c>
      <c r="Z34" s="174">
        <v>43864</v>
      </c>
      <c r="AA34" s="175" t="s">
        <v>264</v>
      </c>
      <c r="AB34" s="176">
        <v>43868</v>
      </c>
      <c r="AC34" s="176">
        <v>43868</v>
      </c>
      <c r="AD34" s="213"/>
      <c r="AE34" s="213"/>
      <c r="AF34" s="214"/>
      <c r="AG34" s="215" t="s">
        <v>4999</v>
      </c>
    </row>
    <row r="35" spans="1:35" s="213" customFormat="1" ht="30.75" thickBot="1" x14ac:dyDescent="0.3">
      <c r="A35" s="221" t="str">
        <f t="shared" si="0"/>
        <v>OK</v>
      </c>
      <c r="B35" s="222" t="str">
        <f t="shared" si="1"/>
        <v>OK</v>
      </c>
      <c r="C35" s="223" t="str">
        <f t="shared" si="2"/>
        <v>OK</v>
      </c>
      <c r="D35" s="167">
        <v>0</v>
      </c>
      <c r="E35" s="168" t="s">
        <v>9477</v>
      </c>
      <c r="F35" s="169" t="s">
        <v>9478</v>
      </c>
      <c r="G35" s="169">
        <v>180725</v>
      </c>
      <c r="H35" s="169" t="s">
        <v>9479</v>
      </c>
      <c r="I35" s="169" t="s">
        <v>6820</v>
      </c>
      <c r="J35" s="169" t="s">
        <v>6829</v>
      </c>
      <c r="K35" s="169" t="s">
        <v>1770</v>
      </c>
      <c r="L35" s="169" t="s">
        <v>9480</v>
      </c>
      <c r="M35" s="169" t="s">
        <v>9481</v>
      </c>
      <c r="N35" s="170">
        <v>43858</v>
      </c>
      <c r="O35" s="169" t="s">
        <v>9350</v>
      </c>
      <c r="P35" s="170">
        <v>44205</v>
      </c>
      <c r="Q35" s="170">
        <v>43859</v>
      </c>
      <c r="R35" s="170" t="s">
        <v>9482</v>
      </c>
      <c r="S35" s="171" t="s">
        <v>9351</v>
      </c>
      <c r="T35" s="172" t="s">
        <v>9350</v>
      </c>
      <c r="U35" s="173">
        <v>43861</v>
      </c>
      <c r="V35" s="172" t="s">
        <v>9483</v>
      </c>
      <c r="W35" s="172">
        <v>5</v>
      </c>
      <c r="X35" s="172" t="s">
        <v>5683</v>
      </c>
      <c r="Y35" s="172" t="s">
        <v>4999</v>
      </c>
      <c r="Z35" s="174">
        <v>43896</v>
      </c>
      <c r="AA35" s="175" t="s">
        <v>264</v>
      </c>
      <c r="AB35" s="176">
        <v>43915</v>
      </c>
      <c r="AC35" s="177">
        <v>43915</v>
      </c>
      <c r="AF35" s="214"/>
      <c r="AG35" s="215" t="s">
        <v>4999</v>
      </c>
      <c r="AH35" s="212" t="s">
        <v>9484</v>
      </c>
    </row>
    <row r="36" spans="1:35" s="213" customFormat="1" thickBot="1" x14ac:dyDescent="0.3">
      <c r="A36" s="221" t="str">
        <f t="shared" si="0"/>
        <v>OK</v>
      </c>
      <c r="B36" s="222" t="str">
        <f t="shared" si="1"/>
        <v>OK</v>
      </c>
      <c r="C36" s="223" t="str">
        <f t="shared" si="2"/>
        <v>OK</v>
      </c>
      <c r="D36" s="167">
        <v>0</v>
      </c>
      <c r="E36" s="168" t="s">
        <v>9485</v>
      </c>
      <c r="F36" s="169" t="s">
        <v>8322</v>
      </c>
      <c r="G36" s="169">
        <v>180720</v>
      </c>
      <c r="H36" s="169" t="s">
        <v>9486</v>
      </c>
      <c r="I36" s="169" t="s">
        <v>6820</v>
      </c>
      <c r="J36" s="169" t="s">
        <v>6829</v>
      </c>
      <c r="K36" s="169" t="s">
        <v>9487</v>
      </c>
      <c r="L36" s="169" t="s">
        <v>9488</v>
      </c>
      <c r="M36" s="169" t="s">
        <v>9489</v>
      </c>
      <c r="N36" s="170">
        <v>43861</v>
      </c>
      <c r="O36" s="169" t="s">
        <v>9350</v>
      </c>
      <c r="P36" s="170">
        <v>43861</v>
      </c>
      <c r="Q36" s="170">
        <v>43861</v>
      </c>
      <c r="R36" s="178">
        <v>43861</v>
      </c>
      <c r="S36" s="171" t="s">
        <v>9351</v>
      </c>
      <c r="T36" s="172" t="s">
        <v>9351</v>
      </c>
      <c r="U36" s="173">
        <v>43915</v>
      </c>
      <c r="V36" s="172" t="s">
        <v>9490</v>
      </c>
      <c r="W36" s="172">
        <v>9</v>
      </c>
      <c r="X36" s="172" t="s">
        <v>5683</v>
      </c>
      <c r="Y36" s="172" t="s">
        <v>4999</v>
      </c>
      <c r="Z36" s="174">
        <v>43916</v>
      </c>
      <c r="AA36" s="175" t="s">
        <v>264</v>
      </c>
      <c r="AB36" s="176">
        <v>43917</v>
      </c>
      <c r="AC36" s="177">
        <v>43917</v>
      </c>
      <c r="AF36" s="214"/>
      <c r="AG36" s="215" t="s">
        <v>4999</v>
      </c>
    </row>
    <row r="37" spans="1:35" s="213" customFormat="1" ht="15" x14ac:dyDescent="0.25">
      <c r="A37" s="221" t="str">
        <f t="shared" si="0"/>
        <v>OK</v>
      </c>
      <c r="B37" s="222" t="str">
        <f t="shared" si="1"/>
        <v>OK</v>
      </c>
      <c r="C37" s="223" t="str">
        <f t="shared" si="2"/>
        <v>OK</v>
      </c>
      <c r="D37" s="167">
        <v>0</v>
      </c>
      <c r="E37" s="168" t="s">
        <v>9491</v>
      </c>
      <c r="F37" s="169" t="s">
        <v>8322</v>
      </c>
      <c r="G37" s="169">
        <v>180720</v>
      </c>
      <c r="H37" s="169" t="s">
        <v>9492</v>
      </c>
      <c r="I37" s="169" t="s">
        <v>6820</v>
      </c>
      <c r="J37" s="169" t="s">
        <v>6829</v>
      </c>
      <c r="K37" s="169" t="s">
        <v>9493</v>
      </c>
      <c r="L37" s="169" t="s">
        <v>9494</v>
      </c>
      <c r="M37" s="181" t="s">
        <v>9411</v>
      </c>
      <c r="N37" s="170">
        <v>43861</v>
      </c>
      <c r="O37" s="169" t="s">
        <v>9350</v>
      </c>
      <c r="P37" s="170">
        <v>43861</v>
      </c>
      <c r="Q37" s="170">
        <v>43861</v>
      </c>
      <c r="R37" s="178">
        <v>43861</v>
      </c>
      <c r="S37" s="171" t="s">
        <v>9351</v>
      </c>
      <c r="T37" s="172" t="s">
        <v>9357</v>
      </c>
      <c r="U37" s="173">
        <v>43864</v>
      </c>
      <c r="V37" s="172" t="s">
        <v>9495</v>
      </c>
      <c r="W37" s="172">
        <v>1</v>
      </c>
      <c r="X37" s="172" t="s">
        <v>5683</v>
      </c>
      <c r="Y37" s="172" t="s">
        <v>4999</v>
      </c>
      <c r="Z37" s="174">
        <v>43867</v>
      </c>
      <c r="AA37" s="175" t="s">
        <v>264</v>
      </c>
      <c r="AB37" s="176">
        <v>43867</v>
      </c>
      <c r="AC37" s="176">
        <v>43867</v>
      </c>
      <c r="AF37" s="214"/>
      <c r="AG37" s="215" t="s">
        <v>4999</v>
      </c>
      <c r="AH37" s="212" t="s">
        <v>9496</v>
      </c>
    </row>
    <row r="38" spans="1:35" s="253" customFormat="1" thickBot="1" x14ac:dyDescent="0.3">
      <c r="A38" s="452" t="s">
        <v>7575</v>
      </c>
      <c r="B38" s="453"/>
      <c r="C38" s="454"/>
      <c r="D38" s="188">
        <v>0</v>
      </c>
      <c r="E38" s="189" t="s">
        <v>9497</v>
      </c>
      <c r="F38" s="190" t="s">
        <v>9498</v>
      </c>
      <c r="G38" s="190">
        <v>180729</v>
      </c>
      <c r="H38" s="190" t="s">
        <v>9499</v>
      </c>
      <c r="I38" s="190" t="s">
        <v>6820</v>
      </c>
      <c r="J38" s="190" t="s">
        <v>6829</v>
      </c>
      <c r="K38" s="190" t="s">
        <v>9500</v>
      </c>
      <c r="L38" s="194" t="s">
        <v>9501</v>
      </c>
      <c r="M38" s="194" t="s">
        <v>9502</v>
      </c>
      <c r="N38" s="191">
        <v>43861</v>
      </c>
      <c r="O38" s="190" t="s">
        <v>7729</v>
      </c>
      <c r="P38" s="191">
        <v>43861</v>
      </c>
      <c r="Q38" s="191">
        <v>43861</v>
      </c>
      <c r="R38" s="192">
        <v>43861</v>
      </c>
      <c r="S38" s="193" t="s">
        <v>9351</v>
      </c>
      <c r="T38" s="194" t="s">
        <v>9350</v>
      </c>
      <c r="U38" s="195">
        <v>43866</v>
      </c>
      <c r="V38" s="194" t="s">
        <v>7304</v>
      </c>
      <c r="W38" s="194">
        <v>20</v>
      </c>
      <c r="X38" s="194" t="s">
        <v>5683</v>
      </c>
      <c r="Y38" s="194" t="s">
        <v>4999</v>
      </c>
      <c r="Z38" s="196">
        <v>43868</v>
      </c>
      <c r="AA38" s="197" t="s">
        <v>264</v>
      </c>
      <c r="AB38" s="195">
        <v>43868</v>
      </c>
      <c r="AC38" s="195">
        <v>43868</v>
      </c>
      <c r="AD38" s="217"/>
      <c r="AE38" s="217"/>
      <c r="AF38" s="193"/>
      <c r="AG38" s="204" t="s">
        <v>4999</v>
      </c>
      <c r="AH38" s="252" t="s">
        <v>9503</v>
      </c>
      <c r="AI38" s="217"/>
    </row>
    <row r="39" spans="1:35" s="209" customFormat="1" thickBot="1" x14ac:dyDescent="0.3">
      <c r="A39" s="221" t="str">
        <f t="shared" si="0"/>
        <v>OK</v>
      </c>
      <c r="B39" s="222" t="str">
        <f t="shared" si="1"/>
        <v>OK</v>
      </c>
      <c r="C39" s="223" t="str">
        <f t="shared" si="2"/>
        <v>OK</v>
      </c>
      <c r="D39" s="155">
        <v>0</v>
      </c>
      <c r="E39" s="156" t="s">
        <v>9504</v>
      </c>
      <c r="F39" s="157" t="s">
        <v>6792</v>
      </c>
      <c r="G39" s="157">
        <v>180731</v>
      </c>
      <c r="H39" s="157" t="s">
        <v>9505</v>
      </c>
      <c r="I39" s="157" t="s">
        <v>6820</v>
      </c>
      <c r="J39" s="157" t="s">
        <v>6829</v>
      </c>
      <c r="K39" s="157" t="s">
        <v>9506</v>
      </c>
      <c r="L39" s="202" t="s">
        <v>9507</v>
      </c>
      <c r="M39" s="157" t="s">
        <v>9508</v>
      </c>
      <c r="N39" s="170">
        <v>43861</v>
      </c>
      <c r="O39" s="157" t="s">
        <v>9350</v>
      </c>
      <c r="P39" s="158">
        <v>44227</v>
      </c>
      <c r="Q39" s="158">
        <v>43864</v>
      </c>
      <c r="R39" s="159">
        <v>43864</v>
      </c>
      <c r="S39" s="160" t="s">
        <v>9351</v>
      </c>
      <c r="T39" s="161" t="s">
        <v>9350</v>
      </c>
      <c r="U39" s="162">
        <v>43864</v>
      </c>
      <c r="V39" s="198" t="s">
        <v>9509</v>
      </c>
      <c r="W39" s="161">
        <v>1</v>
      </c>
      <c r="X39" s="161" t="s">
        <v>5683</v>
      </c>
      <c r="Y39" s="161" t="s">
        <v>4999</v>
      </c>
      <c r="Z39" s="163">
        <v>43867</v>
      </c>
      <c r="AA39" s="164" t="s">
        <v>264</v>
      </c>
      <c r="AB39" s="165">
        <v>43868</v>
      </c>
      <c r="AC39" s="165">
        <v>43868</v>
      </c>
      <c r="AF39" s="210"/>
      <c r="AG39" s="211" t="s">
        <v>4999</v>
      </c>
      <c r="AH39" s="212" t="s">
        <v>9510</v>
      </c>
    </row>
    <row r="40" spans="1:35" s="209" customFormat="1" thickBot="1" x14ac:dyDescent="0.3">
      <c r="A40" s="221" t="str">
        <f t="shared" si="0"/>
        <v>OK</v>
      </c>
      <c r="B40" s="222" t="str">
        <f t="shared" si="1"/>
        <v>OK</v>
      </c>
      <c r="C40" s="223" t="str">
        <f t="shared" si="2"/>
        <v>OK</v>
      </c>
      <c r="D40" s="167">
        <v>1</v>
      </c>
      <c r="E40" s="168" t="s">
        <v>9511</v>
      </c>
      <c r="F40" s="169" t="s">
        <v>8322</v>
      </c>
      <c r="G40" s="169">
        <v>180655</v>
      </c>
      <c r="H40" s="169" t="s">
        <v>9512</v>
      </c>
      <c r="I40" s="169" t="s">
        <v>6820</v>
      </c>
      <c r="J40" s="169" t="s">
        <v>6829</v>
      </c>
      <c r="K40" s="169" t="s">
        <v>9513</v>
      </c>
      <c r="L40" s="169" t="s">
        <v>9514</v>
      </c>
      <c r="M40" s="169" t="s">
        <v>5529</v>
      </c>
      <c r="N40" s="170">
        <v>43790</v>
      </c>
      <c r="O40" s="169" t="s">
        <v>9350</v>
      </c>
      <c r="P40" s="170">
        <v>43790</v>
      </c>
      <c r="Q40" s="170">
        <v>43791</v>
      </c>
      <c r="R40" s="182">
        <v>43796</v>
      </c>
      <c r="S40" s="171" t="s">
        <v>9351</v>
      </c>
      <c r="T40" s="172" t="s">
        <v>9357</v>
      </c>
      <c r="U40" s="173">
        <v>43864</v>
      </c>
      <c r="V40" s="172" t="s">
        <v>9515</v>
      </c>
      <c r="W40" s="172">
        <v>6</v>
      </c>
      <c r="X40" s="172" t="s">
        <v>5683</v>
      </c>
      <c r="Y40" s="172" t="s">
        <v>5683</v>
      </c>
      <c r="Z40" s="174">
        <v>43872</v>
      </c>
      <c r="AA40" s="175" t="s">
        <v>264</v>
      </c>
      <c r="AB40" s="176">
        <v>43872</v>
      </c>
      <c r="AC40" s="176">
        <v>43872</v>
      </c>
      <c r="AD40" s="213"/>
      <c r="AE40" s="213"/>
      <c r="AF40" s="214"/>
      <c r="AG40" s="215" t="s">
        <v>4999</v>
      </c>
      <c r="AH40" s="212" t="s">
        <v>9516</v>
      </c>
      <c r="AI40" s="213"/>
    </row>
    <row r="41" spans="1:35" s="213" customFormat="1" thickBot="1" x14ac:dyDescent="0.3">
      <c r="A41" s="221" t="str">
        <f t="shared" si="0"/>
        <v>OK</v>
      </c>
      <c r="B41" s="222" t="str">
        <f t="shared" si="1"/>
        <v>OK</v>
      </c>
      <c r="C41" s="223" t="str">
        <f t="shared" si="2"/>
        <v>OK</v>
      </c>
      <c r="D41" s="167">
        <v>0</v>
      </c>
      <c r="E41" s="168" t="s">
        <v>9511</v>
      </c>
      <c r="F41" s="169" t="s">
        <v>8322</v>
      </c>
      <c r="G41" s="169">
        <v>180655</v>
      </c>
      <c r="H41" s="169" t="s">
        <v>9512</v>
      </c>
      <c r="I41" s="169" t="s">
        <v>6820</v>
      </c>
      <c r="J41" s="169" t="s">
        <v>6829</v>
      </c>
      <c r="K41" s="169" t="s">
        <v>9513</v>
      </c>
      <c r="L41" s="169" t="s">
        <v>9514</v>
      </c>
      <c r="M41" s="169" t="s">
        <v>5529</v>
      </c>
      <c r="N41" s="170">
        <v>43790</v>
      </c>
      <c r="O41" s="169" t="s">
        <v>9350</v>
      </c>
      <c r="P41" s="170">
        <v>43790</v>
      </c>
      <c r="Q41" s="170">
        <v>43791</v>
      </c>
      <c r="R41" s="185">
        <v>43796</v>
      </c>
      <c r="S41" s="171" t="s">
        <v>9351</v>
      </c>
      <c r="T41" s="172" t="s">
        <v>9357</v>
      </c>
      <c r="U41" s="173">
        <v>43864</v>
      </c>
      <c r="V41" s="172" t="s">
        <v>9515</v>
      </c>
      <c r="W41" s="172">
        <v>6</v>
      </c>
      <c r="X41" s="172" t="s">
        <v>5683</v>
      </c>
      <c r="Y41" s="172" t="s">
        <v>4999</v>
      </c>
      <c r="Z41" s="174">
        <v>43865</v>
      </c>
      <c r="AA41" s="175" t="s">
        <v>264</v>
      </c>
      <c r="AB41" s="176">
        <v>43867</v>
      </c>
      <c r="AC41" s="176">
        <v>43867</v>
      </c>
      <c r="AF41" s="214"/>
      <c r="AG41" s="215" t="s">
        <v>4999</v>
      </c>
      <c r="AH41" s="212"/>
    </row>
    <row r="42" spans="1:35" s="213" customFormat="1" thickBot="1" x14ac:dyDescent="0.3">
      <c r="A42" s="221" t="str">
        <f t="shared" si="0"/>
        <v>OK</v>
      </c>
      <c r="B42" s="222" t="str">
        <f t="shared" si="1"/>
        <v>OK</v>
      </c>
      <c r="C42" s="223" t="str">
        <f t="shared" si="2"/>
        <v>OK</v>
      </c>
      <c r="D42" s="167">
        <v>0</v>
      </c>
      <c r="E42" s="168" t="s">
        <v>9517</v>
      </c>
      <c r="F42" s="169" t="s">
        <v>8322</v>
      </c>
      <c r="G42" s="169">
        <v>180655</v>
      </c>
      <c r="H42" s="169" t="s">
        <v>9518</v>
      </c>
      <c r="I42" s="169" t="s">
        <v>6820</v>
      </c>
      <c r="J42" s="169" t="s">
        <v>6829</v>
      </c>
      <c r="K42" s="169" t="s">
        <v>9519</v>
      </c>
      <c r="L42" s="169" t="s">
        <v>1694</v>
      </c>
      <c r="M42" s="169" t="s">
        <v>5642</v>
      </c>
      <c r="N42" s="170">
        <v>43790</v>
      </c>
      <c r="O42" s="169" t="s">
        <v>9350</v>
      </c>
      <c r="P42" s="170">
        <v>43790</v>
      </c>
      <c r="Q42" s="170">
        <v>43791</v>
      </c>
      <c r="R42" s="185">
        <v>43796</v>
      </c>
      <c r="S42" s="171" t="s">
        <v>9351</v>
      </c>
      <c r="T42" s="172" t="s">
        <v>9357</v>
      </c>
      <c r="U42" s="173">
        <v>43864</v>
      </c>
      <c r="V42" s="172" t="s">
        <v>9520</v>
      </c>
      <c r="W42" s="172">
        <v>2</v>
      </c>
      <c r="X42" s="172" t="s">
        <v>5683</v>
      </c>
      <c r="Y42" s="172" t="s">
        <v>4999</v>
      </c>
      <c r="Z42" s="174">
        <v>43865</v>
      </c>
      <c r="AA42" s="175" t="s">
        <v>264</v>
      </c>
      <c r="AB42" s="176">
        <v>43867</v>
      </c>
      <c r="AC42" s="176">
        <v>43867</v>
      </c>
      <c r="AF42" s="214"/>
      <c r="AG42" s="215" t="s">
        <v>4999</v>
      </c>
    </row>
    <row r="43" spans="1:35" s="213" customFormat="1" thickBot="1" x14ac:dyDescent="0.3">
      <c r="A43" s="221" t="str">
        <f t="shared" si="0"/>
        <v>OK</v>
      </c>
      <c r="B43" s="222" t="str">
        <f t="shared" si="1"/>
        <v>OK</v>
      </c>
      <c r="C43" s="223" t="str">
        <f t="shared" si="2"/>
        <v>OK</v>
      </c>
      <c r="D43" s="167">
        <v>1</v>
      </c>
      <c r="E43" s="168" t="s">
        <v>9521</v>
      </c>
      <c r="F43" s="169" t="s">
        <v>8322</v>
      </c>
      <c r="G43" s="169">
        <v>180655</v>
      </c>
      <c r="H43" s="169" t="s">
        <v>9522</v>
      </c>
      <c r="I43" s="169" t="s">
        <v>6820</v>
      </c>
      <c r="J43" s="169" t="s">
        <v>6829</v>
      </c>
      <c r="K43" s="169" t="s">
        <v>9523</v>
      </c>
      <c r="L43" s="169" t="s">
        <v>9524</v>
      </c>
      <c r="M43" s="181" t="s">
        <v>9525</v>
      </c>
      <c r="N43" s="170">
        <v>43790</v>
      </c>
      <c r="O43" s="169" t="s">
        <v>9350</v>
      </c>
      <c r="P43" s="170">
        <v>43790</v>
      </c>
      <c r="Q43" s="170">
        <v>43790</v>
      </c>
      <c r="R43" s="185">
        <v>43796</v>
      </c>
      <c r="S43" s="171" t="s">
        <v>9351</v>
      </c>
      <c r="T43" s="172" t="s">
        <v>9350</v>
      </c>
      <c r="U43" s="173">
        <v>43889</v>
      </c>
      <c r="V43" s="172" t="s">
        <v>9526</v>
      </c>
      <c r="W43" s="172">
        <v>1</v>
      </c>
      <c r="X43" s="172" t="s">
        <v>5683</v>
      </c>
      <c r="Y43" s="172" t="s">
        <v>4999</v>
      </c>
      <c r="Z43" s="174">
        <v>43903</v>
      </c>
      <c r="AA43" s="175" t="s">
        <v>264</v>
      </c>
      <c r="AB43" s="176">
        <v>43899</v>
      </c>
      <c r="AC43" s="177">
        <v>43903</v>
      </c>
      <c r="AF43" s="214"/>
      <c r="AG43" s="215" t="s">
        <v>4999</v>
      </c>
      <c r="AH43" s="212" t="s">
        <v>9516</v>
      </c>
    </row>
    <row r="44" spans="1:35" s="213" customFormat="1" thickBot="1" x14ac:dyDescent="0.3">
      <c r="A44" s="221" t="str">
        <f t="shared" si="0"/>
        <v>OK</v>
      </c>
      <c r="B44" s="222" t="str">
        <f t="shared" si="1"/>
        <v>OK</v>
      </c>
      <c r="C44" s="223" t="str">
        <f t="shared" si="2"/>
        <v>OK</v>
      </c>
      <c r="D44" s="167">
        <v>0</v>
      </c>
      <c r="E44" s="168" t="s">
        <v>9521</v>
      </c>
      <c r="F44" s="169" t="s">
        <v>8322</v>
      </c>
      <c r="G44" s="169">
        <v>180655</v>
      </c>
      <c r="H44" s="169" t="s">
        <v>9527</v>
      </c>
      <c r="I44" s="169" t="s">
        <v>6820</v>
      </c>
      <c r="J44" s="169" t="s">
        <v>6829</v>
      </c>
      <c r="K44" s="169" t="s">
        <v>9523</v>
      </c>
      <c r="L44" s="169" t="s">
        <v>9524</v>
      </c>
      <c r="M44" s="181" t="s">
        <v>9525</v>
      </c>
      <c r="N44" s="170">
        <v>43790</v>
      </c>
      <c r="O44" s="169" t="s">
        <v>9350</v>
      </c>
      <c r="P44" s="170">
        <v>43790</v>
      </c>
      <c r="Q44" s="170">
        <v>43790</v>
      </c>
      <c r="R44" s="185">
        <v>43796</v>
      </c>
      <c r="S44" s="171" t="s">
        <v>9351</v>
      </c>
      <c r="T44" s="172" t="s">
        <v>9350</v>
      </c>
      <c r="U44" s="173">
        <v>43889</v>
      </c>
      <c r="V44" s="172" t="s">
        <v>9526</v>
      </c>
      <c r="W44" s="172">
        <v>1</v>
      </c>
      <c r="X44" s="172" t="s">
        <v>5683</v>
      </c>
      <c r="Y44" s="172" t="s">
        <v>4999</v>
      </c>
      <c r="Z44" s="174">
        <v>43899</v>
      </c>
      <c r="AA44" s="175" t="s">
        <v>264</v>
      </c>
      <c r="AB44" s="176">
        <v>43899</v>
      </c>
      <c r="AC44" s="177">
        <v>43899</v>
      </c>
      <c r="AF44" s="214"/>
      <c r="AG44" s="215" t="s">
        <v>4999</v>
      </c>
    </row>
    <row r="45" spans="1:35" s="213" customFormat="1" thickBot="1" x14ac:dyDescent="0.3">
      <c r="A45" s="221" t="str">
        <f t="shared" si="0"/>
        <v>OK</v>
      </c>
      <c r="B45" s="222" t="str">
        <f t="shared" si="1"/>
        <v>OK</v>
      </c>
      <c r="C45" s="223" t="str">
        <f t="shared" si="2"/>
        <v>OK</v>
      </c>
      <c r="D45" s="167">
        <v>0</v>
      </c>
      <c r="E45" s="168" t="s">
        <v>9528</v>
      </c>
      <c r="F45" s="169" t="s">
        <v>9361</v>
      </c>
      <c r="G45" s="169">
        <v>180633</v>
      </c>
      <c r="H45" s="169" t="s">
        <v>9529</v>
      </c>
      <c r="I45" s="169" t="s">
        <v>6820</v>
      </c>
      <c r="J45" s="169" t="s">
        <v>6829</v>
      </c>
      <c r="K45" s="169" t="s">
        <v>9530</v>
      </c>
      <c r="L45" s="169" t="s">
        <v>9531</v>
      </c>
      <c r="M45" s="181" t="s">
        <v>9532</v>
      </c>
      <c r="N45" s="170">
        <v>43775</v>
      </c>
      <c r="O45" s="169" t="s">
        <v>9350</v>
      </c>
      <c r="P45" s="170">
        <v>43775</v>
      </c>
      <c r="Q45" s="170">
        <v>43776</v>
      </c>
      <c r="R45" s="178">
        <v>43868</v>
      </c>
      <c r="S45" s="171" t="s">
        <v>9351</v>
      </c>
      <c r="T45" s="172" t="s">
        <v>9350</v>
      </c>
      <c r="U45" s="173">
        <v>43878</v>
      </c>
      <c r="V45" s="172" t="s">
        <v>9533</v>
      </c>
      <c r="W45" s="172">
        <v>6</v>
      </c>
      <c r="X45" s="172" t="s">
        <v>5683</v>
      </c>
      <c r="Y45" s="172" t="s">
        <v>4999</v>
      </c>
      <c r="Z45" s="174">
        <v>43899</v>
      </c>
      <c r="AA45" s="175" t="s">
        <v>264</v>
      </c>
      <c r="AB45" s="176">
        <v>43899</v>
      </c>
      <c r="AC45" s="177">
        <v>43899</v>
      </c>
      <c r="AF45" s="214"/>
      <c r="AG45" s="215" t="s">
        <v>4999</v>
      </c>
    </row>
    <row r="46" spans="1:35" s="213" customFormat="1" thickBot="1" x14ac:dyDescent="0.3">
      <c r="A46" s="221" t="str">
        <f t="shared" si="0"/>
        <v>OK</v>
      </c>
      <c r="B46" s="222" t="str">
        <f t="shared" si="1"/>
        <v>OK</v>
      </c>
      <c r="C46" s="223" t="str">
        <f t="shared" si="2"/>
        <v>OK</v>
      </c>
      <c r="D46" s="167">
        <v>0</v>
      </c>
      <c r="E46" s="168" t="s">
        <v>9534</v>
      </c>
      <c r="F46" s="169" t="s">
        <v>8317</v>
      </c>
      <c r="G46" s="169">
        <v>189738</v>
      </c>
      <c r="H46" s="169" t="s">
        <v>9535</v>
      </c>
      <c r="I46" s="169" t="s">
        <v>6820</v>
      </c>
      <c r="J46" s="169" t="s">
        <v>6829</v>
      </c>
      <c r="K46" s="169" t="s">
        <v>9536</v>
      </c>
      <c r="L46" s="169" t="s">
        <v>9537</v>
      </c>
      <c r="M46" s="169" t="s">
        <v>7296</v>
      </c>
      <c r="N46" s="170">
        <v>43866</v>
      </c>
      <c r="O46" s="169" t="s">
        <v>7729</v>
      </c>
      <c r="P46" s="170">
        <v>43867</v>
      </c>
      <c r="Q46" s="170">
        <v>43867</v>
      </c>
      <c r="R46" s="178">
        <v>43868</v>
      </c>
      <c r="S46" s="171" t="s">
        <v>9351</v>
      </c>
      <c r="T46" s="172" t="s">
        <v>7729</v>
      </c>
      <c r="U46" s="199">
        <v>43813</v>
      </c>
      <c r="V46" s="172" t="s">
        <v>9538</v>
      </c>
      <c r="W46" s="172">
        <v>2</v>
      </c>
      <c r="X46" s="172" t="s">
        <v>5683</v>
      </c>
      <c r="Y46" s="172" t="s">
        <v>4999</v>
      </c>
      <c r="Z46" s="200">
        <v>43527</v>
      </c>
      <c r="AA46" s="175" t="s">
        <v>264</v>
      </c>
      <c r="AB46" s="176">
        <v>43927</v>
      </c>
      <c r="AC46" s="177">
        <v>43927</v>
      </c>
      <c r="AF46" s="214"/>
      <c r="AG46" s="215" t="s">
        <v>4999</v>
      </c>
      <c r="AH46" s="212" t="s">
        <v>9539</v>
      </c>
    </row>
    <row r="47" spans="1:35" s="213" customFormat="1" thickBot="1" x14ac:dyDescent="0.3">
      <c r="A47" s="221" t="str">
        <f t="shared" si="0"/>
        <v>OK</v>
      </c>
      <c r="B47" s="222" t="str">
        <f t="shared" si="1"/>
        <v>OK</v>
      </c>
      <c r="C47" s="223" t="str">
        <f t="shared" si="2"/>
        <v>OK</v>
      </c>
      <c r="D47" s="155">
        <v>0</v>
      </c>
      <c r="E47" s="156" t="s">
        <v>9540</v>
      </c>
      <c r="F47" s="169" t="s">
        <v>9396</v>
      </c>
      <c r="G47" s="157">
        <v>180739</v>
      </c>
      <c r="H47" s="157" t="s">
        <v>9541</v>
      </c>
      <c r="I47" s="157" t="s">
        <v>6820</v>
      </c>
      <c r="J47" s="157" t="s">
        <v>6829</v>
      </c>
      <c r="K47" s="202" t="s">
        <v>9542</v>
      </c>
      <c r="L47" s="157" t="s">
        <v>9543</v>
      </c>
      <c r="M47" s="157" t="s">
        <v>9544</v>
      </c>
      <c r="N47" s="158">
        <v>43867</v>
      </c>
      <c r="O47" s="157" t="s">
        <v>7729</v>
      </c>
      <c r="P47" s="158">
        <v>43867</v>
      </c>
      <c r="Q47" s="158">
        <v>43867</v>
      </c>
      <c r="R47" s="159">
        <v>43871</v>
      </c>
      <c r="S47" s="160" t="s">
        <v>9351</v>
      </c>
      <c r="T47" s="161" t="s">
        <v>7729</v>
      </c>
      <c r="U47" s="162">
        <v>43875</v>
      </c>
      <c r="V47" s="161" t="s">
        <v>9545</v>
      </c>
      <c r="W47" s="161">
        <v>1</v>
      </c>
      <c r="X47" s="161" t="s">
        <v>5683</v>
      </c>
      <c r="Y47" s="161" t="s">
        <v>4999</v>
      </c>
      <c r="Z47" s="163">
        <v>43881</v>
      </c>
      <c r="AA47" s="164" t="s">
        <v>264</v>
      </c>
      <c r="AB47" s="165">
        <v>43882</v>
      </c>
      <c r="AC47" s="165">
        <v>43882</v>
      </c>
      <c r="AD47" s="209"/>
      <c r="AE47" s="209"/>
      <c r="AF47" s="210"/>
      <c r="AG47" s="211" t="s">
        <v>4999</v>
      </c>
      <c r="AH47" s="209"/>
      <c r="AI47" s="209"/>
    </row>
    <row r="48" spans="1:35" s="209" customFormat="1" thickBot="1" x14ac:dyDescent="0.3">
      <c r="A48" s="221" t="str">
        <f t="shared" si="0"/>
        <v>OK</v>
      </c>
      <c r="B48" s="222" t="str">
        <f t="shared" si="1"/>
        <v>OK</v>
      </c>
      <c r="C48" s="223" t="str">
        <f t="shared" si="2"/>
        <v>OK</v>
      </c>
      <c r="D48" s="155">
        <v>0</v>
      </c>
      <c r="E48" s="156" t="s">
        <v>9546</v>
      </c>
      <c r="F48" s="157" t="s">
        <v>8326</v>
      </c>
      <c r="G48" s="157">
        <v>180740</v>
      </c>
      <c r="H48" s="157" t="s">
        <v>9547</v>
      </c>
      <c r="I48" s="157" t="s">
        <v>6820</v>
      </c>
      <c r="J48" s="157" t="s">
        <v>6829</v>
      </c>
      <c r="K48" s="157" t="s">
        <v>9548</v>
      </c>
      <c r="L48" s="157" t="s">
        <v>9549</v>
      </c>
      <c r="M48" s="157" t="s">
        <v>5083</v>
      </c>
      <c r="N48" s="158">
        <v>43871</v>
      </c>
      <c r="O48" s="157" t="s">
        <v>9350</v>
      </c>
      <c r="P48" s="158">
        <v>43871</v>
      </c>
      <c r="Q48" s="158">
        <v>43872</v>
      </c>
      <c r="R48" s="159">
        <v>43872</v>
      </c>
      <c r="S48" s="160" t="s">
        <v>9351</v>
      </c>
      <c r="T48" s="161" t="s">
        <v>9350</v>
      </c>
      <c r="U48" s="162">
        <v>43873</v>
      </c>
      <c r="V48" s="161" t="s">
        <v>9550</v>
      </c>
      <c r="W48" s="161">
        <v>20</v>
      </c>
      <c r="X48" s="161" t="s">
        <v>5683</v>
      </c>
      <c r="Y48" s="161" t="s">
        <v>4999</v>
      </c>
      <c r="Z48" s="163">
        <v>43875</v>
      </c>
      <c r="AA48" s="164" t="s">
        <v>264</v>
      </c>
      <c r="AB48" s="165">
        <v>43879</v>
      </c>
      <c r="AC48" s="165">
        <v>43879</v>
      </c>
      <c r="AF48" s="210"/>
      <c r="AG48" s="211" t="s">
        <v>4999</v>
      </c>
    </row>
    <row r="49" spans="1:35" s="209" customFormat="1" thickBot="1" x14ac:dyDescent="0.3">
      <c r="A49" s="221" t="str">
        <f t="shared" si="0"/>
        <v>OK</v>
      </c>
      <c r="B49" s="222" t="str">
        <f t="shared" si="1"/>
        <v>OK</v>
      </c>
      <c r="C49" s="223" t="str">
        <f t="shared" si="2"/>
        <v>OK</v>
      </c>
      <c r="D49" s="167">
        <v>0</v>
      </c>
      <c r="E49" s="168" t="s">
        <v>9551</v>
      </c>
      <c r="F49" s="169" t="s">
        <v>9396</v>
      </c>
      <c r="G49" s="169">
        <v>180730</v>
      </c>
      <c r="H49" s="169" t="s">
        <v>9552</v>
      </c>
      <c r="I49" s="169" t="s">
        <v>6820</v>
      </c>
      <c r="J49" s="169" t="s">
        <v>6829</v>
      </c>
      <c r="K49" s="169" t="s">
        <v>5813</v>
      </c>
      <c r="L49" s="169" t="s">
        <v>9553</v>
      </c>
      <c r="M49" s="169" t="s">
        <v>9544</v>
      </c>
      <c r="N49" s="170">
        <v>43861</v>
      </c>
      <c r="O49" s="169" t="s">
        <v>7729</v>
      </c>
      <c r="P49" s="170">
        <v>43861</v>
      </c>
      <c r="Q49" s="170">
        <v>43864</v>
      </c>
      <c r="R49" s="178">
        <v>43872</v>
      </c>
      <c r="S49" s="171" t="s">
        <v>9351</v>
      </c>
      <c r="T49" s="172" t="s">
        <v>7729</v>
      </c>
      <c r="U49" s="173">
        <v>43875</v>
      </c>
      <c r="V49" s="172" t="s">
        <v>9554</v>
      </c>
      <c r="W49" s="172">
        <v>1</v>
      </c>
      <c r="X49" s="172" t="s">
        <v>5683</v>
      </c>
      <c r="Y49" s="172" t="s">
        <v>4999</v>
      </c>
      <c r="Z49" s="174">
        <v>43881</v>
      </c>
      <c r="AA49" s="175" t="s">
        <v>264</v>
      </c>
      <c r="AB49" s="176">
        <v>43893</v>
      </c>
      <c r="AC49" s="177">
        <v>43893</v>
      </c>
      <c r="AD49" s="213"/>
      <c r="AE49" s="213"/>
      <c r="AF49" s="214"/>
      <c r="AG49" s="215" t="s">
        <v>4999</v>
      </c>
      <c r="AH49" s="212" t="s">
        <v>9555</v>
      </c>
      <c r="AI49" s="213"/>
    </row>
    <row r="50" spans="1:35" s="213" customFormat="1" thickBot="1" x14ac:dyDescent="0.3">
      <c r="A50" s="221" t="str">
        <f t="shared" si="0"/>
        <v>OK</v>
      </c>
      <c r="B50" s="222" t="str">
        <f t="shared" si="1"/>
        <v>OK</v>
      </c>
      <c r="C50" s="223" t="str">
        <f t="shared" si="2"/>
        <v>OK</v>
      </c>
      <c r="D50" s="167">
        <v>0</v>
      </c>
      <c r="E50" s="168" t="s">
        <v>9556</v>
      </c>
      <c r="F50" s="169" t="s">
        <v>9557</v>
      </c>
      <c r="G50" s="169">
        <v>180735</v>
      </c>
      <c r="H50" s="169" t="s">
        <v>9558</v>
      </c>
      <c r="I50" s="169" t="s">
        <v>6820</v>
      </c>
      <c r="J50" s="169" t="s">
        <v>6829</v>
      </c>
      <c r="K50" s="169" t="s">
        <v>9559</v>
      </c>
      <c r="L50" s="169" t="s">
        <v>9560</v>
      </c>
      <c r="M50" s="169" t="s">
        <v>2858</v>
      </c>
      <c r="N50" s="170">
        <v>43865</v>
      </c>
      <c r="O50" s="169" t="s">
        <v>9350</v>
      </c>
      <c r="P50" s="170">
        <v>43865</v>
      </c>
      <c r="Q50" s="170">
        <v>43866</v>
      </c>
      <c r="R50" s="178">
        <v>43871</v>
      </c>
      <c r="S50" s="171" t="s">
        <v>9351</v>
      </c>
      <c r="T50" s="172" t="s">
        <v>9561</v>
      </c>
      <c r="U50" s="173">
        <v>43875</v>
      </c>
      <c r="V50" s="172" t="s">
        <v>9562</v>
      </c>
      <c r="W50" s="172">
        <v>1</v>
      </c>
      <c r="X50" s="172" t="s">
        <v>5683</v>
      </c>
      <c r="Y50" s="172" t="s">
        <v>4999</v>
      </c>
      <c r="Z50" s="174">
        <v>43907</v>
      </c>
      <c r="AA50" s="175" t="s">
        <v>264</v>
      </c>
      <c r="AB50" s="176">
        <v>43909</v>
      </c>
      <c r="AC50" s="176">
        <v>43909</v>
      </c>
      <c r="AF50" s="214"/>
      <c r="AG50" s="215" t="s">
        <v>4999</v>
      </c>
    </row>
    <row r="51" spans="1:35" s="213" customFormat="1" thickBot="1" x14ac:dyDescent="0.3">
      <c r="A51" s="221" t="str">
        <f t="shared" si="0"/>
        <v>OK</v>
      </c>
      <c r="B51" s="222" t="str">
        <f t="shared" si="1"/>
        <v>OK</v>
      </c>
      <c r="C51" s="223" t="str">
        <f t="shared" si="2"/>
        <v>OK</v>
      </c>
      <c r="D51" s="155">
        <v>0</v>
      </c>
      <c r="E51" s="156" t="s">
        <v>9563</v>
      </c>
      <c r="F51" s="157" t="s">
        <v>9564</v>
      </c>
      <c r="G51" s="157">
        <v>180737</v>
      </c>
      <c r="H51" s="157" t="s">
        <v>9565</v>
      </c>
      <c r="I51" s="157" t="s">
        <v>6820</v>
      </c>
      <c r="J51" s="157" t="s">
        <v>6829</v>
      </c>
      <c r="K51" s="157" t="s">
        <v>9566</v>
      </c>
      <c r="L51" s="157" t="s">
        <v>9567</v>
      </c>
      <c r="M51" s="202" t="s">
        <v>9568</v>
      </c>
      <c r="N51" s="158">
        <v>43872</v>
      </c>
      <c r="O51" s="157" t="s">
        <v>9350</v>
      </c>
      <c r="P51" s="158">
        <v>43839</v>
      </c>
      <c r="Q51" s="158">
        <v>43872</v>
      </c>
      <c r="R51" s="186" t="s">
        <v>9569</v>
      </c>
      <c r="S51" s="160" t="s">
        <v>9357</v>
      </c>
      <c r="T51" s="161" t="s">
        <v>9350</v>
      </c>
      <c r="U51" s="162">
        <v>43873</v>
      </c>
      <c r="V51" s="161" t="s">
        <v>9570</v>
      </c>
      <c r="W51" s="161">
        <v>1</v>
      </c>
      <c r="X51" s="161" t="s">
        <v>5683</v>
      </c>
      <c r="Y51" s="161" t="s">
        <v>4999</v>
      </c>
      <c r="Z51" s="163">
        <v>43874</v>
      </c>
      <c r="AA51" s="164" t="s">
        <v>264</v>
      </c>
      <c r="AB51" s="165">
        <v>43875</v>
      </c>
      <c r="AC51" s="165">
        <v>43875</v>
      </c>
      <c r="AD51" s="209"/>
      <c r="AE51" s="209"/>
      <c r="AF51" s="210"/>
      <c r="AG51" s="211" t="s">
        <v>4999</v>
      </c>
      <c r="AH51" s="209"/>
      <c r="AI51" s="209"/>
    </row>
    <row r="52" spans="1:35" s="209" customFormat="1" thickBot="1" x14ac:dyDescent="0.3">
      <c r="A52" s="221" t="str">
        <f t="shared" si="0"/>
        <v>OK</v>
      </c>
      <c r="B52" s="222" t="str">
        <f t="shared" si="1"/>
        <v>OK</v>
      </c>
      <c r="C52" s="223" t="str">
        <f t="shared" si="2"/>
        <v>OK</v>
      </c>
      <c r="D52" s="155">
        <v>0</v>
      </c>
      <c r="E52" s="156" t="s">
        <v>9571</v>
      </c>
      <c r="F52" s="157" t="s">
        <v>6169</v>
      </c>
      <c r="G52" s="157">
        <v>180743</v>
      </c>
      <c r="H52" s="157" t="s">
        <v>9572</v>
      </c>
      <c r="I52" s="157" t="s">
        <v>6820</v>
      </c>
      <c r="J52" s="157" t="s">
        <v>6829</v>
      </c>
      <c r="K52" s="157" t="s">
        <v>9573</v>
      </c>
      <c r="L52" s="157" t="s">
        <v>9574</v>
      </c>
      <c r="M52" s="157" t="s">
        <v>127</v>
      </c>
      <c r="N52" s="158">
        <v>43872</v>
      </c>
      <c r="O52" s="157" t="s">
        <v>9350</v>
      </c>
      <c r="P52" s="158">
        <v>43872</v>
      </c>
      <c r="Q52" s="158">
        <v>43872</v>
      </c>
      <c r="R52" s="159">
        <v>43874</v>
      </c>
      <c r="S52" s="160" t="s">
        <v>264</v>
      </c>
      <c r="T52" s="161" t="s">
        <v>9350</v>
      </c>
      <c r="U52" s="162">
        <v>43880</v>
      </c>
      <c r="V52" s="161" t="s">
        <v>9575</v>
      </c>
      <c r="W52" s="161">
        <v>10</v>
      </c>
      <c r="X52" s="161" t="s">
        <v>5683</v>
      </c>
      <c r="Y52" s="161" t="s">
        <v>4999</v>
      </c>
      <c r="Z52" s="163">
        <v>43863</v>
      </c>
      <c r="AA52" s="164" t="s">
        <v>264</v>
      </c>
      <c r="AB52" s="165">
        <v>43895</v>
      </c>
      <c r="AC52" s="166">
        <v>43895</v>
      </c>
      <c r="AF52" s="210"/>
      <c r="AG52" s="211" t="s">
        <v>4999</v>
      </c>
    </row>
    <row r="53" spans="1:35" s="209" customFormat="1" thickBot="1" x14ac:dyDescent="0.3">
      <c r="A53" s="221" t="str">
        <f t="shared" si="0"/>
        <v>OK</v>
      </c>
      <c r="B53" s="222" t="str">
        <f t="shared" si="1"/>
        <v>OK</v>
      </c>
      <c r="C53" s="223" t="str">
        <f t="shared" si="2"/>
        <v>OK</v>
      </c>
      <c r="D53" s="155">
        <v>0</v>
      </c>
      <c r="E53" s="156" t="s">
        <v>9576</v>
      </c>
      <c r="F53" s="157" t="s">
        <v>9557</v>
      </c>
      <c r="G53" s="157">
        <v>180735</v>
      </c>
      <c r="H53" s="157" t="s">
        <v>9577</v>
      </c>
      <c r="I53" s="157" t="s">
        <v>6820</v>
      </c>
      <c r="J53" s="157" t="s">
        <v>6829</v>
      </c>
      <c r="K53" s="157" t="s">
        <v>9559</v>
      </c>
      <c r="L53" s="157" t="s">
        <v>9578</v>
      </c>
      <c r="M53" s="157" t="s">
        <v>2858</v>
      </c>
      <c r="N53" s="158">
        <v>43865</v>
      </c>
      <c r="O53" s="157" t="s">
        <v>9350</v>
      </c>
      <c r="P53" s="170">
        <v>43865</v>
      </c>
      <c r="Q53" s="170">
        <v>43866</v>
      </c>
      <c r="R53" s="178">
        <v>43871</v>
      </c>
      <c r="S53" s="160" t="s">
        <v>9351</v>
      </c>
      <c r="T53" s="161" t="s">
        <v>9561</v>
      </c>
      <c r="U53" s="162">
        <v>43875</v>
      </c>
      <c r="V53" s="161" t="s">
        <v>6420</v>
      </c>
      <c r="W53" s="161">
        <v>3</v>
      </c>
      <c r="X53" s="161" t="s">
        <v>5683</v>
      </c>
      <c r="Y53" s="161" t="s">
        <v>4999</v>
      </c>
      <c r="Z53" s="163">
        <v>43880</v>
      </c>
      <c r="AA53" s="164" t="s">
        <v>264</v>
      </c>
      <c r="AB53" s="165">
        <v>43881</v>
      </c>
      <c r="AC53" s="166">
        <v>43881</v>
      </c>
      <c r="AF53" s="210"/>
      <c r="AG53" s="211" t="s">
        <v>4999</v>
      </c>
    </row>
    <row r="54" spans="1:35" s="209" customFormat="1" thickBot="1" x14ac:dyDescent="0.3">
      <c r="A54" s="221" t="str">
        <f t="shared" si="0"/>
        <v>OK</v>
      </c>
      <c r="B54" s="222" t="str">
        <f t="shared" si="1"/>
        <v>OK</v>
      </c>
      <c r="C54" s="223" t="str">
        <f t="shared" si="2"/>
        <v>OK</v>
      </c>
      <c r="D54" s="155">
        <v>0</v>
      </c>
      <c r="E54" s="156" t="s">
        <v>9579</v>
      </c>
      <c r="F54" s="157" t="s">
        <v>9580</v>
      </c>
      <c r="G54" s="157">
        <v>180588</v>
      </c>
      <c r="H54" s="157" t="s">
        <v>9581</v>
      </c>
      <c r="I54" s="157" t="s">
        <v>6820</v>
      </c>
      <c r="J54" s="157" t="s">
        <v>6829</v>
      </c>
      <c r="K54" s="157" t="s">
        <v>9582</v>
      </c>
      <c r="L54" s="157" t="s">
        <v>9583</v>
      </c>
      <c r="M54" s="157" t="s">
        <v>5638</v>
      </c>
      <c r="N54" s="158">
        <v>43748</v>
      </c>
      <c r="O54" s="157" t="s">
        <v>9350</v>
      </c>
      <c r="P54" s="158">
        <v>43748</v>
      </c>
      <c r="Q54" s="158">
        <v>43748</v>
      </c>
      <c r="R54" s="159">
        <v>43748</v>
      </c>
      <c r="S54" s="160" t="s">
        <v>9351</v>
      </c>
      <c r="T54" s="161" t="s">
        <v>9351</v>
      </c>
      <c r="U54" s="162">
        <v>43976</v>
      </c>
      <c r="V54" s="161" t="s">
        <v>9584</v>
      </c>
      <c r="W54" s="161">
        <v>13</v>
      </c>
      <c r="X54" s="161" t="s">
        <v>5683</v>
      </c>
      <c r="Y54" s="161" t="s">
        <v>4999</v>
      </c>
      <c r="Z54" s="163">
        <v>43976</v>
      </c>
      <c r="AA54" s="164" t="s">
        <v>264</v>
      </c>
      <c r="AB54" s="165">
        <v>43983</v>
      </c>
      <c r="AC54" s="166">
        <v>43983</v>
      </c>
      <c r="AF54" s="210"/>
      <c r="AG54" s="211"/>
    </row>
    <row r="55" spans="1:35" s="209" customFormat="1" thickBot="1" x14ac:dyDescent="0.3">
      <c r="A55" s="221" t="str">
        <f t="shared" si="0"/>
        <v>OK</v>
      </c>
      <c r="B55" s="222" t="str">
        <f t="shared" si="1"/>
        <v>OK</v>
      </c>
      <c r="C55" s="223" t="str">
        <f t="shared" si="2"/>
        <v>OK</v>
      </c>
      <c r="D55" s="155">
        <v>0</v>
      </c>
      <c r="E55" s="156" t="s">
        <v>9585</v>
      </c>
      <c r="F55" s="169" t="s">
        <v>9396</v>
      </c>
      <c r="G55" s="157">
        <v>180747</v>
      </c>
      <c r="H55" s="157" t="s">
        <v>9586</v>
      </c>
      <c r="I55" s="157" t="s">
        <v>6820</v>
      </c>
      <c r="J55" s="157" t="s">
        <v>6829</v>
      </c>
      <c r="K55" s="157" t="s">
        <v>5034</v>
      </c>
      <c r="L55" s="157" t="s">
        <v>9587</v>
      </c>
      <c r="M55" s="157" t="s">
        <v>9544</v>
      </c>
      <c r="N55" s="158">
        <v>43873</v>
      </c>
      <c r="O55" s="169" t="s">
        <v>7729</v>
      </c>
      <c r="P55" s="158">
        <v>43873</v>
      </c>
      <c r="Q55" s="158">
        <v>43873</v>
      </c>
      <c r="R55" s="159">
        <v>43875</v>
      </c>
      <c r="S55" s="160" t="s">
        <v>9351</v>
      </c>
      <c r="T55" s="161" t="s">
        <v>7729</v>
      </c>
      <c r="U55" s="162">
        <v>43875</v>
      </c>
      <c r="V55" s="161" t="s">
        <v>9408</v>
      </c>
      <c r="W55" s="161">
        <v>5</v>
      </c>
      <c r="X55" s="161" t="s">
        <v>5683</v>
      </c>
      <c r="Y55" s="161" t="s">
        <v>4999</v>
      </c>
      <c r="Z55" s="163">
        <v>43881</v>
      </c>
      <c r="AA55" s="164" t="s">
        <v>264</v>
      </c>
      <c r="AB55" s="165">
        <v>43882</v>
      </c>
      <c r="AC55" s="165">
        <v>43882</v>
      </c>
      <c r="AF55" s="210"/>
      <c r="AG55" s="211" t="s">
        <v>4999</v>
      </c>
    </row>
    <row r="56" spans="1:35" s="209" customFormat="1" thickBot="1" x14ac:dyDescent="0.3">
      <c r="A56" s="221" t="str">
        <f t="shared" si="0"/>
        <v>OK</v>
      </c>
      <c r="B56" s="222" t="str">
        <f t="shared" si="1"/>
        <v>OK</v>
      </c>
      <c r="C56" s="223" t="str">
        <f t="shared" si="2"/>
        <v>OK</v>
      </c>
      <c r="D56" s="155">
        <v>0</v>
      </c>
      <c r="E56" s="156" t="s">
        <v>9588</v>
      </c>
      <c r="F56" s="157" t="s">
        <v>9396</v>
      </c>
      <c r="G56" s="157">
        <v>180747</v>
      </c>
      <c r="H56" s="157" t="s">
        <v>9589</v>
      </c>
      <c r="I56" s="157" t="s">
        <v>6820</v>
      </c>
      <c r="J56" s="157" t="s">
        <v>6829</v>
      </c>
      <c r="K56" s="157" t="s">
        <v>5034</v>
      </c>
      <c r="L56" s="157" t="s">
        <v>9590</v>
      </c>
      <c r="M56" s="157" t="s">
        <v>9544</v>
      </c>
      <c r="N56" s="158">
        <v>43873</v>
      </c>
      <c r="O56" s="169" t="s">
        <v>7729</v>
      </c>
      <c r="P56" s="158">
        <v>43873</v>
      </c>
      <c r="Q56" s="158">
        <v>43873</v>
      </c>
      <c r="R56" s="159">
        <v>43875</v>
      </c>
      <c r="S56" s="160" t="s">
        <v>9351</v>
      </c>
      <c r="T56" s="161" t="s">
        <v>7729</v>
      </c>
      <c r="U56" s="162">
        <v>43875</v>
      </c>
      <c r="V56" s="161" t="s">
        <v>9591</v>
      </c>
      <c r="W56" s="161">
        <v>3</v>
      </c>
      <c r="X56" s="161" t="s">
        <v>5683</v>
      </c>
      <c r="Y56" s="161" t="s">
        <v>4999</v>
      </c>
      <c r="Z56" s="163">
        <v>43881</v>
      </c>
      <c r="AA56" s="164" t="s">
        <v>264</v>
      </c>
      <c r="AB56" s="165">
        <v>43882</v>
      </c>
      <c r="AC56" s="165">
        <v>43882</v>
      </c>
      <c r="AF56" s="210"/>
      <c r="AG56" s="211" t="s">
        <v>4999</v>
      </c>
    </row>
    <row r="57" spans="1:35" s="209" customFormat="1" thickBot="1" x14ac:dyDescent="0.3">
      <c r="A57" s="221" t="str">
        <f t="shared" si="0"/>
        <v>OK</v>
      </c>
      <c r="B57" s="222" t="str">
        <f t="shared" si="1"/>
        <v>OK</v>
      </c>
      <c r="C57" s="223" t="str">
        <f t="shared" si="2"/>
        <v>OK</v>
      </c>
      <c r="D57" s="155">
        <v>0</v>
      </c>
      <c r="E57" s="156" t="s">
        <v>9592</v>
      </c>
      <c r="F57" s="157" t="s">
        <v>9361</v>
      </c>
      <c r="G57" s="157">
        <v>180755</v>
      </c>
      <c r="H57" s="157" t="s">
        <v>9593</v>
      </c>
      <c r="I57" s="157" t="s">
        <v>6820</v>
      </c>
      <c r="J57" s="157" t="s">
        <v>6829</v>
      </c>
      <c r="K57" s="157" t="s">
        <v>9594</v>
      </c>
      <c r="L57" s="157" t="s">
        <v>9595</v>
      </c>
      <c r="M57" s="157" t="s">
        <v>9596</v>
      </c>
      <c r="N57" s="158">
        <v>43878</v>
      </c>
      <c r="O57" s="157" t="s">
        <v>9350</v>
      </c>
      <c r="P57" s="158">
        <v>43878</v>
      </c>
      <c r="Q57" s="158">
        <v>43878</v>
      </c>
      <c r="R57" s="159">
        <v>43880</v>
      </c>
      <c r="S57" s="160" t="s">
        <v>9351</v>
      </c>
      <c r="T57" s="161" t="s">
        <v>9350</v>
      </c>
      <c r="U57" s="162">
        <v>43879</v>
      </c>
      <c r="V57" s="161" t="s">
        <v>9366</v>
      </c>
      <c r="W57" s="161">
        <v>1</v>
      </c>
      <c r="X57" s="161" t="s">
        <v>5683</v>
      </c>
      <c r="Y57" s="161" t="s">
        <v>4999</v>
      </c>
      <c r="Z57" s="163">
        <v>43880</v>
      </c>
      <c r="AA57" s="164" t="s">
        <v>264</v>
      </c>
      <c r="AB57" s="165">
        <v>43881</v>
      </c>
      <c r="AC57" s="165">
        <v>43881</v>
      </c>
      <c r="AF57" s="210"/>
      <c r="AG57" s="211" t="s">
        <v>4999</v>
      </c>
    </row>
    <row r="58" spans="1:35" s="209" customFormat="1" thickBot="1" x14ac:dyDescent="0.3">
      <c r="A58" s="221" t="str">
        <f t="shared" si="0"/>
        <v>OK</v>
      </c>
      <c r="B58" s="222" t="str">
        <f t="shared" si="1"/>
        <v>OK</v>
      </c>
      <c r="C58" s="223" t="str">
        <f t="shared" si="2"/>
        <v>OK</v>
      </c>
      <c r="D58" s="155">
        <v>0</v>
      </c>
      <c r="E58" s="156" t="s">
        <v>9597</v>
      </c>
      <c r="F58" s="157" t="s">
        <v>6169</v>
      </c>
      <c r="G58" s="157">
        <v>180741</v>
      </c>
      <c r="H58" s="157" t="s">
        <v>9598</v>
      </c>
      <c r="I58" s="157" t="s">
        <v>6820</v>
      </c>
      <c r="J58" s="157" t="s">
        <v>6829</v>
      </c>
      <c r="K58" s="157" t="s">
        <v>6577</v>
      </c>
      <c r="L58" s="157" t="s">
        <v>7082</v>
      </c>
      <c r="M58" s="157" t="s">
        <v>6579</v>
      </c>
      <c r="N58" s="158">
        <v>43872</v>
      </c>
      <c r="O58" s="157" t="s">
        <v>9350</v>
      </c>
      <c r="P58" s="158">
        <v>43872</v>
      </c>
      <c r="Q58" s="158">
        <v>43872</v>
      </c>
      <c r="R58" s="158">
        <v>43872</v>
      </c>
      <c r="S58" s="160" t="s">
        <v>9357</v>
      </c>
      <c r="T58" s="161" t="s">
        <v>9350</v>
      </c>
      <c r="U58" s="162">
        <v>43880</v>
      </c>
      <c r="V58" s="161" t="s">
        <v>9599</v>
      </c>
      <c r="W58" s="161">
        <v>5</v>
      </c>
      <c r="X58" s="161" t="s">
        <v>5683</v>
      </c>
      <c r="Y58" s="161" t="s">
        <v>4999</v>
      </c>
      <c r="Z58" s="163">
        <v>43882</v>
      </c>
      <c r="AA58" s="164" t="s">
        <v>264</v>
      </c>
      <c r="AB58" s="165">
        <v>43882</v>
      </c>
      <c r="AC58" s="165">
        <v>43882</v>
      </c>
      <c r="AF58" s="210"/>
      <c r="AG58" s="211" t="s">
        <v>4999</v>
      </c>
    </row>
    <row r="59" spans="1:35" s="209" customFormat="1" thickBot="1" x14ac:dyDescent="0.3">
      <c r="A59" s="221" t="str">
        <f t="shared" si="0"/>
        <v>OK</v>
      </c>
      <c r="B59" s="222" t="str">
        <f t="shared" si="1"/>
        <v>OK</v>
      </c>
      <c r="C59" s="223" t="str">
        <f t="shared" si="2"/>
        <v>OK</v>
      </c>
      <c r="D59" s="155">
        <v>0</v>
      </c>
      <c r="E59" s="156" t="s">
        <v>9600</v>
      </c>
      <c r="F59" s="157" t="s">
        <v>8272</v>
      </c>
      <c r="G59" s="157">
        <v>180754</v>
      </c>
      <c r="H59" s="157" t="s">
        <v>9601</v>
      </c>
      <c r="I59" s="157" t="s">
        <v>6820</v>
      </c>
      <c r="J59" s="157" t="s">
        <v>6829</v>
      </c>
      <c r="K59" s="157" t="s">
        <v>9602</v>
      </c>
      <c r="L59" s="157" t="s">
        <v>9603</v>
      </c>
      <c r="M59" s="157" t="s">
        <v>9604</v>
      </c>
      <c r="N59" s="158">
        <v>43875</v>
      </c>
      <c r="O59" s="157" t="s">
        <v>7729</v>
      </c>
      <c r="P59" s="158">
        <v>43876</v>
      </c>
      <c r="Q59" s="158">
        <v>43876</v>
      </c>
      <c r="R59" s="159">
        <v>43880</v>
      </c>
      <c r="S59" s="160" t="s">
        <v>9357</v>
      </c>
      <c r="T59" s="161" t="s">
        <v>7729</v>
      </c>
      <c r="U59" s="162">
        <v>43875</v>
      </c>
      <c r="V59" s="161" t="s">
        <v>9605</v>
      </c>
      <c r="W59" s="161">
        <v>1</v>
      </c>
      <c r="X59" s="161" t="s">
        <v>5683</v>
      </c>
      <c r="Y59" s="161" t="s">
        <v>4999</v>
      </c>
      <c r="Z59" s="163">
        <v>43882</v>
      </c>
      <c r="AA59" s="164" t="s">
        <v>264</v>
      </c>
      <c r="AB59" s="165">
        <v>43882</v>
      </c>
      <c r="AC59" s="165">
        <v>43882</v>
      </c>
      <c r="AF59" s="210"/>
      <c r="AG59" s="211" t="s">
        <v>4999</v>
      </c>
    </row>
    <row r="60" spans="1:35" s="209" customFormat="1" thickBot="1" x14ac:dyDescent="0.3">
      <c r="A60" s="221" t="str">
        <f t="shared" si="0"/>
        <v>OK</v>
      </c>
      <c r="B60" s="222" t="str">
        <f t="shared" si="1"/>
        <v>OK</v>
      </c>
      <c r="C60" s="223" t="str">
        <f t="shared" si="2"/>
        <v>OK</v>
      </c>
      <c r="D60" s="167">
        <v>0</v>
      </c>
      <c r="E60" s="168" t="s">
        <v>9606</v>
      </c>
      <c r="F60" s="169" t="s">
        <v>3386</v>
      </c>
      <c r="G60" s="169">
        <v>180760</v>
      </c>
      <c r="H60" s="169" t="s">
        <v>9607</v>
      </c>
      <c r="I60" s="169" t="s">
        <v>6820</v>
      </c>
      <c r="J60" s="169" t="s">
        <v>6829</v>
      </c>
      <c r="K60" s="169" t="s">
        <v>5776</v>
      </c>
      <c r="L60" s="169" t="s">
        <v>9608</v>
      </c>
      <c r="M60" s="169" t="s">
        <v>9356</v>
      </c>
      <c r="N60" s="170">
        <v>43880</v>
      </c>
      <c r="O60" s="169" t="s">
        <v>9350</v>
      </c>
      <c r="P60" s="170">
        <v>43880</v>
      </c>
      <c r="Q60" s="170">
        <v>43880</v>
      </c>
      <c r="R60" s="178">
        <v>43880</v>
      </c>
      <c r="S60" s="171" t="s">
        <v>9351</v>
      </c>
      <c r="T60" s="172" t="s">
        <v>9350</v>
      </c>
      <c r="U60" s="173">
        <v>43888</v>
      </c>
      <c r="V60" s="172" t="s">
        <v>9609</v>
      </c>
      <c r="W60" s="172">
        <v>15</v>
      </c>
      <c r="X60" s="172" t="s">
        <v>5683</v>
      </c>
      <c r="Y60" s="172" t="s">
        <v>4999</v>
      </c>
      <c r="Z60" s="174">
        <v>43867</v>
      </c>
      <c r="AA60" s="175" t="s">
        <v>264</v>
      </c>
      <c r="AB60" s="176">
        <v>43900</v>
      </c>
      <c r="AC60" s="177">
        <v>43900</v>
      </c>
      <c r="AD60" s="213"/>
      <c r="AE60" s="213"/>
      <c r="AF60" s="214"/>
      <c r="AG60" s="215" t="s">
        <v>4999</v>
      </c>
      <c r="AH60" s="213"/>
      <c r="AI60" s="213"/>
    </row>
    <row r="61" spans="1:35" s="213" customFormat="1" thickBot="1" x14ac:dyDescent="0.3">
      <c r="A61" s="221" t="str">
        <f t="shared" si="0"/>
        <v>OK</v>
      </c>
      <c r="B61" s="222" t="str">
        <f t="shared" si="1"/>
        <v>OK</v>
      </c>
      <c r="C61" s="223" t="str">
        <f t="shared" si="2"/>
        <v>OK</v>
      </c>
      <c r="D61" s="155">
        <v>0</v>
      </c>
      <c r="E61" s="156" t="s">
        <v>9610</v>
      </c>
      <c r="F61" s="157" t="s">
        <v>9172</v>
      </c>
      <c r="G61" s="157">
        <v>180758</v>
      </c>
      <c r="H61" s="157" t="s">
        <v>9611</v>
      </c>
      <c r="I61" s="157" t="s">
        <v>6820</v>
      </c>
      <c r="J61" s="157" t="s">
        <v>6829</v>
      </c>
      <c r="K61" s="157" t="s">
        <v>427</v>
      </c>
      <c r="L61" s="157" t="s">
        <v>9612</v>
      </c>
      <c r="M61" s="157" t="s">
        <v>9613</v>
      </c>
      <c r="N61" s="158">
        <v>43880</v>
      </c>
      <c r="O61" s="181" t="s">
        <v>7729</v>
      </c>
      <c r="P61" s="158">
        <v>43880</v>
      </c>
      <c r="Q61" s="158">
        <v>43880</v>
      </c>
      <c r="R61" s="159">
        <v>43881</v>
      </c>
      <c r="S61" s="160" t="s">
        <v>9351</v>
      </c>
      <c r="T61" s="161" t="s">
        <v>7729</v>
      </c>
      <c r="U61" s="162">
        <v>43881</v>
      </c>
      <c r="V61" s="161" t="s">
        <v>9614</v>
      </c>
      <c r="W61" s="161">
        <v>1</v>
      </c>
      <c r="X61" s="161" t="s">
        <v>5683</v>
      </c>
      <c r="Y61" s="161" t="s">
        <v>4999</v>
      </c>
      <c r="Z61" s="163">
        <v>43882</v>
      </c>
      <c r="AA61" s="164" t="s">
        <v>264</v>
      </c>
      <c r="AB61" s="165">
        <v>43889</v>
      </c>
      <c r="AC61" s="165">
        <v>43889</v>
      </c>
      <c r="AD61" s="209"/>
      <c r="AE61" s="209"/>
      <c r="AF61" s="210"/>
      <c r="AG61" s="211" t="s">
        <v>4999</v>
      </c>
      <c r="AH61" s="209"/>
      <c r="AI61" s="209"/>
    </row>
    <row r="62" spans="1:35" s="209" customFormat="1" thickBot="1" x14ac:dyDescent="0.3">
      <c r="A62" s="221" t="str">
        <f t="shared" si="0"/>
        <v>OK</v>
      </c>
      <c r="B62" s="222" t="str">
        <f t="shared" si="1"/>
        <v>OK</v>
      </c>
      <c r="C62" s="223" t="str">
        <f t="shared" si="2"/>
        <v>OK</v>
      </c>
      <c r="D62" s="155">
        <v>0</v>
      </c>
      <c r="E62" s="156" t="s">
        <v>9615</v>
      </c>
      <c r="F62" s="157" t="s">
        <v>9172</v>
      </c>
      <c r="G62" s="157">
        <v>180758</v>
      </c>
      <c r="H62" s="157" t="s">
        <v>9616</v>
      </c>
      <c r="I62" s="157" t="s">
        <v>6820</v>
      </c>
      <c r="J62" s="157" t="s">
        <v>6829</v>
      </c>
      <c r="K62" s="157" t="s">
        <v>9041</v>
      </c>
      <c r="L62" s="157" t="s">
        <v>9617</v>
      </c>
      <c r="M62" s="157" t="s">
        <v>4237</v>
      </c>
      <c r="N62" s="158">
        <v>43880</v>
      </c>
      <c r="O62" s="181" t="s">
        <v>7729</v>
      </c>
      <c r="P62" s="158">
        <v>43880</v>
      </c>
      <c r="Q62" s="158">
        <v>43880</v>
      </c>
      <c r="R62" s="159">
        <v>43881</v>
      </c>
      <c r="S62" s="160" t="s">
        <v>9351</v>
      </c>
      <c r="T62" s="161" t="s">
        <v>7729</v>
      </c>
      <c r="U62" s="162">
        <v>43881</v>
      </c>
      <c r="V62" s="161" t="s">
        <v>1876</v>
      </c>
      <c r="W62" s="161">
        <v>2</v>
      </c>
      <c r="X62" s="161" t="s">
        <v>5683</v>
      </c>
      <c r="Y62" s="161" t="s">
        <v>4999</v>
      </c>
      <c r="Z62" s="163">
        <v>43887</v>
      </c>
      <c r="AA62" s="164" t="s">
        <v>264</v>
      </c>
      <c r="AB62" s="165">
        <v>43889</v>
      </c>
      <c r="AC62" s="165">
        <v>43889</v>
      </c>
      <c r="AF62" s="210"/>
      <c r="AG62" s="211" t="s">
        <v>4999</v>
      </c>
    </row>
    <row r="63" spans="1:35" s="209" customFormat="1" thickBot="1" x14ac:dyDescent="0.3">
      <c r="A63" s="221" t="str">
        <f t="shared" si="0"/>
        <v>OK</v>
      </c>
      <c r="B63" s="222" t="str">
        <f t="shared" si="1"/>
        <v>OK</v>
      </c>
      <c r="C63" s="223" t="str">
        <f t="shared" si="2"/>
        <v>OK</v>
      </c>
      <c r="D63" s="155">
        <v>0</v>
      </c>
      <c r="E63" s="156" t="s">
        <v>9618</v>
      </c>
      <c r="F63" s="157" t="s">
        <v>9172</v>
      </c>
      <c r="G63" s="157">
        <v>180758</v>
      </c>
      <c r="H63" s="157" t="s">
        <v>9619</v>
      </c>
      <c r="I63" s="157" t="s">
        <v>6820</v>
      </c>
      <c r="J63" s="157" t="s">
        <v>6829</v>
      </c>
      <c r="K63" s="157" t="s">
        <v>9620</v>
      </c>
      <c r="L63" s="157" t="s">
        <v>9621</v>
      </c>
      <c r="M63" s="157" t="s">
        <v>4237</v>
      </c>
      <c r="N63" s="158">
        <v>43880</v>
      </c>
      <c r="O63" s="181" t="s">
        <v>7729</v>
      </c>
      <c r="P63" s="158">
        <v>43880</v>
      </c>
      <c r="Q63" s="158">
        <v>43880</v>
      </c>
      <c r="R63" s="159">
        <v>43881</v>
      </c>
      <c r="S63" s="160" t="s">
        <v>9351</v>
      </c>
      <c r="T63" s="161" t="s">
        <v>7729</v>
      </c>
      <c r="U63" s="162">
        <v>43881</v>
      </c>
      <c r="V63" s="161" t="s">
        <v>2731</v>
      </c>
      <c r="W63" s="161">
        <v>5</v>
      </c>
      <c r="X63" s="161" t="s">
        <v>5683</v>
      </c>
      <c r="Y63" s="161" t="s">
        <v>4999</v>
      </c>
      <c r="Z63" s="163">
        <v>43887</v>
      </c>
      <c r="AA63" s="164" t="s">
        <v>264</v>
      </c>
      <c r="AB63" s="165">
        <v>43889</v>
      </c>
      <c r="AC63" s="165">
        <v>43889</v>
      </c>
      <c r="AF63" s="210"/>
      <c r="AG63" s="211" t="s">
        <v>4999</v>
      </c>
    </row>
    <row r="64" spans="1:35" s="209" customFormat="1" thickBot="1" x14ac:dyDescent="0.3">
      <c r="A64" s="221" t="str">
        <f t="shared" si="0"/>
        <v>OK</v>
      </c>
      <c r="B64" s="222" t="str">
        <f t="shared" si="1"/>
        <v>OK</v>
      </c>
      <c r="C64" s="223" t="str">
        <f t="shared" si="2"/>
        <v>OK</v>
      </c>
      <c r="D64" s="155">
        <v>0</v>
      </c>
      <c r="E64" s="156" t="s">
        <v>9622</v>
      </c>
      <c r="F64" s="157" t="s">
        <v>9172</v>
      </c>
      <c r="G64" s="157">
        <v>180758</v>
      </c>
      <c r="H64" s="157" t="s">
        <v>9623</v>
      </c>
      <c r="I64" s="157" t="s">
        <v>6820</v>
      </c>
      <c r="J64" s="157" t="s">
        <v>6829</v>
      </c>
      <c r="K64" s="157" t="s">
        <v>9624</v>
      </c>
      <c r="L64" s="157" t="s">
        <v>9625</v>
      </c>
      <c r="M64" s="157" t="s">
        <v>9626</v>
      </c>
      <c r="N64" s="158">
        <v>43880</v>
      </c>
      <c r="O64" s="181" t="s">
        <v>7729</v>
      </c>
      <c r="P64" s="158">
        <v>43880</v>
      </c>
      <c r="Q64" s="158">
        <v>43880</v>
      </c>
      <c r="R64" s="159">
        <v>43881</v>
      </c>
      <c r="S64" s="160" t="s">
        <v>9351</v>
      </c>
      <c r="T64" s="161" t="s">
        <v>7729</v>
      </c>
      <c r="U64" s="162">
        <v>43881</v>
      </c>
      <c r="V64" s="161" t="s">
        <v>7744</v>
      </c>
      <c r="W64" s="161">
        <v>3</v>
      </c>
      <c r="X64" s="161" t="s">
        <v>5683</v>
      </c>
      <c r="Y64" s="161" t="s">
        <v>4999</v>
      </c>
      <c r="Z64" s="163">
        <v>43887</v>
      </c>
      <c r="AA64" s="164" t="s">
        <v>264</v>
      </c>
      <c r="AB64" s="165">
        <v>43889</v>
      </c>
      <c r="AC64" s="165">
        <v>43889</v>
      </c>
      <c r="AF64" s="210"/>
      <c r="AG64" s="211" t="s">
        <v>4999</v>
      </c>
    </row>
    <row r="65" spans="1:35" s="209" customFormat="1" thickBot="1" x14ac:dyDescent="0.3">
      <c r="A65" s="221" t="str">
        <f t="shared" si="0"/>
        <v>OK</v>
      </c>
      <c r="B65" s="222" t="str">
        <f t="shared" si="1"/>
        <v>OK</v>
      </c>
      <c r="C65" s="223" t="str">
        <f t="shared" si="2"/>
        <v>OK</v>
      </c>
      <c r="D65" s="155">
        <v>0</v>
      </c>
      <c r="E65" s="156" t="s">
        <v>9627</v>
      </c>
      <c r="F65" s="157" t="s">
        <v>9172</v>
      </c>
      <c r="G65" s="157">
        <v>180763</v>
      </c>
      <c r="H65" s="157" t="s">
        <v>9628</v>
      </c>
      <c r="I65" s="157" t="s">
        <v>6820</v>
      </c>
      <c r="J65" s="157" t="s">
        <v>6829</v>
      </c>
      <c r="K65" s="157" t="s">
        <v>5041</v>
      </c>
      <c r="L65" s="157" t="s">
        <v>9629</v>
      </c>
      <c r="M65" s="157" t="s">
        <v>9630</v>
      </c>
      <c r="N65" s="158">
        <v>43888</v>
      </c>
      <c r="O65" s="181" t="s">
        <v>7729</v>
      </c>
      <c r="P65" s="158">
        <v>43888</v>
      </c>
      <c r="Q65" s="158">
        <v>43888</v>
      </c>
      <c r="R65" s="159">
        <v>43888</v>
      </c>
      <c r="S65" s="160" t="s">
        <v>9351</v>
      </c>
      <c r="T65" s="161" t="s">
        <v>9351</v>
      </c>
      <c r="U65" s="162">
        <v>43889</v>
      </c>
      <c r="V65" s="161" t="s">
        <v>5899</v>
      </c>
      <c r="W65" s="161">
        <v>1</v>
      </c>
      <c r="X65" s="161" t="s">
        <v>5683</v>
      </c>
      <c r="Y65" s="161" t="s">
        <v>4999</v>
      </c>
      <c r="Z65" s="163">
        <v>43892</v>
      </c>
      <c r="AA65" s="164" t="s">
        <v>264</v>
      </c>
      <c r="AB65" s="165">
        <v>43894</v>
      </c>
      <c r="AC65" s="165">
        <v>43894</v>
      </c>
      <c r="AF65" s="210"/>
      <c r="AG65" s="211" t="s">
        <v>4999</v>
      </c>
    </row>
    <row r="66" spans="1:35" s="209" customFormat="1" thickBot="1" x14ac:dyDescent="0.3">
      <c r="A66" s="221" t="str">
        <f t="shared" si="0"/>
        <v>OK</v>
      </c>
      <c r="B66" s="222" t="str">
        <f t="shared" si="1"/>
        <v>OK</v>
      </c>
      <c r="C66" s="223" t="str">
        <f t="shared" si="2"/>
        <v>OK</v>
      </c>
      <c r="D66" s="155">
        <v>0</v>
      </c>
      <c r="E66" s="156" t="s">
        <v>9631</v>
      </c>
      <c r="F66" s="157" t="s">
        <v>9172</v>
      </c>
      <c r="G66" s="157">
        <v>180763</v>
      </c>
      <c r="H66" s="157" t="s">
        <v>9632</v>
      </c>
      <c r="I66" s="157" t="s">
        <v>6820</v>
      </c>
      <c r="J66" s="157" t="s">
        <v>6829</v>
      </c>
      <c r="K66" s="157" t="s">
        <v>9620</v>
      </c>
      <c r="L66" s="157" t="s">
        <v>9633</v>
      </c>
      <c r="M66" s="157" t="s">
        <v>4237</v>
      </c>
      <c r="N66" s="158">
        <v>43888</v>
      </c>
      <c r="O66" s="181" t="s">
        <v>7729</v>
      </c>
      <c r="P66" s="158">
        <v>43888</v>
      </c>
      <c r="Q66" s="158">
        <v>43888</v>
      </c>
      <c r="R66" s="158">
        <v>43888</v>
      </c>
      <c r="S66" s="160" t="s">
        <v>9351</v>
      </c>
      <c r="T66" s="161" t="s">
        <v>9351</v>
      </c>
      <c r="U66" s="162">
        <v>43889</v>
      </c>
      <c r="V66" s="161" t="s">
        <v>2731</v>
      </c>
      <c r="W66" s="161">
        <v>3</v>
      </c>
      <c r="X66" s="161" t="s">
        <v>5683</v>
      </c>
      <c r="Y66" s="161" t="s">
        <v>4999</v>
      </c>
      <c r="Z66" s="163">
        <v>43892</v>
      </c>
      <c r="AA66" s="164" t="s">
        <v>264</v>
      </c>
      <c r="AB66" s="165">
        <v>43894</v>
      </c>
      <c r="AC66" s="165">
        <v>43894</v>
      </c>
      <c r="AF66" s="210"/>
      <c r="AG66" s="211" t="s">
        <v>4999</v>
      </c>
    </row>
    <row r="67" spans="1:35" s="209" customFormat="1" thickBot="1" x14ac:dyDescent="0.3">
      <c r="A67" s="221" t="str">
        <f t="shared" si="0"/>
        <v>OK</v>
      </c>
      <c r="B67" s="222" t="str">
        <f t="shared" si="1"/>
        <v>OK</v>
      </c>
      <c r="C67" s="223" t="str">
        <f t="shared" si="2"/>
        <v>OK</v>
      </c>
      <c r="D67" s="167">
        <v>0</v>
      </c>
      <c r="E67" s="168" t="s">
        <v>9634</v>
      </c>
      <c r="F67" s="169" t="s">
        <v>9396</v>
      </c>
      <c r="G67" s="169">
        <v>180765</v>
      </c>
      <c r="H67" s="169" t="s">
        <v>9635</v>
      </c>
      <c r="I67" s="169" t="s">
        <v>6820</v>
      </c>
      <c r="J67" s="169" t="s">
        <v>6829</v>
      </c>
      <c r="K67" s="169" t="s">
        <v>9636</v>
      </c>
      <c r="L67" s="181" t="s">
        <v>9637</v>
      </c>
      <c r="M67" s="169" t="s">
        <v>9638</v>
      </c>
      <c r="N67" s="170">
        <v>43888</v>
      </c>
      <c r="O67" s="169" t="s">
        <v>7729</v>
      </c>
      <c r="P67" s="170">
        <v>43888</v>
      </c>
      <c r="Q67" s="170">
        <v>43888</v>
      </c>
      <c r="R67" s="170">
        <v>43893</v>
      </c>
      <c r="S67" s="171" t="s">
        <v>9351</v>
      </c>
      <c r="T67" s="172" t="s">
        <v>9351</v>
      </c>
      <c r="U67" s="173">
        <v>43889</v>
      </c>
      <c r="V67" s="172" t="s">
        <v>9639</v>
      </c>
      <c r="W67" s="172">
        <v>1</v>
      </c>
      <c r="X67" s="172" t="s">
        <v>5683</v>
      </c>
      <c r="Y67" s="172" t="s">
        <v>4999</v>
      </c>
      <c r="Z67" s="174">
        <v>43899</v>
      </c>
      <c r="AA67" s="175" t="s">
        <v>264</v>
      </c>
      <c r="AB67" s="176">
        <v>43899</v>
      </c>
      <c r="AC67" s="177">
        <v>43899</v>
      </c>
      <c r="AD67" s="213"/>
      <c r="AE67" s="213"/>
      <c r="AF67" s="214"/>
      <c r="AG67" s="215" t="s">
        <v>4999</v>
      </c>
      <c r="AH67" s="213"/>
      <c r="AI67" s="213"/>
    </row>
    <row r="68" spans="1:35" s="213" customFormat="1" thickBot="1" x14ac:dyDescent="0.3">
      <c r="A68" s="221" t="str">
        <f t="shared" si="0"/>
        <v>OK</v>
      </c>
      <c r="B68" s="222" t="str">
        <f t="shared" si="1"/>
        <v>OK</v>
      </c>
      <c r="C68" s="223" t="str">
        <f t="shared" si="2"/>
        <v>OK</v>
      </c>
      <c r="D68" s="167">
        <v>0</v>
      </c>
      <c r="E68" s="168" t="s">
        <v>9640</v>
      </c>
      <c r="F68" s="169" t="s">
        <v>9396</v>
      </c>
      <c r="G68" s="169">
        <v>180765</v>
      </c>
      <c r="H68" s="169" t="s">
        <v>9641</v>
      </c>
      <c r="I68" s="169" t="s">
        <v>6820</v>
      </c>
      <c r="J68" s="169" t="s">
        <v>6829</v>
      </c>
      <c r="K68" s="169" t="s">
        <v>9548</v>
      </c>
      <c r="L68" s="169" t="s">
        <v>9642</v>
      </c>
      <c r="M68" s="169" t="s">
        <v>9544</v>
      </c>
      <c r="N68" s="170">
        <v>43888</v>
      </c>
      <c r="O68" s="169" t="s">
        <v>7729</v>
      </c>
      <c r="P68" s="170">
        <v>43888</v>
      </c>
      <c r="Q68" s="170">
        <v>43888</v>
      </c>
      <c r="R68" s="178">
        <v>43893</v>
      </c>
      <c r="S68" s="171" t="s">
        <v>9351</v>
      </c>
      <c r="T68" s="172" t="s">
        <v>9351</v>
      </c>
      <c r="U68" s="173">
        <v>43889</v>
      </c>
      <c r="V68" s="172" t="s">
        <v>5044</v>
      </c>
      <c r="W68" s="172">
        <v>1</v>
      </c>
      <c r="X68" s="172" t="s">
        <v>5683</v>
      </c>
      <c r="Y68" s="172" t="s">
        <v>4999</v>
      </c>
      <c r="Z68" s="174">
        <v>43899</v>
      </c>
      <c r="AA68" s="175" t="s">
        <v>264</v>
      </c>
      <c r="AB68" s="176">
        <v>43899</v>
      </c>
      <c r="AC68" s="177">
        <v>43899</v>
      </c>
      <c r="AF68" s="214"/>
      <c r="AG68" s="215" t="s">
        <v>4999</v>
      </c>
    </row>
    <row r="69" spans="1:35" s="213" customFormat="1" thickBot="1" x14ac:dyDescent="0.3">
      <c r="A69" s="221" t="str">
        <f t="shared" si="0"/>
        <v>OK</v>
      </c>
      <c r="B69" s="222" t="str">
        <f t="shared" si="1"/>
        <v>OK</v>
      </c>
      <c r="C69" s="223" t="str">
        <f t="shared" si="2"/>
        <v>OK</v>
      </c>
      <c r="D69" s="167">
        <v>0</v>
      </c>
      <c r="E69" s="168" t="s">
        <v>9643</v>
      </c>
      <c r="F69" s="169" t="s">
        <v>9396</v>
      </c>
      <c r="G69" s="169">
        <v>180765</v>
      </c>
      <c r="H69" s="169" t="s">
        <v>9644</v>
      </c>
      <c r="I69" s="169" t="s">
        <v>6820</v>
      </c>
      <c r="J69" s="169" t="s">
        <v>6829</v>
      </c>
      <c r="K69" s="169" t="s">
        <v>9645</v>
      </c>
      <c r="L69" s="169" t="s">
        <v>9646</v>
      </c>
      <c r="M69" s="169" t="s">
        <v>9544</v>
      </c>
      <c r="N69" s="170">
        <v>43888</v>
      </c>
      <c r="O69" s="169" t="s">
        <v>7729</v>
      </c>
      <c r="P69" s="170">
        <v>43888</v>
      </c>
      <c r="Q69" s="170">
        <v>43888</v>
      </c>
      <c r="R69" s="178">
        <v>43893</v>
      </c>
      <c r="S69" s="171" t="s">
        <v>9351</v>
      </c>
      <c r="T69" s="172" t="s">
        <v>9351</v>
      </c>
      <c r="U69" s="173">
        <v>43889</v>
      </c>
      <c r="V69" s="172" t="s">
        <v>9647</v>
      </c>
      <c r="W69" s="172">
        <v>2</v>
      </c>
      <c r="X69" s="172" t="s">
        <v>5683</v>
      </c>
      <c r="Y69" s="172" t="s">
        <v>4999</v>
      </c>
      <c r="Z69" s="174">
        <v>43899</v>
      </c>
      <c r="AA69" s="175" t="s">
        <v>264</v>
      </c>
      <c r="AB69" s="176">
        <v>43899</v>
      </c>
      <c r="AC69" s="177">
        <v>43899</v>
      </c>
      <c r="AF69" s="214"/>
      <c r="AG69" s="215" t="s">
        <v>4999</v>
      </c>
    </row>
    <row r="70" spans="1:35" s="213" customFormat="1" thickBot="1" x14ac:dyDescent="0.3">
      <c r="A70" s="221" t="str">
        <f t="shared" ref="A70:A133" si="3">IF(OR(ISBLANK(D70),ISBLANK(E70),ISBLANK(F70),ISBLANK(G70),ISBLANK(H70),ISBLANK(I70),ISBLANK(J70),ISBLANK(K70),ISBLANK(L70),ISBLANK(M70),ISBLANK(N70),ISBLANK(O70),ISBLANK(P70),ISBLANK(Q70),ISBLANK(R70))=TRUE,"P","OK")</f>
        <v>OK</v>
      </c>
      <c r="B70" s="222" t="str">
        <f t="shared" si="1"/>
        <v>OK</v>
      </c>
      <c r="C70" s="223" t="str">
        <f t="shared" si="2"/>
        <v>OK</v>
      </c>
      <c r="D70" s="167">
        <v>0</v>
      </c>
      <c r="E70" s="168" t="s">
        <v>9648</v>
      </c>
      <c r="F70" s="169" t="s">
        <v>9024</v>
      </c>
      <c r="G70" s="169">
        <v>180766</v>
      </c>
      <c r="H70" s="169" t="s">
        <v>9649</v>
      </c>
      <c r="I70" s="169" t="s">
        <v>6820</v>
      </c>
      <c r="J70" s="169" t="s">
        <v>6829</v>
      </c>
      <c r="K70" s="169" t="s">
        <v>2717</v>
      </c>
      <c r="L70" s="169" t="s">
        <v>9650</v>
      </c>
      <c r="M70" s="169" t="s">
        <v>9651</v>
      </c>
      <c r="N70" s="170">
        <v>43888</v>
      </c>
      <c r="O70" s="169" t="s">
        <v>9350</v>
      </c>
      <c r="P70" s="170">
        <v>43888</v>
      </c>
      <c r="Q70" s="170">
        <v>43888</v>
      </c>
      <c r="R70" s="178">
        <v>43889</v>
      </c>
      <c r="S70" s="171" t="s">
        <v>9357</v>
      </c>
      <c r="T70" s="172" t="s">
        <v>9351</v>
      </c>
      <c r="U70" s="173">
        <v>43889</v>
      </c>
      <c r="V70" s="172" t="s">
        <v>2877</v>
      </c>
      <c r="W70" s="172">
        <v>3</v>
      </c>
      <c r="X70" s="172" t="s">
        <v>5683</v>
      </c>
      <c r="Y70" s="172" t="s">
        <v>4999</v>
      </c>
      <c r="Z70" s="174">
        <v>43900</v>
      </c>
      <c r="AA70" s="175" t="s">
        <v>264</v>
      </c>
      <c r="AB70" s="176">
        <v>43900</v>
      </c>
      <c r="AC70" s="177">
        <v>43900</v>
      </c>
      <c r="AF70" s="214"/>
      <c r="AG70" s="215" t="s">
        <v>4999</v>
      </c>
    </row>
    <row r="71" spans="1:35" s="213" customFormat="1" thickBot="1" x14ac:dyDescent="0.3">
      <c r="A71" s="221" t="str">
        <f t="shared" si="3"/>
        <v>OK</v>
      </c>
      <c r="B71" s="222" t="str">
        <f t="shared" ref="B71:B134" si="4">IF(OR(ISBLANK(S71),ISBLANK(T71),ISBLANK(U71),ISBLANK(V71),ISBLANK(W71),ISBLANK(X71),ISBLANK(Y71),ISBLANK(Z71))=TRUE,"P","OK")</f>
        <v>OK</v>
      </c>
      <c r="C71" s="223" t="str">
        <f t="shared" ref="C71:C134" si="5">IF(OR(ISBLANK(AA71),ISBLANK(AB71),ISBLANK(AC71))=TRUE,"P","OK")</f>
        <v>OK</v>
      </c>
      <c r="D71" s="155">
        <v>0</v>
      </c>
      <c r="E71" s="156" t="s">
        <v>9652</v>
      </c>
      <c r="F71" s="157" t="s">
        <v>9653</v>
      </c>
      <c r="G71" s="157">
        <v>180767</v>
      </c>
      <c r="H71" s="157" t="s">
        <v>9654</v>
      </c>
      <c r="I71" s="157" t="s">
        <v>6820</v>
      </c>
      <c r="J71" s="157" t="s">
        <v>6829</v>
      </c>
      <c r="K71" s="157" t="s">
        <v>9655</v>
      </c>
      <c r="L71" s="157" t="s">
        <v>3620</v>
      </c>
      <c r="M71" s="157" t="s">
        <v>5062</v>
      </c>
      <c r="N71" s="158">
        <v>43892</v>
      </c>
      <c r="O71" s="157" t="s">
        <v>9350</v>
      </c>
      <c r="P71" s="158">
        <v>43871</v>
      </c>
      <c r="Q71" s="158">
        <v>43892</v>
      </c>
      <c r="R71" s="158">
        <v>43892</v>
      </c>
      <c r="S71" s="160" t="s">
        <v>9357</v>
      </c>
      <c r="T71" s="161" t="s">
        <v>9357</v>
      </c>
      <c r="U71" s="162">
        <v>43896</v>
      </c>
      <c r="V71" s="161" t="s">
        <v>9550</v>
      </c>
      <c r="W71" s="161">
        <v>3</v>
      </c>
      <c r="X71" s="161" t="s">
        <v>5683</v>
      </c>
      <c r="Y71" s="161" t="s">
        <v>4999</v>
      </c>
      <c r="Z71" s="163">
        <v>43900</v>
      </c>
      <c r="AA71" s="164" t="s">
        <v>264</v>
      </c>
      <c r="AB71" s="165">
        <v>43900</v>
      </c>
      <c r="AC71" s="166">
        <v>43900</v>
      </c>
      <c r="AD71" s="209"/>
      <c r="AE71" s="209"/>
      <c r="AF71" s="210"/>
      <c r="AG71" s="211" t="s">
        <v>4999</v>
      </c>
      <c r="AH71" s="209"/>
      <c r="AI71" s="209"/>
    </row>
    <row r="72" spans="1:35" s="209" customFormat="1" thickBot="1" x14ac:dyDescent="0.3">
      <c r="A72" s="221" t="str">
        <f t="shared" si="3"/>
        <v>OK</v>
      </c>
      <c r="B72" s="222" t="str">
        <f t="shared" si="4"/>
        <v>OK</v>
      </c>
      <c r="C72" s="223" t="str">
        <f t="shared" si="5"/>
        <v>OK</v>
      </c>
      <c r="D72" s="167">
        <v>0</v>
      </c>
      <c r="E72" s="168" t="s">
        <v>9656</v>
      </c>
      <c r="F72" s="169" t="s">
        <v>8322</v>
      </c>
      <c r="G72" s="169">
        <v>180734</v>
      </c>
      <c r="H72" s="169" t="s">
        <v>9657</v>
      </c>
      <c r="I72" s="169" t="s">
        <v>6820</v>
      </c>
      <c r="J72" s="169" t="s">
        <v>6829</v>
      </c>
      <c r="K72" s="169" t="s">
        <v>9658</v>
      </c>
      <c r="L72" s="169" t="s">
        <v>9659</v>
      </c>
      <c r="M72" s="169" t="s">
        <v>5529</v>
      </c>
      <c r="N72" s="170">
        <v>43866</v>
      </c>
      <c r="O72" s="169" t="s">
        <v>9350</v>
      </c>
      <c r="P72" s="170">
        <v>43866</v>
      </c>
      <c r="Q72" s="170">
        <v>43866</v>
      </c>
      <c r="R72" s="201" t="s">
        <v>8644</v>
      </c>
      <c r="S72" s="171" t="s">
        <v>9357</v>
      </c>
      <c r="T72" s="172" t="s">
        <v>9350</v>
      </c>
      <c r="U72" s="173">
        <v>43889</v>
      </c>
      <c r="V72" s="172" t="s">
        <v>9660</v>
      </c>
      <c r="W72" s="172">
        <v>16</v>
      </c>
      <c r="X72" s="172" t="s">
        <v>5683</v>
      </c>
      <c r="Y72" s="172" t="s">
        <v>4999</v>
      </c>
      <c r="Z72" s="174">
        <v>43899</v>
      </c>
      <c r="AA72" s="175" t="s">
        <v>264</v>
      </c>
      <c r="AB72" s="176">
        <v>43899</v>
      </c>
      <c r="AC72" s="177">
        <v>43899</v>
      </c>
      <c r="AD72" s="213"/>
      <c r="AE72" s="213"/>
      <c r="AF72" s="214"/>
      <c r="AG72" s="215" t="s">
        <v>4999</v>
      </c>
      <c r="AH72" s="213"/>
      <c r="AI72" s="213"/>
    </row>
    <row r="73" spans="1:35" s="213" customFormat="1" thickBot="1" x14ac:dyDescent="0.3">
      <c r="A73" s="221" t="str">
        <f t="shared" si="3"/>
        <v>OK</v>
      </c>
      <c r="B73" s="222" t="str">
        <f t="shared" si="4"/>
        <v>OK</v>
      </c>
      <c r="C73" s="223" t="str">
        <f t="shared" si="5"/>
        <v>OK</v>
      </c>
      <c r="D73" s="167">
        <v>0</v>
      </c>
      <c r="E73" s="168" t="s">
        <v>9661</v>
      </c>
      <c r="F73" s="169" t="s">
        <v>8369</v>
      </c>
      <c r="G73" s="169">
        <v>180768</v>
      </c>
      <c r="H73" s="169" t="s">
        <v>9662</v>
      </c>
      <c r="I73" s="169" t="s">
        <v>6820</v>
      </c>
      <c r="J73" s="169" t="s">
        <v>6829</v>
      </c>
      <c r="K73" s="169" t="s">
        <v>9663</v>
      </c>
      <c r="L73" s="169" t="s">
        <v>9664</v>
      </c>
      <c r="M73" s="169" t="s">
        <v>1812</v>
      </c>
      <c r="N73" s="170">
        <v>43894</v>
      </c>
      <c r="O73" s="169" t="s">
        <v>9350</v>
      </c>
      <c r="P73" s="170">
        <v>43893</v>
      </c>
      <c r="Q73" s="170">
        <v>43893</v>
      </c>
      <c r="R73" s="178">
        <v>43893</v>
      </c>
      <c r="S73" s="171" t="s">
        <v>9350</v>
      </c>
      <c r="T73" s="172" t="s">
        <v>9350</v>
      </c>
      <c r="U73" s="173">
        <v>43894</v>
      </c>
      <c r="V73" s="173" t="s">
        <v>9665</v>
      </c>
      <c r="W73" s="172">
        <v>3</v>
      </c>
      <c r="X73" s="172" t="s">
        <v>5683</v>
      </c>
      <c r="Y73" s="172" t="s">
        <v>4999</v>
      </c>
      <c r="Z73" s="203" t="s">
        <v>9666</v>
      </c>
      <c r="AA73" s="175" t="s">
        <v>264</v>
      </c>
      <c r="AB73" s="176">
        <v>43901</v>
      </c>
      <c r="AC73" s="177">
        <v>43901</v>
      </c>
      <c r="AF73" s="214"/>
      <c r="AG73" s="215" t="s">
        <v>4999</v>
      </c>
    </row>
    <row r="74" spans="1:35" s="213" customFormat="1" thickBot="1" x14ac:dyDescent="0.3">
      <c r="A74" s="221" t="str">
        <f t="shared" si="3"/>
        <v>OK</v>
      </c>
      <c r="B74" s="222" t="str">
        <f t="shared" si="4"/>
        <v>OK</v>
      </c>
      <c r="C74" s="223" t="str">
        <f t="shared" si="5"/>
        <v>OK</v>
      </c>
      <c r="D74" s="167">
        <v>0</v>
      </c>
      <c r="E74" s="168" t="s">
        <v>9667</v>
      </c>
      <c r="F74" s="169" t="s">
        <v>9653</v>
      </c>
      <c r="G74" s="169">
        <v>180767</v>
      </c>
      <c r="H74" s="169" t="s">
        <v>9668</v>
      </c>
      <c r="I74" s="169" t="s">
        <v>6820</v>
      </c>
      <c r="J74" s="169" t="s">
        <v>6829</v>
      </c>
      <c r="K74" s="169" t="s">
        <v>6848</v>
      </c>
      <c r="L74" s="169" t="s">
        <v>9669</v>
      </c>
      <c r="M74" s="169" t="s">
        <v>5062</v>
      </c>
      <c r="N74" s="170">
        <v>43892</v>
      </c>
      <c r="O74" s="169" t="s">
        <v>9350</v>
      </c>
      <c r="P74" s="170">
        <v>43871</v>
      </c>
      <c r="Q74" s="170">
        <v>43892</v>
      </c>
      <c r="R74" s="170">
        <v>43892</v>
      </c>
      <c r="S74" s="171" t="s">
        <v>9357</v>
      </c>
      <c r="T74" s="172" t="s">
        <v>9357</v>
      </c>
      <c r="U74" s="173">
        <v>43896</v>
      </c>
      <c r="V74" s="172" t="s">
        <v>9670</v>
      </c>
      <c r="W74" s="172">
        <v>2</v>
      </c>
      <c r="X74" s="172" t="s">
        <v>5683</v>
      </c>
      <c r="Y74" s="172" t="s">
        <v>4999</v>
      </c>
      <c r="Z74" s="174">
        <v>43900</v>
      </c>
      <c r="AA74" s="175" t="s">
        <v>264</v>
      </c>
      <c r="AB74" s="176">
        <v>43900</v>
      </c>
      <c r="AC74" s="177">
        <v>43900</v>
      </c>
      <c r="AF74" s="214"/>
      <c r="AG74" s="215" t="s">
        <v>4999</v>
      </c>
    </row>
    <row r="75" spans="1:35" s="213" customFormat="1" thickBot="1" x14ac:dyDescent="0.3">
      <c r="A75" s="221" t="str">
        <f t="shared" si="3"/>
        <v>OK</v>
      </c>
      <c r="B75" s="222" t="str">
        <f t="shared" si="4"/>
        <v>OK</v>
      </c>
      <c r="C75" s="223" t="str">
        <f t="shared" si="5"/>
        <v>OK</v>
      </c>
      <c r="D75" s="167">
        <v>0</v>
      </c>
      <c r="E75" s="168" t="s">
        <v>9671</v>
      </c>
      <c r="F75" s="169" t="s">
        <v>8369</v>
      </c>
      <c r="G75" s="169">
        <v>180772</v>
      </c>
      <c r="H75" s="169" t="s">
        <v>9672</v>
      </c>
      <c r="I75" s="169" t="s">
        <v>6820</v>
      </c>
      <c r="J75" s="169" t="s">
        <v>6829</v>
      </c>
      <c r="K75" s="169" t="s">
        <v>135</v>
      </c>
      <c r="L75" s="169" t="s">
        <v>9673</v>
      </c>
      <c r="M75" s="169" t="s">
        <v>6232</v>
      </c>
      <c r="N75" s="170">
        <v>43899</v>
      </c>
      <c r="O75" s="169" t="s">
        <v>9350</v>
      </c>
      <c r="P75" s="170">
        <v>43870</v>
      </c>
      <c r="Q75" s="170">
        <v>43870</v>
      </c>
      <c r="R75" s="178">
        <v>43870</v>
      </c>
      <c r="S75" s="171" t="s">
        <v>9351</v>
      </c>
      <c r="T75" s="172" t="s">
        <v>9351</v>
      </c>
      <c r="U75" s="173">
        <v>43900</v>
      </c>
      <c r="V75" s="172" t="s">
        <v>137</v>
      </c>
      <c r="W75" s="172">
        <v>2</v>
      </c>
      <c r="X75" s="172" t="s">
        <v>5683</v>
      </c>
      <c r="Y75" s="172" t="s">
        <v>4999</v>
      </c>
      <c r="Z75" s="174">
        <v>43900</v>
      </c>
      <c r="AA75" s="175" t="s">
        <v>264</v>
      </c>
      <c r="AB75" s="176">
        <v>43907</v>
      </c>
      <c r="AC75" s="177">
        <v>43907</v>
      </c>
      <c r="AF75" s="214"/>
      <c r="AG75" s="215" t="s">
        <v>4999</v>
      </c>
    </row>
    <row r="76" spans="1:35" s="213" customFormat="1" thickBot="1" x14ac:dyDescent="0.3">
      <c r="A76" s="221" t="str">
        <f t="shared" si="3"/>
        <v>OK</v>
      </c>
      <c r="B76" s="222" t="str">
        <f t="shared" si="4"/>
        <v>OK</v>
      </c>
      <c r="C76" s="223" t="str">
        <f t="shared" si="5"/>
        <v>OK</v>
      </c>
      <c r="D76" s="167">
        <v>0</v>
      </c>
      <c r="E76" s="168" t="s">
        <v>9674</v>
      </c>
      <c r="F76" s="169" t="s">
        <v>9377</v>
      </c>
      <c r="G76" s="169">
        <v>180774</v>
      </c>
      <c r="H76" s="169" t="s">
        <v>9675</v>
      </c>
      <c r="I76" s="169" t="s">
        <v>6820</v>
      </c>
      <c r="J76" s="169" t="s">
        <v>6829</v>
      </c>
      <c r="K76" s="169" t="s">
        <v>9676</v>
      </c>
      <c r="L76" s="169" t="s">
        <v>9677</v>
      </c>
      <c r="M76" s="169" t="s">
        <v>7895</v>
      </c>
      <c r="N76" s="170">
        <v>43900</v>
      </c>
      <c r="O76" s="169" t="s">
        <v>9350</v>
      </c>
      <c r="P76" s="170">
        <v>43900</v>
      </c>
      <c r="Q76" s="170">
        <v>43900</v>
      </c>
      <c r="R76" s="178">
        <v>43901</v>
      </c>
      <c r="S76" s="171" t="s">
        <v>9351</v>
      </c>
      <c r="T76" s="172" t="s">
        <v>9350</v>
      </c>
      <c r="U76" s="173">
        <v>43902</v>
      </c>
      <c r="V76" s="172" t="s">
        <v>9678</v>
      </c>
      <c r="W76" s="172">
        <v>1</v>
      </c>
      <c r="X76" s="172" t="s">
        <v>5683</v>
      </c>
      <c r="Y76" s="172" t="s">
        <v>4999</v>
      </c>
      <c r="Z76" s="174">
        <v>43903</v>
      </c>
      <c r="AA76" s="175" t="s">
        <v>264</v>
      </c>
      <c r="AB76" s="176">
        <v>43903</v>
      </c>
      <c r="AC76" s="177">
        <v>43903</v>
      </c>
      <c r="AF76" s="214"/>
      <c r="AG76" s="215" t="s">
        <v>4999</v>
      </c>
    </row>
    <row r="77" spans="1:35" s="213" customFormat="1" thickBot="1" x14ac:dyDescent="0.3">
      <c r="A77" s="221" t="str">
        <f t="shared" si="3"/>
        <v>OK</v>
      </c>
      <c r="B77" s="222" t="str">
        <f t="shared" si="4"/>
        <v>OK</v>
      </c>
      <c r="C77" s="223" t="str">
        <f t="shared" si="5"/>
        <v>OK</v>
      </c>
      <c r="D77" s="167">
        <v>0</v>
      </c>
      <c r="E77" s="168" t="s">
        <v>9679</v>
      </c>
      <c r="F77" s="169" t="s">
        <v>9361</v>
      </c>
      <c r="G77" s="169">
        <v>180776</v>
      </c>
      <c r="H77" s="169" t="s">
        <v>9680</v>
      </c>
      <c r="I77" s="169" t="s">
        <v>6820</v>
      </c>
      <c r="J77" s="169" t="s">
        <v>6829</v>
      </c>
      <c r="K77" s="169" t="s">
        <v>9681</v>
      </c>
      <c r="L77" s="169" t="s">
        <v>9682</v>
      </c>
      <c r="M77" s="169" t="s">
        <v>9683</v>
      </c>
      <c r="N77" s="170">
        <v>43901</v>
      </c>
      <c r="O77" s="169" t="s">
        <v>9350</v>
      </c>
      <c r="P77" s="170">
        <v>43622</v>
      </c>
      <c r="Q77" s="170">
        <v>43901</v>
      </c>
      <c r="R77" s="178">
        <v>43901</v>
      </c>
      <c r="S77" s="171" t="s">
        <v>9351</v>
      </c>
      <c r="T77" s="172" t="s">
        <v>9350</v>
      </c>
      <c r="U77" s="173">
        <v>43903</v>
      </c>
      <c r="V77" s="172" t="s">
        <v>9366</v>
      </c>
      <c r="W77" s="172">
        <v>7</v>
      </c>
      <c r="X77" s="172" t="s">
        <v>5683</v>
      </c>
      <c r="Y77" s="172" t="s">
        <v>4999</v>
      </c>
      <c r="Z77" s="174">
        <v>43907</v>
      </c>
      <c r="AA77" s="175" t="s">
        <v>264</v>
      </c>
      <c r="AB77" s="176">
        <v>43907</v>
      </c>
      <c r="AC77" s="177">
        <v>43907</v>
      </c>
      <c r="AF77" s="214"/>
      <c r="AG77" s="215" t="s">
        <v>4999</v>
      </c>
    </row>
    <row r="78" spans="1:35" s="213" customFormat="1" thickBot="1" x14ac:dyDescent="0.3">
      <c r="A78" s="221" t="str">
        <f t="shared" si="3"/>
        <v>OK</v>
      </c>
      <c r="B78" s="222" t="str">
        <f t="shared" si="4"/>
        <v>OK</v>
      </c>
      <c r="C78" s="223" t="str">
        <f t="shared" si="5"/>
        <v>OK</v>
      </c>
      <c r="D78" s="167">
        <v>0</v>
      </c>
      <c r="E78" s="168" t="s">
        <v>9684</v>
      </c>
      <c r="F78" s="169" t="s">
        <v>9361</v>
      </c>
      <c r="G78" s="169">
        <v>180776</v>
      </c>
      <c r="H78" s="169" t="s">
        <v>9685</v>
      </c>
      <c r="I78" s="169" t="s">
        <v>6820</v>
      </c>
      <c r="J78" s="169" t="s">
        <v>6829</v>
      </c>
      <c r="K78" s="169" t="s">
        <v>9686</v>
      </c>
      <c r="L78" s="169" t="s">
        <v>9687</v>
      </c>
      <c r="M78" s="169" t="s">
        <v>9688</v>
      </c>
      <c r="N78" s="170">
        <v>43901</v>
      </c>
      <c r="O78" s="169" t="s">
        <v>9350</v>
      </c>
      <c r="P78" s="170">
        <v>43622</v>
      </c>
      <c r="Q78" s="170">
        <v>43901</v>
      </c>
      <c r="R78" s="178">
        <v>43901</v>
      </c>
      <c r="S78" s="171" t="s">
        <v>9351</v>
      </c>
      <c r="T78" s="172" t="s">
        <v>9350</v>
      </c>
      <c r="U78" s="173">
        <v>43903</v>
      </c>
      <c r="V78" s="172" t="s">
        <v>9689</v>
      </c>
      <c r="W78" s="172">
        <v>6</v>
      </c>
      <c r="X78" s="172" t="s">
        <v>5683</v>
      </c>
      <c r="Y78" s="172" t="s">
        <v>4999</v>
      </c>
      <c r="Z78" s="174">
        <v>43907</v>
      </c>
      <c r="AA78" s="175" t="s">
        <v>264</v>
      </c>
      <c r="AB78" s="176">
        <v>43907</v>
      </c>
      <c r="AC78" s="177">
        <v>43907</v>
      </c>
      <c r="AF78" s="214"/>
      <c r="AG78" s="215" t="s">
        <v>4999</v>
      </c>
    </row>
    <row r="79" spans="1:35" s="213" customFormat="1" thickBot="1" x14ac:dyDescent="0.3">
      <c r="A79" s="221" t="str">
        <f t="shared" si="3"/>
        <v>OK</v>
      </c>
      <c r="B79" s="222" t="str">
        <f t="shared" si="4"/>
        <v>OK</v>
      </c>
      <c r="C79" s="223" t="str">
        <f t="shared" si="5"/>
        <v>OK</v>
      </c>
      <c r="D79" s="155">
        <v>0</v>
      </c>
      <c r="E79" s="156" t="s">
        <v>9690</v>
      </c>
      <c r="F79" s="157" t="s">
        <v>9396</v>
      </c>
      <c r="G79" s="157">
        <v>180773</v>
      </c>
      <c r="H79" s="157" t="s">
        <v>9691</v>
      </c>
      <c r="I79" s="157" t="s">
        <v>6820</v>
      </c>
      <c r="J79" s="157" t="s">
        <v>6829</v>
      </c>
      <c r="K79" s="157" t="s">
        <v>9692</v>
      </c>
      <c r="L79" s="157" t="s">
        <v>9693</v>
      </c>
      <c r="M79" s="157" t="s">
        <v>69</v>
      </c>
      <c r="N79" s="158">
        <v>43900</v>
      </c>
      <c r="O79" s="157" t="s">
        <v>7729</v>
      </c>
      <c r="P79" s="158">
        <v>43900</v>
      </c>
      <c r="Q79" s="158">
        <v>43900</v>
      </c>
      <c r="R79" s="159">
        <v>43900</v>
      </c>
      <c r="S79" s="160" t="s">
        <v>9351</v>
      </c>
      <c r="T79" s="161" t="s">
        <v>9351</v>
      </c>
      <c r="U79" s="162">
        <v>43914</v>
      </c>
      <c r="V79" s="161" t="s">
        <v>8907</v>
      </c>
      <c r="W79" s="161">
        <v>1</v>
      </c>
      <c r="X79" s="161" t="s">
        <v>5683</v>
      </c>
      <c r="Y79" s="161" t="s">
        <v>4999</v>
      </c>
      <c r="Z79" s="163">
        <v>43915</v>
      </c>
      <c r="AA79" s="164" t="s">
        <v>264</v>
      </c>
      <c r="AB79" s="165">
        <v>43915</v>
      </c>
      <c r="AC79" s="166">
        <v>43915</v>
      </c>
      <c r="AD79" s="209"/>
      <c r="AE79" s="209"/>
      <c r="AF79" s="210"/>
      <c r="AG79" s="211" t="s">
        <v>4999</v>
      </c>
      <c r="AH79" s="209"/>
      <c r="AI79" s="209"/>
    </row>
    <row r="80" spans="1:35" s="209" customFormat="1" thickBot="1" x14ac:dyDescent="0.3">
      <c r="A80" s="221" t="str">
        <f t="shared" si="3"/>
        <v>OK</v>
      </c>
      <c r="B80" s="222" t="str">
        <f t="shared" si="4"/>
        <v>OK</v>
      </c>
      <c r="C80" s="223" t="str">
        <f t="shared" si="5"/>
        <v>OK</v>
      </c>
      <c r="D80" s="155">
        <v>1</v>
      </c>
      <c r="E80" s="156" t="s">
        <v>9690</v>
      </c>
      <c r="F80" s="157" t="s">
        <v>9396</v>
      </c>
      <c r="G80" s="157">
        <v>180773</v>
      </c>
      <c r="H80" s="157" t="s">
        <v>9691</v>
      </c>
      <c r="I80" s="157" t="s">
        <v>6820</v>
      </c>
      <c r="J80" s="157" t="s">
        <v>6829</v>
      </c>
      <c r="K80" s="157" t="s">
        <v>9692</v>
      </c>
      <c r="L80" s="157" t="s">
        <v>9693</v>
      </c>
      <c r="M80" s="157" t="s">
        <v>69</v>
      </c>
      <c r="N80" s="158">
        <v>43900</v>
      </c>
      <c r="O80" s="157" t="s">
        <v>7729</v>
      </c>
      <c r="P80" s="158">
        <v>43900</v>
      </c>
      <c r="Q80" s="158">
        <v>43900</v>
      </c>
      <c r="R80" s="159">
        <v>43900</v>
      </c>
      <c r="S80" s="160" t="s">
        <v>9694</v>
      </c>
      <c r="T80" s="161" t="s">
        <v>5683</v>
      </c>
      <c r="U80" s="162">
        <v>43914</v>
      </c>
      <c r="V80" s="161" t="s">
        <v>8907</v>
      </c>
      <c r="W80" s="161">
        <v>1</v>
      </c>
      <c r="X80" s="161" t="s">
        <v>5683</v>
      </c>
      <c r="Y80" s="161" t="s">
        <v>4999</v>
      </c>
      <c r="Z80" s="163">
        <v>44004</v>
      </c>
      <c r="AA80" s="164" t="s">
        <v>264</v>
      </c>
      <c r="AB80" s="165">
        <v>44004</v>
      </c>
      <c r="AC80" s="166">
        <v>44004</v>
      </c>
      <c r="AF80" s="210"/>
      <c r="AG80" s="211"/>
    </row>
    <row r="81" spans="1:35" s="209" customFormat="1" thickBot="1" x14ac:dyDescent="0.3">
      <c r="A81" s="221" t="str">
        <f t="shared" si="3"/>
        <v>OK</v>
      </c>
      <c r="B81" s="222" t="str">
        <f t="shared" si="4"/>
        <v>OK</v>
      </c>
      <c r="C81" s="223" t="str">
        <f t="shared" si="5"/>
        <v>OK</v>
      </c>
      <c r="D81" s="155">
        <v>0</v>
      </c>
      <c r="E81" s="156" t="s">
        <v>9695</v>
      </c>
      <c r="F81" s="157" t="s">
        <v>9396</v>
      </c>
      <c r="G81" s="157">
        <v>180779</v>
      </c>
      <c r="H81" s="157" t="s">
        <v>9696</v>
      </c>
      <c r="I81" s="157" t="s">
        <v>6820</v>
      </c>
      <c r="J81" s="157" t="s">
        <v>6829</v>
      </c>
      <c r="K81" s="157" t="s">
        <v>9697</v>
      </c>
      <c r="L81" s="157" t="s">
        <v>9698</v>
      </c>
      <c r="M81" s="157" t="s">
        <v>9699</v>
      </c>
      <c r="N81" s="158">
        <v>43906</v>
      </c>
      <c r="O81" s="157" t="s">
        <v>7729</v>
      </c>
      <c r="P81" s="158">
        <v>43906</v>
      </c>
      <c r="Q81" s="158">
        <v>43906</v>
      </c>
      <c r="R81" s="159">
        <v>43906</v>
      </c>
      <c r="S81" s="160" t="s">
        <v>9351</v>
      </c>
      <c r="T81" s="161" t="s">
        <v>9351</v>
      </c>
      <c r="U81" s="162">
        <v>43914</v>
      </c>
      <c r="V81" s="161" t="s">
        <v>74</v>
      </c>
      <c r="W81" s="161">
        <v>2</v>
      </c>
      <c r="X81" s="161" t="s">
        <v>5683</v>
      </c>
      <c r="Y81" s="161" t="s">
        <v>4999</v>
      </c>
      <c r="Z81" s="163">
        <v>43929</v>
      </c>
      <c r="AA81" s="164" t="s">
        <v>264</v>
      </c>
      <c r="AB81" s="165">
        <v>43937</v>
      </c>
      <c r="AC81" s="165">
        <v>43937</v>
      </c>
      <c r="AF81" s="210"/>
      <c r="AG81" s="211" t="s">
        <v>4999</v>
      </c>
    </row>
    <row r="82" spans="1:35" s="209" customFormat="1" thickBot="1" x14ac:dyDescent="0.3">
      <c r="A82" s="221" t="str">
        <f t="shared" si="3"/>
        <v>OK</v>
      </c>
      <c r="B82" s="222" t="str">
        <f t="shared" si="4"/>
        <v>OK</v>
      </c>
      <c r="C82" s="223" t="str">
        <f t="shared" si="5"/>
        <v>OK</v>
      </c>
      <c r="D82" s="155">
        <v>0</v>
      </c>
      <c r="E82" s="156" t="s">
        <v>9700</v>
      </c>
      <c r="F82" s="157" t="s">
        <v>9396</v>
      </c>
      <c r="G82" s="157">
        <v>180779</v>
      </c>
      <c r="H82" s="157" t="s">
        <v>9701</v>
      </c>
      <c r="I82" s="157" t="s">
        <v>6820</v>
      </c>
      <c r="J82" s="157" t="s">
        <v>6829</v>
      </c>
      <c r="K82" s="157" t="s">
        <v>2696</v>
      </c>
      <c r="L82" s="157" t="s">
        <v>9702</v>
      </c>
      <c r="M82" s="157" t="s">
        <v>9703</v>
      </c>
      <c r="N82" s="158">
        <v>43906</v>
      </c>
      <c r="O82" s="157" t="s">
        <v>7729</v>
      </c>
      <c r="P82" s="158">
        <v>43906</v>
      </c>
      <c r="Q82" s="158">
        <v>43906</v>
      </c>
      <c r="R82" s="159">
        <v>43906</v>
      </c>
      <c r="S82" s="160" t="s">
        <v>9351</v>
      </c>
      <c r="T82" s="161" t="s">
        <v>9351</v>
      </c>
      <c r="U82" s="162">
        <v>43914</v>
      </c>
      <c r="V82" s="161" t="s">
        <v>5027</v>
      </c>
      <c r="W82" s="161">
        <v>2</v>
      </c>
      <c r="X82" s="161" t="s">
        <v>5683</v>
      </c>
      <c r="Y82" s="161" t="s">
        <v>4999</v>
      </c>
      <c r="Z82" s="163">
        <v>43929</v>
      </c>
      <c r="AA82" s="164" t="s">
        <v>264</v>
      </c>
      <c r="AB82" s="165">
        <v>43937</v>
      </c>
      <c r="AC82" s="166">
        <v>43937</v>
      </c>
      <c r="AF82" s="210"/>
      <c r="AG82" s="211"/>
    </row>
    <row r="83" spans="1:35" s="209" customFormat="1" thickBot="1" x14ac:dyDescent="0.3">
      <c r="A83" s="221" t="str">
        <f t="shared" si="3"/>
        <v>OK</v>
      </c>
      <c r="B83" s="222" t="str">
        <f t="shared" si="4"/>
        <v>OK</v>
      </c>
      <c r="C83" s="223" t="str">
        <f t="shared" si="5"/>
        <v>OK</v>
      </c>
      <c r="D83" s="155">
        <v>0</v>
      </c>
      <c r="E83" s="156" t="s">
        <v>9704</v>
      </c>
      <c r="F83" s="157" t="s">
        <v>9396</v>
      </c>
      <c r="G83" s="157">
        <v>180779</v>
      </c>
      <c r="H83" s="157" t="s">
        <v>9705</v>
      </c>
      <c r="I83" s="157" t="s">
        <v>6820</v>
      </c>
      <c r="J83" s="157" t="s">
        <v>6829</v>
      </c>
      <c r="K83" s="157" t="s">
        <v>9706</v>
      </c>
      <c r="L83" s="157" t="s">
        <v>9707</v>
      </c>
      <c r="M83" s="157" t="s">
        <v>9699</v>
      </c>
      <c r="N83" s="158">
        <v>43906</v>
      </c>
      <c r="O83" s="157" t="s">
        <v>7729</v>
      </c>
      <c r="P83" s="158">
        <v>43906</v>
      </c>
      <c r="Q83" s="158">
        <v>43906</v>
      </c>
      <c r="R83" s="159">
        <v>43906</v>
      </c>
      <c r="S83" s="160" t="s">
        <v>9351</v>
      </c>
      <c r="T83" s="161" t="s">
        <v>9351</v>
      </c>
      <c r="U83" s="162">
        <v>43914</v>
      </c>
      <c r="V83" s="161" t="s">
        <v>3726</v>
      </c>
      <c r="W83" s="161">
        <v>2</v>
      </c>
      <c r="X83" s="161" t="s">
        <v>5683</v>
      </c>
      <c r="Y83" s="161" t="s">
        <v>4999</v>
      </c>
      <c r="Z83" s="163">
        <v>43929</v>
      </c>
      <c r="AA83" s="164" t="s">
        <v>264</v>
      </c>
      <c r="AB83" s="165">
        <v>43937</v>
      </c>
      <c r="AC83" s="166">
        <v>43937</v>
      </c>
      <c r="AF83" s="210"/>
      <c r="AG83" s="211" t="s">
        <v>4999</v>
      </c>
    </row>
    <row r="84" spans="1:35" s="209" customFormat="1" thickBot="1" x14ac:dyDescent="0.3">
      <c r="A84" s="221" t="str">
        <f t="shared" si="3"/>
        <v>OK</v>
      </c>
      <c r="B84" s="222" t="str">
        <f t="shared" si="4"/>
        <v>OK</v>
      </c>
      <c r="C84" s="223" t="str">
        <f t="shared" si="5"/>
        <v>OK</v>
      </c>
      <c r="D84" s="167">
        <v>0</v>
      </c>
      <c r="E84" s="168" t="s">
        <v>9708</v>
      </c>
      <c r="F84" s="169" t="s">
        <v>9377</v>
      </c>
      <c r="G84" s="169">
        <v>180791</v>
      </c>
      <c r="H84" s="169" t="s">
        <v>9709</v>
      </c>
      <c r="I84" s="169" t="s">
        <v>6820</v>
      </c>
      <c r="J84" s="169" t="s">
        <v>6829</v>
      </c>
      <c r="K84" s="169" t="s">
        <v>9710</v>
      </c>
      <c r="L84" s="169" t="s">
        <v>9711</v>
      </c>
      <c r="M84" s="169" t="s">
        <v>9712</v>
      </c>
      <c r="N84" s="170">
        <v>43910</v>
      </c>
      <c r="O84" s="169" t="s">
        <v>9350</v>
      </c>
      <c r="P84" s="170">
        <v>43910</v>
      </c>
      <c r="Q84" s="170">
        <v>43910</v>
      </c>
      <c r="R84" s="178">
        <v>43910</v>
      </c>
      <c r="S84" s="171" t="s">
        <v>9351</v>
      </c>
      <c r="T84" s="172" t="s">
        <v>9351</v>
      </c>
      <c r="U84" s="173">
        <v>43914</v>
      </c>
      <c r="V84" s="172" t="s">
        <v>9713</v>
      </c>
      <c r="W84" s="172">
        <v>5</v>
      </c>
      <c r="X84" s="172" t="s">
        <v>5683</v>
      </c>
      <c r="Y84" s="172" t="s">
        <v>4999</v>
      </c>
      <c r="Z84" s="174">
        <v>43914</v>
      </c>
      <c r="AA84" s="175" t="s">
        <v>264</v>
      </c>
      <c r="AB84" s="176">
        <v>43915</v>
      </c>
      <c r="AC84" s="177">
        <v>43915</v>
      </c>
      <c r="AD84" s="213"/>
      <c r="AE84" s="213"/>
      <c r="AF84" s="214"/>
      <c r="AG84" s="215" t="s">
        <v>4999</v>
      </c>
      <c r="AH84" s="213"/>
      <c r="AI84" s="213"/>
    </row>
    <row r="85" spans="1:35" s="213" customFormat="1" thickBot="1" x14ac:dyDescent="0.3">
      <c r="A85" s="221" t="str">
        <f t="shared" si="3"/>
        <v>OK</v>
      </c>
      <c r="B85" s="222" t="str">
        <f t="shared" si="4"/>
        <v>OK</v>
      </c>
      <c r="C85" s="223" t="str">
        <f t="shared" si="5"/>
        <v>OK</v>
      </c>
      <c r="D85" s="167">
        <v>0</v>
      </c>
      <c r="E85" s="168" t="s">
        <v>9714</v>
      </c>
      <c r="F85" s="169" t="s">
        <v>9396</v>
      </c>
      <c r="G85" s="169">
        <v>180792</v>
      </c>
      <c r="H85" s="169" t="s">
        <v>9715</v>
      </c>
      <c r="I85" s="169" t="s">
        <v>6820</v>
      </c>
      <c r="J85" s="169" t="s">
        <v>6829</v>
      </c>
      <c r="K85" s="169" t="s">
        <v>9716</v>
      </c>
      <c r="L85" s="169" t="s">
        <v>9717</v>
      </c>
      <c r="M85" s="169" t="s">
        <v>9718</v>
      </c>
      <c r="N85" s="170">
        <v>43914</v>
      </c>
      <c r="O85" s="169" t="s">
        <v>7729</v>
      </c>
      <c r="P85" s="170">
        <v>43914</v>
      </c>
      <c r="Q85" s="170">
        <v>43914</v>
      </c>
      <c r="R85" s="178">
        <v>43914</v>
      </c>
      <c r="S85" s="171" t="s">
        <v>9351</v>
      </c>
      <c r="T85" s="172" t="s">
        <v>9351</v>
      </c>
      <c r="U85" s="173">
        <v>43915</v>
      </c>
      <c r="V85" s="172" t="s">
        <v>9719</v>
      </c>
      <c r="W85" s="172">
        <v>1</v>
      </c>
      <c r="X85" s="172" t="s">
        <v>5683</v>
      </c>
      <c r="Y85" s="172" t="s">
        <v>4999</v>
      </c>
      <c r="Z85" s="174">
        <v>43916</v>
      </c>
      <c r="AA85" s="175" t="s">
        <v>264</v>
      </c>
      <c r="AB85" s="176">
        <v>43916</v>
      </c>
      <c r="AC85" s="177">
        <v>43916</v>
      </c>
      <c r="AF85" s="214"/>
      <c r="AG85" s="215" t="s">
        <v>4999</v>
      </c>
    </row>
    <row r="86" spans="1:35" s="213" customFormat="1" thickBot="1" x14ac:dyDescent="0.3">
      <c r="A86" s="221" t="str">
        <f t="shared" si="3"/>
        <v>OK</v>
      </c>
      <c r="B86" s="222" t="str">
        <f t="shared" si="4"/>
        <v>OK</v>
      </c>
      <c r="C86" s="223" t="str">
        <f t="shared" si="5"/>
        <v>OK</v>
      </c>
      <c r="D86" s="167">
        <v>0</v>
      </c>
      <c r="E86" s="168" t="s">
        <v>9720</v>
      </c>
      <c r="F86" s="169" t="s">
        <v>9721</v>
      </c>
      <c r="G86" s="169">
        <v>180795</v>
      </c>
      <c r="H86" s="169" t="s">
        <v>9722</v>
      </c>
      <c r="I86" s="169" t="s">
        <v>6820</v>
      </c>
      <c r="J86" s="169" t="s">
        <v>6829</v>
      </c>
      <c r="K86" s="169" t="s">
        <v>9723</v>
      </c>
      <c r="L86" s="169" t="s">
        <v>9724</v>
      </c>
      <c r="M86" s="169" t="s">
        <v>7268</v>
      </c>
      <c r="N86" s="170">
        <v>43915</v>
      </c>
      <c r="O86" s="169" t="s">
        <v>9350</v>
      </c>
      <c r="P86" s="170">
        <v>43915</v>
      </c>
      <c r="Q86" s="170">
        <v>43915</v>
      </c>
      <c r="R86" s="178">
        <v>43915</v>
      </c>
      <c r="S86" s="171" t="s">
        <v>9351</v>
      </c>
      <c r="T86" s="172" t="s">
        <v>9351</v>
      </c>
      <c r="U86" s="173">
        <v>43916</v>
      </c>
      <c r="V86" s="172" t="s">
        <v>9725</v>
      </c>
      <c r="W86" s="172">
        <v>1</v>
      </c>
      <c r="X86" s="172" t="s">
        <v>5683</v>
      </c>
      <c r="Y86" s="172" t="s">
        <v>4999</v>
      </c>
      <c r="Z86" s="174">
        <v>43916</v>
      </c>
      <c r="AA86" s="175" t="s">
        <v>264</v>
      </c>
      <c r="AB86" s="176">
        <v>43922</v>
      </c>
      <c r="AC86" s="177">
        <v>43922</v>
      </c>
      <c r="AF86" s="214"/>
      <c r="AG86" s="215" t="s">
        <v>4999</v>
      </c>
    </row>
    <row r="87" spans="1:35" s="213" customFormat="1" thickBot="1" x14ac:dyDescent="0.3">
      <c r="A87" s="221" t="str">
        <f t="shared" si="3"/>
        <v>OK</v>
      </c>
      <c r="B87" s="222" t="str">
        <f t="shared" si="4"/>
        <v>OK</v>
      </c>
      <c r="C87" s="223" t="str">
        <f t="shared" si="5"/>
        <v>OK</v>
      </c>
      <c r="D87" s="155">
        <v>0</v>
      </c>
      <c r="E87" s="156" t="s">
        <v>9726</v>
      </c>
      <c r="F87" s="157" t="s">
        <v>9414</v>
      </c>
      <c r="G87" s="157">
        <v>180797</v>
      </c>
      <c r="H87" s="157" t="s">
        <v>9727</v>
      </c>
      <c r="I87" s="157" t="s">
        <v>6820</v>
      </c>
      <c r="J87" s="157" t="s">
        <v>6829</v>
      </c>
      <c r="K87" s="157" t="s">
        <v>1113</v>
      </c>
      <c r="L87" s="157" t="s">
        <v>9728</v>
      </c>
      <c r="M87" s="157" t="s">
        <v>9417</v>
      </c>
      <c r="N87" s="158">
        <v>43916</v>
      </c>
      <c r="O87" s="157" t="s">
        <v>9350</v>
      </c>
      <c r="P87" s="158">
        <v>43916</v>
      </c>
      <c r="Q87" s="158">
        <v>43916</v>
      </c>
      <c r="R87" s="159">
        <v>43916</v>
      </c>
      <c r="S87" s="160" t="s">
        <v>9351</v>
      </c>
      <c r="T87" s="161" t="s">
        <v>9351</v>
      </c>
      <c r="U87" s="162">
        <v>43935</v>
      </c>
      <c r="V87" s="161" t="s">
        <v>3576</v>
      </c>
      <c r="W87" s="161">
        <v>20</v>
      </c>
      <c r="X87" s="161" t="s">
        <v>5683</v>
      </c>
      <c r="Y87" s="161" t="s">
        <v>4999</v>
      </c>
      <c r="Z87" s="163">
        <v>43935</v>
      </c>
      <c r="AA87" s="164" t="s">
        <v>264</v>
      </c>
      <c r="AB87" s="165">
        <v>43937</v>
      </c>
      <c r="AC87" s="166">
        <v>43937</v>
      </c>
      <c r="AD87" s="209"/>
      <c r="AE87" s="209"/>
      <c r="AF87" s="210"/>
      <c r="AG87" s="211" t="s">
        <v>4999</v>
      </c>
      <c r="AH87" s="209"/>
      <c r="AI87" s="209"/>
    </row>
    <row r="88" spans="1:35" s="209" customFormat="1" thickBot="1" x14ac:dyDescent="0.3">
      <c r="A88" s="221" t="str">
        <f t="shared" si="3"/>
        <v>OK</v>
      </c>
      <c r="B88" s="222" t="str">
        <f t="shared" si="4"/>
        <v>OK</v>
      </c>
      <c r="C88" s="223" t="str">
        <f t="shared" si="5"/>
        <v>OK</v>
      </c>
      <c r="D88" s="167">
        <v>0</v>
      </c>
      <c r="E88" s="168" t="s">
        <v>9729</v>
      </c>
      <c r="F88" s="169" t="s">
        <v>9730</v>
      </c>
      <c r="G88" s="169">
        <v>180793</v>
      </c>
      <c r="H88" s="169" t="s">
        <v>9731</v>
      </c>
      <c r="I88" s="169" t="s">
        <v>6820</v>
      </c>
      <c r="J88" s="169" t="s">
        <v>6829</v>
      </c>
      <c r="K88" s="181" t="s">
        <v>9732</v>
      </c>
      <c r="L88" s="169" t="s">
        <v>9733</v>
      </c>
      <c r="M88" s="169" t="s">
        <v>9734</v>
      </c>
      <c r="N88" s="170">
        <v>43916</v>
      </c>
      <c r="O88" s="169" t="s">
        <v>7729</v>
      </c>
      <c r="P88" s="170">
        <v>43916</v>
      </c>
      <c r="Q88" s="170">
        <v>43916</v>
      </c>
      <c r="R88" s="178">
        <v>43916</v>
      </c>
      <c r="S88" s="171" t="s">
        <v>9351</v>
      </c>
      <c r="T88" s="172" t="s">
        <v>9351</v>
      </c>
      <c r="U88" s="173">
        <v>43920</v>
      </c>
      <c r="V88" s="172" t="s">
        <v>9735</v>
      </c>
      <c r="W88" s="172">
        <v>2</v>
      </c>
      <c r="X88" s="172" t="s">
        <v>5683</v>
      </c>
      <c r="Y88" s="172" t="s">
        <v>4999</v>
      </c>
      <c r="Z88" s="174">
        <v>43920</v>
      </c>
      <c r="AA88" s="175" t="s">
        <v>264</v>
      </c>
      <c r="AB88" s="176">
        <v>43921</v>
      </c>
      <c r="AC88" s="177">
        <v>43921</v>
      </c>
      <c r="AD88" s="213"/>
      <c r="AE88" s="213"/>
      <c r="AF88" s="214"/>
      <c r="AG88" s="215" t="s">
        <v>4999</v>
      </c>
      <c r="AH88" s="213"/>
      <c r="AI88" s="213"/>
    </row>
    <row r="89" spans="1:35" s="213" customFormat="1" ht="15" x14ac:dyDescent="0.25">
      <c r="A89" s="221" t="str">
        <f t="shared" si="3"/>
        <v>OK</v>
      </c>
      <c r="B89" s="222" t="str">
        <f t="shared" si="4"/>
        <v>OK</v>
      </c>
      <c r="C89" s="223" t="str">
        <f t="shared" si="5"/>
        <v>OK</v>
      </c>
      <c r="D89" s="155">
        <v>0</v>
      </c>
      <c r="E89" s="156" t="s">
        <v>9736</v>
      </c>
      <c r="F89" s="157" t="s">
        <v>8272</v>
      </c>
      <c r="G89" s="157">
        <v>180794</v>
      </c>
      <c r="H89" s="157" t="s">
        <v>9737</v>
      </c>
      <c r="I89" s="157" t="s">
        <v>6820</v>
      </c>
      <c r="J89" s="157" t="s">
        <v>6829</v>
      </c>
      <c r="K89" s="157" t="s">
        <v>2736</v>
      </c>
      <c r="L89" s="157" t="s">
        <v>9738</v>
      </c>
      <c r="M89" s="157" t="s">
        <v>9739</v>
      </c>
      <c r="N89" s="158">
        <v>43915</v>
      </c>
      <c r="O89" s="157" t="s">
        <v>7729</v>
      </c>
      <c r="P89" s="158">
        <v>43915</v>
      </c>
      <c r="Q89" s="158">
        <v>43915</v>
      </c>
      <c r="R89" s="159">
        <v>43915</v>
      </c>
      <c r="S89" s="160" t="s">
        <v>9351</v>
      </c>
      <c r="T89" s="161" t="s">
        <v>9351</v>
      </c>
      <c r="U89" s="162">
        <v>43917</v>
      </c>
      <c r="V89" s="161" t="s">
        <v>9740</v>
      </c>
      <c r="W89" s="161">
        <v>1</v>
      </c>
      <c r="X89" s="161" t="s">
        <v>5683</v>
      </c>
      <c r="Y89" s="161" t="s">
        <v>4999</v>
      </c>
      <c r="Z89" s="163">
        <v>43917</v>
      </c>
      <c r="AA89" s="164" t="s">
        <v>264</v>
      </c>
      <c r="AB89" s="165">
        <v>43937</v>
      </c>
      <c r="AC89" s="166">
        <v>43937</v>
      </c>
      <c r="AD89" s="209"/>
      <c r="AE89" s="209"/>
      <c r="AF89" s="210"/>
      <c r="AG89" s="211" t="s">
        <v>4999</v>
      </c>
      <c r="AH89" s="209"/>
      <c r="AI89" s="209"/>
    </row>
    <row r="90" spans="1:35" s="217" customFormat="1" thickBot="1" x14ac:dyDescent="0.3">
      <c r="A90" s="452" t="s">
        <v>7575</v>
      </c>
      <c r="B90" s="453"/>
      <c r="C90" s="454"/>
      <c r="D90" s="188">
        <v>0</v>
      </c>
      <c r="E90" s="189" t="s">
        <v>9741</v>
      </c>
      <c r="F90" s="190" t="s">
        <v>9414</v>
      </c>
      <c r="G90" s="190">
        <v>180799</v>
      </c>
      <c r="H90" s="190" t="s">
        <v>9742</v>
      </c>
      <c r="I90" s="190" t="s">
        <v>6820</v>
      </c>
      <c r="J90" s="190" t="s">
        <v>6829</v>
      </c>
      <c r="K90" s="190" t="s">
        <v>5745</v>
      </c>
      <c r="L90" s="190" t="s">
        <v>9743</v>
      </c>
      <c r="M90" s="190" t="s">
        <v>9744</v>
      </c>
      <c r="N90" s="191">
        <v>43917</v>
      </c>
      <c r="O90" s="190" t="s">
        <v>9350</v>
      </c>
      <c r="P90" s="191">
        <v>43917</v>
      </c>
      <c r="Q90" s="191">
        <v>43917</v>
      </c>
      <c r="R90" s="192">
        <v>43917</v>
      </c>
      <c r="S90" s="193" t="s">
        <v>9351</v>
      </c>
      <c r="T90" s="194"/>
      <c r="U90" s="194"/>
      <c r="V90" s="194"/>
      <c r="W90" s="194"/>
      <c r="X90" s="194"/>
      <c r="Y90" s="194"/>
      <c r="Z90" s="204"/>
      <c r="AA90" s="197"/>
      <c r="AB90" s="195"/>
      <c r="AC90" s="196"/>
      <c r="AF90" s="193"/>
      <c r="AG90" s="204"/>
    </row>
    <row r="91" spans="1:35" s="209" customFormat="1" thickBot="1" x14ac:dyDescent="0.3">
      <c r="A91" s="221" t="str">
        <f t="shared" si="3"/>
        <v>OK</v>
      </c>
      <c r="B91" s="222" t="str">
        <f t="shared" si="4"/>
        <v>OK</v>
      </c>
      <c r="C91" s="223" t="str">
        <f t="shared" si="5"/>
        <v>OK</v>
      </c>
      <c r="D91" s="155">
        <v>0</v>
      </c>
      <c r="E91" s="156" t="s">
        <v>9745</v>
      </c>
      <c r="F91" s="157" t="s">
        <v>9580</v>
      </c>
      <c r="G91" s="157">
        <v>180806</v>
      </c>
      <c r="H91" s="157" t="s">
        <v>9746</v>
      </c>
      <c r="I91" s="157" t="s">
        <v>6820</v>
      </c>
      <c r="J91" s="157" t="s">
        <v>6829</v>
      </c>
      <c r="K91" s="157" t="s">
        <v>9747</v>
      </c>
      <c r="L91" s="157" t="s">
        <v>9748</v>
      </c>
      <c r="M91" s="157" t="s">
        <v>5470</v>
      </c>
      <c r="N91" s="158">
        <v>43941</v>
      </c>
      <c r="O91" s="157" t="s">
        <v>9350</v>
      </c>
      <c r="P91" s="158">
        <v>43920</v>
      </c>
      <c r="Q91" s="158">
        <v>43921</v>
      </c>
      <c r="R91" s="159">
        <v>43921</v>
      </c>
      <c r="S91" s="160" t="s">
        <v>9351</v>
      </c>
      <c r="T91" s="161" t="s">
        <v>9351</v>
      </c>
      <c r="U91" s="162">
        <v>43938</v>
      </c>
      <c r="V91" s="161" t="s">
        <v>9749</v>
      </c>
      <c r="W91" s="161">
        <v>2</v>
      </c>
      <c r="X91" s="161" t="s">
        <v>5683</v>
      </c>
      <c r="Y91" s="161" t="s">
        <v>4999</v>
      </c>
      <c r="Z91" s="163">
        <v>43938</v>
      </c>
      <c r="AA91" s="164" t="s">
        <v>264</v>
      </c>
      <c r="AB91" s="165">
        <v>43941</v>
      </c>
      <c r="AC91" s="166">
        <v>43941</v>
      </c>
      <c r="AF91" s="210"/>
      <c r="AG91" s="211" t="s">
        <v>4999</v>
      </c>
    </row>
    <row r="92" spans="1:35" s="209" customFormat="1" thickBot="1" x14ac:dyDescent="0.3">
      <c r="A92" s="221" t="str">
        <f t="shared" si="3"/>
        <v>OK</v>
      </c>
      <c r="B92" s="222" t="str">
        <f t="shared" si="4"/>
        <v>OK</v>
      </c>
      <c r="C92" s="223" t="str">
        <f t="shared" si="5"/>
        <v>OK</v>
      </c>
      <c r="D92" s="167">
        <v>0</v>
      </c>
      <c r="E92" s="168" t="s">
        <v>9750</v>
      </c>
      <c r="F92" s="169" t="s">
        <v>9361</v>
      </c>
      <c r="G92" s="169">
        <v>180805</v>
      </c>
      <c r="H92" s="169" t="s">
        <v>9751</v>
      </c>
      <c r="I92" s="169" t="s">
        <v>6820</v>
      </c>
      <c r="J92" s="169" t="s">
        <v>6829</v>
      </c>
      <c r="K92" s="169" t="s">
        <v>9594</v>
      </c>
      <c r="L92" s="181" t="s">
        <v>9595</v>
      </c>
      <c r="M92" s="181" t="s">
        <v>9596</v>
      </c>
      <c r="N92" s="170">
        <v>43921</v>
      </c>
      <c r="O92" s="169" t="s">
        <v>9350</v>
      </c>
      <c r="P92" s="170">
        <v>43921</v>
      </c>
      <c r="Q92" s="170">
        <v>43922</v>
      </c>
      <c r="R92" s="170">
        <v>43922</v>
      </c>
      <c r="S92" s="171" t="s">
        <v>9350</v>
      </c>
      <c r="T92" s="172" t="s">
        <v>9350</v>
      </c>
      <c r="U92" s="173">
        <v>43923</v>
      </c>
      <c r="V92" s="172" t="s">
        <v>9366</v>
      </c>
      <c r="W92" s="172">
        <v>3</v>
      </c>
      <c r="X92" s="172" t="s">
        <v>5683</v>
      </c>
      <c r="Y92" s="172" t="s">
        <v>4999</v>
      </c>
      <c r="Z92" s="174">
        <v>43924</v>
      </c>
      <c r="AA92" s="175" t="s">
        <v>264</v>
      </c>
      <c r="AB92" s="176">
        <v>43924</v>
      </c>
      <c r="AC92" s="177">
        <v>43924</v>
      </c>
      <c r="AD92" s="213"/>
      <c r="AE92" s="213"/>
      <c r="AF92" s="214"/>
      <c r="AG92" s="215" t="s">
        <v>4999</v>
      </c>
      <c r="AH92" s="213"/>
      <c r="AI92" s="213"/>
    </row>
    <row r="93" spans="1:35" s="213" customFormat="1" thickBot="1" x14ac:dyDescent="0.3">
      <c r="A93" s="221" t="str">
        <f t="shared" si="3"/>
        <v>OK</v>
      </c>
      <c r="B93" s="222" t="str">
        <f t="shared" si="4"/>
        <v>OK</v>
      </c>
      <c r="C93" s="223" t="str">
        <f t="shared" si="5"/>
        <v>OK</v>
      </c>
      <c r="D93" s="155">
        <v>0</v>
      </c>
      <c r="E93" s="156" t="s">
        <v>9752</v>
      </c>
      <c r="F93" s="157" t="s">
        <v>9478</v>
      </c>
      <c r="G93" s="157">
        <v>180808</v>
      </c>
      <c r="H93" s="157" t="s">
        <v>9753</v>
      </c>
      <c r="I93" s="157" t="s">
        <v>6820</v>
      </c>
      <c r="J93" s="157" t="s">
        <v>6829</v>
      </c>
      <c r="K93" s="157" t="s">
        <v>9754</v>
      </c>
      <c r="L93" s="157" t="s">
        <v>9755</v>
      </c>
      <c r="M93" s="157" t="s">
        <v>9756</v>
      </c>
      <c r="N93" s="158">
        <v>43921</v>
      </c>
      <c r="O93" s="157" t="s">
        <v>9350</v>
      </c>
      <c r="P93" s="158">
        <v>43921</v>
      </c>
      <c r="Q93" s="158">
        <v>43921</v>
      </c>
      <c r="R93" s="159">
        <v>43921</v>
      </c>
      <c r="S93" s="160" t="s">
        <v>9351</v>
      </c>
      <c r="T93" s="161" t="s">
        <v>9351</v>
      </c>
      <c r="U93" s="162">
        <v>43930</v>
      </c>
      <c r="V93" s="161" t="s">
        <v>9757</v>
      </c>
      <c r="W93" s="161">
        <v>4</v>
      </c>
      <c r="X93" s="161" t="s">
        <v>5683</v>
      </c>
      <c r="Y93" s="161" t="s">
        <v>4999</v>
      </c>
      <c r="Z93" s="163">
        <v>43930</v>
      </c>
      <c r="AA93" s="164" t="s">
        <v>264</v>
      </c>
      <c r="AB93" s="165">
        <v>43934</v>
      </c>
      <c r="AC93" s="166">
        <v>43934</v>
      </c>
      <c r="AD93" s="209"/>
      <c r="AE93" s="209"/>
      <c r="AF93" s="210"/>
      <c r="AG93" s="211" t="s">
        <v>4999</v>
      </c>
      <c r="AH93" s="209"/>
      <c r="AI93" s="209"/>
    </row>
    <row r="94" spans="1:35" s="209" customFormat="1" thickBot="1" x14ac:dyDescent="0.3">
      <c r="A94" s="221" t="str">
        <f t="shared" si="3"/>
        <v>OK</v>
      </c>
      <c r="B94" s="222" t="str">
        <f t="shared" si="4"/>
        <v>OK</v>
      </c>
      <c r="C94" s="223" t="str">
        <f t="shared" si="5"/>
        <v>OK</v>
      </c>
      <c r="D94" s="155">
        <v>0</v>
      </c>
      <c r="E94" s="156" t="s">
        <v>9758</v>
      </c>
      <c r="F94" s="157" t="s">
        <v>9498</v>
      </c>
      <c r="G94" s="157">
        <v>180771</v>
      </c>
      <c r="H94" s="157" t="s">
        <v>9759</v>
      </c>
      <c r="I94" s="157" t="s">
        <v>6820</v>
      </c>
      <c r="J94" s="157" t="s">
        <v>6829</v>
      </c>
      <c r="K94" s="157" t="s">
        <v>9760</v>
      </c>
      <c r="L94" s="157" t="s">
        <v>9761</v>
      </c>
      <c r="M94" s="157" t="s">
        <v>1902</v>
      </c>
      <c r="N94" s="158">
        <v>43896</v>
      </c>
      <c r="O94" s="157" t="s">
        <v>7729</v>
      </c>
      <c r="P94" s="158">
        <v>43896</v>
      </c>
      <c r="Q94" s="158">
        <v>43896</v>
      </c>
      <c r="R94" s="159">
        <v>43896</v>
      </c>
      <c r="S94" s="160" t="s">
        <v>9351</v>
      </c>
      <c r="T94" s="161" t="s">
        <v>9351</v>
      </c>
      <c r="U94" s="162">
        <v>43924</v>
      </c>
      <c r="V94" s="161" t="s">
        <v>235</v>
      </c>
      <c r="W94" s="161">
        <v>20</v>
      </c>
      <c r="X94" s="161" t="s">
        <v>5683</v>
      </c>
      <c r="Y94" s="161" t="s">
        <v>4999</v>
      </c>
      <c r="Z94" s="163">
        <v>43924</v>
      </c>
      <c r="AA94" s="164" t="s">
        <v>264</v>
      </c>
      <c r="AB94" s="165">
        <v>43937</v>
      </c>
      <c r="AC94" s="166">
        <v>43937</v>
      </c>
      <c r="AF94" s="210"/>
      <c r="AG94" s="211" t="s">
        <v>4999</v>
      </c>
    </row>
    <row r="95" spans="1:35" s="209" customFormat="1" thickBot="1" x14ac:dyDescent="0.3">
      <c r="A95" s="221" t="str">
        <f t="shared" si="3"/>
        <v>OK</v>
      </c>
      <c r="B95" s="222" t="str">
        <f t="shared" si="4"/>
        <v>OK</v>
      </c>
      <c r="C95" s="223" t="str">
        <f t="shared" si="5"/>
        <v>OK</v>
      </c>
      <c r="D95" s="155">
        <v>0</v>
      </c>
      <c r="E95" s="156" t="s">
        <v>9762</v>
      </c>
      <c r="F95" s="157" t="s">
        <v>8369</v>
      </c>
      <c r="G95" s="157">
        <v>180814</v>
      </c>
      <c r="H95" s="157" t="s">
        <v>9763</v>
      </c>
      <c r="I95" s="157" t="s">
        <v>6820</v>
      </c>
      <c r="J95" s="157" t="s">
        <v>6829</v>
      </c>
      <c r="K95" s="157" t="s">
        <v>9290</v>
      </c>
      <c r="L95" s="157" t="s">
        <v>9764</v>
      </c>
      <c r="M95" s="157" t="s">
        <v>9292</v>
      </c>
      <c r="N95" s="158">
        <v>43927</v>
      </c>
      <c r="O95" s="157" t="s">
        <v>9350</v>
      </c>
      <c r="P95" s="158">
        <v>43927</v>
      </c>
      <c r="Q95" s="158">
        <v>43927</v>
      </c>
      <c r="R95" s="159">
        <v>43927</v>
      </c>
      <c r="S95" s="160" t="s">
        <v>9351</v>
      </c>
      <c r="T95" s="161" t="s">
        <v>9351</v>
      </c>
      <c r="U95" s="162">
        <v>43929</v>
      </c>
      <c r="V95" s="161" t="s">
        <v>5682</v>
      </c>
      <c r="W95" s="161">
        <v>9</v>
      </c>
      <c r="X95" s="161" t="s">
        <v>5683</v>
      </c>
      <c r="Y95" s="161" t="s">
        <v>4999</v>
      </c>
      <c r="Z95" s="163">
        <v>43929</v>
      </c>
      <c r="AA95" s="164" t="s">
        <v>264</v>
      </c>
      <c r="AB95" s="165">
        <v>43934</v>
      </c>
      <c r="AC95" s="166">
        <v>43934</v>
      </c>
      <c r="AF95" s="210"/>
      <c r="AG95" s="211" t="s">
        <v>4999</v>
      </c>
    </row>
    <row r="96" spans="1:35" s="209" customFormat="1" thickBot="1" x14ac:dyDescent="0.3">
      <c r="A96" s="221" t="str">
        <f t="shared" si="3"/>
        <v>OK</v>
      </c>
      <c r="B96" s="222" t="str">
        <f t="shared" si="4"/>
        <v>OK</v>
      </c>
      <c r="C96" s="223" t="str">
        <f t="shared" si="5"/>
        <v>OK</v>
      </c>
      <c r="D96" s="155">
        <v>0</v>
      </c>
      <c r="E96" s="156" t="s">
        <v>9765</v>
      </c>
      <c r="F96" s="157" t="s">
        <v>9414</v>
      </c>
      <c r="G96" s="157">
        <v>180835</v>
      </c>
      <c r="H96" s="157" t="s">
        <v>9766</v>
      </c>
      <c r="I96" s="157" t="s">
        <v>6820</v>
      </c>
      <c r="J96" s="157" t="s">
        <v>6829</v>
      </c>
      <c r="K96" s="157" t="s">
        <v>9767</v>
      </c>
      <c r="L96" s="157" t="s">
        <v>9768</v>
      </c>
      <c r="M96" s="157" t="s">
        <v>1106</v>
      </c>
      <c r="N96" s="158">
        <v>43950</v>
      </c>
      <c r="O96" s="157" t="s">
        <v>9350</v>
      </c>
      <c r="P96" s="158">
        <v>43920</v>
      </c>
      <c r="Q96" s="158">
        <v>43920</v>
      </c>
      <c r="R96" s="159">
        <v>43920</v>
      </c>
      <c r="S96" s="160" t="s">
        <v>9351</v>
      </c>
      <c r="T96" s="161" t="s">
        <v>9351</v>
      </c>
      <c r="U96" s="162">
        <v>43943</v>
      </c>
      <c r="V96" s="161" t="s">
        <v>9769</v>
      </c>
      <c r="W96" s="161">
        <v>2</v>
      </c>
      <c r="X96" s="161" t="s">
        <v>583</v>
      </c>
      <c r="Y96" s="161" t="s">
        <v>4999</v>
      </c>
      <c r="Z96" s="163">
        <v>43951</v>
      </c>
      <c r="AA96" s="164" t="s">
        <v>264</v>
      </c>
      <c r="AB96" s="165">
        <v>43962</v>
      </c>
      <c r="AC96" s="166">
        <v>43962</v>
      </c>
      <c r="AF96" s="210"/>
      <c r="AG96" s="211" t="s">
        <v>4999</v>
      </c>
    </row>
    <row r="97" spans="1:34" s="209" customFormat="1" thickBot="1" x14ac:dyDescent="0.3">
      <c r="A97" s="221" t="str">
        <f t="shared" si="3"/>
        <v>OK</v>
      </c>
      <c r="B97" s="222" t="str">
        <f t="shared" si="4"/>
        <v>OK</v>
      </c>
      <c r="C97" s="223" t="str">
        <f t="shared" si="5"/>
        <v>OK</v>
      </c>
      <c r="D97" s="155">
        <v>0</v>
      </c>
      <c r="E97" s="156" t="s">
        <v>9770</v>
      </c>
      <c r="F97" s="157" t="s">
        <v>9414</v>
      </c>
      <c r="G97" s="157">
        <v>180819</v>
      </c>
      <c r="H97" s="157" t="s">
        <v>9771</v>
      </c>
      <c r="I97" s="157" t="s">
        <v>6820</v>
      </c>
      <c r="J97" s="157" t="s">
        <v>6829</v>
      </c>
      <c r="K97" s="157" t="s">
        <v>3945</v>
      </c>
      <c r="L97" s="157" t="s">
        <v>9772</v>
      </c>
      <c r="M97" s="157" t="s">
        <v>9417</v>
      </c>
      <c r="N97" s="158">
        <v>43934</v>
      </c>
      <c r="O97" s="157" t="s">
        <v>9350</v>
      </c>
      <c r="P97" s="158">
        <v>43934</v>
      </c>
      <c r="Q97" s="158">
        <v>43934</v>
      </c>
      <c r="R97" s="159">
        <v>43934</v>
      </c>
      <c r="S97" s="160" t="s">
        <v>9351</v>
      </c>
      <c r="T97" s="161" t="s">
        <v>9351</v>
      </c>
      <c r="U97" s="162">
        <v>43955</v>
      </c>
      <c r="V97" s="161" t="s">
        <v>9773</v>
      </c>
      <c r="W97" s="161">
        <v>1</v>
      </c>
      <c r="X97" s="161" t="s">
        <v>5683</v>
      </c>
      <c r="Y97" s="161" t="s">
        <v>4999</v>
      </c>
      <c r="Z97" s="163">
        <v>43957</v>
      </c>
      <c r="AA97" s="164" t="s">
        <v>264</v>
      </c>
      <c r="AB97" s="165">
        <v>43958</v>
      </c>
      <c r="AC97" s="166">
        <v>43958</v>
      </c>
      <c r="AF97" s="210"/>
      <c r="AG97" s="211" t="s">
        <v>4999</v>
      </c>
    </row>
    <row r="98" spans="1:34" s="209" customFormat="1" thickBot="1" x14ac:dyDescent="0.3">
      <c r="A98" s="221" t="str">
        <f t="shared" si="3"/>
        <v>OK</v>
      </c>
      <c r="B98" s="222" t="str">
        <f t="shared" si="4"/>
        <v>OK</v>
      </c>
      <c r="C98" s="223" t="str">
        <f t="shared" si="5"/>
        <v>OK</v>
      </c>
      <c r="D98" s="155">
        <v>0</v>
      </c>
      <c r="E98" s="156" t="s">
        <v>9774</v>
      </c>
      <c r="F98" s="157" t="s">
        <v>9414</v>
      </c>
      <c r="G98" s="157">
        <v>180819</v>
      </c>
      <c r="H98" s="157" t="s">
        <v>9775</v>
      </c>
      <c r="I98" s="157" t="s">
        <v>6820</v>
      </c>
      <c r="J98" s="157" t="s">
        <v>6829</v>
      </c>
      <c r="K98" s="157" t="s">
        <v>9441</v>
      </c>
      <c r="L98" s="157" t="s">
        <v>9776</v>
      </c>
      <c r="M98" s="157" t="s">
        <v>9417</v>
      </c>
      <c r="N98" s="158">
        <v>43934</v>
      </c>
      <c r="O98" s="157" t="s">
        <v>9350</v>
      </c>
      <c r="P98" s="158">
        <v>43934</v>
      </c>
      <c r="Q98" s="158">
        <v>43934</v>
      </c>
      <c r="R98" s="159">
        <v>43934</v>
      </c>
      <c r="S98" s="160" t="s">
        <v>9351</v>
      </c>
      <c r="T98" s="161" t="s">
        <v>9351</v>
      </c>
      <c r="U98" s="162">
        <v>43955</v>
      </c>
      <c r="V98" s="161" t="s">
        <v>9777</v>
      </c>
      <c r="W98" s="161">
        <v>1</v>
      </c>
      <c r="X98" s="161" t="s">
        <v>5683</v>
      </c>
      <c r="Y98" s="161" t="s">
        <v>4999</v>
      </c>
      <c r="Z98" s="163">
        <v>43957</v>
      </c>
      <c r="AA98" s="164" t="s">
        <v>264</v>
      </c>
      <c r="AB98" s="165">
        <v>43958</v>
      </c>
      <c r="AC98" s="166">
        <v>43958</v>
      </c>
      <c r="AF98" s="210"/>
      <c r="AG98" s="211" t="s">
        <v>4999</v>
      </c>
    </row>
    <row r="99" spans="1:34" s="209" customFormat="1" thickBot="1" x14ac:dyDescent="0.3">
      <c r="A99" s="221" t="str">
        <f t="shared" si="3"/>
        <v>OK</v>
      </c>
      <c r="B99" s="222" t="str">
        <f t="shared" si="4"/>
        <v>OK</v>
      </c>
      <c r="C99" s="223" t="str">
        <f t="shared" si="5"/>
        <v>OK</v>
      </c>
      <c r="D99" s="155">
        <v>0</v>
      </c>
      <c r="E99" s="156" t="s">
        <v>9778</v>
      </c>
      <c r="F99" s="157" t="s">
        <v>9414</v>
      </c>
      <c r="G99" s="157">
        <v>180811</v>
      </c>
      <c r="H99" s="157" t="s">
        <v>9779</v>
      </c>
      <c r="I99" s="157" t="s">
        <v>6820</v>
      </c>
      <c r="J99" s="157" t="s">
        <v>6829</v>
      </c>
      <c r="K99" s="157" t="s">
        <v>1113</v>
      </c>
      <c r="L99" s="157" t="s">
        <v>9780</v>
      </c>
      <c r="M99" s="157" t="s">
        <v>9417</v>
      </c>
      <c r="N99" s="158">
        <v>43927</v>
      </c>
      <c r="O99" s="157" t="s">
        <v>9350</v>
      </c>
      <c r="P99" s="158">
        <v>43927</v>
      </c>
      <c r="Q99" s="158">
        <v>43927</v>
      </c>
      <c r="R99" s="159">
        <v>43927</v>
      </c>
      <c r="S99" s="160" t="s">
        <v>9351</v>
      </c>
      <c r="T99" s="161" t="s">
        <v>9351</v>
      </c>
      <c r="U99" s="162">
        <v>43955</v>
      </c>
      <c r="V99" s="161" t="s">
        <v>9781</v>
      </c>
      <c r="W99" s="161">
        <v>1</v>
      </c>
      <c r="X99" s="161" t="s">
        <v>5683</v>
      </c>
      <c r="Y99" s="161" t="s">
        <v>4999</v>
      </c>
      <c r="Z99" s="163">
        <v>43956</v>
      </c>
      <c r="AA99" s="164" t="s">
        <v>264</v>
      </c>
      <c r="AB99" s="165">
        <v>43958</v>
      </c>
      <c r="AC99" s="166">
        <v>43958</v>
      </c>
      <c r="AF99" s="210"/>
      <c r="AG99" s="211" t="s">
        <v>4999</v>
      </c>
    </row>
    <row r="100" spans="1:34" s="209" customFormat="1" ht="30.75" thickBot="1" x14ac:dyDescent="0.3">
      <c r="A100" s="221" t="str">
        <f t="shared" si="3"/>
        <v>OK</v>
      </c>
      <c r="B100" s="222" t="str">
        <f t="shared" si="4"/>
        <v>OK</v>
      </c>
      <c r="C100" s="223" t="str">
        <f t="shared" si="5"/>
        <v>OK</v>
      </c>
      <c r="D100" s="155">
        <v>0</v>
      </c>
      <c r="E100" s="156" t="s">
        <v>9782</v>
      </c>
      <c r="F100" s="157" t="s">
        <v>9414</v>
      </c>
      <c r="G100" s="157">
        <v>180820</v>
      </c>
      <c r="H100" s="157" t="s">
        <v>9783</v>
      </c>
      <c r="I100" s="157" t="s">
        <v>6820</v>
      </c>
      <c r="J100" s="157" t="s">
        <v>6829</v>
      </c>
      <c r="K100" s="157" t="s">
        <v>9784</v>
      </c>
      <c r="L100" s="157" t="s">
        <v>9785</v>
      </c>
      <c r="M100" s="157" t="s">
        <v>1106</v>
      </c>
      <c r="N100" s="158">
        <v>43934</v>
      </c>
      <c r="O100" s="157" t="s">
        <v>9350</v>
      </c>
      <c r="P100" s="158">
        <v>43934</v>
      </c>
      <c r="Q100" s="158">
        <v>43934</v>
      </c>
      <c r="R100" s="159">
        <v>43934</v>
      </c>
      <c r="S100" s="160" t="s">
        <v>9351</v>
      </c>
      <c r="T100" s="161" t="s">
        <v>9351</v>
      </c>
      <c r="U100" s="162">
        <v>43951</v>
      </c>
      <c r="V100" s="161" t="s">
        <v>9769</v>
      </c>
      <c r="W100" s="161">
        <v>6</v>
      </c>
      <c r="X100" s="161" t="s">
        <v>5683</v>
      </c>
      <c r="Y100" s="161" t="s">
        <v>4999</v>
      </c>
      <c r="Z100" s="163">
        <v>43950</v>
      </c>
      <c r="AA100" s="164" t="s">
        <v>264</v>
      </c>
      <c r="AB100" s="165">
        <v>43955</v>
      </c>
      <c r="AC100" s="166">
        <v>43955</v>
      </c>
      <c r="AF100" s="210"/>
      <c r="AG100" s="211" t="s">
        <v>4999</v>
      </c>
      <c r="AH100" s="213" t="s">
        <v>9786</v>
      </c>
    </row>
    <row r="101" spans="1:34" s="209" customFormat="1" thickBot="1" x14ac:dyDescent="0.3">
      <c r="A101" s="221" t="str">
        <f t="shared" si="3"/>
        <v>OK</v>
      </c>
      <c r="B101" s="222" t="str">
        <f t="shared" si="4"/>
        <v>OK</v>
      </c>
      <c r="C101" s="223" t="str">
        <f t="shared" si="5"/>
        <v>OK</v>
      </c>
      <c r="D101" s="155">
        <v>0</v>
      </c>
      <c r="E101" s="156" t="s">
        <v>9787</v>
      </c>
      <c r="F101" s="157" t="s">
        <v>9414</v>
      </c>
      <c r="G101" s="157">
        <v>180803</v>
      </c>
      <c r="H101" s="157" t="s">
        <v>9788</v>
      </c>
      <c r="I101" s="157" t="s">
        <v>6820</v>
      </c>
      <c r="J101" s="157" t="s">
        <v>6829</v>
      </c>
      <c r="K101" s="157" t="s">
        <v>3818</v>
      </c>
      <c r="L101" s="157" t="s">
        <v>9789</v>
      </c>
      <c r="M101" s="157" t="s">
        <v>1106</v>
      </c>
      <c r="N101" s="158">
        <v>43920</v>
      </c>
      <c r="O101" s="157" t="s">
        <v>9350</v>
      </c>
      <c r="P101" s="158">
        <v>43920</v>
      </c>
      <c r="Q101" s="158">
        <v>43920</v>
      </c>
      <c r="R101" s="159">
        <v>43920</v>
      </c>
      <c r="S101" s="160" t="s">
        <v>9351</v>
      </c>
      <c r="T101" s="161" t="s">
        <v>9351</v>
      </c>
      <c r="U101" s="162">
        <v>43978</v>
      </c>
      <c r="V101" s="161" t="s">
        <v>1149</v>
      </c>
      <c r="W101" s="161">
        <v>2</v>
      </c>
      <c r="X101" s="161" t="s">
        <v>5683</v>
      </c>
      <c r="Y101" s="161" t="s">
        <v>4999</v>
      </c>
      <c r="Z101" s="163">
        <v>43979</v>
      </c>
      <c r="AA101" s="164" t="s">
        <v>264</v>
      </c>
      <c r="AB101" s="165">
        <v>43979</v>
      </c>
      <c r="AC101" s="166">
        <v>43979</v>
      </c>
      <c r="AF101" s="210"/>
      <c r="AG101" s="211" t="s">
        <v>4999</v>
      </c>
      <c r="AH101" s="213" t="s">
        <v>9786</v>
      </c>
    </row>
    <row r="102" spans="1:34" s="209" customFormat="1" thickBot="1" x14ac:dyDescent="0.3">
      <c r="A102" s="221" t="str">
        <f t="shared" si="3"/>
        <v>OK</v>
      </c>
      <c r="B102" s="222" t="str">
        <f t="shared" si="4"/>
        <v>OK</v>
      </c>
      <c r="C102" s="223" t="str">
        <f t="shared" si="5"/>
        <v>OK</v>
      </c>
      <c r="D102" s="155">
        <v>0</v>
      </c>
      <c r="E102" s="156" t="s">
        <v>9790</v>
      </c>
      <c r="F102" s="157" t="s">
        <v>9172</v>
      </c>
      <c r="G102" s="157">
        <v>180818</v>
      </c>
      <c r="H102" s="157" t="s">
        <v>9791</v>
      </c>
      <c r="I102" s="157" t="s">
        <v>6820</v>
      </c>
      <c r="J102" s="157" t="s">
        <v>6829</v>
      </c>
      <c r="K102" s="157" t="s">
        <v>9620</v>
      </c>
      <c r="L102" s="157" t="s">
        <v>7800</v>
      </c>
      <c r="M102" s="157" t="s">
        <v>4237</v>
      </c>
      <c r="N102" s="158">
        <v>43929</v>
      </c>
      <c r="O102" s="157" t="s">
        <v>9792</v>
      </c>
      <c r="P102" s="158">
        <v>43929</v>
      </c>
      <c r="Q102" s="158">
        <v>43929</v>
      </c>
      <c r="R102" s="159">
        <v>43929</v>
      </c>
      <c r="S102" s="160" t="s">
        <v>9351</v>
      </c>
      <c r="T102" s="161" t="s">
        <v>9351</v>
      </c>
      <c r="U102" s="162">
        <v>43936</v>
      </c>
      <c r="V102" s="161" t="s">
        <v>2731</v>
      </c>
      <c r="W102" s="161">
        <v>1</v>
      </c>
      <c r="X102" s="161" t="s">
        <v>5683</v>
      </c>
      <c r="Y102" s="161" t="s">
        <v>4999</v>
      </c>
      <c r="Z102" s="163">
        <v>43930</v>
      </c>
      <c r="AA102" s="164" t="s">
        <v>264</v>
      </c>
      <c r="AB102" s="165">
        <v>43937</v>
      </c>
      <c r="AC102" s="166">
        <v>43937</v>
      </c>
      <c r="AF102" s="210"/>
      <c r="AG102" s="211" t="s">
        <v>4999</v>
      </c>
      <c r="AH102" s="213" t="s">
        <v>9786</v>
      </c>
    </row>
    <row r="103" spans="1:34" s="209" customFormat="1" thickBot="1" x14ac:dyDescent="0.3">
      <c r="A103" s="221" t="str">
        <f t="shared" si="3"/>
        <v>OK</v>
      </c>
      <c r="B103" s="222" t="str">
        <f t="shared" si="4"/>
        <v>OK</v>
      </c>
      <c r="C103" s="223" t="str">
        <f t="shared" si="5"/>
        <v>OK</v>
      </c>
      <c r="D103" s="155">
        <v>0</v>
      </c>
      <c r="E103" s="156" t="s">
        <v>9793</v>
      </c>
      <c r="F103" s="157" t="s">
        <v>9172</v>
      </c>
      <c r="G103" s="157">
        <v>180818</v>
      </c>
      <c r="H103" s="157" t="s">
        <v>9794</v>
      </c>
      <c r="I103" s="157" t="s">
        <v>6820</v>
      </c>
      <c r="J103" s="157" t="s">
        <v>6829</v>
      </c>
      <c r="K103" s="157" t="s">
        <v>9041</v>
      </c>
      <c r="L103" s="157" t="s">
        <v>5723</v>
      </c>
      <c r="M103" s="157" t="s">
        <v>4237</v>
      </c>
      <c r="N103" s="158">
        <v>43929</v>
      </c>
      <c r="O103" s="157" t="s">
        <v>9792</v>
      </c>
      <c r="P103" s="158">
        <v>43929</v>
      </c>
      <c r="Q103" s="158">
        <v>43929</v>
      </c>
      <c r="R103" s="159">
        <v>43929</v>
      </c>
      <c r="S103" s="160" t="s">
        <v>9351</v>
      </c>
      <c r="T103" s="161" t="s">
        <v>9351</v>
      </c>
      <c r="U103" s="162">
        <v>43936</v>
      </c>
      <c r="V103" s="161" t="s">
        <v>1876</v>
      </c>
      <c r="W103" s="161">
        <v>1</v>
      </c>
      <c r="X103" s="161" t="s">
        <v>5683</v>
      </c>
      <c r="Y103" s="161" t="s">
        <v>4999</v>
      </c>
      <c r="Z103" s="163">
        <v>43936</v>
      </c>
      <c r="AA103" s="164" t="s">
        <v>264</v>
      </c>
      <c r="AB103" s="165">
        <v>43937</v>
      </c>
      <c r="AC103" s="166">
        <v>43937</v>
      </c>
      <c r="AF103" s="210"/>
      <c r="AG103" s="211" t="s">
        <v>4999</v>
      </c>
      <c r="AH103" s="213" t="s">
        <v>9786</v>
      </c>
    </row>
    <row r="104" spans="1:34" s="209" customFormat="1" thickBot="1" x14ac:dyDescent="0.3">
      <c r="A104" s="221" t="str">
        <f t="shared" si="3"/>
        <v>OK</v>
      </c>
      <c r="B104" s="222" t="str">
        <f t="shared" si="4"/>
        <v>OK</v>
      </c>
      <c r="C104" s="223" t="str">
        <f t="shared" si="5"/>
        <v>OK</v>
      </c>
      <c r="D104" s="155">
        <v>0</v>
      </c>
      <c r="E104" s="156" t="s">
        <v>9795</v>
      </c>
      <c r="F104" s="169" t="s">
        <v>9396</v>
      </c>
      <c r="G104" s="157">
        <v>180822</v>
      </c>
      <c r="H104" s="157" t="s">
        <v>9796</v>
      </c>
      <c r="I104" s="157" t="s">
        <v>6820</v>
      </c>
      <c r="J104" s="157" t="s">
        <v>6829</v>
      </c>
      <c r="K104" s="157" t="s">
        <v>8543</v>
      </c>
      <c r="L104" s="157" t="s">
        <v>9797</v>
      </c>
      <c r="M104" s="157" t="s">
        <v>9718</v>
      </c>
      <c r="N104" s="158">
        <v>43935</v>
      </c>
      <c r="O104" s="157" t="s">
        <v>7729</v>
      </c>
      <c r="P104" s="158">
        <v>43935</v>
      </c>
      <c r="Q104" s="158">
        <v>43935</v>
      </c>
      <c r="R104" s="159">
        <v>43935</v>
      </c>
      <c r="S104" s="160" t="s">
        <v>9351</v>
      </c>
      <c r="T104" s="161" t="s">
        <v>9351</v>
      </c>
      <c r="U104" s="162">
        <v>43948</v>
      </c>
      <c r="V104" s="161" t="s">
        <v>2138</v>
      </c>
      <c r="W104" s="161">
        <v>2</v>
      </c>
      <c r="X104" s="161" t="s">
        <v>5683</v>
      </c>
      <c r="Y104" s="161" t="s">
        <v>4999</v>
      </c>
      <c r="Z104" s="163">
        <v>43948</v>
      </c>
      <c r="AA104" s="164" t="s">
        <v>264</v>
      </c>
      <c r="AB104" s="165">
        <v>43973</v>
      </c>
      <c r="AC104" s="166">
        <v>43973</v>
      </c>
      <c r="AF104" s="210"/>
      <c r="AG104" s="211" t="s">
        <v>4999</v>
      </c>
      <c r="AH104" s="213" t="s">
        <v>9786</v>
      </c>
    </row>
    <row r="105" spans="1:34" s="209" customFormat="1" thickBot="1" x14ac:dyDescent="0.3">
      <c r="A105" s="221" t="str">
        <f t="shared" si="3"/>
        <v>OK</v>
      </c>
      <c r="B105" s="222" t="str">
        <f t="shared" si="4"/>
        <v>OK</v>
      </c>
      <c r="C105" s="223" t="str">
        <f t="shared" si="5"/>
        <v>OK</v>
      </c>
      <c r="D105" s="155">
        <v>0</v>
      </c>
      <c r="E105" s="156" t="s">
        <v>9798</v>
      </c>
      <c r="F105" s="157" t="s">
        <v>3171</v>
      </c>
      <c r="G105" s="157">
        <v>180788</v>
      </c>
      <c r="H105" s="157" t="s">
        <v>9799</v>
      </c>
      <c r="I105" s="157" t="s">
        <v>6820</v>
      </c>
      <c r="J105" s="157" t="s">
        <v>6829</v>
      </c>
      <c r="K105" s="157" t="s">
        <v>9094</v>
      </c>
      <c r="L105" s="157" t="s">
        <v>9800</v>
      </c>
      <c r="M105" s="157" t="s">
        <v>9161</v>
      </c>
      <c r="N105" s="158">
        <v>43909</v>
      </c>
      <c r="O105" s="157" t="s">
        <v>7729</v>
      </c>
      <c r="P105" s="158">
        <v>43909</v>
      </c>
      <c r="Q105" s="158">
        <v>43909</v>
      </c>
      <c r="R105" s="159">
        <v>43941</v>
      </c>
      <c r="S105" s="160" t="s">
        <v>9351</v>
      </c>
      <c r="T105" s="161" t="s">
        <v>9351</v>
      </c>
      <c r="U105" s="162">
        <v>43998</v>
      </c>
      <c r="V105" s="161" t="s">
        <v>9166</v>
      </c>
      <c r="W105" s="161">
        <v>14</v>
      </c>
      <c r="X105" s="161" t="s">
        <v>5683</v>
      </c>
      <c r="Y105" s="161" t="s">
        <v>4999</v>
      </c>
      <c r="Z105" s="163">
        <v>44004</v>
      </c>
      <c r="AA105" s="164" t="s">
        <v>264</v>
      </c>
      <c r="AB105" s="165">
        <v>44004</v>
      </c>
      <c r="AC105" s="166">
        <v>44004</v>
      </c>
      <c r="AF105" s="210"/>
      <c r="AG105" s="211" t="s">
        <v>4999</v>
      </c>
      <c r="AH105" s="213" t="s">
        <v>9786</v>
      </c>
    </row>
    <row r="106" spans="1:34" s="209" customFormat="1" thickBot="1" x14ac:dyDescent="0.3">
      <c r="A106" s="221" t="str">
        <f t="shared" si="3"/>
        <v>OK</v>
      </c>
      <c r="B106" s="222" t="str">
        <f t="shared" si="4"/>
        <v>OK</v>
      </c>
      <c r="C106" s="223" t="str">
        <f t="shared" si="5"/>
        <v>OK</v>
      </c>
      <c r="D106" s="155">
        <v>0</v>
      </c>
      <c r="E106" s="156" t="s">
        <v>9801</v>
      </c>
      <c r="F106" s="157" t="s">
        <v>8322</v>
      </c>
      <c r="G106" s="157">
        <v>180823</v>
      </c>
      <c r="H106" s="157">
        <v>180823</v>
      </c>
      <c r="I106" s="157" t="s">
        <v>6820</v>
      </c>
      <c r="J106" s="157" t="s">
        <v>6829</v>
      </c>
      <c r="K106" s="157" t="s">
        <v>9802</v>
      </c>
      <c r="L106" s="157" t="s">
        <v>9803</v>
      </c>
      <c r="M106" s="157" t="s">
        <v>5529</v>
      </c>
      <c r="N106" s="158">
        <v>43935</v>
      </c>
      <c r="O106" s="157" t="s">
        <v>9350</v>
      </c>
      <c r="P106" s="158">
        <v>43935</v>
      </c>
      <c r="Q106" s="158">
        <v>43935</v>
      </c>
      <c r="R106" s="159">
        <v>43935</v>
      </c>
      <c r="S106" s="160" t="s">
        <v>9351</v>
      </c>
      <c r="T106" s="161" t="s">
        <v>9351</v>
      </c>
      <c r="U106" s="162">
        <v>43938</v>
      </c>
      <c r="V106" s="161" t="s">
        <v>5688</v>
      </c>
      <c r="W106" s="161">
        <v>3</v>
      </c>
      <c r="X106" s="161" t="s">
        <v>5683</v>
      </c>
      <c r="Y106" s="161" t="s">
        <v>4999</v>
      </c>
      <c r="Z106" s="163">
        <v>43938</v>
      </c>
      <c r="AA106" s="164" t="s">
        <v>264</v>
      </c>
      <c r="AB106" s="165">
        <v>43941</v>
      </c>
      <c r="AC106" s="166">
        <v>43941</v>
      </c>
      <c r="AF106" s="210"/>
      <c r="AG106" s="211" t="s">
        <v>4999</v>
      </c>
      <c r="AH106" s="213" t="s">
        <v>9786</v>
      </c>
    </row>
    <row r="107" spans="1:34" s="209" customFormat="1" thickBot="1" x14ac:dyDescent="0.3">
      <c r="A107" s="221" t="str">
        <f t="shared" si="3"/>
        <v>OK</v>
      </c>
      <c r="B107" s="222" t="str">
        <f t="shared" si="4"/>
        <v>OK</v>
      </c>
      <c r="C107" s="223" t="str">
        <f t="shared" si="5"/>
        <v>OK</v>
      </c>
      <c r="D107" s="155">
        <v>0</v>
      </c>
      <c r="E107" s="156" t="s">
        <v>9804</v>
      </c>
      <c r="F107" s="157" t="s">
        <v>6169</v>
      </c>
      <c r="G107" s="157">
        <v>180810</v>
      </c>
      <c r="H107" s="157" t="s">
        <v>9805</v>
      </c>
      <c r="I107" s="157" t="s">
        <v>6820</v>
      </c>
      <c r="J107" s="157" t="s">
        <v>6829</v>
      </c>
      <c r="K107" s="157" t="s">
        <v>9806</v>
      </c>
      <c r="L107" s="157" t="s">
        <v>9807</v>
      </c>
      <c r="M107" s="157" t="s">
        <v>9808</v>
      </c>
      <c r="N107" s="158">
        <v>43938</v>
      </c>
      <c r="O107" s="157" t="s">
        <v>9350</v>
      </c>
      <c r="P107" s="158">
        <v>43938</v>
      </c>
      <c r="Q107" s="158">
        <v>43938</v>
      </c>
      <c r="R107" s="159">
        <v>43938</v>
      </c>
      <c r="S107" s="160" t="s">
        <v>9351</v>
      </c>
      <c r="T107" s="161" t="s">
        <v>9351</v>
      </c>
      <c r="U107" s="162">
        <v>43944</v>
      </c>
      <c r="V107" s="161" t="s">
        <v>9809</v>
      </c>
      <c r="W107" s="161">
        <v>3</v>
      </c>
      <c r="X107" s="161" t="s">
        <v>5683</v>
      </c>
      <c r="Y107" s="161" t="s">
        <v>4999</v>
      </c>
      <c r="Z107" s="163">
        <v>43948</v>
      </c>
      <c r="AA107" s="164" t="s">
        <v>264</v>
      </c>
      <c r="AB107" s="165">
        <v>43958</v>
      </c>
      <c r="AC107" s="166">
        <v>43958</v>
      </c>
      <c r="AF107" s="210"/>
      <c r="AG107" s="211" t="s">
        <v>4999</v>
      </c>
      <c r="AH107" s="213" t="s">
        <v>9786</v>
      </c>
    </row>
    <row r="108" spans="1:34" s="209" customFormat="1" thickBot="1" x14ac:dyDescent="0.3">
      <c r="A108" s="221" t="str">
        <f t="shared" si="3"/>
        <v>OK</v>
      </c>
      <c r="B108" s="222" t="str">
        <f t="shared" si="4"/>
        <v>OK</v>
      </c>
      <c r="C108" s="223" t="str">
        <f t="shared" si="5"/>
        <v>OK</v>
      </c>
      <c r="D108" s="155">
        <v>0</v>
      </c>
      <c r="E108" s="156" t="s">
        <v>9810</v>
      </c>
      <c r="F108" s="157" t="s">
        <v>6169</v>
      </c>
      <c r="G108" s="157">
        <v>180810</v>
      </c>
      <c r="H108" s="157" t="s">
        <v>9811</v>
      </c>
      <c r="I108" s="157" t="s">
        <v>6820</v>
      </c>
      <c r="J108" s="157" t="s">
        <v>6829</v>
      </c>
      <c r="K108" s="157" t="s">
        <v>9812</v>
      </c>
      <c r="L108" s="157" t="s">
        <v>9813</v>
      </c>
      <c r="M108" s="157" t="s">
        <v>9814</v>
      </c>
      <c r="N108" s="158">
        <v>43938</v>
      </c>
      <c r="O108" s="157" t="s">
        <v>9350</v>
      </c>
      <c r="P108" s="158">
        <v>43938</v>
      </c>
      <c r="Q108" s="158">
        <v>43938</v>
      </c>
      <c r="R108" s="159">
        <v>43924</v>
      </c>
      <c r="S108" s="160" t="s">
        <v>9351</v>
      </c>
      <c r="T108" s="161" t="s">
        <v>9351</v>
      </c>
      <c r="U108" s="162">
        <v>43944</v>
      </c>
      <c r="V108" s="161" t="s">
        <v>9815</v>
      </c>
      <c r="W108" s="161">
        <v>6</v>
      </c>
      <c r="X108" s="161" t="s">
        <v>5683</v>
      </c>
      <c r="Y108" s="161" t="s">
        <v>4999</v>
      </c>
      <c r="Z108" s="163">
        <v>43948</v>
      </c>
      <c r="AA108" s="164" t="s">
        <v>264</v>
      </c>
      <c r="AB108" s="165">
        <v>43949</v>
      </c>
      <c r="AC108" s="166">
        <v>43949</v>
      </c>
      <c r="AF108" s="210"/>
      <c r="AG108" s="211" t="s">
        <v>4999</v>
      </c>
      <c r="AH108" s="213" t="s">
        <v>9786</v>
      </c>
    </row>
    <row r="109" spans="1:34" s="209" customFormat="1" thickBot="1" x14ac:dyDescent="0.3">
      <c r="A109" s="221" t="str">
        <f t="shared" si="3"/>
        <v>OK</v>
      </c>
      <c r="B109" s="222" t="str">
        <f t="shared" si="4"/>
        <v>OK</v>
      </c>
      <c r="C109" s="223" t="str">
        <f t="shared" si="5"/>
        <v>OK</v>
      </c>
      <c r="D109" s="155">
        <v>0</v>
      </c>
      <c r="E109" s="156" t="s">
        <v>9816</v>
      </c>
      <c r="F109" s="157" t="s">
        <v>9414</v>
      </c>
      <c r="G109" s="157">
        <v>180827</v>
      </c>
      <c r="H109" s="157" t="s">
        <v>9817</v>
      </c>
      <c r="I109" s="157" t="s">
        <v>6820</v>
      </c>
      <c r="J109" s="157" t="s">
        <v>6829</v>
      </c>
      <c r="K109" s="157" t="s">
        <v>9818</v>
      </c>
      <c r="L109" s="157" t="s">
        <v>9819</v>
      </c>
      <c r="M109" s="157" t="s">
        <v>9417</v>
      </c>
      <c r="N109" s="158">
        <v>43938</v>
      </c>
      <c r="O109" s="157" t="s">
        <v>9350</v>
      </c>
      <c r="P109" s="158">
        <v>43938</v>
      </c>
      <c r="Q109" s="158">
        <v>43938</v>
      </c>
      <c r="R109" s="159">
        <v>43944</v>
      </c>
      <c r="S109" s="160" t="s">
        <v>9820</v>
      </c>
      <c r="T109" s="161" t="s">
        <v>9351</v>
      </c>
      <c r="U109" s="162">
        <v>43965</v>
      </c>
      <c r="V109" s="161" t="s">
        <v>9821</v>
      </c>
      <c r="W109" s="161">
        <v>12</v>
      </c>
      <c r="X109" s="161" t="s">
        <v>5683</v>
      </c>
      <c r="Y109" s="161" t="s">
        <v>4999</v>
      </c>
      <c r="Z109" s="163">
        <v>43965</v>
      </c>
      <c r="AA109" s="164" t="s">
        <v>264</v>
      </c>
      <c r="AB109" s="165">
        <v>43973</v>
      </c>
      <c r="AC109" s="166">
        <v>43973</v>
      </c>
      <c r="AF109" s="210"/>
      <c r="AG109" s="211" t="s">
        <v>4999</v>
      </c>
      <c r="AH109" s="209" t="s">
        <v>9786</v>
      </c>
    </row>
    <row r="110" spans="1:34" s="209" customFormat="1" thickBot="1" x14ac:dyDescent="0.3">
      <c r="A110" s="221" t="str">
        <f t="shared" si="3"/>
        <v>OK</v>
      </c>
      <c r="B110" s="222" t="str">
        <f t="shared" si="4"/>
        <v>OK</v>
      </c>
      <c r="C110" s="223" t="str">
        <f t="shared" si="5"/>
        <v>OK</v>
      </c>
      <c r="D110" s="155">
        <v>0</v>
      </c>
      <c r="E110" s="156" t="s">
        <v>9822</v>
      </c>
      <c r="F110" s="157" t="s">
        <v>9823</v>
      </c>
      <c r="G110" s="157">
        <v>180790</v>
      </c>
      <c r="H110" s="157" t="s">
        <v>9824</v>
      </c>
      <c r="I110" s="157" t="s">
        <v>6820</v>
      </c>
      <c r="J110" s="157" t="s">
        <v>6829</v>
      </c>
      <c r="K110" s="157" t="s">
        <v>9825</v>
      </c>
      <c r="L110" s="157" t="s">
        <v>9826</v>
      </c>
      <c r="M110" s="157" t="s">
        <v>9161</v>
      </c>
      <c r="N110" s="158">
        <v>43909</v>
      </c>
      <c r="O110" s="157" t="s">
        <v>7729</v>
      </c>
      <c r="P110" s="158">
        <v>43909</v>
      </c>
      <c r="Q110" s="158">
        <v>43909</v>
      </c>
      <c r="R110" s="159">
        <v>43941</v>
      </c>
      <c r="S110" s="160" t="s">
        <v>9351</v>
      </c>
      <c r="T110" s="161" t="s">
        <v>9351</v>
      </c>
      <c r="U110" s="162">
        <v>43998</v>
      </c>
      <c r="V110" s="161" t="s">
        <v>9166</v>
      </c>
      <c r="W110" s="161">
        <v>20</v>
      </c>
      <c r="X110" s="161" t="s">
        <v>5683</v>
      </c>
      <c r="Y110" s="161" t="s">
        <v>4999</v>
      </c>
      <c r="Z110" s="163">
        <v>44000</v>
      </c>
      <c r="AA110" s="164" t="s">
        <v>264</v>
      </c>
      <c r="AB110" s="165">
        <v>44004</v>
      </c>
      <c r="AC110" s="166">
        <v>44004</v>
      </c>
      <c r="AF110" s="210"/>
      <c r="AG110" s="211" t="s">
        <v>4999</v>
      </c>
      <c r="AH110" s="209" t="s">
        <v>9786</v>
      </c>
    </row>
    <row r="111" spans="1:34" s="209" customFormat="1" thickBot="1" x14ac:dyDescent="0.3">
      <c r="A111" s="221" t="str">
        <f t="shared" si="3"/>
        <v>OK</v>
      </c>
      <c r="B111" s="222" t="str">
        <f t="shared" si="4"/>
        <v>OK</v>
      </c>
      <c r="C111" s="223" t="str">
        <f t="shared" si="5"/>
        <v>OK</v>
      </c>
      <c r="D111" s="155">
        <v>0</v>
      </c>
      <c r="E111" s="156" t="s">
        <v>9827</v>
      </c>
      <c r="F111" s="157" t="s">
        <v>9823</v>
      </c>
      <c r="G111" s="157">
        <v>180790</v>
      </c>
      <c r="H111" s="157" t="s">
        <v>9828</v>
      </c>
      <c r="I111" s="157" t="s">
        <v>6820</v>
      </c>
      <c r="J111" s="157" t="s">
        <v>6829</v>
      </c>
      <c r="K111" s="202" t="s">
        <v>9829</v>
      </c>
      <c r="L111" s="202" t="s">
        <v>9830</v>
      </c>
      <c r="M111" s="157" t="s">
        <v>9161</v>
      </c>
      <c r="N111" s="158">
        <v>43909</v>
      </c>
      <c r="O111" s="157" t="s">
        <v>7729</v>
      </c>
      <c r="P111" s="158">
        <v>43909</v>
      </c>
      <c r="Q111" s="158">
        <v>43909</v>
      </c>
      <c r="R111" s="159">
        <v>43941</v>
      </c>
      <c r="S111" s="160" t="s">
        <v>9351</v>
      </c>
      <c r="T111" s="161" t="s">
        <v>9351</v>
      </c>
      <c r="U111" s="162">
        <v>43998</v>
      </c>
      <c r="V111" s="161" t="s">
        <v>9091</v>
      </c>
      <c r="W111" s="161">
        <v>20</v>
      </c>
      <c r="X111" s="161" t="s">
        <v>5683</v>
      </c>
      <c r="Y111" s="161" t="s">
        <v>4999</v>
      </c>
      <c r="Z111" s="163">
        <v>44004</v>
      </c>
      <c r="AA111" s="164" t="s">
        <v>264</v>
      </c>
      <c r="AB111" s="165">
        <v>44004</v>
      </c>
      <c r="AC111" s="166">
        <v>44004</v>
      </c>
      <c r="AF111" s="210"/>
      <c r="AG111" s="211" t="s">
        <v>4999</v>
      </c>
    </row>
    <row r="112" spans="1:34" s="209" customFormat="1" thickBot="1" x14ac:dyDescent="0.3">
      <c r="A112" s="221" t="str">
        <f t="shared" si="3"/>
        <v>OK</v>
      </c>
      <c r="B112" s="222" t="str">
        <f t="shared" si="4"/>
        <v>OK</v>
      </c>
      <c r="C112" s="223" t="str">
        <f t="shared" si="5"/>
        <v>OK</v>
      </c>
      <c r="D112" s="155">
        <v>0</v>
      </c>
      <c r="E112" s="156" t="s">
        <v>9831</v>
      </c>
      <c r="F112" s="157" t="s">
        <v>9414</v>
      </c>
      <c r="G112" s="157">
        <v>180802</v>
      </c>
      <c r="H112" s="157" t="s">
        <v>9832</v>
      </c>
      <c r="I112" s="157" t="s">
        <v>6820</v>
      </c>
      <c r="J112" s="157" t="s">
        <v>6829</v>
      </c>
      <c r="K112" s="169" t="s">
        <v>9784</v>
      </c>
      <c r="L112" s="202" t="s">
        <v>9833</v>
      </c>
      <c r="M112" s="157" t="s">
        <v>1106</v>
      </c>
      <c r="N112" s="158">
        <v>43920</v>
      </c>
      <c r="O112" s="157" t="s">
        <v>9350</v>
      </c>
      <c r="P112" s="158">
        <v>43920</v>
      </c>
      <c r="Q112" s="158">
        <v>43920</v>
      </c>
      <c r="R112" s="159">
        <v>43920</v>
      </c>
      <c r="S112" s="160" t="s">
        <v>9351</v>
      </c>
      <c r="T112" s="161" t="s">
        <v>9351</v>
      </c>
      <c r="U112" s="162">
        <v>43910</v>
      </c>
      <c r="V112" s="161" t="s">
        <v>9769</v>
      </c>
      <c r="W112" s="161">
        <v>2</v>
      </c>
      <c r="X112" s="161" t="s">
        <v>5683</v>
      </c>
      <c r="Y112" s="161" t="s">
        <v>4999</v>
      </c>
      <c r="Z112" s="163">
        <v>43943</v>
      </c>
      <c r="AA112" s="164" t="s">
        <v>264</v>
      </c>
      <c r="AB112" s="165">
        <v>43945</v>
      </c>
      <c r="AC112" s="166">
        <v>43945</v>
      </c>
      <c r="AF112" s="210"/>
      <c r="AG112" s="211" t="s">
        <v>4999</v>
      </c>
      <c r="AH112" s="213" t="s">
        <v>9786</v>
      </c>
    </row>
    <row r="113" spans="1:35" s="209" customFormat="1" thickBot="1" x14ac:dyDescent="0.3">
      <c r="A113" s="221" t="str">
        <f t="shared" si="3"/>
        <v>OK</v>
      </c>
      <c r="B113" s="222" t="str">
        <f t="shared" si="4"/>
        <v>OK</v>
      </c>
      <c r="C113" s="223" t="str">
        <f t="shared" si="5"/>
        <v>OK</v>
      </c>
      <c r="D113" s="167">
        <v>0</v>
      </c>
      <c r="E113" s="168" t="s">
        <v>9834</v>
      </c>
      <c r="F113" s="169" t="s">
        <v>9835</v>
      </c>
      <c r="G113" s="169">
        <v>180928</v>
      </c>
      <c r="H113" s="169" t="s">
        <v>9836</v>
      </c>
      <c r="I113" s="169" t="s">
        <v>6820</v>
      </c>
      <c r="J113" s="169" t="s">
        <v>6829</v>
      </c>
      <c r="K113" s="169" t="s">
        <v>9837</v>
      </c>
      <c r="L113" s="169" t="s">
        <v>9838</v>
      </c>
      <c r="M113" s="169" t="s">
        <v>9417</v>
      </c>
      <c r="N113" s="170">
        <v>44015</v>
      </c>
      <c r="O113" s="169" t="s">
        <v>9350</v>
      </c>
      <c r="P113" s="170">
        <v>44018</v>
      </c>
      <c r="Q113" s="170">
        <v>44018</v>
      </c>
      <c r="R113" s="178">
        <v>44018</v>
      </c>
      <c r="S113" s="171" t="s">
        <v>9351</v>
      </c>
      <c r="T113" s="172" t="s">
        <v>7729</v>
      </c>
      <c r="U113" s="173">
        <v>44015</v>
      </c>
      <c r="V113" s="172" t="s">
        <v>9839</v>
      </c>
      <c r="W113" s="172">
        <v>1</v>
      </c>
      <c r="X113" s="172" t="s">
        <v>5683</v>
      </c>
      <c r="Y113" s="172" t="s">
        <v>4999</v>
      </c>
      <c r="Z113" s="174">
        <v>44020</v>
      </c>
      <c r="AA113" s="175" t="s">
        <v>264</v>
      </c>
      <c r="AB113" s="176">
        <v>44021</v>
      </c>
      <c r="AC113" s="177">
        <v>44021</v>
      </c>
      <c r="AD113" s="213"/>
      <c r="AE113" s="213"/>
      <c r="AF113" s="214" t="s">
        <v>9840</v>
      </c>
      <c r="AG113" s="215" t="s">
        <v>4999</v>
      </c>
      <c r="AH113" s="213" t="s">
        <v>9786</v>
      </c>
      <c r="AI113" s="213"/>
    </row>
    <row r="114" spans="1:35" s="213" customFormat="1" thickBot="1" x14ac:dyDescent="0.3">
      <c r="A114" s="221" t="str">
        <f t="shared" si="3"/>
        <v>OK</v>
      </c>
      <c r="B114" s="222" t="str">
        <f t="shared" si="4"/>
        <v>OK</v>
      </c>
      <c r="C114" s="223" t="str">
        <f t="shared" si="5"/>
        <v>OK</v>
      </c>
      <c r="D114" s="167">
        <v>0</v>
      </c>
      <c r="E114" s="168" t="s">
        <v>9841</v>
      </c>
      <c r="F114" s="169" t="s">
        <v>9835</v>
      </c>
      <c r="G114" s="169">
        <v>180839</v>
      </c>
      <c r="H114" s="169" t="s">
        <v>9842</v>
      </c>
      <c r="I114" s="169" t="s">
        <v>6820</v>
      </c>
      <c r="J114" s="169" t="s">
        <v>6829</v>
      </c>
      <c r="K114" s="169" t="s">
        <v>9818</v>
      </c>
      <c r="L114" s="169" t="s">
        <v>9843</v>
      </c>
      <c r="M114" s="169" t="s">
        <v>9417</v>
      </c>
      <c r="N114" s="170">
        <v>43956</v>
      </c>
      <c r="O114" s="169" t="s">
        <v>9350</v>
      </c>
      <c r="P114" s="170">
        <v>43956</v>
      </c>
      <c r="Q114" s="170">
        <v>43956</v>
      </c>
      <c r="R114" s="178">
        <v>43959</v>
      </c>
      <c r="S114" s="171" t="s">
        <v>9351</v>
      </c>
      <c r="T114" s="172" t="s">
        <v>7729</v>
      </c>
      <c r="U114" s="173">
        <v>44015</v>
      </c>
      <c r="V114" s="172" t="s">
        <v>9844</v>
      </c>
      <c r="W114" s="172">
        <v>1</v>
      </c>
      <c r="X114" s="172" t="s">
        <v>5683</v>
      </c>
      <c r="Y114" s="172" t="s">
        <v>4999</v>
      </c>
      <c r="Z114" s="174">
        <v>44019</v>
      </c>
      <c r="AA114" s="175" t="s">
        <v>264</v>
      </c>
      <c r="AB114" s="176">
        <v>44021</v>
      </c>
      <c r="AC114" s="177">
        <v>44021</v>
      </c>
      <c r="AF114" s="214" t="s">
        <v>9840</v>
      </c>
      <c r="AG114" s="215" t="s">
        <v>4999</v>
      </c>
      <c r="AH114" s="213" t="s">
        <v>9786</v>
      </c>
    </row>
    <row r="115" spans="1:35" s="213" customFormat="1" thickBot="1" x14ac:dyDescent="0.3">
      <c r="A115" s="221" t="str">
        <f t="shared" si="3"/>
        <v>OK</v>
      </c>
      <c r="B115" s="222" t="str">
        <f t="shared" si="4"/>
        <v>OK</v>
      </c>
      <c r="C115" s="223" t="str">
        <f t="shared" si="5"/>
        <v>OK</v>
      </c>
      <c r="D115" s="167">
        <v>0</v>
      </c>
      <c r="E115" s="168" t="s">
        <v>9845</v>
      </c>
      <c r="F115" s="169" t="s">
        <v>9835</v>
      </c>
      <c r="G115" s="169">
        <v>180938</v>
      </c>
      <c r="H115" s="169" t="s">
        <v>9846</v>
      </c>
      <c r="I115" s="169" t="s">
        <v>6820</v>
      </c>
      <c r="J115" s="169" t="s">
        <v>6829</v>
      </c>
      <c r="K115" s="169" t="s">
        <v>9451</v>
      </c>
      <c r="L115" s="169" t="s">
        <v>9847</v>
      </c>
      <c r="M115" s="169" t="s">
        <v>9417</v>
      </c>
      <c r="N115" s="170">
        <v>44022</v>
      </c>
      <c r="O115" s="169" t="s">
        <v>9350</v>
      </c>
      <c r="P115" s="170">
        <v>44022</v>
      </c>
      <c r="Q115" s="170">
        <v>44022</v>
      </c>
      <c r="R115" s="178">
        <v>44022</v>
      </c>
      <c r="S115" s="171" t="s">
        <v>9351</v>
      </c>
      <c r="T115" s="172" t="s">
        <v>9350</v>
      </c>
      <c r="U115" s="173">
        <v>44027</v>
      </c>
      <c r="V115" s="172" t="s">
        <v>9848</v>
      </c>
      <c r="W115" s="172">
        <v>2</v>
      </c>
      <c r="X115" s="172" t="s">
        <v>5683</v>
      </c>
      <c r="Y115" s="172" t="s">
        <v>4999</v>
      </c>
      <c r="Z115" s="174">
        <v>44032</v>
      </c>
      <c r="AA115" s="175" t="s">
        <v>264</v>
      </c>
      <c r="AB115" s="176">
        <v>44034</v>
      </c>
      <c r="AC115" s="177">
        <v>44034</v>
      </c>
      <c r="AF115" s="214" t="s">
        <v>9840</v>
      </c>
      <c r="AG115" s="215" t="s">
        <v>4999</v>
      </c>
      <c r="AH115" s="213" t="s">
        <v>9786</v>
      </c>
    </row>
    <row r="116" spans="1:35" s="213" customFormat="1" ht="17.25" customHeight="1" thickBot="1" x14ac:dyDescent="0.3">
      <c r="A116" s="221" t="str">
        <f t="shared" si="3"/>
        <v>OK</v>
      </c>
      <c r="B116" s="222" t="str">
        <f t="shared" si="4"/>
        <v>OK</v>
      </c>
      <c r="C116" s="223" t="str">
        <f t="shared" si="5"/>
        <v>OK</v>
      </c>
      <c r="D116" s="155">
        <v>0</v>
      </c>
      <c r="E116" s="156" t="s">
        <v>9849</v>
      </c>
      <c r="F116" s="157" t="s">
        <v>9835</v>
      </c>
      <c r="G116" s="157">
        <v>180934</v>
      </c>
      <c r="H116" s="157" t="s">
        <v>9850</v>
      </c>
      <c r="I116" s="157" t="s">
        <v>6820</v>
      </c>
      <c r="J116" s="157" t="s">
        <v>6829</v>
      </c>
      <c r="K116" s="157" t="s">
        <v>9851</v>
      </c>
      <c r="L116" s="157" t="s">
        <v>9852</v>
      </c>
      <c r="M116" s="157" t="s">
        <v>9417</v>
      </c>
      <c r="N116" s="158">
        <v>44020</v>
      </c>
      <c r="O116" s="157" t="s">
        <v>9350</v>
      </c>
      <c r="P116" s="158">
        <v>44020</v>
      </c>
      <c r="Q116" s="158">
        <v>44020</v>
      </c>
      <c r="R116" s="159">
        <v>44021</v>
      </c>
      <c r="S116" s="160" t="s">
        <v>9853</v>
      </c>
      <c r="T116" s="161" t="s">
        <v>9350</v>
      </c>
      <c r="U116" s="162">
        <v>44035</v>
      </c>
      <c r="V116" s="161" t="s">
        <v>9854</v>
      </c>
      <c r="W116" s="161">
        <v>2</v>
      </c>
      <c r="X116" s="172" t="s">
        <v>5683</v>
      </c>
      <c r="Y116" s="161" t="s">
        <v>4999</v>
      </c>
      <c r="Z116" s="163">
        <v>44035</v>
      </c>
      <c r="AA116" s="164" t="s">
        <v>264</v>
      </c>
      <c r="AB116" s="165">
        <v>44036</v>
      </c>
      <c r="AC116" s="166">
        <v>44036</v>
      </c>
      <c r="AD116" s="209"/>
      <c r="AE116" s="209"/>
      <c r="AF116" s="214" t="s">
        <v>9840</v>
      </c>
      <c r="AG116" s="215" t="s">
        <v>4999</v>
      </c>
      <c r="AH116" s="213" t="s">
        <v>9786</v>
      </c>
      <c r="AI116" s="209"/>
    </row>
    <row r="117" spans="1:35" s="209" customFormat="1" thickBot="1" x14ac:dyDescent="0.3">
      <c r="A117" s="221" t="str">
        <f t="shared" si="3"/>
        <v>OK</v>
      </c>
      <c r="B117" s="222" t="str">
        <f t="shared" si="4"/>
        <v>OK</v>
      </c>
      <c r="C117" s="223" t="str">
        <f t="shared" si="5"/>
        <v>OK</v>
      </c>
      <c r="D117" s="155">
        <v>0</v>
      </c>
      <c r="E117" s="156" t="s">
        <v>9855</v>
      </c>
      <c r="F117" s="157" t="s">
        <v>8272</v>
      </c>
      <c r="G117" s="157">
        <v>180825</v>
      </c>
      <c r="H117" s="157" t="s">
        <v>9856</v>
      </c>
      <c r="I117" s="157" t="s">
        <v>6820</v>
      </c>
      <c r="J117" s="157" t="s">
        <v>6829</v>
      </c>
      <c r="K117" s="157" t="s">
        <v>9857</v>
      </c>
      <c r="L117" s="157" t="s">
        <v>9858</v>
      </c>
      <c r="M117" s="157" t="s">
        <v>9859</v>
      </c>
      <c r="N117" s="158">
        <v>43937</v>
      </c>
      <c r="O117" s="157" t="s">
        <v>7729</v>
      </c>
      <c r="P117" s="158">
        <v>43937</v>
      </c>
      <c r="Q117" s="158">
        <v>43937</v>
      </c>
      <c r="R117" s="159">
        <v>43945</v>
      </c>
      <c r="S117" s="160" t="s">
        <v>9860</v>
      </c>
      <c r="T117" s="161" t="s">
        <v>9351</v>
      </c>
      <c r="U117" s="162">
        <v>44125</v>
      </c>
      <c r="V117" s="161" t="s">
        <v>8411</v>
      </c>
      <c r="W117" s="161">
        <v>1</v>
      </c>
      <c r="X117" s="161" t="s">
        <v>5683</v>
      </c>
      <c r="Y117" s="161" t="s">
        <v>4999</v>
      </c>
      <c r="Z117" s="163">
        <v>44134</v>
      </c>
      <c r="AA117" s="164" t="s">
        <v>264</v>
      </c>
      <c r="AB117" s="165">
        <v>44160</v>
      </c>
      <c r="AC117" s="166">
        <v>44160</v>
      </c>
      <c r="AF117" s="210"/>
      <c r="AG117" s="211"/>
    </row>
    <row r="118" spans="1:35" s="209" customFormat="1" thickBot="1" x14ac:dyDescent="0.3">
      <c r="A118" s="221" t="str">
        <f t="shared" si="3"/>
        <v>OK</v>
      </c>
      <c r="B118" s="222" t="str">
        <f t="shared" si="4"/>
        <v>OK</v>
      </c>
      <c r="C118" s="223" t="str">
        <f t="shared" si="5"/>
        <v>OK</v>
      </c>
      <c r="D118" s="155">
        <v>0</v>
      </c>
      <c r="E118" s="156" t="s">
        <v>9861</v>
      </c>
      <c r="F118" s="169" t="s">
        <v>9396</v>
      </c>
      <c r="G118" s="157">
        <v>180830</v>
      </c>
      <c r="H118" s="157" t="s">
        <v>9862</v>
      </c>
      <c r="I118" s="157" t="s">
        <v>6820</v>
      </c>
      <c r="J118" s="157" t="s">
        <v>6829</v>
      </c>
      <c r="K118" s="157" t="s">
        <v>9863</v>
      </c>
      <c r="L118" s="157" t="s">
        <v>8901</v>
      </c>
      <c r="M118" s="157" t="s">
        <v>7516</v>
      </c>
      <c r="N118" s="158">
        <v>43943</v>
      </c>
      <c r="O118" s="157" t="s">
        <v>7729</v>
      </c>
      <c r="P118" s="158">
        <v>43943</v>
      </c>
      <c r="Q118" s="158">
        <v>43943</v>
      </c>
      <c r="R118" s="159">
        <v>43943</v>
      </c>
      <c r="S118" s="160" t="s">
        <v>9351</v>
      </c>
      <c r="T118" s="161" t="s">
        <v>9351</v>
      </c>
      <c r="U118" s="162">
        <v>43959</v>
      </c>
      <c r="V118" s="161" t="s">
        <v>8902</v>
      </c>
      <c r="W118" s="161">
        <v>8</v>
      </c>
      <c r="X118" s="161" t="s">
        <v>5683</v>
      </c>
      <c r="Y118" s="161" t="s">
        <v>4999</v>
      </c>
      <c r="Z118" s="163">
        <v>43986</v>
      </c>
      <c r="AA118" s="164" t="s">
        <v>264</v>
      </c>
      <c r="AB118" s="165">
        <v>43987</v>
      </c>
      <c r="AC118" s="166">
        <v>43987</v>
      </c>
      <c r="AF118" s="210"/>
      <c r="AG118" s="211" t="s">
        <v>4999</v>
      </c>
      <c r="AH118" s="209" t="s">
        <v>9786</v>
      </c>
    </row>
    <row r="119" spans="1:35" s="209" customFormat="1" thickBot="1" x14ac:dyDescent="0.3">
      <c r="A119" s="221" t="str">
        <f t="shared" si="3"/>
        <v>OK</v>
      </c>
      <c r="B119" s="222" t="str">
        <f t="shared" si="4"/>
        <v>OK</v>
      </c>
      <c r="C119" s="223" t="str">
        <f t="shared" si="5"/>
        <v>OK</v>
      </c>
      <c r="D119" s="155">
        <v>0</v>
      </c>
      <c r="E119" s="156" t="s">
        <v>9864</v>
      </c>
      <c r="F119" s="169" t="s">
        <v>9396</v>
      </c>
      <c r="G119" s="157">
        <v>180830</v>
      </c>
      <c r="H119" s="157" t="s">
        <v>9865</v>
      </c>
      <c r="I119" s="157" t="s">
        <v>6820</v>
      </c>
      <c r="J119" s="157" t="s">
        <v>6829</v>
      </c>
      <c r="K119" s="157" t="s">
        <v>9863</v>
      </c>
      <c r="L119" s="157" t="s">
        <v>9866</v>
      </c>
      <c r="M119" s="157" t="s">
        <v>7516</v>
      </c>
      <c r="N119" s="158">
        <v>43943</v>
      </c>
      <c r="O119" s="157" t="s">
        <v>7729</v>
      </c>
      <c r="P119" s="158">
        <v>43943</v>
      </c>
      <c r="Q119" s="158">
        <v>43943</v>
      </c>
      <c r="R119" s="159">
        <v>43943</v>
      </c>
      <c r="S119" s="160" t="s">
        <v>9351</v>
      </c>
      <c r="T119" s="161" t="s">
        <v>9351</v>
      </c>
      <c r="U119" s="162">
        <v>43959</v>
      </c>
      <c r="V119" s="161" t="s">
        <v>9867</v>
      </c>
      <c r="W119" s="161">
        <v>1</v>
      </c>
      <c r="X119" s="161" t="s">
        <v>5683</v>
      </c>
      <c r="Y119" s="161" t="s">
        <v>4999</v>
      </c>
      <c r="Z119" s="163">
        <v>43987</v>
      </c>
      <c r="AA119" s="164" t="s">
        <v>264</v>
      </c>
      <c r="AB119" s="165">
        <v>43987</v>
      </c>
      <c r="AC119" s="166">
        <v>43987</v>
      </c>
      <c r="AF119" s="210"/>
      <c r="AG119" s="211" t="s">
        <v>4999</v>
      </c>
      <c r="AH119" s="209" t="s">
        <v>9786</v>
      </c>
    </row>
    <row r="120" spans="1:35" s="209" customFormat="1" thickBot="1" x14ac:dyDescent="0.3">
      <c r="A120" s="221" t="str">
        <f t="shared" si="3"/>
        <v>OK</v>
      </c>
      <c r="B120" s="222" t="str">
        <f t="shared" si="4"/>
        <v>OK</v>
      </c>
      <c r="C120" s="223" t="str">
        <f t="shared" si="5"/>
        <v>OK</v>
      </c>
      <c r="D120" s="155">
        <v>0</v>
      </c>
      <c r="E120" s="156" t="s">
        <v>9868</v>
      </c>
      <c r="F120" s="169" t="s">
        <v>9396</v>
      </c>
      <c r="G120" s="157">
        <v>180830</v>
      </c>
      <c r="H120" s="157" t="s">
        <v>9869</v>
      </c>
      <c r="I120" s="157" t="s">
        <v>6820</v>
      </c>
      <c r="J120" s="157" t="s">
        <v>6829</v>
      </c>
      <c r="K120" s="157" t="s">
        <v>9863</v>
      </c>
      <c r="L120" s="157" t="s">
        <v>2688</v>
      </c>
      <c r="M120" s="157" t="s">
        <v>7516</v>
      </c>
      <c r="N120" s="158">
        <v>43943</v>
      </c>
      <c r="O120" s="157" t="s">
        <v>7729</v>
      </c>
      <c r="P120" s="158">
        <v>43943</v>
      </c>
      <c r="Q120" s="158">
        <v>43943</v>
      </c>
      <c r="R120" s="159">
        <v>43943</v>
      </c>
      <c r="S120" s="160" t="s">
        <v>9351</v>
      </c>
      <c r="T120" s="161" t="s">
        <v>9351</v>
      </c>
      <c r="U120" s="162">
        <v>43959</v>
      </c>
      <c r="V120" s="161" t="s">
        <v>2690</v>
      </c>
      <c r="W120" s="161">
        <v>6</v>
      </c>
      <c r="X120" s="161" t="s">
        <v>5683</v>
      </c>
      <c r="Y120" s="161" t="s">
        <v>4999</v>
      </c>
      <c r="Z120" s="163">
        <v>43994</v>
      </c>
      <c r="AA120" s="164" t="s">
        <v>264</v>
      </c>
      <c r="AB120" s="165">
        <v>43994</v>
      </c>
      <c r="AC120" s="166">
        <v>43994</v>
      </c>
      <c r="AF120" s="210"/>
      <c r="AG120" s="211" t="s">
        <v>4999</v>
      </c>
      <c r="AH120" s="209" t="s">
        <v>9786</v>
      </c>
    </row>
    <row r="121" spans="1:35" s="209" customFormat="1" thickBot="1" x14ac:dyDescent="0.3">
      <c r="A121" s="221" t="str">
        <f t="shared" si="3"/>
        <v>OK</v>
      </c>
      <c r="B121" s="222" t="str">
        <f t="shared" si="4"/>
        <v>OK</v>
      </c>
      <c r="C121" s="223" t="str">
        <f t="shared" si="5"/>
        <v>OK</v>
      </c>
      <c r="D121" s="155">
        <v>0</v>
      </c>
      <c r="E121" s="156" t="s">
        <v>9870</v>
      </c>
      <c r="F121" s="169" t="s">
        <v>9396</v>
      </c>
      <c r="G121" s="157">
        <v>180830</v>
      </c>
      <c r="H121" s="157" t="s">
        <v>9871</v>
      </c>
      <c r="I121" s="157" t="s">
        <v>6820</v>
      </c>
      <c r="J121" s="157" t="s">
        <v>6829</v>
      </c>
      <c r="K121" s="157" t="s">
        <v>9863</v>
      </c>
      <c r="L121" s="157" t="s">
        <v>9872</v>
      </c>
      <c r="M121" s="157" t="s">
        <v>7516</v>
      </c>
      <c r="N121" s="158">
        <v>43943</v>
      </c>
      <c r="O121" s="157" t="s">
        <v>7729</v>
      </c>
      <c r="P121" s="158">
        <v>43943</v>
      </c>
      <c r="Q121" s="158">
        <v>43943</v>
      </c>
      <c r="R121" s="159">
        <v>43943</v>
      </c>
      <c r="S121" s="160" t="s">
        <v>9351</v>
      </c>
      <c r="T121" s="161" t="s">
        <v>9351</v>
      </c>
      <c r="U121" s="162">
        <v>43959</v>
      </c>
      <c r="V121" s="161" t="s">
        <v>9873</v>
      </c>
      <c r="W121" s="161">
        <v>9</v>
      </c>
      <c r="X121" s="161" t="s">
        <v>5683</v>
      </c>
      <c r="Y121" s="161" t="s">
        <v>4999</v>
      </c>
      <c r="Z121" s="163">
        <v>43991</v>
      </c>
      <c r="AA121" s="164" t="s">
        <v>264</v>
      </c>
      <c r="AB121" s="165">
        <v>43992</v>
      </c>
      <c r="AC121" s="166">
        <v>43992</v>
      </c>
      <c r="AF121" s="210"/>
      <c r="AG121" s="211" t="s">
        <v>4999</v>
      </c>
      <c r="AH121" s="209" t="s">
        <v>9786</v>
      </c>
    </row>
    <row r="122" spans="1:35" s="209" customFormat="1" thickBot="1" x14ac:dyDescent="0.3">
      <c r="A122" s="221" t="str">
        <f t="shared" si="3"/>
        <v>OK</v>
      </c>
      <c r="B122" s="222" t="str">
        <f t="shared" si="4"/>
        <v>OK</v>
      </c>
      <c r="C122" s="223" t="str">
        <f t="shared" si="5"/>
        <v>OK</v>
      </c>
      <c r="D122" s="155">
        <v>0</v>
      </c>
      <c r="E122" s="156" t="s">
        <v>9874</v>
      </c>
      <c r="F122" s="157" t="s">
        <v>6792</v>
      </c>
      <c r="G122" s="157">
        <v>180833</v>
      </c>
      <c r="H122" s="157" t="s">
        <v>9875</v>
      </c>
      <c r="I122" s="157" t="s">
        <v>6820</v>
      </c>
      <c r="J122" s="157" t="s">
        <v>6829</v>
      </c>
      <c r="K122" s="157" t="s">
        <v>9876</v>
      </c>
      <c r="L122" s="157" t="s">
        <v>9877</v>
      </c>
      <c r="M122" s="157" t="s">
        <v>9878</v>
      </c>
      <c r="N122" s="158">
        <v>43945</v>
      </c>
      <c r="O122" s="157" t="s">
        <v>9350</v>
      </c>
      <c r="P122" s="158">
        <v>43948</v>
      </c>
      <c r="Q122" s="158">
        <v>43948</v>
      </c>
      <c r="R122" s="159">
        <v>43948</v>
      </c>
      <c r="S122" s="160" t="s">
        <v>9351</v>
      </c>
      <c r="T122" s="161" t="s">
        <v>9350</v>
      </c>
      <c r="U122" s="162">
        <v>43950</v>
      </c>
      <c r="V122" s="161" t="s">
        <v>9879</v>
      </c>
      <c r="W122" s="161">
        <v>1</v>
      </c>
      <c r="X122" s="161" t="s">
        <v>5683</v>
      </c>
      <c r="Y122" s="161" t="s">
        <v>4999</v>
      </c>
      <c r="Z122" s="163">
        <v>43950</v>
      </c>
      <c r="AA122" s="164" t="s">
        <v>264</v>
      </c>
      <c r="AB122" s="165">
        <v>43956</v>
      </c>
      <c r="AC122" s="166">
        <v>43957</v>
      </c>
      <c r="AF122" s="210"/>
      <c r="AG122" s="211" t="s">
        <v>4999</v>
      </c>
      <c r="AH122" s="209" t="s">
        <v>9786</v>
      </c>
    </row>
    <row r="123" spans="1:35" s="209" customFormat="1" thickBot="1" x14ac:dyDescent="0.3">
      <c r="A123" s="221" t="str">
        <f t="shared" si="3"/>
        <v>OK</v>
      </c>
      <c r="B123" s="222" t="str">
        <f t="shared" si="4"/>
        <v>OK</v>
      </c>
      <c r="C123" s="223" t="str">
        <f t="shared" si="5"/>
        <v>OK</v>
      </c>
      <c r="D123" s="155">
        <v>0</v>
      </c>
      <c r="E123" s="156" t="s">
        <v>9880</v>
      </c>
      <c r="F123" s="157" t="s">
        <v>9024</v>
      </c>
      <c r="G123" s="157">
        <v>180831</v>
      </c>
      <c r="H123" s="157" t="s">
        <v>9881</v>
      </c>
      <c r="I123" s="157" t="s">
        <v>6820</v>
      </c>
      <c r="J123" s="157" t="s">
        <v>6829</v>
      </c>
      <c r="K123" s="157" t="s">
        <v>9882</v>
      </c>
      <c r="L123" s="157">
        <v>3110</v>
      </c>
      <c r="M123" s="157" t="s">
        <v>2504</v>
      </c>
      <c r="N123" s="205">
        <v>43964</v>
      </c>
      <c r="O123" s="157" t="s">
        <v>9350</v>
      </c>
      <c r="P123" s="158">
        <v>43945</v>
      </c>
      <c r="Q123" s="158">
        <v>43945</v>
      </c>
      <c r="R123" s="206">
        <v>43945</v>
      </c>
      <c r="S123" s="160" t="s">
        <v>9351</v>
      </c>
      <c r="T123" s="161" t="s">
        <v>9351</v>
      </c>
      <c r="U123" s="162">
        <v>43950</v>
      </c>
      <c r="V123" s="161" t="s">
        <v>9029</v>
      </c>
      <c r="W123" s="161">
        <v>1</v>
      </c>
      <c r="X123" s="161" t="s">
        <v>5683</v>
      </c>
      <c r="Y123" s="161" t="s">
        <v>4999</v>
      </c>
      <c r="Z123" s="163">
        <v>43962</v>
      </c>
      <c r="AA123" s="164" t="s">
        <v>264</v>
      </c>
      <c r="AB123" s="165">
        <v>43963</v>
      </c>
      <c r="AC123" s="166">
        <v>43963</v>
      </c>
      <c r="AF123" s="210"/>
      <c r="AG123" s="211" t="s">
        <v>4999</v>
      </c>
      <c r="AH123" s="209" t="s">
        <v>9786</v>
      </c>
    </row>
    <row r="124" spans="1:35" s="209" customFormat="1" ht="19.5" customHeight="1" thickBot="1" x14ac:dyDescent="0.3">
      <c r="A124" s="221" t="str">
        <f t="shared" si="3"/>
        <v>OK</v>
      </c>
      <c r="B124" s="222" t="str">
        <f t="shared" si="4"/>
        <v>OK</v>
      </c>
      <c r="C124" s="223" t="str">
        <f t="shared" si="5"/>
        <v>OK</v>
      </c>
      <c r="D124" s="155">
        <v>0</v>
      </c>
      <c r="E124" s="156" t="s">
        <v>9883</v>
      </c>
      <c r="F124" s="157" t="s">
        <v>6169</v>
      </c>
      <c r="G124" s="157">
        <v>180838</v>
      </c>
      <c r="H124" s="157" t="s">
        <v>9884</v>
      </c>
      <c r="I124" s="157" t="s">
        <v>6820</v>
      </c>
      <c r="J124" s="157" t="s">
        <v>6829</v>
      </c>
      <c r="K124" s="157" t="s">
        <v>9035</v>
      </c>
      <c r="L124" s="157" t="s">
        <v>8098</v>
      </c>
      <c r="M124" s="157" t="s">
        <v>9885</v>
      </c>
      <c r="N124" s="158">
        <v>43957</v>
      </c>
      <c r="O124" s="157" t="s">
        <v>9350</v>
      </c>
      <c r="P124" s="158">
        <v>43957</v>
      </c>
      <c r="Q124" s="158">
        <v>43957</v>
      </c>
      <c r="R124" s="159">
        <v>43957</v>
      </c>
      <c r="S124" s="160" t="s">
        <v>9351</v>
      </c>
      <c r="T124" s="161" t="s">
        <v>9350</v>
      </c>
      <c r="U124" s="162">
        <v>43957</v>
      </c>
      <c r="V124" s="161" t="s">
        <v>5995</v>
      </c>
      <c r="W124" s="161">
        <v>1</v>
      </c>
      <c r="X124" s="161" t="s">
        <v>5683</v>
      </c>
      <c r="Y124" s="161" t="s">
        <v>4999</v>
      </c>
      <c r="Z124" s="163">
        <v>43956</v>
      </c>
      <c r="AA124" s="164" t="s">
        <v>264</v>
      </c>
      <c r="AB124" s="165">
        <v>43957</v>
      </c>
      <c r="AC124" s="166">
        <v>43957</v>
      </c>
      <c r="AF124" s="210"/>
      <c r="AG124" s="211" t="s">
        <v>4999</v>
      </c>
      <c r="AH124" s="209" t="s">
        <v>9786</v>
      </c>
    </row>
    <row r="125" spans="1:35" s="209" customFormat="1" thickBot="1" x14ac:dyDescent="0.3">
      <c r="A125" s="221" t="str">
        <f t="shared" si="3"/>
        <v>OK</v>
      </c>
      <c r="B125" s="222" t="str">
        <f t="shared" si="4"/>
        <v>OK</v>
      </c>
      <c r="C125" s="223" t="str">
        <f t="shared" si="5"/>
        <v>OK</v>
      </c>
      <c r="D125" s="155">
        <v>0</v>
      </c>
      <c r="E125" s="156" t="s">
        <v>9886</v>
      </c>
      <c r="F125" s="157" t="s">
        <v>9172</v>
      </c>
      <c r="G125" s="157">
        <v>180840</v>
      </c>
      <c r="H125" s="157" t="s">
        <v>9887</v>
      </c>
      <c r="I125" s="157" t="s">
        <v>6820</v>
      </c>
      <c r="J125" s="157" t="s">
        <v>6829</v>
      </c>
      <c r="K125" s="157" t="s">
        <v>5041</v>
      </c>
      <c r="L125" s="157" t="s">
        <v>9888</v>
      </c>
      <c r="M125" s="157" t="s">
        <v>9889</v>
      </c>
      <c r="N125" s="158">
        <v>43957</v>
      </c>
      <c r="O125" s="157" t="s">
        <v>9350</v>
      </c>
      <c r="P125" s="158">
        <v>43957</v>
      </c>
      <c r="Q125" s="158">
        <v>43957</v>
      </c>
      <c r="R125" s="159">
        <v>43957</v>
      </c>
      <c r="S125" s="160" t="s">
        <v>9351</v>
      </c>
      <c r="T125" s="161" t="s">
        <v>9351</v>
      </c>
      <c r="U125" s="162">
        <v>43962</v>
      </c>
      <c r="V125" s="161" t="s">
        <v>5899</v>
      </c>
      <c r="W125" s="161">
        <v>1</v>
      </c>
      <c r="X125" s="161" t="s">
        <v>5683</v>
      </c>
      <c r="Y125" s="161" t="s">
        <v>4999</v>
      </c>
      <c r="Z125" s="163">
        <v>43963</v>
      </c>
      <c r="AA125" s="164" t="s">
        <v>264</v>
      </c>
      <c r="AB125" s="165">
        <v>43963</v>
      </c>
      <c r="AC125" s="166">
        <v>43963</v>
      </c>
      <c r="AF125" s="210"/>
      <c r="AG125" s="211" t="s">
        <v>4999</v>
      </c>
      <c r="AH125" s="209" t="s">
        <v>9786</v>
      </c>
    </row>
    <row r="126" spans="1:35" s="209" customFormat="1" thickBot="1" x14ac:dyDescent="0.3">
      <c r="A126" s="221" t="str">
        <f t="shared" si="3"/>
        <v>OK</v>
      </c>
      <c r="B126" s="222" t="str">
        <f t="shared" si="4"/>
        <v>OK</v>
      </c>
      <c r="C126" s="223" t="str">
        <f t="shared" si="5"/>
        <v>OK</v>
      </c>
      <c r="D126" s="155">
        <v>0</v>
      </c>
      <c r="E126" s="156" t="s">
        <v>9890</v>
      </c>
      <c r="F126" s="157" t="s">
        <v>9172</v>
      </c>
      <c r="G126" s="157">
        <v>180840</v>
      </c>
      <c r="H126" s="157" t="s">
        <v>9891</v>
      </c>
      <c r="I126" s="157" t="s">
        <v>6820</v>
      </c>
      <c r="J126" s="157" t="s">
        <v>6829</v>
      </c>
      <c r="K126" s="157" t="s">
        <v>9624</v>
      </c>
      <c r="L126" s="157" t="s">
        <v>9892</v>
      </c>
      <c r="M126" s="157" t="s">
        <v>9626</v>
      </c>
      <c r="N126" s="158">
        <v>43957</v>
      </c>
      <c r="O126" s="157" t="s">
        <v>9350</v>
      </c>
      <c r="P126" s="158">
        <v>43957</v>
      </c>
      <c r="Q126" s="158">
        <v>43957</v>
      </c>
      <c r="R126" s="159">
        <v>43957</v>
      </c>
      <c r="S126" s="160" t="s">
        <v>9351</v>
      </c>
      <c r="T126" s="161" t="s">
        <v>9351</v>
      </c>
      <c r="U126" s="162">
        <v>43963</v>
      </c>
      <c r="V126" s="161" t="s">
        <v>7744</v>
      </c>
      <c r="W126" s="161">
        <v>4</v>
      </c>
      <c r="X126" s="161" t="s">
        <v>5683</v>
      </c>
      <c r="Y126" s="161" t="s">
        <v>4999</v>
      </c>
      <c r="Z126" s="163">
        <v>43963</v>
      </c>
      <c r="AA126" s="164" t="s">
        <v>264</v>
      </c>
      <c r="AB126" s="165">
        <v>43963</v>
      </c>
      <c r="AC126" s="166">
        <v>43963</v>
      </c>
      <c r="AF126" s="210"/>
      <c r="AG126" s="211" t="s">
        <v>4999</v>
      </c>
      <c r="AH126" s="209" t="s">
        <v>9786</v>
      </c>
    </row>
    <row r="127" spans="1:35" s="209" customFormat="1" thickBot="1" x14ac:dyDescent="0.3">
      <c r="A127" s="221" t="str">
        <f t="shared" si="3"/>
        <v>OK</v>
      </c>
      <c r="B127" s="222" t="str">
        <f t="shared" si="4"/>
        <v>OK</v>
      </c>
      <c r="C127" s="223" t="str">
        <f t="shared" si="5"/>
        <v>OK</v>
      </c>
      <c r="D127" s="155">
        <v>0</v>
      </c>
      <c r="E127" s="156" t="s">
        <v>9893</v>
      </c>
      <c r="F127" s="157" t="s">
        <v>9894</v>
      </c>
      <c r="G127" s="157">
        <v>180837</v>
      </c>
      <c r="H127" s="157" t="s">
        <v>9895</v>
      </c>
      <c r="I127" s="157" t="s">
        <v>6820</v>
      </c>
      <c r="J127" s="157" t="s">
        <v>6829</v>
      </c>
      <c r="K127" s="157" t="s">
        <v>9896</v>
      </c>
      <c r="L127" s="157" t="s">
        <v>9897</v>
      </c>
      <c r="M127" s="157" t="s">
        <v>9898</v>
      </c>
      <c r="N127" s="158">
        <v>43955</v>
      </c>
      <c r="O127" s="157" t="s">
        <v>9350</v>
      </c>
      <c r="P127" s="158">
        <v>43955</v>
      </c>
      <c r="Q127" s="158">
        <v>43955</v>
      </c>
      <c r="R127" s="159">
        <v>43955</v>
      </c>
      <c r="S127" s="160" t="s">
        <v>9351</v>
      </c>
      <c r="T127" s="161" t="s">
        <v>9899</v>
      </c>
      <c r="U127" s="162">
        <v>43986</v>
      </c>
      <c r="V127" s="161" t="s">
        <v>9900</v>
      </c>
      <c r="W127" s="161">
        <v>20</v>
      </c>
      <c r="X127" s="161" t="s">
        <v>5683</v>
      </c>
      <c r="Y127" s="161" t="s">
        <v>4999</v>
      </c>
      <c r="Z127" s="163">
        <v>43993</v>
      </c>
      <c r="AA127" s="164" t="s">
        <v>264</v>
      </c>
      <c r="AB127" s="165">
        <v>43994</v>
      </c>
      <c r="AC127" s="166">
        <v>43994</v>
      </c>
      <c r="AF127" s="210"/>
      <c r="AG127" s="211" t="s">
        <v>4999</v>
      </c>
      <c r="AH127" s="209" t="s">
        <v>9786</v>
      </c>
    </row>
    <row r="128" spans="1:35" s="209" customFormat="1" thickBot="1" x14ac:dyDescent="0.3">
      <c r="A128" s="221" t="str">
        <f t="shared" si="3"/>
        <v>OK</v>
      </c>
      <c r="B128" s="222" t="str">
        <f t="shared" si="4"/>
        <v>OK</v>
      </c>
      <c r="C128" s="223" t="str">
        <f t="shared" si="5"/>
        <v>OK</v>
      </c>
      <c r="D128" s="155">
        <v>0</v>
      </c>
      <c r="E128" s="156" t="s">
        <v>9901</v>
      </c>
      <c r="F128" s="157" t="s">
        <v>6169</v>
      </c>
      <c r="G128" s="157">
        <v>180845</v>
      </c>
      <c r="H128" s="157" t="s">
        <v>9902</v>
      </c>
      <c r="I128" s="157" t="s">
        <v>6820</v>
      </c>
      <c r="J128" s="157" t="s">
        <v>6829</v>
      </c>
      <c r="K128" s="157" t="s">
        <v>9903</v>
      </c>
      <c r="L128" s="157" t="s">
        <v>9036</v>
      </c>
      <c r="M128" s="157" t="s">
        <v>9904</v>
      </c>
      <c r="N128" s="158">
        <v>43959</v>
      </c>
      <c r="O128" s="157" t="s">
        <v>9350</v>
      </c>
      <c r="P128" s="158">
        <v>43959</v>
      </c>
      <c r="Q128" s="158">
        <v>43962</v>
      </c>
      <c r="R128" s="159">
        <v>43962</v>
      </c>
      <c r="S128" s="160" t="s">
        <v>9351</v>
      </c>
      <c r="T128" s="161" t="s">
        <v>9351</v>
      </c>
      <c r="U128" s="162">
        <v>43963</v>
      </c>
      <c r="V128" s="161" t="s">
        <v>5995</v>
      </c>
      <c r="W128" s="161">
        <v>1</v>
      </c>
      <c r="X128" s="161" t="s">
        <v>5683</v>
      </c>
      <c r="Y128" s="161" t="s">
        <v>4999</v>
      </c>
      <c r="Z128" s="163">
        <v>43964</v>
      </c>
      <c r="AA128" s="164" t="s">
        <v>264</v>
      </c>
      <c r="AB128" s="165">
        <v>43964</v>
      </c>
      <c r="AC128" s="166">
        <v>43964</v>
      </c>
      <c r="AF128" s="210"/>
      <c r="AG128" s="211" t="s">
        <v>4999</v>
      </c>
      <c r="AH128" s="209" t="s">
        <v>9786</v>
      </c>
    </row>
    <row r="129" spans="1:34" s="209" customFormat="1" thickBot="1" x14ac:dyDescent="0.3">
      <c r="A129" s="221" t="str">
        <f t="shared" si="3"/>
        <v>OK</v>
      </c>
      <c r="B129" s="222" t="str">
        <f t="shared" si="4"/>
        <v>OK</v>
      </c>
      <c r="C129" s="223" t="str">
        <f t="shared" si="5"/>
        <v>OK</v>
      </c>
      <c r="D129" s="155">
        <v>0</v>
      </c>
      <c r="E129" s="156" t="s">
        <v>9905</v>
      </c>
      <c r="F129" s="157" t="s">
        <v>6169</v>
      </c>
      <c r="G129" s="157">
        <v>180846</v>
      </c>
      <c r="H129" s="157" t="s">
        <v>9906</v>
      </c>
      <c r="I129" s="157" t="s">
        <v>6820</v>
      </c>
      <c r="J129" s="157" t="s">
        <v>6829</v>
      </c>
      <c r="K129" s="157" t="s">
        <v>9907</v>
      </c>
      <c r="L129" s="157" t="s">
        <v>9908</v>
      </c>
      <c r="M129" s="157" t="s">
        <v>8789</v>
      </c>
      <c r="N129" s="158">
        <v>43959</v>
      </c>
      <c r="O129" s="157" t="s">
        <v>9350</v>
      </c>
      <c r="P129" s="158">
        <v>43959</v>
      </c>
      <c r="Q129" s="158">
        <v>43959</v>
      </c>
      <c r="R129" s="159">
        <v>43959</v>
      </c>
      <c r="S129" s="160" t="s">
        <v>9909</v>
      </c>
      <c r="T129" s="161" t="s">
        <v>9351</v>
      </c>
      <c r="U129" s="162">
        <v>43992</v>
      </c>
      <c r="V129" s="161" t="s">
        <v>7129</v>
      </c>
      <c r="W129" s="161">
        <v>1</v>
      </c>
      <c r="X129" s="161" t="s">
        <v>5683</v>
      </c>
      <c r="Y129" s="161" t="s">
        <v>4999</v>
      </c>
      <c r="Z129" s="163">
        <v>43997</v>
      </c>
      <c r="AA129" s="164" t="s">
        <v>264</v>
      </c>
      <c r="AB129" s="165">
        <v>43997</v>
      </c>
      <c r="AC129" s="166">
        <v>43997</v>
      </c>
      <c r="AF129" s="210"/>
      <c r="AG129" s="211" t="s">
        <v>4999</v>
      </c>
      <c r="AH129" s="209" t="s">
        <v>9786</v>
      </c>
    </row>
    <row r="130" spans="1:34" s="209" customFormat="1" thickBot="1" x14ac:dyDescent="0.3">
      <c r="A130" s="221" t="str">
        <f t="shared" si="3"/>
        <v>OK</v>
      </c>
      <c r="B130" s="222" t="str">
        <f t="shared" si="4"/>
        <v>OK</v>
      </c>
      <c r="C130" s="223" t="str">
        <f t="shared" si="5"/>
        <v>OK</v>
      </c>
      <c r="D130" s="155">
        <v>0</v>
      </c>
      <c r="E130" s="156" t="s">
        <v>9910</v>
      </c>
      <c r="F130" s="157" t="s">
        <v>9377</v>
      </c>
      <c r="G130" s="157">
        <v>180841</v>
      </c>
      <c r="H130" s="157" t="s">
        <v>9911</v>
      </c>
      <c r="I130" s="157" t="s">
        <v>6820</v>
      </c>
      <c r="J130" s="157" t="s">
        <v>6829</v>
      </c>
      <c r="K130" s="157" t="s">
        <v>9912</v>
      </c>
      <c r="L130" s="157" t="s">
        <v>9913</v>
      </c>
      <c r="M130" s="157" t="s">
        <v>9914</v>
      </c>
      <c r="N130" s="158">
        <v>43957</v>
      </c>
      <c r="O130" s="157" t="s">
        <v>9350</v>
      </c>
      <c r="P130" s="158">
        <v>43958</v>
      </c>
      <c r="Q130" s="158">
        <v>43958</v>
      </c>
      <c r="R130" s="159">
        <v>43963</v>
      </c>
      <c r="S130" s="160" t="s">
        <v>9351</v>
      </c>
      <c r="T130" s="161" t="s">
        <v>9351</v>
      </c>
      <c r="U130" s="162">
        <v>43964</v>
      </c>
      <c r="V130" s="161" t="s">
        <v>9915</v>
      </c>
      <c r="W130" s="161">
        <v>16</v>
      </c>
      <c r="X130" s="161" t="s">
        <v>5683</v>
      </c>
      <c r="Y130" s="161" t="s">
        <v>4999</v>
      </c>
      <c r="Z130" s="163">
        <v>43964</v>
      </c>
      <c r="AA130" s="164" t="s">
        <v>264</v>
      </c>
      <c r="AB130" s="165">
        <v>43965</v>
      </c>
      <c r="AC130" s="166">
        <v>43965</v>
      </c>
      <c r="AF130" s="210"/>
      <c r="AG130" s="211" t="s">
        <v>4999</v>
      </c>
      <c r="AH130" s="209" t="s">
        <v>9786</v>
      </c>
    </row>
    <row r="131" spans="1:34" s="209" customFormat="1" thickBot="1" x14ac:dyDescent="0.3">
      <c r="A131" s="221" t="str">
        <f t="shared" si="3"/>
        <v>OK</v>
      </c>
      <c r="B131" s="222" t="str">
        <f t="shared" si="4"/>
        <v>OK</v>
      </c>
      <c r="C131" s="223" t="str">
        <f t="shared" si="5"/>
        <v>OK</v>
      </c>
      <c r="D131" s="155">
        <v>0</v>
      </c>
      <c r="E131" s="156" t="s">
        <v>9916</v>
      </c>
      <c r="F131" s="157" t="s">
        <v>9414</v>
      </c>
      <c r="G131" s="157">
        <v>180849</v>
      </c>
      <c r="H131" s="157" t="s">
        <v>9917</v>
      </c>
      <c r="I131" s="157" t="s">
        <v>6820</v>
      </c>
      <c r="J131" s="157" t="s">
        <v>6829</v>
      </c>
      <c r="K131" s="157" t="s">
        <v>1113</v>
      </c>
      <c r="L131" s="157" t="s">
        <v>9918</v>
      </c>
      <c r="M131" s="157" t="s">
        <v>1106</v>
      </c>
      <c r="N131" s="158">
        <v>43963</v>
      </c>
      <c r="O131" s="157" t="s">
        <v>9350</v>
      </c>
      <c r="P131" s="158">
        <v>43963</v>
      </c>
      <c r="Q131" s="158">
        <v>43963</v>
      </c>
      <c r="R131" s="159">
        <v>43963</v>
      </c>
      <c r="S131" s="160" t="s">
        <v>9351</v>
      </c>
      <c r="T131" s="161" t="s">
        <v>9351</v>
      </c>
      <c r="U131" s="162">
        <v>43979</v>
      </c>
      <c r="V131" s="161" t="s">
        <v>9781</v>
      </c>
      <c r="W131" s="161">
        <v>2</v>
      </c>
      <c r="X131" s="161" t="s">
        <v>5683</v>
      </c>
      <c r="Y131" s="161" t="s">
        <v>4999</v>
      </c>
      <c r="Z131" s="163">
        <v>43980</v>
      </c>
      <c r="AA131" s="164" t="s">
        <v>264</v>
      </c>
      <c r="AB131" s="165">
        <v>43983</v>
      </c>
      <c r="AC131" s="166">
        <v>43983</v>
      </c>
      <c r="AF131" s="210"/>
      <c r="AG131" s="211" t="s">
        <v>4999</v>
      </c>
      <c r="AH131" s="209" t="s">
        <v>9786</v>
      </c>
    </row>
    <row r="132" spans="1:34" s="209" customFormat="1" thickBot="1" x14ac:dyDescent="0.3">
      <c r="A132" s="221" t="str">
        <f t="shared" si="3"/>
        <v>OK</v>
      </c>
      <c r="B132" s="222" t="str">
        <f t="shared" si="4"/>
        <v>OK</v>
      </c>
      <c r="C132" s="223" t="str">
        <f t="shared" si="5"/>
        <v>OK</v>
      </c>
      <c r="D132" s="155">
        <v>0</v>
      </c>
      <c r="E132" s="156" t="s">
        <v>9919</v>
      </c>
      <c r="F132" s="157" t="s">
        <v>9414</v>
      </c>
      <c r="G132" s="157">
        <v>180849</v>
      </c>
      <c r="H132" s="157" t="s">
        <v>9920</v>
      </c>
      <c r="I132" s="157" t="s">
        <v>6820</v>
      </c>
      <c r="J132" s="157" t="s">
        <v>6829</v>
      </c>
      <c r="K132" s="157" t="s">
        <v>1135</v>
      </c>
      <c r="L132" s="157" t="s">
        <v>9921</v>
      </c>
      <c r="M132" s="157" t="s">
        <v>1106</v>
      </c>
      <c r="N132" s="158">
        <v>43963</v>
      </c>
      <c r="O132" s="157" t="s">
        <v>9350</v>
      </c>
      <c r="P132" s="158">
        <v>43963</v>
      </c>
      <c r="Q132" s="158">
        <v>43963</v>
      </c>
      <c r="R132" s="159">
        <v>43963</v>
      </c>
      <c r="S132" s="160" t="s">
        <v>9351</v>
      </c>
      <c r="T132" s="161" t="s">
        <v>9351</v>
      </c>
      <c r="U132" s="162">
        <v>43979</v>
      </c>
      <c r="V132" s="161" t="s">
        <v>9443</v>
      </c>
      <c r="W132" s="161">
        <v>3</v>
      </c>
      <c r="X132" s="161" t="s">
        <v>5683</v>
      </c>
      <c r="Y132" s="161" t="s">
        <v>4999</v>
      </c>
      <c r="Z132" s="163">
        <v>43980</v>
      </c>
      <c r="AA132" s="164" t="s">
        <v>264</v>
      </c>
      <c r="AB132" s="165">
        <v>43983</v>
      </c>
      <c r="AC132" s="166">
        <v>43983</v>
      </c>
      <c r="AF132" s="210"/>
      <c r="AG132" s="211" t="s">
        <v>4999</v>
      </c>
      <c r="AH132" s="209" t="s">
        <v>9786</v>
      </c>
    </row>
    <row r="133" spans="1:34" s="209" customFormat="1" thickBot="1" x14ac:dyDescent="0.3">
      <c r="A133" s="221" t="str">
        <f t="shared" si="3"/>
        <v>OK</v>
      </c>
      <c r="B133" s="222" t="str">
        <f t="shared" si="4"/>
        <v>OK</v>
      </c>
      <c r="C133" s="223" t="str">
        <f t="shared" si="5"/>
        <v>OK</v>
      </c>
      <c r="D133" s="155">
        <v>0</v>
      </c>
      <c r="E133" s="156" t="s">
        <v>9922</v>
      </c>
      <c r="F133" s="157" t="s">
        <v>9361</v>
      </c>
      <c r="G133" s="157">
        <v>180848</v>
      </c>
      <c r="H133" s="157" t="s">
        <v>9923</v>
      </c>
      <c r="I133" s="157" t="s">
        <v>6820</v>
      </c>
      <c r="J133" s="157" t="s">
        <v>6829</v>
      </c>
      <c r="K133" s="157" t="s">
        <v>9681</v>
      </c>
      <c r="L133" s="157" t="s">
        <v>9924</v>
      </c>
      <c r="M133" s="157" t="s">
        <v>9683</v>
      </c>
      <c r="N133" s="158">
        <v>43969</v>
      </c>
      <c r="O133" s="157" t="s">
        <v>9350</v>
      </c>
      <c r="P133" s="158">
        <v>43963</v>
      </c>
      <c r="Q133" s="158">
        <v>43963</v>
      </c>
      <c r="R133" s="159">
        <v>43963</v>
      </c>
      <c r="S133" s="160" t="s">
        <v>9351</v>
      </c>
      <c r="T133" s="161" t="s">
        <v>9350</v>
      </c>
      <c r="U133" s="162">
        <v>43965</v>
      </c>
      <c r="V133" s="161" t="s">
        <v>9366</v>
      </c>
      <c r="W133" s="161">
        <v>6</v>
      </c>
      <c r="X133" s="161" t="s">
        <v>5683</v>
      </c>
      <c r="Y133" s="161" t="s">
        <v>4999</v>
      </c>
      <c r="Z133" s="163">
        <v>43966</v>
      </c>
      <c r="AA133" s="164" t="s">
        <v>264</v>
      </c>
      <c r="AB133" s="165">
        <v>43969</v>
      </c>
      <c r="AC133" s="166">
        <v>43969</v>
      </c>
      <c r="AF133" s="210"/>
      <c r="AG133" s="211" t="s">
        <v>4999</v>
      </c>
      <c r="AH133" s="209" t="s">
        <v>9786</v>
      </c>
    </row>
    <row r="134" spans="1:34" s="209" customFormat="1" thickBot="1" x14ac:dyDescent="0.3">
      <c r="A134" s="221" t="str">
        <f t="shared" ref="A134:A197" si="6">IF(OR(ISBLANK(D134),ISBLANK(E134),ISBLANK(F134),ISBLANK(G134),ISBLANK(H134),ISBLANK(I134),ISBLANK(J134),ISBLANK(K134),ISBLANK(L134),ISBLANK(M134),ISBLANK(N134),ISBLANK(O134),ISBLANK(P134),ISBLANK(Q134),ISBLANK(R134))=TRUE,"P","OK")</f>
        <v>OK</v>
      </c>
      <c r="B134" s="222" t="str">
        <f t="shared" si="4"/>
        <v>OK</v>
      </c>
      <c r="C134" s="223" t="str">
        <f t="shared" si="5"/>
        <v>OK</v>
      </c>
      <c r="D134" s="155">
        <v>0</v>
      </c>
      <c r="E134" s="156" t="s">
        <v>9925</v>
      </c>
      <c r="F134" s="157" t="s">
        <v>9361</v>
      </c>
      <c r="G134" s="157">
        <v>180848</v>
      </c>
      <c r="H134" s="157" t="s">
        <v>9926</v>
      </c>
      <c r="I134" s="157" t="s">
        <v>6820</v>
      </c>
      <c r="J134" s="157" t="s">
        <v>6829</v>
      </c>
      <c r="K134" s="157" t="s">
        <v>9927</v>
      </c>
      <c r="L134" s="157" t="s">
        <v>9928</v>
      </c>
      <c r="M134" s="157" t="s">
        <v>9683</v>
      </c>
      <c r="N134" s="158">
        <v>43969</v>
      </c>
      <c r="O134" s="157" t="s">
        <v>9350</v>
      </c>
      <c r="P134" s="158">
        <v>43963</v>
      </c>
      <c r="Q134" s="158">
        <v>43963</v>
      </c>
      <c r="R134" s="159">
        <v>43963</v>
      </c>
      <c r="S134" s="160" t="s">
        <v>9351</v>
      </c>
      <c r="T134" s="161" t="s">
        <v>9350</v>
      </c>
      <c r="U134" s="162">
        <v>43965</v>
      </c>
      <c r="V134" s="161" t="s">
        <v>9689</v>
      </c>
      <c r="W134" s="161">
        <v>3</v>
      </c>
      <c r="X134" s="161" t="s">
        <v>5683</v>
      </c>
      <c r="Y134" s="161" t="s">
        <v>4999</v>
      </c>
      <c r="Z134" s="163">
        <v>43966</v>
      </c>
      <c r="AA134" s="164" t="s">
        <v>264</v>
      </c>
      <c r="AB134" s="165">
        <v>43969</v>
      </c>
      <c r="AC134" s="166">
        <v>43969</v>
      </c>
      <c r="AF134" s="210"/>
      <c r="AG134" s="211" t="s">
        <v>4999</v>
      </c>
      <c r="AH134" s="209" t="s">
        <v>9786</v>
      </c>
    </row>
    <row r="135" spans="1:34" s="209" customFormat="1" thickBot="1" x14ac:dyDescent="0.3">
      <c r="A135" s="221" t="str">
        <f t="shared" si="6"/>
        <v>OK</v>
      </c>
      <c r="B135" s="222" t="str">
        <f t="shared" ref="B135:B198" si="7">IF(OR(ISBLANK(S135),ISBLANK(T135),ISBLANK(U135),ISBLANK(V135),ISBLANK(W135),ISBLANK(X135),ISBLANK(Y135),ISBLANK(Z135))=TRUE,"P","OK")</f>
        <v>OK</v>
      </c>
      <c r="C135" s="223" t="str">
        <f t="shared" ref="C135:C198" si="8">IF(OR(ISBLANK(AA135),ISBLANK(AB135),ISBLANK(AC135))=TRUE,"P","OK")</f>
        <v>OK</v>
      </c>
      <c r="D135" s="155">
        <v>0</v>
      </c>
      <c r="E135" s="156" t="s">
        <v>9929</v>
      </c>
      <c r="F135" s="157" t="s">
        <v>9361</v>
      </c>
      <c r="G135" s="157">
        <v>180848</v>
      </c>
      <c r="H135" s="157" t="s">
        <v>9930</v>
      </c>
      <c r="I135" s="157" t="s">
        <v>6820</v>
      </c>
      <c r="J135" s="157" t="s">
        <v>6829</v>
      </c>
      <c r="K135" s="157" t="s">
        <v>9931</v>
      </c>
      <c r="L135" s="157" t="s">
        <v>9932</v>
      </c>
      <c r="M135" s="157" t="s">
        <v>9683</v>
      </c>
      <c r="N135" s="158">
        <v>43969</v>
      </c>
      <c r="O135" s="157" t="s">
        <v>9350</v>
      </c>
      <c r="P135" s="158">
        <v>43963</v>
      </c>
      <c r="Q135" s="158">
        <v>43963</v>
      </c>
      <c r="R135" s="159">
        <v>43963</v>
      </c>
      <c r="S135" s="160" t="s">
        <v>9351</v>
      </c>
      <c r="T135" s="161" t="s">
        <v>9350</v>
      </c>
      <c r="U135" s="162">
        <v>43965</v>
      </c>
      <c r="V135" s="161" t="s">
        <v>9933</v>
      </c>
      <c r="W135" s="161">
        <v>1</v>
      </c>
      <c r="X135" s="161" t="s">
        <v>5683</v>
      </c>
      <c r="Y135" s="161" t="s">
        <v>4999</v>
      </c>
      <c r="Z135" s="163">
        <v>43969</v>
      </c>
      <c r="AA135" s="164" t="s">
        <v>264</v>
      </c>
      <c r="AB135" s="165">
        <v>43969</v>
      </c>
      <c r="AC135" s="166">
        <v>43969</v>
      </c>
      <c r="AF135" s="210"/>
      <c r="AG135" s="211" t="s">
        <v>4999</v>
      </c>
      <c r="AH135" s="209" t="s">
        <v>9786</v>
      </c>
    </row>
    <row r="136" spans="1:34" s="209" customFormat="1" ht="15" x14ac:dyDescent="0.25">
      <c r="A136" s="221" t="str">
        <f t="shared" si="6"/>
        <v>OK</v>
      </c>
      <c r="B136" s="222" t="str">
        <f t="shared" si="7"/>
        <v>OK</v>
      </c>
      <c r="C136" s="223" t="str">
        <f t="shared" si="8"/>
        <v>OK</v>
      </c>
      <c r="D136" s="155">
        <v>0</v>
      </c>
      <c r="E136" s="156" t="s">
        <v>9934</v>
      </c>
      <c r="F136" s="157" t="s">
        <v>9377</v>
      </c>
      <c r="G136" s="157">
        <v>180856</v>
      </c>
      <c r="H136" s="157" t="s">
        <v>9935</v>
      </c>
      <c r="I136" s="157" t="s">
        <v>6820</v>
      </c>
      <c r="J136" s="157" t="s">
        <v>6829</v>
      </c>
      <c r="K136" s="157" t="s">
        <v>9936</v>
      </c>
      <c r="L136" s="157" t="s">
        <v>9937</v>
      </c>
      <c r="M136" s="157" t="s">
        <v>9938</v>
      </c>
      <c r="N136" s="158">
        <v>43965</v>
      </c>
      <c r="O136" s="157" t="s">
        <v>9350</v>
      </c>
      <c r="P136" s="158">
        <v>43965</v>
      </c>
      <c r="Q136" s="158">
        <v>43965</v>
      </c>
      <c r="R136" s="159">
        <v>43965</v>
      </c>
      <c r="S136" s="160" t="s">
        <v>9351</v>
      </c>
      <c r="T136" s="161" t="s">
        <v>9351</v>
      </c>
      <c r="U136" s="162">
        <v>43965</v>
      </c>
      <c r="V136" s="161" t="s">
        <v>9939</v>
      </c>
      <c r="W136" s="161">
        <v>1</v>
      </c>
      <c r="X136" s="161" t="s">
        <v>5683</v>
      </c>
      <c r="Y136" s="161" t="s">
        <v>4999</v>
      </c>
      <c r="Z136" s="163">
        <v>43969</v>
      </c>
      <c r="AA136" s="164" t="s">
        <v>264</v>
      </c>
      <c r="AB136" s="165">
        <v>43970</v>
      </c>
      <c r="AC136" s="166">
        <v>43970</v>
      </c>
      <c r="AF136" s="210"/>
      <c r="AG136" s="211" t="s">
        <v>4999</v>
      </c>
      <c r="AH136" s="209" t="s">
        <v>9786</v>
      </c>
    </row>
    <row r="137" spans="1:34" s="217" customFormat="1" thickBot="1" x14ac:dyDescent="0.3">
      <c r="A137" s="452" t="s">
        <v>7575</v>
      </c>
      <c r="B137" s="453"/>
      <c r="C137" s="454"/>
      <c r="D137" s="188">
        <v>0</v>
      </c>
      <c r="E137" s="189" t="s">
        <v>9940</v>
      </c>
      <c r="F137" s="190" t="s">
        <v>6169</v>
      </c>
      <c r="G137" s="190">
        <v>180844</v>
      </c>
      <c r="H137" s="190" t="s">
        <v>9941</v>
      </c>
      <c r="I137" s="190" t="s">
        <v>6820</v>
      </c>
      <c r="J137" s="190" t="s">
        <v>6829</v>
      </c>
      <c r="K137" s="190" t="s">
        <v>9942</v>
      </c>
      <c r="L137" s="190" t="s">
        <v>7082</v>
      </c>
      <c r="M137" s="190" t="s">
        <v>6579</v>
      </c>
      <c r="N137" s="191">
        <v>43959</v>
      </c>
      <c r="O137" s="190" t="s">
        <v>9350</v>
      </c>
      <c r="P137" s="191">
        <v>43959</v>
      </c>
      <c r="Q137" s="191">
        <v>43962</v>
      </c>
      <c r="R137" s="192">
        <v>43962</v>
      </c>
      <c r="S137" s="193" t="s">
        <v>9351</v>
      </c>
      <c r="T137" s="194" t="s">
        <v>9350</v>
      </c>
      <c r="U137" s="194"/>
      <c r="V137" s="194" t="s">
        <v>3384</v>
      </c>
      <c r="W137" s="194">
        <v>1</v>
      </c>
      <c r="X137" s="194" t="s">
        <v>5683</v>
      </c>
      <c r="Y137" s="194" t="s">
        <v>4999</v>
      </c>
      <c r="Z137" s="204"/>
      <c r="AA137" s="197"/>
      <c r="AB137" s="195"/>
      <c r="AC137" s="196"/>
      <c r="AF137" s="193"/>
      <c r="AG137" s="204"/>
    </row>
    <row r="138" spans="1:34" s="209" customFormat="1" thickBot="1" x14ac:dyDescent="0.3">
      <c r="A138" s="221" t="str">
        <f t="shared" si="6"/>
        <v>OK</v>
      </c>
      <c r="B138" s="222" t="str">
        <f t="shared" si="7"/>
        <v>OK</v>
      </c>
      <c r="C138" s="223" t="str">
        <f t="shared" si="8"/>
        <v>OK</v>
      </c>
      <c r="D138" s="155">
        <v>0</v>
      </c>
      <c r="E138" s="156" t="s">
        <v>9943</v>
      </c>
      <c r="F138" s="157" t="s">
        <v>9377</v>
      </c>
      <c r="G138" s="157">
        <v>180859</v>
      </c>
      <c r="H138" s="157" t="s">
        <v>9944</v>
      </c>
      <c r="I138" s="157" t="s">
        <v>6820</v>
      </c>
      <c r="J138" s="157" t="s">
        <v>6829</v>
      </c>
      <c r="K138" s="157" t="s">
        <v>9945</v>
      </c>
      <c r="L138" s="157" t="s">
        <v>9946</v>
      </c>
      <c r="M138" s="157" t="s">
        <v>9938</v>
      </c>
      <c r="N138" s="158">
        <v>43972</v>
      </c>
      <c r="O138" s="157" t="s">
        <v>9350</v>
      </c>
      <c r="P138" s="158">
        <v>43965</v>
      </c>
      <c r="Q138" s="158">
        <v>43965</v>
      </c>
      <c r="R138" s="159">
        <v>43965</v>
      </c>
      <c r="S138" s="160" t="s">
        <v>9351</v>
      </c>
      <c r="T138" s="161" t="s">
        <v>9351</v>
      </c>
      <c r="U138" s="162">
        <v>43969</v>
      </c>
      <c r="V138" s="161" t="s">
        <v>9713</v>
      </c>
      <c r="W138" s="161">
        <v>3</v>
      </c>
      <c r="X138" s="161" t="s">
        <v>5683</v>
      </c>
      <c r="Y138" s="161" t="s">
        <v>4999</v>
      </c>
      <c r="Z138" s="163">
        <v>43972</v>
      </c>
      <c r="AA138" s="164" t="s">
        <v>264</v>
      </c>
      <c r="AB138" s="165">
        <v>43972</v>
      </c>
      <c r="AC138" s="166">
        <v>43972</v>
      </c>
      <c r="AF138" s="210"/>
      <c r="AG138" s="211" t="s">
        <v>4999</v>
      </c>
      <c r="AH138" s="209" t="s">
        <v>9786</v>
      </c>
    </row>
    <row r="139" spans="1:34" s="209" customFormat="1" thickBot="1" x14ac:dyDescent="0.3">
      <c r="A139" s="221" t="str">
        <f t="shared" si="6"/>
        <v>OK</v>
      </c>
      <c r="B139" s="222" t="str">
        <f t="shared" si="7"/>
        <v>OK</v>
      </c>
      <c r="C139" s="223" t="str">
        <f t="shared" si="8"/>
        <v>OK</v>
      </c>
      <c r="D139" s="155">
        <v>0</v>
      </c>
      <c r="E139" s="156" t="s">
        <v>9947</v>
      </c>
      <c r="F139" s="157" t="s">
        <v>6169</v>
      </c>
      <c r="G139" s="157">
        <v>180861</v>
      </c>
      <c r="H139" s="157" t="s">
        <v>9948</v>
      </c>
      <c r="I139" s="157" t="s">
        <v>6820</v>
      </c>
      <c r="J139" s="157" t="s">
        <v>6829</v>
      </c>
      <c r="K139" s="157" t="s">
        <v>9035</v>
      </c>
      <c r="L139" s="157" t="s">
        <v>8098</v>
      </c>
      <c r="M139" s="157" t="s">
        <v>9949</v>
      </c>
      <c r="N139" s="158">
        <v>43972</v>
      </c>
      <c r="O139" s="157" t="s">
        <v>9350</v>
      </c>
      <c r="P139" s="158">
        <v>43966</v>
      </c>
      <c r="Q139" s="158">
        <v>43966</v>
      </c>
      <c r="R139" s="159">
        <v>43966</v>
      </c>
      <c r="S139" s="160" t="s">
        <v>9351</v>
      </c>
      <c r="T139" s="161" t="s">
        <v>9351</v>
      </c>
      <c r="U139" s="162">
        <v>43971</v>
      </c>
      <c r="V139" s="161" t="s">
        <v>5995</v>
      </c>
      <c r="W139" s="161">
        <v>1</v>
      </c>
      <c r="X139" s="161" t="s">
        <v>5683</v>
      </c>
      <c r="Y139" s="161" t="s">
        <v>4999</v>
      </c>
      <c r="Z139" s="163">
        <v>43972</v>
      </c>
      <c r="AA139" s="164" t="s">
        <v>264</v>
      </c>
      <c r="AB139" s="165">
        <v>43972</v>
      </c>
      <c r="AC139" s="166">
        <v>43972</v>
      </c>
      <c r="AF139" s="210"/>
      <c r="AG139" s="211" t="s">
        <v>4999</v>
      </c>
      <c r="AH139" s="209" t="s">
        <v>9786</v>
      </c>
    </row>
    <row r="140" spans="1:34" s="209" customFormat="1" thickBot="1" x14ac:dyDescent="0.3">
      <c r="A140" s="221" t="str">
        <f t="shared" si="6"/>
        <v>OK</v>
      </c>
      <c r="B140" s="222" t="str">
        <f t="shared" si="7"/>
        <v>OK</v>
      </c>
      <c r="C140" s="223" t="str">
        <f t="shared" si="8"/>
        <v>OK</v>
      </c>
      <c r="D140" s="155">
        <v>0</v>
      </c>
      <c r="E140" s="156" t="s">
        <v>9950</v>
      </c>
      <c r="F140" s="157" t="s">
        <v>8326</v>
      </c>
      <c r="G140" s="157">
        <v>180857</v>
      </c>
      <c r="H140" s="157" t="s">
        <v>9951</v>
      </c>
      <c r="I140" s="157" t="s">
        <v>6820</v>
      </c>
      <c r="J140" s="157" t="s">
        <v>6829</v>
      </c>
      <c r="K140" s="157" t="s">
        <v>9952</v>
      </c>
      <c r="L140" s="157" t="s">
        <v>9953</v>
      </c>
      <c r="M140" s="157" t="s">
        <v>9954</v>
      </c>
      <c r="N140" s="158">
        <v>43965</v>
      </c>
      <c r="O140" s="157" t="s">
        <v>9350</v>
      </c>
      <c r="P140" s="158">
        <v>43965</v>
      </c>
      <c r="Q140" s="158">
        <v>43965</v>
      </c>
      <c r="R140" s="206">
        <v>43965</v>
      </c>
      <c r="S140" s="160" t="s">
        <v>9351</v>
      </c>
      <c r="T140" s="161" t="s">
        <v>9351</v>
      </c>
      <c r="U140" s="162">
        <v>43971</v>
      </c>
      <c r="V140" s="161" t="s">
        <v>9955</v>
      </c>
      <c r="W140" s="161">
        <v>1</v>
      </c>
      <c r="X140" s="161" t="s">
        <v>5683</v>
      </c>
      <c r="Y140" s="161" t="s">
        <v>4999</v>
      </c>
      <c r="Z140" s="163">
        <v>43971</v>
      </c>
      <c r="AA140" s="164" t="s">
        <v>264</v>
      </c>
      <c r="AB140" s="165">
        <v>43983</v>
      </c>
      <c r="AC140" s="166">
        <v>43984</v>
      </c>
      <c r="AF140" s="210"/>
      <c r="AG140" s="211" t="s">
        <v>4999</v>
      </c>
      <c r="AH140" s="209" t="s">
        <v>9786</v>
      </c>
    </row>
    <row r="141" spans="1:34" s="209" customFormat="1" thickBot="1" x14ac:dyDescent="0.3">
      <c r="A141" s="221" t="str">
        <f t="shared" si="6"/>
        <v>OK</v>
      </c>
      <c r="B141" s="222" t="str">
        <f t="shared" si="7"/>
        <v>OK</v>
      </c>
      <c r="C141" s="223" t="str">
        <f t="shared" si="8"/>
        <v>OK</v>
      </c>
      <c r="D141" s="155">
        <v>0</v>
      </c>
      <c r="E141" s="156" t="s">
        <v>9956</v>
      </c>
      <c r="F141" s="157" t="s">
        <v>8326</v>
      </c>
      <c r="G141" s="157">
        <v>180857</v>
      </c>
      <c r="H141" s="157" t="s">
        <v>9957</v>
      </c>
      <c r="I141" s="157" t="s">
        <v>6820</v>
      </c>
      <c r="J141" s="157" t="s">
        <v>6829</v>
      </c>
      <c r="K141" s="157" t="s">
        <v>9958</v>
      </c>
      <c r="L141" s="157" t="s">
        <v>3599</v>
      </c>
      <c r="M141" s="157" t="s">
        <v>5186</v>
      </c>
      <c r="N141" s="158">
        <v>43965</v>
      </c>
      <c r="O141" s="157" t="s">
        <v>9350</v>
      </c>
      <c r="P141" s="158">
        <v>43965</v>
      </c>
      <c r="Q141" s="158">
        <v>43965</v>
      </c>
      <c r="R141" s="206">
        <v>43965</v>
      </c>
      <c r="S141" s="160" t="s">
        <v>9351</v>
      </c>
      <c r="T141" s="161" t="s">
        <v>9351</v>
      </c>
      <c r="U141" s="162">
        <v>43972</v>
      </c>
      <c r="V141" s="161" t="s">
        <v>3600</v>
      </c>
      <c r="W141" s="161">
        <v>1</v>
      </c>
      <c r="X141" s="161" t="s">
        <v>5683</v>
      </c>
      <c r="Y141" s="161" t="s">
        <v>4999</v>
      </c>
      <c r="Z141" s="163">
        <v>43971</v>
      </c>
      <c r="AA141" s="164" t="s">
        <v>264</v>
      </c>
      <c r="AB141" s="165">
        <v>43983</v>
      </c>
      <c r="AC141" s="166">
        <v>43983</v>
      </c>
      <c r="AF141" s="210"/>
      <c r="AG141" s="211" t="s">
        <v>4999</v>
      </c>
      <c r="AH141" s="209" t="s">
        <v>9786</v>
      </c>
    </row>
    <row r="142" spans="1:34" s="209" customFormat="1" thickBot="1" x14ac:dyDescent="0.3">
      <c r="A142" s="221" t="str">
        <f t="shared" si="6"/>
        <v>OK</v>
      </c>
      <c r="B142" s="222" t="str">
        <f t="shared" si="7"/>
        <v>OK</v>
      </c>
      <c r="C142" s="223" t="str">
        <f t="shared" si="8"/>
        <v>OK</v>
      </c>
      <c r="D142" s="155">
        <v>0</v>
      </c>
      <c r="E142" s="156" t="s">
        <v>9959</v>
      </c>
      <c r="F142" s="169" t="s">
        <v>9396</v>
      </c>
      <c r="G142" s="157">
        <v>180855</v>
      </c>
      <c r="H142" s="157" t="s">
        <v>9960</v>
      </c>
      <c r="I142" s="157" t="s">
        <v>6820</v>
      </c>
      <c r="J142" s="157" t="s">
        <v>6829</v>
      </c>
      <c r="K142" s="157" t="s">
        <v>8543</v>
      </c>
      <c r="L142" s="157" t="s">
        <v>3862</v>
      </c>
      <c r="M142" s="157" t="s">
        <v>7516</v>
      </c>
      <c r="N142" s="158">
        <v>43964</v>
      </c>
      <c r="O142" s="157" t="s">
        <v>7729</v>
      </c>
      <c r="P142" s="158">
        <v>43964</v>
      </c>
      <c r="Q142" s="158">
        <v>43964</v>
      </c>
      <c r="R142" s="159">
        <v>43964</v>
      </c>
      <c r="S142" s="160" t="s">
        <v>9351</v>
      </c>
      <c r="T142" s="161" t="s">
        <v>9351</v>
      </c>
      <c r="U142" s="162">
        <v>43986</v>
      </c>
      <c r="V142" s="161" t="s">
        <v>2138</v>
      </c>
      <c r="W142" s="161">
        <v>4</v>
      </c>
      <c r="X142" s="161" t="s">
        <v>5683</v>
      </c>
      <c r="Y142" s="161" t="s">
        <v>4999</v>
      </c>
      <c r="Z142" s="163">
        <v>43930</v>
      </c>
      <c r="AA142" s="164" t="s">
        <v>264</v>
      </c>
      <c r="AB142" s="165">
        <v>43999</v>
      </c>
      <c r="AC142" s="166">
        <v>43999</v>
      </c>
      <c r="AF142" s="210"/>
      <c r="AG142" s="211" t="s">
        <v>4999</v>
      </c>
      <c r="AH142" s="209" t="s">
        <v>9786</v>
      </c>
    </row>
    <row r="143" spans="1:34" s="209" customFormat="1" thickBot="1" x14ac:dyDescent="0.3">
      <c r="A143" s="221" t="str">
        <f t="shared" si="6"/>
        <v>OK</v>
      </c>
      <c r="B143" s="222" t="str">
        <f t="shared" si="7"/>
        <v>OK</v>
      </c>
      <c r="C143" s="223" t="str">
        <f t="shared" si="8"/>
        <v>OK</v>
      </c>
      <c r="D143" s="155">
        <v>0</v>
      </c>
      <c r="E143" s="156" t="s">
        <v>9961</v>
      </c>
      <c r="F143" s="157" t="s">
        <v>5851</v>
      </c>
      <c r="G143" s="157">
        <v>180804</v>
      </c>
      <c r="H143" s="157" t="s">
        <v>9962</v>
      </c>
      <c r="I143" s="157" t="s">
        <v>6820</v>
      </c>
      <c r="J143" s="157" t="s">
        <v>6829</v>
      </c>
      <c r="K143" s="157" t="s">
        <v>9963</v>
      </c>
      <c r="L143" s="157" t="s">
        <v>9964</v>
      </c>
      <c r="M143" s="157" t="s">
        <v>9965</v>
      </c>
      <c r="N143" s="158">
        <v>43907</v>
      </c>
      <c r="O143" s="157" t="s">
        <v>7729</v>
      </c>
      <c r="P143" s="158">
        <v>43907</v>
      </c>
      <c r="Q143" s="158">
        <v>43907</v>
      </c>
      <c r="R143" s="159">
        <v>43907</v>
      </c>
      <c r="S143" s="160" t="s">
        <v>9351</v>
      </c>
      <c r="T143" s="161" t="s">
        <v>9351</v>
      </c>
      <c r="U143" s="162">
        <v>43976</v>
      </c>
      <c r="V143" s="161" t="s">
        <v>199</v>
      </c>
      <c r="W143" s="161">
        <v>1</v>
      </c>
      <c r="X143" s="161" t="s">
        <v>5683</v>
      </c>
      <c r="Y143" s="161" t="s">
        <v>4999</v>
      </c>
      <c r="Z143" s="163">
        <v>43990</v>
      </c>
      <c r="AA143" s="164" t="s">
        <v>264</v>
      </c>
      <c r="AB143" s="165">
        <v>43990</v>
      </c>
      <c r="AC143" s="166">
        <v>43990</v>
      </c>
      <c r="AF143" s="210"/>
      <c r="AG143" s="211" t="s">
        <v>4999</v>
      </c>
      <c r="AH143" s="209" t="s">
        <v>9786</v>
      </c>
    </row>
    <row r="144" spans="1:34" s="209" customFormat="1" thickBot="1" x14ac:dyDescent="0.3">
      <c r="A144" s="221" t="str">
        <f t="shared" si="6"/>
        <v>OK</v>
      </c>
      <c r="B144" s="222" t="str">
        <f t="shared" si="7"/>
        <v>OK</v>
      </c>
      <c r="C144" s="223" t="str">
        <f t="shared" si="8"/>
        <v>OK</v>
      </c>
      <c r="D144" s="155">
        <v>0</v>
      </c>
      <c r="E144" s="156" t="s">
        <v>9966</v>
      </c>
      <c r="F144" s="157" t="s">
        <v>9967</v>
      </c>
      <c r="G144" s="157">
        <v>180864</v>
      </c>
      <c r="H144" s="157" t="s">
        <v>9968</v>
      </c>
      <c r="I144" s="157" t="s">
        <v>6820</v>
      </c>
      <c r="J144" s="157" t="s">
        <v>6829</v>
      </c>
      <c r="K144" s="157" t="s">
        <v>9681</v>
      </c>
      <c r="L144" s="157" t="s">
        <v>9969</v>
      </c>
      <c r="M144" s="157" t="s">
        <v>9683</v>
      </c>
      <c r="N144" s="158">
        <v>43972</v>
      </c>
      <c r="O144" s="157" t="s">
        <v>9350</v>
      </c>
      <c r="P144" s="158">
        <v>43972</v>
      </c>
      <c r="Q144" s="158">
        <v>43972</v>
      </c>
      <c r="R144" s="159">
        <v>43972</v>
      </c>
      <c r="S144" s="160" t="s">
        <v>9351</v>
      </c>
      <c r="T144" s="161" t="s">
        <v>9350</v>
      </c>
      <c r="U144" s="162">
        <v>43973</v>
      </c>
      <c r="V144" s="161" t="s">
        <v>9366</v>
      </c>
      <c r="W144" s="161">
        <v>7</v>
      </c>
      <c r="X144" s="161" t="s">
        <v>5683</v>
      </c>
      <c r="Y144" s="161" t="s">
        <v>4999</v>
      </c>
      <c r="Z144" s="163">
        <v>43973</v>
      </c>
      <c r="AA144" s="164" t="s">
        <v>264</v>
      </c>
      <c r="AB144" s="165">
        <v>43977</v>
      </c>
      <c r="AC144" s="166">
        <v>43977</v>
      </c>
      <c r="AF144" s="210"/>
      <c r="AG144" s="211"/>
    </row>
    <row r="145" spans="1:35" s="209" customFormat="1" thickBot="1" x14ac:dyDescent="0.3">
      <c r="A145" s="221" t="str">
        <f t="shared" si="6"/>
        <v>OK</v>
      </c>
      <c r="B145" s="222" t="str">
        <f t="shared" si="7"/>
        <v>OK</v>
      </c>
      <c r="C145" s="223" t="str">
        <f t="shared" si="8"/>
        <v>OK</v>
      </c>
      <c r="D145" s="155">
        <v>0</v>
      </c>
      <c r="E145" s="156" t="s">
        <v>9970</v>
      </c>
      <c r="F145" s="157" t="s">
        <v>9557</v>
      </c>
      <c r="G145" s="157">
        <v>180868</v>
      </c>
      <c r="H145" s="157" t="s">
        <v>9971</v>
      </c>
      <c r="I145" s="157" t="s">
        <v>6820</v>
      </c>
      <c r="J145" s="157" t="s">
        <v>6829</v>
      </c>
      <c r="K145" s="157" t="s">
        <v>9972</v>
      </c>
      <c r="L145" s="157" t="s">
        <v>9973</v>
      </c>
      <c r="M145" s="157" t="s">
        <v>9974</v>
      </c>
      <c r="N145" s="158">
        <v>43972</v>
      </c>
      <c r="O145" s="157" t="s">
        <v>9350</v>
      </c>
      <c r="P145" s="158">
        <v>43972</v>
      </c>
      <c r="Q145" s="158">
        <v>43972</v>
      </c>
      <c r="R145" s="159">
        <v>43972</v>
      </c>
      <c r="S145" s="160" t="s">
        <v>9351</v>
      </c>
      <c r="T145" s="161" t="s">
        <v>9351</v>
      </c>
      <c r="U145" s="162">
        <v>43984</v>
      </c>
      <c r="V145" s="161" t="s">
        <v>6420</v>
      </c>
      <c r="W145" s="161">
        <v>1</v>
      </c>
      <c r="X145" s="161" t="s">
        <v>5683</v>
      </c>
      <c r="Y145" s="161" t="s">
        <v>4999</v>
      </c>
      <c r="Z145" s="163">
        <v>43986</v>
      </c>
      <c r="AA145" s="164" t="s">
        <v>264</v>
      </c>
      <c r="AB145" s="165">
        <v>43987</v>
      </c>
      <c r="AC145" s="166">
        <v>43987</v>
      </c>
      <c r="AF145" s="210"/>
      <c r="AG145" s="211" t="s">
        <v>4999</v>
      </c>
      <c r="AH145" s="209" t="s">
        <v>9786</v>
      </c>
    </row>
    <row r="146" spans="1:35" s="209" customFormat="1" thickBot="1" x14ac:dyDescent="0.3">
      <c r="A146" s="221" t="str">
        <f t="shared" si="6"/>
        <v>OK</v>
      </c>
      <c r="B146" s="222" t="str">
        <f t="shared" si="7"/>
        <v>OK</v>
      </c>
      <c r="C146" s="223" t="str">
        <f t="shared" si="8"/>
        <v>OK</v>
      </c>
      <c r="D146" s="155">
        <v>0</v>
      </c>
      <c r="E146" s="156" t="s">
        <v>9975</v>
      </c>
      <c r="F146" s="157" t="s">
        <v>8272</v>
      </c>
      <c r="G146" s="157">
        <v>180862</v>
      </c>
      <c r="H146" s="157" t="s">
        <v>9976</v>
      </c>
      <c r="I146" s="157" t="s">
        <v>6820</v>
      </c>
      <c r="J146" s="157" t="s">
        <v>6829</v>
      </c>
      <c r="K146" s="157" t="s">
        <v>9977</v>
      </c>
      <c r="L146" s="157" t="s">
        <v>9978</v>
      </c>
      <c r="M146" s="157" t="s">
        <v>504</v>
      </c>
      <c r="N146" s="158">
        <v>43970</v>
      </c>
      <c r="O146" s="157" t="s">
        <v>7729</v>
      </c>
      <c r="P146" s="158">
        <v>43970</v>
      </c>
      <c r="Q146" s="158">
        <v>43970</v>
      </c>
      <c r="R146" s="159">
        <v>43979</v>
      </c>
      <c r="S146" s="160" t="s">
        <v>9351</v>
      </c>
      <c r="T146" s="161" t="s">
        <v>9350</v>
      </c>
      <c r="U146" s="162">
        <v>44005</v>
      </c>
      <c r="V146" s="161" t="s">
        <v>505</v>
      </c>
      <c r="W146" s="161">
        <v>1</v>
      </c>
      <c r="X146" s="161" t="s">
        <v>5683</v>
      </c>
      <c r="Y146" s="161" t="s">
        <v>4999</v>
      </c>
      <c r="Z146" s="163">
        <v>44008</v>
      </c>
      <c r="AA146" s="164" t="s">
        <v>264</v>
      </c>
      <c r="AB146" s="165">
        <v>44011</v>
      </c>
      <c r="AC146" s="166">
        <v>44011</v>
      </c>
      <c r="AF146" s="210"/>
      <c r="AG146" s="211" t="s">
        <v>4999</v>
      </c>
    </row>
    <row r="147" spans="1:35" s="209" customFormat="1" ht="30.75" thickBot="1" x14ac:dyDescent="0.3">
      <c r="A147" s="221" t="str">
        <f t="shared" si="6"/>
        <v>OK</v>
      </c>
      <c r="B147" s="222" t="str">
        <f t="shared" si="7"/>
        <v>OK</v>
      </c>
      <c r="C147" s="223" t="str">
        <f t="shared" si="8"/>
        <v>OK</v>
      </c>
      <c r="D147" s="155">
        <v>0</v>
      </c>
      <c r="E147" s="156" t="s">
        <v>9979</v>
      </c>
      <c r="F147" s="157" t="s">
        <v>9980</v>
      </c>
      <c r="G147" s="157">
        <v>180876</v>
      </c>
      <c r="H147" s="157" t="s">
        <v>9981</v>
      </c>
      <c r="I147" s="157" t="s">
        <v>6820</v>
      </c>
      <c r="J147" s="157" t="s">
        <v>6829</v>
      </c>
      <c r="K147" s="157" t="s">
        <v>9982</v>
      </c>
      <c r="L147" s="157" t="s">
        <v>9983</v>
      </c>
      <c r="M147" s="157" t="s">
        <v>9984</v>
      </c>
      <c r="N147" s="158">
        <v>43977</v>
      </c>
      <c r="O147" s="157" t="s">
        <v>7729</v>
      </c>
      <c r="P147" s="158">
        <v>43979</v>
      </c>
      <c r="Q147" s="158">
        <v>43979</v>
      </c>
      <c r="R147" s="159">
        <v>43980</v>
      </c>
      <c r="S147" s="160" t="s">
        <v>9350</v>
      </c>
      <c r="T147" s="161" t="s">
        <v>9351</v>
      </c>
      <c r="U147" s="162">
        <v>43987</v>
      </c>
      <c r="V147" s="161" t="s">
        <v>9985</v>
      </c>
      <c r="W147" s="161">
        <v>1</v>
      </c>
      <c r="X147" s="161" t="s">
        <v>5683</v>
      </c>
      <c r="Y147" s="161" t="s">
        <v>4999</v>
      </c>
      <c r="Z147" s="163">
        <v>44015</v>
      </c>
      <c r="AA147" s="164" t="s">
        <v>264</v>
      </c>
      <c r="AB147" s="165">
        <v>44014</v>
      </c>
      <c r="AC147" s="166">
        <v>44019</v>
      </c>
      <c r="AF147" s="210"/>
      <c r="AG147" s="211"/>
    </row>
    <row r="148" spans="1:35" s="209" customFormat="1" thickBot="1" x14ac:dyDescent="0.3">
      <c r="A148" s="221" t="str">
        <f t="shared" si="6"/>
        <v>OK</v>
      </c>
      <c r="B148" s="222" t="str">
        <f t="shared" si="7"/>
        <v>OK</v>
      </c>
      <c r="C148" s="223" t="str">
        <f t="shared" si="8"/>
        <v>OK</v>
      </c>
      <c r="D148" s="155">
        <v>0</v>
      </c>
      <c r="E148" s="156" t="s">
        <v>9986</v>
      </c>
      <c r="F148" s="157" t="s">
        <v>8322</v>
      </c>
      <c r="G148" s="157">
        <v>180759</v>
      </c>
      <c r="H148" s="157" t="s">
        <v>9987</v>
      </c>
      <c r="I148" s="157" t="s">
        <v>6820</v>
      </c>
      <c r="J148" s="157" t="s">
        <v>6829</v>
      </c>
      <c r="K148" s="157" t="s">
        <v>9988</v>
      </c>
      <c r="L148" s="157" t="s">
        <v>9989</v>
      </c>
      <c r="M148" s="157" t="s">
        <v>9990</v>
      </c>
      <c r="N148" s="158">
        <v>43880</v>
      </c>
      <c r="O148" s="157" t="s">
        <v>9350</v>
      </c>
      <c r="P148" s="158">
        <v>43880</v>
      </c>
      <c r="Q148" s="158">
        <v>43880</v>
      </c>
      <c r="R148" s="159">
        <v>43880</v>
      </c>
      <c r="S148" s="160" t="s">
        <v>9351</v>
      </c>
      <c r="T148" s="161" t="s">
        <v>9351</v>
      </c>
      <c r="U148" s="162">
        <v>43983</v>
      </c>
      <c r="V148" s="161" t="s">
        <v>9991</v>
      </c>
      <c r="W148" s="161">
        <v>4</v>
      </c>
      <c r="X148" s="161" t="s">
        <v>5683</v>
      </c>
      <c r="Y148" s="161" t="s">
        <v>4999</v>
      </c>
      <c r="Z148" s="163">
        <v>43985</v>
      </c>
      <c r="AA148" s="164" t="s">
        <v>264</v>
      </c>
      <c r="AB148" s="165">
        <v>43987</v>
      </c>
      <c r="AC148" s="166">
        <v>43987</v>
      </c>
      <c r="AF148" s="210"/>
      <c r="AG148" s="211" t="s">
        <v>4999</v>
      </c>
      <c r="AH148" s="209" t="s">
        <v>9786</v>
      </c>
    </row>
    <row r="149" spans="1:35" s="209" customFormat="1" thickBot="1" x14ac:dyDescent="0.3">
      <c r="A149" s="221" t="str">
        <f t="shared" si="6"/>
        <v>OK</v>
      </c>
      <c r="B149" s="222" t="str">
        <f t="shared" si="7"/>
        <v>OK</v>
      </c>
      <c r="C149" s="223" t="str">
        <f t="shared" si="8"/>
        <v>OK</v>
      </c>
      <c r="D149" s="155">
        <v>0</v>
      </c>
      <c r="E149" s="156" t="s">
        <v>9992</v>
      </c>
      <c r="F149" s="157" t="s">
        <v>8369</v>
      </c>
      <c r="G149" s="157">
        <v>180881</v>
      </c>
      <c r="H149" s="157" t="s">
        <v>9993</v>
      </c>
      <c r="I149" s="157" t="s">
        <v>6820</v>
      </c>
      <c r="J149" s="157" t="s">
        <v>6829</v>
      </c>
      <c r="K149" s="157" t="s">
        <v>9994</v>
      </c>
      <c r="L149" s="157" t="s">
        <v>9995</v>
      </c>
      <c r="M149" s="157" t="s">
        <v>1812</v>
      </c>
      <c r="N149" s="158">
        <v>43983</v>
      </c>
      <c r="O149" s="157" t="s">
        <v>9350</v>
      </c>
      <c r="P149" s="158">
        <v>43983</v>
      </c>
      <c r="Q149" s="158">
        <v>43983</v>
      </c>
      <c r="R149" s="159">
        <v>43983</v>
      </c>
      <c r="S149" s="160" t="s">
        <v>9351</v>
      </c>
      <c r="T149" s="161" t="s">
        <v>9350</v>
      </c>
      <c r="U149" s="162">
        <v>43985</v>
      </c>
      <c r="V149" s="161" t="s">
        <v>9665</v>
      </c>
      <c r="W149" s="161">
        <v>1</v>
      </c>
      <c r="X149" s="161" t="s">
        <v>5683</v>
      </c>
      <c r="Y149" s="161" t="s">
        <v>4999</v>
      </c>
      <c r="Z149" s="163">
        <v>43990</v>
      </c>
      <c r="AA149" s="164" t="s">
        <v>264</v>
      </c>
      <c r="AB149" s="165">
        <v>43990</v>
      </c>
      <c r="AC149" s="166">
        <v>43990</v>
      </c>
      <c r="AF149" s="210"/>
      <c r="AG149" s="211"/>
    </row>
    <row r="150" spans="1:35" s="209" customFormat="1" thickBot="1" x14ac:dyDescent="0.3">
      <c r="A150" s="221" t="str">
        <f t="shared" si="6"/>
        <v>OK</v>
      </c>
      <c r="B150" s="222" t="str">
        <f t="shared" si="7"/>
        <v>OK</v>
      </c>
      <c r="C150" s="223" t="str">
        <f t="shared" si="8"/>
        <v>OK</v>
      </c>
      <c r="D150" s="155">
        <v>0</v>
      </c>
      <c r="E150" s="156" t="s">
        <v>9996</v>
      </c>
      <c r="F150" s="157" t="s">
        <v>9997</v>
      </c>
      <c r="G150" s="157">
        <v>180863</v>
      </c>
      <c r="H150" s="157" t="s">
        <v>9998</v>
      </c>
      <c r="I150" s="157" t="s">
        <v>6820</v>
      </c>
      <c r="J150" s="157" t="s">
        <v>6829</v>
      </c>
      <c r="K150" s="157" t="s">
        <v>4197</v>
      </c>
      <c r="L150" s="157" t="s">
        <v>9999</v>
      </c>
      <c r="M150" s="157" t="s">
        <v>1106</v>
      </c>
      <c r="N150" s="158">
        <v>43970</v>
      </c>
      <c r="O150" s="157" t="s">
        <v>9350</v>
      </c>
      <c r="P150" s="158">
        <v>43970</v>
      </c>
      <c r="Q150" s="158">
        <v>43970</v>
      </c>
      <c r="R150" s="159">
        <v>43970</v>
      </c>
      <c r="S150" s="160" t="s">
        <v>9351</v>
      </c>
      <c r="T150" s="161" t="s">
        <v>9351</v>
      </c>
      <c r="U150" s="162">
        <v>43986</v>
      </c>
      <c r="V150" s="161" t="s">
        <v>9769</v>
      </c>
      <c r="W150" s="161">
        <v>4</v>
      </c>
      <c r="X150" s="161" t="s">
        <v>5683</v>
      </c>
      <c r="Y150" s="161" t="s">
        <v>4999</v>
      </c>
      <c r="Z150" s="163">
        <v>43987</v>
      </c>
      <c r="AA150" s="164" t="s">
        <v>264</v>
      </c>
      <c r="AB150" s="165">
        <v>43990</v>
      </c>
      <c r="AC150" s="166">
        <v>43990</v>
      </c>
      <c r="AF150" s="210"/>
      <c r="AG150" s="211" t="s">
        <v>4999</v>
      </c>
      <c r="AH150" s="209" t="s">
        <v>9786</v>
      </c>
    </row>
    <row r="151" spans="1:35" s="209" customFormat="1" thickBot="1" x14ac:dyDescent="0.3">
      <c r="A151" s="221" t="str">
        <f t="shared" si="6"/>
        <v>OK</v>
      </c>
      <c r="B151" s="222" t="str">
        <f t="shared" si="7"/>
        <v>OK</v>
      </c>
      <c r="C151" s="223" t="str">
        <f t="shared" si="8"/>
        <v>OK</v>
      </c>
      <c r="D151" s="155">
        <v>0</v>
      </c>
      <c r="E151" s="156" t="s">
        <v>10000</v>
      </c>
      <c r="F151" s="157" t="s">
        <v>10001</v>
      </c>
      <c r="G151" s="157">
        <v>180874</v>
      </c>
      <c r="H151" s="157" t="s">
        <v>10002</v>
      </c>
      <c r="I151" s="157" t="s">
        <v>6820</v>
      </c>
      <c r="J151" s="157" t="s">
        <v>6829</v>
      </c>
      <c r="K151" s="157" t="s">
        <v>10003</v>
      </c>
      <c r="L151" s="157" t="s">
        <v>10004</v>
      </c>
      <c r="M151" s="157" t="s">
        <v>10005</v>
      </c>
      <c r="N151" s="158">
        <v>43977</v>
      </c>
      <c r="O151" s="157" t="s">
        <v>7729</v>
      </c>
      <c r="P151" s="158">
        <v>43978</v>
      </c>
      <c r="Q151" s="158">
        <v>43978</v>
      </c>
      <c r="R151" s="159">
        <v>43983</v>
      </c>
      <c r="S151" s="160" t="s">
        <v>9351</v>
      </c>
      <c r="T151" s="161" t="s">
        <v>9351</v>
      </c>
      <c r="U151" s="162">
        <v>43993</v>
      </c>
      <c r="V151" s="161" t="s">
        <v>10006</v>
      </c>
      <c r="W151" s="161">
        <v>2</v>
      </c>
      <c r="X151" s="161" t="s">
        <v>5683</v>
      </c>
      <c r="Y151" s="161" t="s">
        <v>4999</v>
      </c>
      <c r="Z151" s="163">
        <v>43999</v>
      </c>
      <c r="AA151" s="164" t="s">
        <v>264</v>
      </c>
      <c r="AB151" s="165">
        <v>44004</v>
      </c>
      <c r="AC151" s="166">
        <v>44004</v>
      </c>
      <c r="AF151" s="210"/>
      <c r="AG151" s="211" t="s">
        <v>4999</v>
      </c>
    </row>
    <row r="152" spans="1:35" s="209" customFormat="1" thickBot="1" x14ac:dyDescent="0.3">
      <c r="A152" s="221" t="str">
        <f t="shared" si="6"/>
        <v>OK</v>
      </c>
      <c r="B152" s="222" t="str">
        <f t="shared" si="7"/>
        <v>OK</v>
      </c>
      <c r="C152" s="223" t="str">
        <f t="shared" si="8"/>
        <v>OK</v>
      </c>
      <c r="D152" s="155">
        <v>0</v>
      </c>
      <c r="E152" s="156" t="s">
        <v>10007</v>
      </c>
      <c r="F152" s="157" t="s">
        <v>10001</v>
      </c>
      <c r="G152" s="157">
        <v>180874</v>
      </c>
      <c r="H152" s="157" t="s">
        <v>10008</v>
      </c>
      <c r="I152" s="157" t="s">
        <v>6820</v>
      </c>
      <c r="J152" s="157" t="s">
        <v>6829</v>
      </c>
      <c r="K152" s="157" t="s">
        <v>10009</v>
      </c>
      <c r="L152" s="157" t="s">
        <v>10010</v>
      </c>
      <c r="M152" s="157" t="s">
        <v>10005</v>
      </c>
      <c r="N152" s="158">
        <v>43977</v>
      </c>
      <c r="O152" s="157" t="s">
        <v>7729</v>
      </c>
      <c r="P152" s="158">
        <v>43978</v>
      </c>
      <c r="Q152" s="158">
        <v>43978</v>
      </c>
      <c r="R152" s="159">
        <v>43983</v>
      </c>
      <c r="S152" s="160" t="s">
        <v>9351</v>
      </c>
      <c r="T152" s="161" t="s">
        <v>9351</v>
      </c>
      <c r="U152" s="162">
        <v>43993</v>
      </c>
      <c r="V152" s="161" t="s">
        <v>10011</v>
      </c>
      <c r="W152" s="161">
        <v>1</v>
      </c>
      <c r="X152" s="161" t="s">
        <v>5683</v>
      </c>
      <c r="Y152" s="161" t="s">
        <v>4999</v>
      </c>
      <c r="Z152" s="163">
        <v>43998</v>
      </c>
      <c r="AA152" s="164" t="s">
        <v>264</v>
      </c>
      <c r="AB152" s="165">
        <v>44004</v>
      </c>
      <c r="AC152" s="166">
        <v>44004</v>
      </c>
      <c r="AF152" s="210"/>
      <c r="AG152" s="211" t="s">
        <v>4999</v>
      </c>
    </row>
    <row r="153" spans="1:35" s="209" customFormat="1" thickBot="1" x14ac:dyDescent="0.3">
      <c r="A153" s="221" t="str">
        <f t="shared" si="6"/>
        <v>OK</v>
      </c>
      <c r="B153" s="222" t="str">
        <f t="shared" si="7"/>
        <v>OK</v>
      </c>
      <c r="C153" s="223" t="str">
        <f t="shared" si="8"/>
        <v>OK</v>
      </c>
      <c r="D153" s="155">
        <v>0</v>
      </c>
      <c r="E153" s="156" t="s">
        <v>10012</v>
      </c>
      <c r="F153" s="157" t="s">
        <v>8317</v>
      </c>
      <c r="G153" s="157">
        <v>180854</v>
      </c>
      <c r="H153" s="157" t="s">
        <v>10013</v>
      </c>
      <c r="I153" s="157" t="s">
        <v>6820</v>
      </c>
      <c r="J153" s="157" t="s">
        <v>6829</v>
      </c>
      <c r="K153" s="157" t="s">
        <v>9573</v>
      </c>
      <c r="L153" s="157" t="s">
        <v>10014</v>
      </c>
      <c r="M153" s="157" t="s">
        <v>8135</v>
      </c>
      <c r="N153" s="158">
        <v>43966</v>
      </c>
      <c r="O153" s="157" t="s">
        <v>7729</v>
      </c>
      <c r="P153" s="158">
        <v>43966</v>
      </c>
      <c r="Q153" s="158">
        <v>43966</v>
      </c>
      <c r="R153" s="159">
        <v>43967</v>
      </c>
      <c r="S153" s="160" t="s">
        <v>9351</v>
      </c>
      <c r="T153" s="161" t="s">
        <v>9351</v>
      </c>
      <c r="U153" s="162">
        <v>43986</v>
      </c>
      <c r="V153" s="161" t="s">
        <v>8061</v>
      </c>
      <c r="W153" s="161">
        <v>2</v>
      </c>
      <c r="X153" s="161" t="s">
        <v>5683</v>
      </c>
      <c r="Y153" s="161" t="s">
        <v>4999</v>
      </c>
      <c r="Z153" s="163">
        <v>44012</v>
      </c>
      <c r="AA153" s="164" t="s">
        <v>264</v>
      </c>
      <c r="AB153" s="165">
        <v>44013</v>
      </c>
      <c r="AC153" s="166">
        <v>44013</v>
      </c>
      <c r="AF153" s="210"/>
      <c r="AG153" s="211" t="s">
        <v>4999</v>
      </c>
    </row>
    <row r="154" spans="1:35" s="209" customFormat="1" ht="30.75" thickBot="1" x14ac:dyDescent="0.3">
      <c r="A154" s="221" t="str">
        <f t="shared" si="6"/>
        <v>OK</v>
      </c>
      <c r="B154" s="222" t="str">
        <f t="shared" si="7"/>
        <v>OK</v>
      </c>
      <c r="C154" s="223" t="str">
        <f t="shared" si="8"/>
        <v>OK</v>
      </c>
      <c r="D154" s="167">
        <v>0</v>
      </c>
      <c r="E154" s="168" t="s">
        <v>10015</v>
      </c>
      <c r="F154" s="169" t="s">
        <v>8317</v>
      </c>
      <c r="G154" s="169">
        <v>180854</v>
      </c>
      <c r="H154" s="169" t="s">
        <v>10016</v>
      </c>
      <c r="I154" s="169" t="s">
        <v>6820</v>
      </c>
      <c r="J154" s="169" t="s">
        <v>6829</v>
      </c>
      <c r="K154" s="169" t="s">
        <v>10017</v>
      </c>
      <c r="L154" s="169" t="s">
        <v>10018</v>
      </c>
      <c r="M154" s="169" t="s">
        <v>3989</v>
      </c>
      <c r="N154" s="170">
        <v>43966</v>
      </c>
      <c r="O154" s="169" t="s">
        <v>7729</v>
      </c>
      <c r="P154" s="170">
        <v>43966</v>
      </c>
      <c r="Q154" s="170">
        <v>43966</v>
      </c>
      <c r="R154" s="178">
        <v>43998</v>
      </c>
      <c r="S154" s="171" t="s">
        <v>9351</v>
      </c>
      <c r="T154" s="172" t="s">
        <v>9351</v>
      </c>
      <c r="U154" s="173">
        <v>43986</v>
      </c>
      <c r="V154" s="172" t="s">
        <v>235</v>
      </c>
      <c r="W154" s="172">
        <v>14</v>
      </c>
      <c r="X154" s="172" t="s">
        <v>5683</v>
      </c>
      <c r="Y154" s="172" t="s">
        <v>4999</v>
      </c>
      <c r="Z154" s="174">
        <v>44032</v>
      </c>
      <c r="AA154" s="175" t="s">
        <v>264</v>
      </c>
      <c r="AB154" s="176">
        <v>44032</v>
      </c>
      <c r="AC154" s="177">
        <v>44032</v>
      </c>
      <c r="AD154" s="213"/>
      <c r="AE154" s="213"/>
      <c r="AF154" s="214" t="s">
        <v>9840</v>
      </c>
      <c r="AG154" s="215" t="s">
        <v>4999</v>
      </c>
      <c r="AH154" s="213" t="s">
        <v>9786</v>
      </c>
      <c r="AI154" s="213"/>
    </row>
    <row r="155" spans="1:35" s="213" customFormat="1" thickBot="1" x14ac:dyDescent="0.3">
      <c r="A155" s="221" t="str">
        <f t="shared" si="6"/>
        <v>OK</v>
      </c>
      <c r="B155" s="222" t="str">
        <f t="shared" si="7"/>
        <v>OK</v>
      </c>
      <c r="C155" s="223" t="str">
        <f t="shared" si="8"/>
        <v>OK</v>
      </c>
      <c r="D155" s="155">
        <v>0</v>
      </c>
      <c r="E155" s="156" t="s">
        <v>10019</v>
      </c>
      <c r="F155" s="169" t="s">
        <v>9396</v>
      </c>
      <c r="G155" s="157">
        <v>180880</v>
      </c>
      <c r="H155" s="157" t="s">
        <v>10020</v>
      </c>
      <c r="I155" s="157" t="s">
        <v>6820</v>
      </c>
      <c r="J155" s="157" t="s">
        <v>6829</v>
      </c>
      <c r="K155" s="157" t="s">
        <v>10021</v>
      </c>
      <c r="L155" s="157" t="s">
        <v>10022</v>
      </c>
      <c r="M155" s="157" t="s">
        <v>7516</v>
      </c>
      <c r="N155" s="158">
        <v>43983</v>
      </c>
      <c r="O155" s="157" t="s">
        <v>7729</v>
      </c>
      <c r="P155" s="158">
        <v>43983</v>
      </c>
      <c r="Q155" s="158">
        <v>43983</v>
      </c>
      <c r="R155" s="159">
        <v>43983</v>
      </c>
      <c r="S155" s="160" t="s">
        <v>9909</v>
      </c>
      <c r="T155" s="161" t="s">
        <v>9351</v>
      </c>
      <c r="U155" s="162">
        <v>43986</v>
      </c>
      <c r="V155" s="161" t="s">
        <v>10023</v>
      </c>
      <c r="W155" s="161">
        <v>1</v>
      </c>
      <c r="X155" s="161" t="s">
        <v>5683</v>
      </c>
      <c r="Y155" s="161" t="s">
        <v>4999</v>
      </c>
      <c r="Z155" s="163">
        <v>43997</v>
      </c>
      <c r="AA155" s="164" t="s">
        <v>264</v>
      </c>
      <c r="AB155" s="165">
        <v>44000</v>
      </c>
      <c r="AC155" s="166">
        <v>44000</v>
      </c>
      <c r="AD155" s="209"/>
      <c r="AE155" s="209"/>
      <c r="AF155" s="210"/>
      <c r="AG155" s="211" t="s">
        <v>4999</v>
      </c>
      <c r="AH155" s="209" t="s">
        <v>9786</v>
      </c>
      <c r="AI155" s="209"/>
    </row>
    <row r="156" spans="1:35" s="209" customFormat="1" thickBot="1" x14ac:dyDescent="0.3">
      <c r="A156" s="221" t="str">
        <f t="shared" si="6"/>
        <v>OK</v>
      </c>
      <c r="B156" s="222" t="str">
        <f t="shared" si="7"/>
        <v>OK</v>
      </c>
      <c r="C156" s="223" t="str">
        <f t="shared" si="8"/>
        <v>OK</v>
      </c>
      <c r="D156" s="155">
        <v>0</v>
      </c>
      <c r="E156" s="156" t="s">
        <v>10024</v>
      </c>
      <c r="F156" s="157" t="s">
        <v>9377</v>
      </c>
      <c r="G156" s="157">
        <v>180884</v>
      </c>
      <c r="H156" s="157" t="s">
        <v>10025</v>
      </c>
      <c r="I156" s="157" t="s">
        <v>6820</v>
      </c>
      <c r="J156" s="157" t="s">
        <v>6829</v>
      </c>
      <c r="K156" s="157" t="s">
        <v>9710</v>
      </c>
      <c r="L156" s="157" t="s">
        <v>10026</v>
      </c>
      <c r="M156" s="157" t="s">
        <v>9938</v>
      </c>
      <c r="N156" s="158">
        <v>43986</v>
      </c>
      <c r="O156" s="157" t="s">
        <v>9350</v>
      </c>
      <c r="P156" s="158">
        <v>43986</v>
      </c>
      <c r="Q156" s="158">
        <v>43986</v>
      </c>
      <c r="R156" s="159">
        <v>43990</v>
      </c>
      <c r="S156" s="160" t="s">
        <v>9351</v>
      </c>
      <c r="T156" s="161" t="s">
        <v>9350</v>
      </c>
      <c r="U156" s="162">
        <v>43991</v>
      </c>
      <c r="V156" s="161" t="s">
        <v>9939</v>
      </c>
      <c r="W156" s="161">
        <v>1</v>
      </c>
      <c r="X156" s="161" t="s">
        <v>5683</v>
      </c>
      <c r="Y156" s="161" t="s">
        <v>4999</v>
      </c>
      <c r="Z156" s="163">
        <v>43994</v>
      </c>
      <c r="AA156" s="164" t="s">
        <v>264</v>
      </c>
      <c r="AB156" s="165">
        <v>43997</v>
      </c>
      <c r="AC156" s="166">
        <v>43997</v>
      </c>
      <c r="AF156" s="210"/>
      <c r="AG156" s="211"/>
    </row>
    <row r="157" spans="1:35" s="209" customFormat="1" thickBot="1" x14ac:dyDescent="0.3">
      <c r="A157" s="221" t="str">
        <f t="shared" si="6"/>
        <v>OK</v>
      </c>
      <c r="B157" s="222" t="str">
        <f t="shared" si="7"/>
        <v>OK</v>
      </c>
      <c r="C157" s="223" t="str">
        <f t="shared" si="8"/>
        <v>OK</v>
      </c>
      <c r="D157" s="155">
        <v>0</v>
      </c>
      <c r="E157" s="156" t="s">
        <v>10027</v>
      </c>
      <c r="F157" s="157" t="s">
        <v>9498</v>
      </c>
      <c r="G157" s="157">
        <v>180824</v>
      </c>
      <c r="H157" s="157" t="s">
        <v>10028</v>
      </c>
      <c r="I157" s="157" t="s">
        <v>6820</v>
      </c>
      <c r="J157" s="157" t="s">
        <v>6829</v>
      </c>
      <c r="K157" s="157" t="s">
        <v>10029</v>
      </c>
      <c r="L157" s="157" t="s">
        <v>10030</v>
      </c>
      <c r="M157" s="157" t="s">
        <v>10031</v>
      </c>
      <c r="N157" s="158">
        <v>43935</v>
      </c>
      <c r="O157" s="157" t="s">
        <v>7729</v>
      </c>
      <c r="P157" s="158">
        <v>43935</v>
      </c>
      <c r="Q157" s="158">
        <v>43936</v>
      </c>
      <c r="R157" s="159">
        <v>43986</v>
      </c>
      <c r="S157" s="160" t="s">
        <v>9351</v>
      </c>
      <c r="T157" s="161" t="s">
        <v>9351</v>
      </c>
      <c r="U157" s="162">
        <v>43997</v>
      </c>
      <c r="V157" s="161" t="s">
        <v>10032</v>
      </c>
      <c r="W157" s="161">
        <v>1</v>
      </c>
      <c r="X157" s="161" t="s">
        <v>5683</v>
      </c>
      <c r="Y157" s="161" t="s">
        <v>4999</v>
      </c>
      <c r="Z157" s="163">
        <v>44032</v>
      </c>
      <c r="AA157" s="164" t="s">
        <v>264</v>
      </c>
      <c r="AB157" s="165">
        <v>44032</v>
      </c>
      <c r="AC157" s="166">
        <v>44032</v>
      </c>
      <c r="AF157" s="214" t="s">
        <v>9840</v>
      </c>
      <c r="AG157" s="215" t="s">
        <v>4999</v>
      </c>
      <c r="AH157" s="213" t="s">
        <v>9786</v>
      </c>
    </row>
    <row r="158" spans="1:35" s="209" customFormat="1" thickBot="1" x14ac:dyDescent="0.3">
      <c r="A158" s="221" t="str">
        <f t="shared" si="6"/>
        <v>OK</v>
      </c>
      <c r="B158" s="222" t="str">
        <f t="shared" si="7"/>
        <v>OK</v>
      </c>
      <c r="C158" s="223" t="str">
        <f t="shared" si="8"/>
        <v>OK</v>
      </c>
      <c r="D158" s="155">
        <v>0</v>
      </c>
      <c r="E158" s="156" t="s">
        <v>10033</v>
      </c>
      <c r="F158" s="157" t="s">
        <v>3386</v>
      </c>
      <c r="G158" s="157">
        <v>180896</v>
      </c>
      <c r="H158" s="157" t="s">
        <v>10034</v>
      </c>
      <c r="I158" s="157" t="s">
        <v>6820</v>
      </c>
      <c r="J158" s="157" t="s">
        <v>6829</v>
      </c>
      <c r="K158" s="157" t="s">
        <v>10035</v>
      </c>
      <c r="L158" s="157" t="s">
        <v>10036</v>
      </c>
      <c r="M158" s="157" t="s">
        <v>10037</v>
      </c>
      <c r="N158" s="158">
        <v>43993</v>
      </c>
      <c r="O158" s="157" t="s">
        <v>9350</v>
      </c>
      <c r="P158" s="158">
        <v>43994</v>
      </c>
      <c r="Q158" s="158">
        <v>43994</v>
      </c>
      <c r="R158" s="159">
        <v>43994</v>
      </c>
      <c r="S158" s="160" t="s">
        <v>9350</v>
      </c>
      <c r="T158" s="161" t="s">
        <v>9350</v>
      </c>
      <c r="U158" s="162">
        <v>43997</v>
      </c>
      <c r="V158" s="161" t="s">
        <v>10038</v>
      </c>
      <c r="W158" s="161">
        <v>2</v>
      </c>
      <c r="X158" s="161" t="s">
        <v>5683</v>
      </c>
      <c r="Y158" s="161" t="s">
        <v>4999</v>
      </c>
      <c r="Z158" s="163">
        <v>43997</v>
      </c>
      <c r="AA158" s="164" t="s">
        <v>264</v>
      </c>
      <c r="AB158" s="165">
        <v>44013</v>
      </c>
      <c r="AC158" s="166">
        <v>44013</v>
      </c>
      <c r="AF158" s="214" t="s">
        <v>9840</v>
      </c>
      <c r="AG158" s="215" t="s">
        <v>4999</v>
      </c>
      <c r="AH158" s="213" t="s">
        <v>9786</v>
      </c>
    </row>
    <row r="159" spans="1:35" s="209" customFormat="1" thickBot="1" x14ac:dyDescent="0.3">
      <c r="A159" s="221" t="str">
        <f t="shared" si="6"/>
        <v>OK</v>
      </c>
      <c r="B159" s="222" t="str">
        <f t="shared" si="7"/>
        <v>OK</v>
      </c>
      <c r="C159" s="223" t="str">
        <f t="shared" si="8"/>
        <v>OK</v>
      </c>
      <c r="D159" s="155">
        <v>0</v>
      </c>
      <c r="E159" s="156" t="s">
        <v>10039</v>
      </c>
      <c r="F159" s="157" t="s">
        <v>8322</v>
      </c>
      <c r="G159" s="157">
        <v>180899</v>
      </c>
      <c r="H159" s="157" t="s">
        <v>10040</v>
      </c>
      <c r="I159" s="157" t="s">
        <v>6820</v>
      </c>
      <c r="J159" s="157" t="s">
        <v>6829</v>
      </c>
      <c r="K159" s="157" t="s">
        <v>10041</v>
      </c>
      <c r="L159" s="157" t="s">
        <v>10042</v>
      </c>
      <c r="M159" s="157" t="s">
        <v>5529</v>
      </c>
      <c r="N159" s="158">
        <v>43997</v>
      </c>
      <c r="O159" s="157" t="s">
        <v>9350</v>
      </c>
      <c r="P159" s="158">
        <v>43998</v>
      </c>
      <c r="Q159" s="158">
        <v>43998</v>
      </c>
      <c r="R159" s="159">
        <v>43998</v>
      </c>
      <c r="S159" s="160" t="s">
        <v>9351</v>
      </c>
      <c r="T159" s="161" t="s">
        <v>9350</v>
      </c>
      <c r="U159" s="162">
        <v>43998</v>
      </c>
      <c r="V159" s="161" t="s">
        <v>7149</v>
      </c>
      <c r="W159" s="161">
        <v>2</v>
      </c>
      <c r="X159" s="161" t="s">
        <v>5683</v>
      </c>
      <c r="Y159" s="161" t="s">
        <v>4999</v>
      </c>
      <c r="Z159" s="163">
        <v>44005</v>
      </c>
      <c r="AA159" s="164" t="s">
        <v>264</v>
      </c>
      <c r="AB159" s="165">
        <v>44005</v>
      </c>
      <c r="AC159" s="166">
        <v>44005</v>
      </c>
      <c r="AF159" s="210"/>
      <c r="AG159" s="211" t="s">
        <v>4999</v>
      </c>
    </row>
    <row r="160" spans="1:35" s="209" customFormat="1" thickBot="1" x14ac:dyDescent="0.3">
      <c r="A160" s="221" t="str">
        <f t="shared" si="6"/>
        <v>OK</v>
      </c>
      <c r="B160" s="222" t="str">
        <f t="shared" si="7"/>
        <v>OK</v>
      </c>
      <c r="C160" s="223" t="str">
        <f t="shared" si="8"/>
        <v>OK</v>
      </c>
      <c r="D160" s="155">
        <v>0</v>
      </c>
      <c r="E160" s="156" t="s">
        <v>10043</v>
      </c>
      <c r="F160" s="169" t="s">
        <v>9396</v>
      </c>
      <c r="G160" s="157">
        <v>180843</v>
      </c>
      <c r="H160" s="157" t="s">
        <v>10044</v>
      </c>
      <c r="I160" s="157" t="s">
        <v>6820</v>
      </c>
      <c r="J160" s="157" t="s">
        <v>6829</v>
      </c>
      <c r="K160" s="157" t="s">
        <v>10045</v>
      </c>
      <c r="L160" s="157" t="s">
        <v>10046</v>
      </c>
      <c r="M160" s="157" t="s">
        <v>7516</v>
      </c>
      <c r="N160" s="158">
        <v>43958</v>
      </c>
      <c r="O160" s="157" t="s">
        <v>7729</v>
      </c>
      <c r="P160" s="158">
        <v>43958</v>
      </c>
      <c r="Q160" s="158">
        <v>43958</v>
      </c>
      <c r="R160" s="159">
        <v>43994</v>
      </c>
      <c r="S160" s="160" t="s">
        <v>9351</v>
      </c>
      <c r="T160" s="161" t="s">
        <v>9351</v>
      </c>
      <c r="U160" s="162">
        <v>44000</v>
      </c>
      <c r="V160" s="161" t="s">
        <v>2679</v>
      </c>
      <c r="W160" s="161">
        <v>10</v>
      </c>
      <c r="X160" s="161" t="s">
        <v>5683</v>
      </c>
      <c r="Y160" s="161" t="s">
        <v>4999</v>
      </c>
      <c r="Z160" s="163">
        <v>44007</v>
      </c>
      <c r="AA160" s="164" t="s">
        <v>264</v>
      </c>
      <c r="AB160" s="165">
        <v>44007</v>
      </c>
      <c r="AC160" s="166">
        <v>44007</v>
      </c>
      <c r="AF160" s="210"/>
      <c r="AG160" s="211" t="s">
        <v>4999</v>
      </c>
    </row>
    <row r="161" spans="1:35" s="209" customFormat="1" thickBot="1" x14ac:dyDescent="0.3">
      <c r="A161" s="221" t="str">
        <f t="shared" si="6"/>
        <v>OK</v>
      </c>
      <c r="B161" s="222" t="str">
        <f t="shared" si="7"/>
        <v>OK</v>
      </c>
      <c r="C161" s="223" t="str">
        <f t="shared" si="8"/>
        <v>OK</v>
      </c>
      <c r="D161" s="155">
        <v>0</v>
      </c>
      <c r="E161" s="156" t="s">
        <v>10047</v>
      </c>
      <c r="F161" s="157" t="s">
        <v>9653</v>
      </c>
      <c r="G161" s="157">
        <v>180906</v>
      </c>
      <c r="H161" s="157" t="s">
        <v>10048</v>
      </c>
      <c r="I161" s="157" t="s">
        <v>6820</v>
      </c>
      <c r="J161" s="157" t="s">
        <v>6829</v>
      </c>
      <c r="K161" s="157" t="s">
        <v>10049</v>
      </c>
      <c r="L161" s="202" t="s">
        <v>10050</v>
      </c>
      <c r="M161" s="157" t="s">
        <v>5083</v>
      </c>
      <c r="N161" s="158">
        <v>44000</v>
      </c>
      <c r="O161" s="157" t="s">
        <v>9350</v>
      </c>
      <c r="P161" s="158">
        <v>43999</v>
      </c>
      <c r="Q161" s="158">
        <v>43999</v>
      </c>
      <c r="R161" s="159">
        <v>43999</v>
      </c>
      <c r="S161" s="160" t="s">
        <v>9351</v>
      </c>
      <c r="T161" s="161" t="s">
        <v>9350</v>
      </c>
      <c r="U161" s="162">
        <v>44006</v>
      </c>
      <c r="V161" s="161" t="s">
        <v>10051</v>
      </c>
      <c r="W161" s="161">
        <v>3</v>
      </c>
      <c r="X161" s="161" t="s">
        <v>5683</v>
      </c>
      <c r="Y161" s="161" t="s">
        <v>4999</v>
      </c>
      <c r="Z161" s="163">
        <v>44007</v>
      </c>
      <c r="AA161" s="164" t="s">
        <v>264</v>
      </c>
      <c r="AB161" s="165">
        <v>44007</v>
      </c>
      <c r="AC161" s="166">
        <v>44007</v>
      </c>
      <c r="AF161" s="210"/>
      <c r="AG161" s="211" t="s">
        <v>4999</v>
      </c>
    </row>
    <row r="162" spans="1:35" s="209" customFormat="1" thickBot="1" x14ac:dyDescent="0.3">
      <c r="A162" s="221" t="str">
        <f t="shared" si="6"/>
        <v>OK</v>
      </c>
      <c r="B162" s="222" t="str">
        <f t="shared" si="7"/>
        <v>OK</v>
      </c>
      <c r="C162" s="223" t="str">
        <f t="shared" si="8"/>
        <v>OK</v>
      </c>
      <c r="D162" s="155">
        <v>0</v>
      </c>
      <c r="E162" s="156" t="s">
        <v>10052</v>
      </c>
      <c r="F162" s="169" t="s">
        <v>9396</v>
      </c>
      <c r="G162" s="157">
        <v>180843</v>
      </c>
      <c r="H162" s="157" t="s">
        <v>10053</v>
      </c>
      <c r="I162" s="157" t="s">
        <v>6820</v>
      </c>
      <c r="J162" s="157" t="s">
        <v>6829</v>
      </c>
      <c r="K162" s="157" t="s">
        <v>10054</v>
      </c>
      <c r="L162" s="157" t="s">
        <v>8401</v>
      </c>
      <c r="M162" s="157" t="s">
        <v>7516</v>
      </c>
      <c r="N162" s="158">
        <v>43958</v>
      </c>
      <c r="O162" s="157" t="s">
        <v>7729</v>
      </c>
      <c r="P162" s="158">
        <v>43958</v>
      </c>
      <c r="Q162" s="158">
        <v>43958</v>
      </c>
      <c r="R162" s="159">
        <v>43994</v>
      </c>
      <c r="S162" s="160" t="s">
        <v>9351</v>
      </c>
      <c r="T162" s="161" t="s">
        <v>9351</v>
      </c>
      <c r="U162" s="162">
        <v>44000</v>
      </c>
      <c r="V162" s="161" t="s">
        <v>5413</v>
      </c>
      <c r="W162" s="161">
        <v>1</v>
      </c>
      <c r="X162" s="161" t="s">
        <v>5683</v>
      </c>
      <c r="Y162" s="161" t="s">
        <v>4999</v>
      </c>
      <c r="Z162" s="163">
        <v>44007</v>
      </c>
      <c r="AA162" s="164" t="s">
        <v>264</v>
      </c>
      <c r="AB162" s="165">
        <v>44007</v>
      </c>
      <c r="AC162" s="166">
        <v>44007</v>
      </c>
      <c r="AF162" s="210"/>
      <c r="AG162" s="211" t="s">
        <v>4999</v>
      </c>
    </row>
    <row r="163" spans="1:35" s="209" customFormat="1" thickBot="1" x14ac:dyDescent="0.3">
      <c r="A163" s="221" t="str">
        <f t="shared" si="6"/>
        <v>OK</v>
      </c>
      <c r="B163" s="222" t="str">
        <f t="shared" si="7"/>
        <v>OK</v>
      </c>
      <c r="C163" s="223" t="str">
        <f t="shared" si="8"/>
        <v>OK</v>
      </c>
      <c r="D163" s="155">
        <v>0</v>
      </c>
      <c r="E163" s="156" t="s">
        <v>10055</v>
      </c>
      <c r="F163" s="169" t="s">
        <v>9396</v>
      </c>
      <c r="G163" s="157">
        <v>180843</v>
      </c>
      <c r="H163" s="157" t="s">
        <v>10056</v>
      </c>
      <c r="I163" s="157" t="s">
        <v>6820</v>
      </c>
      <c r="J163" s="157" t="s">
        <v>6829</v>
      </c>
      <c r="K163" s="202" t="s">
        <v>10057</v>
      </c>
      <c r="L163" s="157" t="s">
        <v>10058</v>
      </c>
      <c r="M163" s="157" t="s">
        <v>7516</v>
      </c>
      <c r="N163" s="158">
        <v>43958</v>
      </c>
      <c r="O163" s="157" t="s">
        <v>7729</v>
      </c>
      <c r="P163" s="158">
        <v>43958</v>
      </c>
      <c r="Q163" s="158">
        <v>43958</v>
      </c>
      <c r="R163" s="159">
        <v>43994</v>
      </c>
      <c r="S163" s="160" t="s">
        <v>9351</v>
      </c>
      <c r="T163" s="161" t="s">
        <v>9351</v>
      </c>
      <c r="U163" s="162">
        <v>44000</v>
      </c>
      <c r="V163" s="161" t="s">
        <v>10059</v>
      </c>
      <c r="W163" s="161">
        <v>3</v>
      </c>
      <c r="X163" s="161" t="s">
        <v>5683</v>
      </c>
      <c r="Y163" s="161" t="s">
        <v>4999</v>
      </c>
      <c r="Z163" s="163">
        <v>44005</v>
      </c>
      <c r="AA163" s="164" t="s">
        <v>264</v>
      </c>
      <c r="AB163" s="165">
        <v>44008</v>
      </c>
      <c r="AC163" s="166">
        <v>44008</v>
      </c>
      <c r="AF163" s="210"/>
      <c r="AG163" s="211" t="s">
        <v>4999</v>
      </c>
    </row>
    <row r="164" spans="1:35" s="209" customFormat="1" thickBot="1" x14ac:dyDescent="0.3">
      <c r="A164" s="221" t="str">
        <f t="shared" si="6"/>
        <v>OK</v>
      </c>
      <c r="B164" s="222" t="str">
        <f t="shared" si="7"/>
        <v>OK</v>
      </c>
      <c r="C164" s="223" t="str">
        <f t="shared" si="8"/>
        <v>OK</v>
      </c>
      <c r="D164" s="155">
        <v>0</v>
      </c>
      <c r="E164" s="156" t="s">
        <v>10060</v>
      </c>
      <c r="F164" s="169" t="s">
        <v>9396</v>
      </c>
      <c r="G164" s="157">
        <v>180901</v>
      </c>
      <c r="H164" s="157" t="s">
        <v>10061</v>
      </c>
      <c r="I164" s="157" t="s">
        <v>6820</v>
      </c>
      <c r="J164" s="157" t="s">
        <v>6829</v>
      </c>
      <c r="K164" s="157" t="s">
        <v>10062</v>
      </c>
      <c r="L164" s="157" t="s">
        <v>5026</v>
      </c>
      <c r="M164" s="157" t="s">
        <v>7516</v>
      </c>
      <c r="N164" s="158">
        <v>43999</v>
      </c>
      <c r="O164" s="157" t="s">
        <v>7729</v>
      </c>
      <c r="P164" s="158">
        <v>43999</v>
      </c>
      <c r="Q164" s="158">
        <v>43999</v>
      </c>
      <c r="R164" s="159">
        <v>44000</v>
      </c>
      <c r="S164" s="160" t="s">
        <v>7729</v>
      </c>
      <c r="T164" s="161" t="s">
        <v>9351</v>
      </c>
      <c r="U164" s="162">
        <v>44005</v>
      </c>
      <c r="V164" s="161" t="s">
        <v>5027</v>
      </c>
      <c r="W164" s="161">
        <v>1</v>
      </c>
      <c r="X164" s="161" t="s">
        <v>5683</v>
      </c>
      <c r="Y164" s="161" t="s">
        <v>4999</v>
      </c>
      <c r="Z164" s="163">
        <v>44007</v>
      </c>
      <c r="AA164" s="164" t="s">
        <v>264</v>
      </c>
      <c r="AB164" s="165">
        <v>44008</v>
      </c>
      <c r="AC164" s="166">
        <v>44008</v>
      </c>
      <c r="AF164" s="210"/>
      <c r="AG164" s="211" t="s">
        <v>4999</v>
      </c>
    </row>
    <row r="165" spans="1:35" s="209" customFormat="1" thickBot="1" x14ac:dyDescent="0.3">
      <c r="A165" s="221" t="str">
        <f t="shared" si="6"/>
        <v>OK</v>
      </c>
      <c r="B165" s="222" t="str">
        <f t="shared" si="7"/>
        <v>OK</v>
      </c>
      <c r="C165" s="223" t="str">
        <f t="shared" si="8"/>
        <v>OK</v>
      </c>
      <c r="D165" s="155">
        <v>0</v>
      </c>
      <c r="E165" s="156" t="s">
        <v>10063</v>
      </c>
      <c r="F165" s="169" t="s">
        <v>9396</v>
      </c>
      <c r="G165" s="157">
        <v>180902</v>
      </c>
      <c r="H165" s="157" t="s">
        <v>10064</v>
      </c>
      <c r="I165" s="157" t="s">
        <v>6820</v>
      </c>
      <c r="J165" s="157" t="s">
        <v>6829</v>
      </c>
      <c r="K165" s="157" t="s">
        <v>10065</v>
      </c>
      <c r="L165" s="157" t="s">
        <v>10066</v>
      </c>
      <c r="M165" s="157" t="s">
        <v>7516</v>
      </c>
      <c r="N165" s="158">
        <v>43999</v>
      </c>
      <c r="O165" s="157" t="s">
        <v>7729</v>
      </c>
      <c r="P165" s="158">
        <v>43999</v>
      </c>
      <c r="Q165" s="158">
        <v>43999</v>
      </c>
      <c r="R165" s="159">
        <v>44000</v>
      </c>
      <c r="S165" s="160" t="s">
        <v>7729</v>
      </c>
      <c r="T165" s="161" t="s">
        <v>9351</v>
      </c>
      <c r="U165" s="162">
        <v>44005</v>
      </c>
      <c r="V165" s="161" t="s">
        <v>8456</v>
      </c>
      <c r="W165" s="161">
        <v>2</v>
      </c>
      <c r="X165" s="161" t="s">
        <v>5683</v>
      </c>
      <c r="Y165" s="161" t="s">
        <v>4999</v>
      </c>
      <c r="Z165" s="163">
        <v>44006</v>
      </c>
      <c r="AA165" s="164" t="s">
        <v>264</v>
      </c>
      <c r="AB165" s="165">
        <v>44013</v>
      </c>
      <c r="AC165" s="166">
        <v>44013</v>
      </c>
      <c r="AF165" s="210"/>
      <c r="AG165" s="211" t="s">
        <v>4999</v>
      </c>
    </row>
    <row r="166" spans="1:35" s="209" customFormat="1" thickBot="1" x14ac:dyDescent="0.3">
      <c r="A166" s="221" t="str">
        <f t="shared" si="6"/>
        <v>OK</v>
      </c>
      <c r="B166" s="222" t="str">
        <f t="shared" si="7"/>
        <v>OK</v>
      </c>
      <c r="C166" s="223" t="str">
        <f t="shared" si="8"/>
        <v>OK</v>
      </c>
      <c r="D166" s="155">
        <v>0</v>
      </c>
      <c r="E166" s="156" t="s">
        <v>10067</v>
      </c>
      <c r="F166" s="169" t="s">
        <v>9396</v>
      </c>
      <c r="G166" s="157">
        <v>180903</v>
      </c>
      <c r="H166" s="157" t="s">
        <v>10068</v>
      </c>
      <c r="I166" s="157" t="s">
        <v>6820</v>
      </c>
      <c r="J166" s="157" t="s">
        <v>6829</v>
      </c>
      <c r="K166" s="157" t="s">
        <v>10069</v>
      </c>
      <c r="L166" s="157" t="s">
        <v>9407</v>
      </c>
      <c r="M166" s="157" t="s">
        <v>7516</v>
      </c>
      <c r="N166" s="158">
        <v>43999</v>
      </c>
      <c r="O166" s="157" t="s">
        <v>7729</v>
      </c>
      <c r="P166" s="158">
        <v>43999</v>
      </c>
      <c r="Q166" s="158">
        <v>43999</v>
      </c>
      <c r="R166" s="159">
        <v>44000</v>
      </c>
      <c r="S166" s="160" t="s">
        <v>9351</v>
      </c>
      <c r="T166" s="161" t="s">
        <v>9351</v>
      </c>
      <c r="U166" s="162">
        <v>44005</v>
      </c>
      <c r="V166" s="161" t="s">
        <v>10070</v>
      </c>
      <c r="W166" s="161">
        <v>2</v>
      </c>
      <c r="X166" s="161" t="s">
        <v>5683</v>
      </c>
      <c r="Y166" s="161" t="s">
        <v>4999</v>
      </c>
      <c r="Z166" s="163">
        <v>44007</v>
      </c>
      <c r="AA166" s="164" t="s">
        <v>264</v>
      </c>
      <c r="AB166" s="165">
        <v>44013</v>
      </c>
      <c r="AC166" s="166">
        <v>44013</v>
      </c>
      <c r="AF166" s="210"/>
      <c r="AG166" s="211" t="s">
        <v>4999</v>
      </c>
    </row>
    <row r="167" spans="1:35" s="209" customFormat="1" thickBot="1" x14ac:dyDescent="0.3">
      <c r="A167" s="221" t="str">
        <f t="shared" si="6"/>
        <v>OK</v>
      </c>
      <c r="B167" s="222" t="str">
        <f t="shared" si="7"/>
        <v>OK</v>
      </c>
      <c r="C167" s="223" t="str">
        <f t="shared" si="8"/>
        <v>OK</v>
      </c>
      <c r="D167" s="155">
        <v>0</v>
      </c>
      <c r="E167" s="156" t="s">
        <v>10071</v>
      </c>
      <c r="F167" s="169" t="s">
        <v>9396</v>
      </c>
      <c r="G167" s="157">
        <v>180904</v>
      </c>
      <c r="H167" s="157" t="s">
        <v>10072</v>
      </c>
      <c r="I167" s="157" t="s">
        <v>6820</v>
      </c>
      <c r="J167" s="157" t="s">
        <v>6829</v>
      </c>
      <c r="K167" s="157" t="s">
        <v>8878</v>
      </c>
      <c r="L167" s="157" t="s">
        <v>1739</v>
      </c>
      <c r="M167" s="157" t="s">
        <v>7516</v>
      </c>
      <c r="N167" s="158">
        <v>43999</v>
      </c>
      <c r="O167" s="157" t="s">
        <v>7729</v>
      </c>
      <c r="P167" s="158">
        <v>43999</v>
      </c>
      <c r="Q167" s="158">
        <v>43999</v>
      </c>
      <c r="R167" s="159">
        <v>44000</v>
      </c>
      <c r="S167" s="160" t="s">
        <v>9351</v>
      </c>
      <c r="T167" s="161" t="s">
        <v>9351</v>
      </c>
      <c r="U167" s="162">
        <v>44005</v>
      </c>
      <c r="V167" s="161" t="s">
        <v>10073</v>
      </c>
      <c r="W167" s="161">
        <v>2</v>
      </c>
      <c r="X167" s="161" t="s">
        <v>5683</v>
      </c>
      <c r="Y167" s="161" t="s">
        <v>4999</v>
      </c>
      <c r="Z167" s="163">
        <v>44007</v>
      </c>
      <c r="AA167" s="164" t="s">
        <v>264</v>
      </c>
      <c r="AB167" s="165">
        <v>44013</v>
      </c>
      <c r="AC167" s="166">
        <v>44013</v>
      </c>
      <c r="AF167" s="210"/>
      <c r="AG167" s="211" t="s">
        <v>4999</v>
      </c>
    </row>
    <row r="168" spans="1:35" s="209" customFormat="1" thickBot="1" x14ac:dyDescent="0.3">
      <c r="A168" s="221" t="str">
        <f t="shared" si="6"/>
        <v>OK</v>
      </c>
      <c r="B168" s="222" t="str">
        <f t="shared" si="7"/>
        <v>OK</v>
      </c>
      <c r="C168" s="223" t="str">
        <f t="shared" si="8"/>
        <v>OK</v>
      </c>
      <c r="D168" s="155">
        <v>0</v>
      </c>
      <c r="E168" s="156" t="s">
        <v>10074</v>
      </c>
      <c r="F168" s="157" t="s">
        <v>9172</v>
      </c>
      <c r="G168" s="157">
        <v>180908</v>
      </c>
      <c r="H168" s="157" t="s">
        <v>10075</v>
      </c>
      <c r="I168" s="157" t="s">
        <v>6820</v>
      </c>
      <c r="J168" s="157" t="s">
        <v>6829</v>
      </c>
      <c r="K168" s="157" t="s">
        <v>5667</v>
      </c>
      <c r="L168" s="202" t="s">
        <v>10076</v>
      </c>
      <c r="M168" s="202" t="s">
        <v>8944</v>
      </c>
      <c r="N168" s="158">
        <v>44000</v>
      </c>
      <c r="O168" s="157" t="s">
        <v>7729</v>
      </c>
      <c r="P168" s="158">
        <v>44001</v>
      </c>
      <c r="Q168" s="158">
        <v>44001</v>
      </c>
      <c r="R168" s="159">
        <v>44001</v>
      </c>
      <c r="S168" s="160" t="s">
        <v>7729</v>
      </c>
      <c r="T168" s="161" t="s">
        <v>9351</v>
      </c>
      <c r="U168" s="162">
        <v>44005</v>
      </c>
      <c r="V168" s="161" t="s">
        <v>2731</v>
      </c>
      <c r="W168" s="161">
        <v>2</v>
      </c>
      <c r="X168" s="161" t="s">
        <v>5683</v>
      </c>
      <c r="Y168" s="161" t="s">
        <v>4999</v>
      </c>
      <c r="Z168" s="163">
        <v>44005</v>
      </c>
      <c r="AA168" s="164" t="s">
        <v>264</v>
      </c>
      <c r="AB168" s="165">
        <v>44006</v>
      </c>
      <c r="AC168" s="166">
        <v>44006</v>
      </c>
      <c r="AF168" s="210"/>
      <c r="AG168" s="211" t="s">
        <v>4999</v>
      </c>
    </row>
    <row r="169" spans="1:35" s="209" customFormat="1" thickBot="1" x14ac:dyDescent="0.3">
      <c r="A169" s="221" t="str">
        <f t="shared" si="6"/>
        <v>OK</v>
      </c>
      <c r="B169" s="222" t="str">
        <f t="shared" si="7"/>
        <v>OK</v>
      </c>
      <c r="C169" s="223" t="str">
        <f t="shared" si="8"/>
        <v>OK</v>
      </c>
      <c r="D169" s="155">
        <v>0</v>
      </c>
      <c r="E169" s="156" t="s">
        <v>10077</v>
      </c>
      <c r="F169" s="157" t="s">
        <v>8322</v>
      </c>
      <c r="G169" s="157">
        <v>180746</v>
      </c>
      <c r="H169" s="157" t="s">
        <v>10078</v>
      </c>
      <c r="I169" s="157" t="s">
        <v>6820</v>
      </c>
      <c r="J169" s="157" t="s">
        <v>6829</v>
      </c>
      <c r="K169" s="157" t="s">
        <v>10079</v>
      </c>
      <c r="L169" s="157" t="s">
        <v>5613</v>
      </c>
      <c r="M169" s="157" t="s">
        <v>2572</v>
      </c>
      <c r="N169" s="158">
        <v>43873</v>
      </c>
      <c r="O169" s="157" t="s">
        <v>9350</v>
      </c>
      <c r="P169" s="158">
        <v>43873</v>
      </c>
      <c r="Q169" s="158">
        <v>43873</v>
      </c>
      <c r="R169" s="159">
        <v>43889</v>
      </c>
      <c r="S169" s="160" t="s">
        <v>9351</v>
      </c>
      <c r="T169" s="161" t="s">
        <v>9350</v>
      </c>
      <c r="U169" s="162">
        <v>44035</v>
      </c>
      <c r="V169" s="161" t="s">
        <v>10080</v>
      </c>
      <c r="W169" s="161">
        <v>12</v>
      </c>
      <c r="X169" s="161" t="s">
        <v>5683</v>
      </c>
      <c r="Y169" s="161" t="s">
        <v>4999</v>
      </c>
      <c r="Z169" s="163">
        <v>44039</v>
      </c>
      <c r="AA169" s="164" t="s">
        <v>264</v>
      </c>
      <c r="AB169" s="165">
        <v>44039</v>
      </c>
      <c r="AC169" s="166">
        <v>44039</v>
      </c>
      <c r="AF169" s="214" t="s">
        <v>9840</v>
      </c>
      <c r="AG169" s="211"/>
      <c r="AH169" s="213" t="s">
        <v>9786</v>
      </c>
    </row>
    <row r="170" spans="1:35" s="209" customFormat="1" thickBot="1" x14ac:dyDescent="0.3">
      <c r="A170" s="221" t="str">
        <f t="shared" si="6"/>
        <v>OK</v>
      </c>
      <c r="B170" s="222" t="str">
        <f t="shared" si="7"/>
        <v>OK</v>
      </c>
      <c r="C170" s="223" t="str">
        <f t="shared" si="8"/>
        <v>OK</v>
      </c>
      <c r="D170" s="167">
        <v>0</v>
      </c>
      <c r="E170" s="168" t="s">
        <v>10081</v>
      </c>
      <c r="F170" s="169" t="s">
        <v>9024</v>
      </c>
      <c r="G170" s="169">
        <v>180907</v>
      </c>
      <c r="H170" s="169" t="s">
        <v>10082</v>
      </c>
      <c r="I170" s="169" t="s">
        <v>6820</v>
      </c>
      <c r="J170" s="169" t="s">
        <v>6829</v>
      </c>
      <c r="K170" s="169" t="s">
        <v>10083</v>
      </c>
      <c r="L170" s="169" t="s">
        <v>10084</v>
      </c>
      <c r="M170" s="169" t="s">
        <v>10085</v>
      </c>
      <c r="N170" s="170">
        <v>43999</v>
      </c>
      <c r="O170" s="169" t="s">
        <v>9350</v>
      </c>
      <c r="P170" s="170">
        <v>43999</v>
      </c>
      <c r="Q170" s="170">
        <v>44000</v>
      </c>
      <c r="R170" s="178">
        <v>44004</v>
      </c>
      <c r="S170" s="171" t="s">
        <v>9351</v>
      </c>
      <c r="T170" s="172" t="s">
        <v>9694</v>
      </c>
      <c r="U170" s="173">
        <v>44008</v>
      </c>
      <c r="V170" s="172" t="s">
        <v>10086</v>
      </c>
      <c r="W170" s="172">
        <v>1</v>
      </c>
      <c r="X170" s="172" t="s">
        <v>5683</v>
      </c>
      <c r="Y170" s="172" t="s">
        <v>4999</v>
      </c>
      <c r="Z170" s="174">
        <v>44014</v>
      </c>
      <c r="AA170" s="175" t="s">
        <v>264</v>
      </c>
      <c r="AB170" s="176">
        <v>44028</v>
      </c>
      <c r="AC170" s="177">
        <v>44028</v>
      </c>
      <c r="AD170" s="213"/>
      <c r="AE170" s="213"/>
      <c r="AF170" s="214" t="s">
        <v>9840</v>
      </c>
      <c r="AG170" s="215" t="s">
        <v>4999</v>
      </c>
      <c r="AH170" s="212" t="s">
        <v>10087</v>
      </c>
      <c r="AI170" s="213"/>
    </row>
    <row r="171" spans="1:35" s="213" customFormat="1" thickBot="1" x14ac:dyDescent="0.3">
      <c r="A171" s="221" t="str">
        <f t="shared" si="6"/>
        <v>OK</v>
      </c>
      <c r="B171" s="222" t="str">
        <f t="shared" si="7"/>
        <v>OK</v>
      </c>
      <c r="C171" s="223" t="str">
        <f t="shared" si="8"/>
        <v>OK</v>
      </c>
      <c r="D171" s="155">
        <v>0</v>
      </c>
      <c r="E171" s="156" t="s">
        <v>10088</v>
      </c>
      <c r="F171" s="169" t="s">
        <v>9396</v>
      </c>
      <c r="G171" s="157">
        <v>180911</v>
      </c>
      <c r="H171" s="157" t="s">
        <v>10089</v>
      </c>
      <c r="I171" s="157" t="s">
        <v>6820</v>
      </c>
      <c r="J171" s="157" t="s">
        <v>6829</v>
      </c>
      <c r="K171" s="157" t="s">
        <v>10090</v>
      </c>
      <c r="L171" s="157" t="s">
        <v>8886</v>
      </c>
      <c r="M171" s="157" t="s">
        <v>7516</v>
      </c>
      <c r="N171" s="158">
        <v>44006</v>
      </c>
      <c r="O171" s="157" t="s">
        <v>7729</v>
      </c>
      <c r="P171" s="158">
        <v>44006</v>
      </c>
      <c r="Q171" s="158">
        <v>44006</v>
      </c>
      <c r="R171" s="159">
        <v>44008</v>
      </c>
      <c r="S171" s="160" t="s">
        <v>9351</v>
      </c>
      <c r="T171" s="161" t="s">
        <v>7729</v>
      </c>
      <c r="U171" s="162">
        <v>44019</v>
      </c>
      <c r="V171" s="161" t="s">
        <v>10091</v>
      </c>
      <c r="W171" s="161">
        <v>1</v>
      </c>
      <c r="X171" s="161" t="s">
        <v>5683</v>
      </c>
      <c r="Y171" s="161" t="s">
        <v>4999</v>
      </c>
      <c r="Z171" s="163">
        <v>44025</v>
      </c>
      <c r="AA171" s="164" t="s">
        <v>264</v>
      </c>
      <c r="AB171" s="165">
        <v>44027</v>
      </c>
      <c r="AC171" s="166">
        <v>44027</v>
      </c>
      <c r="AD171" s="209"/>
      <c r="AE171" s="209"/>
      <c r="AF171" s="214" t="s">
        <v>9840</v>
      </c>
      <c r="AG171" s="211" t="s">
        <v>4999</v>
      </c>
      <c r="AH171" s="213" t="s">
        <v>9786</v>
      </c>
      <c r="AI171" s="209"/>
    </row>
    <row r="172" spans="1:35" s="209" customFormat="1" thickBot="1" x14ac:dyDescent="0.3">
      <c r="A172" s="221" t="str">
        <f t="shared" si="6"/>
        <v>OK</v>
      </c>
      <c r="B172" s="222" t="str">
        <f t="shared" si="7"/>
        <v>OK</v>
      </c>
      <c r="C172" s="223" t="str">
        <f t="shared" si="8"/>
        <v>OK</v>
      </c>
      <c r="D172" s="167">
        <v>1</v>
      </c>
      <c r="E172" s="168" t="s">
        <v>10092</v>
      </c>
      <c r="F172" s="169" t="s">
        <v>8037</v>
      </c>
      <c r="G172" s="169">
        <v>180915</v>
      </c>
      <c r="H172" s="169" t="s">
        <v>10093</v>
      </c>
      <c r="I172" s="169" t="s">
        <v>6820</v>
      </c>
      <c r="J172" s="169" t="s">
        <v>6829</v>
      </c>
      <c r="K172" s="169" t="s">
        <v>10094</v>
      </c>
      <c r="L172" s="169" t="s">
        <v>5600</v>
      </c>
      <c r="M172" s="169" t="s">
        <v>5529</v>
      </c>
      <c r="N172" s="170">
        <v>44006</v>
      </c>
      <c r="O172" s="169" t="s">
        <v>9350</v>
      </c>
      <c r="P172" s="170">
        <v>44006</v>
      </c>
      <c r="Q172" s="170">
        <v>44008</v>
      </c>
      <c r="R172" s="178">
        <v>44008</v>
      </c>
      <c r="S172" s="171" t="s">
        <v>9694</v>
      </c>
      <c r="T172" s="172" t="s">
        <v>9350</v>
      </c>
      <c r="U172" s="173">
        <v>44029</v>
      </c>
      <c r="V172" s="172" t="s">
        <v>10095</v>
      </c>
      <c r="W172" s="172">
        <v>15</v>
      </c>
      <c r="X172" s="172" t="s">
        <v>5683</v>
      </c>
      <c r="Y172" s="172" t="s">
        <v>4999</v>
      </c>
      <c r="Z172" s="163">
        <v>44048</v>
      </c>
      <c r="AA172" s="164" t="s">
        <v>264</v>
      </c>
      <c r="AB172" s="165">
        <v>44048</v>
      </c>
      <c r="AC172" s="166">
        <v>44048</v>
      </c>
      <c r="AF172" s="210" t="s">
        <v>5683</v>
      </c>
      <c r="AG172" s="211" t="s">
        <v>4999</v>
      </c>
      <c r="AH172" s="213" t="s">
        <v>9786</v>
      </c>
      <c r="AI172" s="213"/>
    </row>
    <row r="173" spans="1:35" s="213" customFormat="1" thickBot="1" x14ac:dyDescent="0.3">
      <c r="A173" s="221" t="str">
        <f t="shared" si="6"/>
        <v>OK</v>
      </c>
      <c r="B173" s="222" t="str">
        <f t="shared" si="7"/>
        <v>OK</v>
      </c>
      <c r="C173" s="223" t="str">
        <f t="shared" si="8"/>
        <v>OK</v>
      </c>
      <c r="D173" s="167">
        <v>0</v>
      </c>
      <c r="E173" s="168" t="s">
        <v>10092</v>
      </c>
      <c r="F173" s="169" t="s">
        <v>8037</v>
      </c>
      <c r="G173" s="169">
        <v>180915</v>
      </c>
      <c r="H173" s="169" t="s">
        <v>10096</v>
      </c>
      <c r="I173" s="169" t="s">
        <v>6820</v>
      </c>
      <c r="J173" s="169" t="s">
        <v>6829</v>
      </c>
      <c r="K173" s="169" t="s">
        <v>10094</v>
      </c>
      <c r="L173" s="169" t="s">
        <v>5600</v>
      </c>
      <c r="M173" s="169" t="s">
        <v>5529</v>
      </c>
      <c r="N173" s="170">
        <v>44006</v>
      </c>
      <c r="O173" s="169" t="s">
        <v>9350</v>
      </c>
      <c r="P173" s="170">
        <v>44006</v>
      </c>
      <c r="Q173" s="170">
        <v>44008</v>
      </c>
      <c r="R173" s="178">
        <v>44008</v>
      </c>
      <c r="S173" s="171" t="s">
        <v>9909</v>
      </c>
      <c r="T173" s="172" t="s">
        <v>9350</v>
      </c>
      <c r="U173" s="173">
        <v>44029</v>
      </c>
      <c r="V173" s="172" t="s">
        <v>10095</v>
      </c>
      <c r="W173" s="172">
        <v>15</v>
      </c>
      <c r="X173" s="172" t="s">
        <v>5683</v>
      </c>
      <c r="Y173" s="172" t="s">
        <v>4999</v>
      </c>
      <c r="Z173" s="174">
        <v>44039</v>
      </c>
      <c r="AA173" s="175" t="s">
        <v>264</v>
      </c>
      <c r="AB173" s="176">
        <v>44039</v>
      </c>
      <c r="AC173" s="177">
        <v>44039</v>
      </c>
      <c r="AF173" s="214" t="s">
        <v>9840</v>
      </c>
      <c r="AG173" s="215"/>
      <c r="AH173" s="213" t="s">
        <v>9786</v>
      </c>
    </row>
    <row r="174" spans="1:35" s="213" customFormat="1" thickBot="1" x14ac:dyDescent="0.3">
      <c r="A174" s="221" t="str">
        <f t="shared" si="6"/>
        <v>OK</v>
      </c>
      <c r="B174" s="222" t="str">
        <f t="shared" si="7"/>
        <v>OK</v>
      </c>
      <c r="C174" s="223" t="str">
        <f t="shared" si="8"/>
        <v>OK</v>
      </c>
      <c r="D174" s="167">
        <v>1</v>
      </c>
      <c r="E174" s="168" t="s">
        <v>10097</v>
      </c>
      <c r="F174" s="169" t="s">
        <v>10098</v>
      </c>
      <c r="G174" s="169">
        <v>180916</v>
      </c>
      <c r="H174" s="169" t="s">
        <v>10099</v>
      </c>
      <c r="I174" s="169" t="s">
        <v>6820</v>
      </c>
      <c r="J174" s="169" t="s">
        <v>6829</v>
      </c>
      <c r="K174" s="169" t="s">
        <v>10100</v>
      </c>
      <c r="L174" s="169" t="s">
        <v>5600</v>
      </c>
      <c r="M174" s="169" t="s">
        <v>5529</v>
      </c>
      <c r="N174" s="170">
        <v>44006</v>
      </c>
      <c r="O174" s="169" t="s">
        <v>9350</v>
      </c>
      <c r="P174" s="170">
        <v>44006</v>
      </c>
      <c r="Q174" s="170">
        <v>44008</v>
      </c>
      <c r="R174" s="178">
        <v>44008</v>
      </c>
      <c r="S174" s="171" t="s">
        <v>9694</v>
      </c>
      <c r="T174" s="172" t="s">
        <v>9350</v>
      </c>
      <c r="U174" s="173">
        <v>44029</v>
      </c>
      <c r="V174" s="172" t="s">
        <v>10095</v>
      </c>
      <c r="W174" s="172">
        <v>15</v>
      </c>
      <c r="X174" s="172" t="s">
        <v>5683</v>
      </c>
      <c r="Y174" s="172" t="s">
        <v>4999</v>
      </c>
      <c r="Z174" s="163">
        <v>44048</v>
      </c>
      <c r="AA174" s="164" t="s">
        <v>264</v>
      </c>
      <c r="AB174" s="165">
        <v>44048</v>
      </c>
      <c r="AC174" s="166">
        <v>44048</v>
      </c>
      <c r="AD174" s="209"/>
      <c r="AE174" s="209"/>
      <c r="AF174" s="210" t="s">
        <v>5683</v>
      </c>
      <c r="AG174" s="211" t="s">
        <v>4999</v>
      </c>
      <c r="AH174" s="213" t="s">
        <v>9786</v>
      </c>
    </row>
    <row r="175" spans="1:35" s="213" customFormat="1" thickBot="1" x14ac:dyDescent="0.3">
      <c r="A175" s="221" t="str">
        <f t="shared" si="6"/>
        <v>OK</v>
      </c>
      <c r="B175" s="222" t="str">
        <f t="shared" si="7"/>
        <v>OK</v>
      </c>
      <c r="C175" s="223" t="str">
        <f t="shared" si="8"/>
        <v>OK</v>
      </c>
      <c r="D175" s="167">
        <v>0</v>
      </c>
      <c r="E175" s="168" t="s">
        <v>10097</v>
      </c>
      <c r="F175" s="169" t="s">
        <v>10098</v>
      </c>
      <c r="G175" s="169">
        <v>180916</v>
      </c>
      <c r="H175" s="169" t="s">
        <v>10101</v>
      </c>
      <c r="I175" s="169" t="s">
        <v>6820</v>
      </c>
      <c r="J175" s="169" t="s">
        <v>6829</v>
      </c>
      <c r="K175" s="169" t="s">
        <v>10100</v>
      </c>
      <c r="L175" s="169" t="s">
        <v>5600</v>
      </c>
      <c r="M175" s="169" t="s">
        <v>5529</v>
      </c>
      <c r="N175" s="170">
        <v>44006</v>
      </c>
      <c r="O175" s="169" t="s">
        <v>9350</v>
      </c>
      <c r="P175" s="170">
        <v>44006</v>
      </c>
      <c r="Q175" s="170">
        <v>44008</v>
      </c>
      <c r="R175" s="178">
        <v>44008</v>
      </c>
      <c r="S175" s="171" t="s">
        <v>9909</v>
      </c>
      <c r="T175" s="172" t="s">
        <v>9350</v>
      </c>
      <c r="U175" s="173">
        <v>44029</v>
      </c>
      <c r="V175" s="172" t="s">
        <v>10095</v>
      </c>
      <c r="W175" s="172">
        <v>15</v>
      </c>
      <c r="X175" s="172" t="s">
        <v>5683</v>
      </c>
      <c r="Y175" s="172" t="s">
        <v>4999</v>
      </c>
      <c r="Z175" s="174">
        <v>44039</v>
      </c>
      <c r="AA175" s="175" t="s">
        <v>264</v>
      </c>
      <c r="AB175" s="176">
        <v>44039</v>
      </c>
      <c r="AC175" s="177">
        <v>44039</v>
      </c>
      <c r="AF175" s="214" t="s">
        <v>9840</v>
      </c>
      <c r="AG175" s="215"/>
      <c r="AH175" s="213" t="s">
        <v>9786</v>
      </c>
    </row>
    <row r="176" spans="1:35" s="213" customFormat="1" thickBot="1" x14ac:dyDescent="0.3">
      <c r="A176" s="221" t="str">
        <f t="shared" si="6"/>
        <v>OK</v>
      </c>
      <c r="B176" s="222" t="str">
        <f t="shared" si="7"/>
        <v>OK</v>
      </c>
      <c r="C176" s="223" t="str">
        <f t="shared" si="8"/>
        <v>OK</v>
      </c>
      <c r="D176" s="167">
        <v>0</v>
      </c>
      <c r="E176" s="168" t="s">
        <v>10102</v>
      </c>
      <c r="F176" s="169" t="s">
        <v>9024</v>
      </c>
      <c r="G176" s="169">
        <v>180921</v>
      </c>
      <c r="H176" s="169" t="s">
        <v>10103</v>
      </c>
      <c r="I176" s="169" t="s">
        <v>6820</v>
      </c>
      <c r="J176" s="169" t="s">
        <v>6829</v>
      </c>
      <c r="K176" s="169" t="s">
        <v>9942</v>
      </c>
      <c r="L176" s="169" t="s">
        <v>9384</v>
      </c>
      <c r="M176" s="169" t="s">
        <v>2504</v>
      </c>
      <c r="N176" s="170">
        <v>44012</v>
      </c>
      <c r="O176" s="169" t="s">
        <v>9350</v>
      </c>
      <c r="P176" s="170">
        <v>44012</v>
      </c>
      <c r="Q176" s="170">
        <v>44012</v>
      </c>
      <c r="R176" s="178">
        <v>44013</v>
      </c>
      <c r="S176" s="171" t="s">
        <v>9351</v>
      </c>
      <c r="T176" s="172" t="s">
        <v>9350</v>
      </c>
      <c r="U176" s="173">
        <v>44022</v>
      </c>
      <c r="V176" s="172" t="s">
        <v>10104</v>
      </c>
      <c r="W176" s="172">
        <v>1</v>
      </c>
      <c r="X176" s="172" t="s">
        <v>5683</v>
      </c>
      <c r="Y176" s="172" t="s">
        <v>4999</v>
      </c>
      <c r="Z176" s="174">
        <v>44032</v>
      </c>
      <c r="AA176" s="175" t="s">
        <v>264</v>
      </c>
      <c r="AB176" s="176">
        <v>44033</v>
      </c>
      <c r="AC176" s="177">
        <v>44033</v>
      </c>
      <c r="AF176" s="214" t="s">
        <v>9840</v>
      </c>
      <c r="AG176" s="215" t="s">
        <v>4999</v>
      </c>
      <c r="AH176" s="213" t="s">
        <v>9786</v>
      </c>
    </row>
    <row r="177" spans="1:35" s="213" customFormat="1" thickBot="1" x14ac:dyDescent="0.3">
      <c r="A177" s="221" t="str">
        <f t="shared" si="6"/>
        <v>OK</v>
      </c>
      <c r="B177" s="222" t="str">
        <f t="shared" si="7"/>
        <v>OK</v>
      </c>
      <c r="C177" s="223" t="str">
        <f t="shared" si="8"/>
        <v>OK</v>
      </c>
      <c r="D177" s="167">
        <v>0</v>
      </c>
      <c r="E177" s="168" t="s">
        <v>10105</v>
      </c>
      <c r="F177" s="169" t="s">
        <v>9396</v>
      </c>
      <c r="G177" s="169">
        <v>180919</v>
      </c>
      <c r="H177" s="169" t="s">
        <v>10106</v>
      </c>
      <c r="I177" s="169" t="s">
        <v>6820</v>
      </c>
      <c r="J177" s="169" t="s">
        <v>6829</v>
      </c>
      <c r="K177" s="169" t="s">
        <v>10107</v>
      </c>
      <c r="L177" s="169" t="s">
        <v>3862</v>
      </c>
      <c r="M177" s="169" t="s">
        <v>7516</v>
      </c>
      <c r="N177" s="170">
        <v>44011</v>
      </c>
      <c r="O177" s="169" t="s">
        <v>7729</v>
      </c>
      <c r="P177" s="170">
        <v>44011</v>
      </c>
      <c r="Q177" s="170">
        <v>44011</v>
      </c>
      <c r="R177" s="178">
        <v>44013</v>
      </c>
      <c r="S177" s="171" t="s">
        <v>9351</v>
      </c>
      <c r="T177" s="172" t="s">
        <v>7729</v>
      </c>
      <c r="U177" s="173">
        <v>44019</v>
      </c>
      <c r="V177" s="172" t="s">
        <v>2138</v>
      </c>
      <c r="W177" s="172">
        <v>4</v>
      </c>
      <c r="X177" s="172" t="s">
        <v>5683</v>
      </c>
      <c r="Y177" s="172" t="s">
        <v>4999</v>
      </c>
      <c r="Z177" s="174">
        <v>44025</v>
      </c>
      <c r="AA177" s="175" t="s">
        <v>264</v>
      </c>
      <c r="AB177" s="176">
        <v>44025</v>
      </c>
      <c r="AC177" s="177">
        <v>44025</v>
      </c>
      <c r="AF177" s="214" t="s">
        <v>9840</v>
      </c>
      <c r="AG177" s="215" t="s">
        <v>4999</v>
      </c>
      <c r="AH177" s="213" t="s">
        <v>9786</v>
      </c>
    </row>
    <row r="178" spans="1:35" s="213" customFormat="1" thickBot="1" x14ac:dyDescent="0.3">
      <c r="A178" s="221" t="str">
        <f t="shared" si="6"/>
        <v>OK</v>
      </c>
      <c r="B178" s="222" t="str">
        <f t="shared" si="7"/>
        <v>OK</v>
      </c>
      <c r="C178" s="223" t="str">
        <f t="shared" si="8"/>
        <v>OK</v>
      </c>
      <c r="D178" s="167">
        <v>0</v>
      </c>
      <c r="E178" s="168" t="s">
        <v>10108</v>
      </c>
      <c r="F178" s="169" t="s">
        <v>5652</v>
      </c>
      <c r="G178" s="169">
        <v>180925</v>
      </c>
      <c r="H178" s="169" t="s">
        <v>10109</v>
      </c>
      <c r="I178" s="169" t="s">
        <v>6820</v>
      </c>
      <c r="J178" s="169" t="s">
        <v>6829</v>
      </c>
      <c r="K178" s="169" t="s">
        <v>10110</v>
      </c>
      <c r="L178" s="169" t="s">
        <v>10111</v>
      </c>
      <c r="M178" s="169" t="s">
        <v>127</v>
      </c>
      <c r="N178" s="170">
        <v>44014</v>
      </c>
      <c r="O178" s="169" t="s">
        <v>7729</v>
      </c>
      <c r="P178" s="170">
        <v>44014</v>
      </c>
      <c r="Q178" s="170">
        <v>44014</v>
      </c>
      <c r="R178" s="178">
        <v>44014</v>
      </c>
      <c r="S178" s="171" t="s">
        <v>9351</v>
      </c>
      <c r="T178" s="172" t="s">
        <v>7729</v>
      </c>
      <c r="U178" s="173">
        <v>44015</v>
      </c>
      <c r="V178" s="172" t="s">
        <v>10112</v>
      </c>
      <c r="W178" s="172">
        <v>10</v>
      </c>
      <c r="X178" s="172" t="s">
        <v>5683</v>
      </c>
      <c r="Y178" s="172" t="s">
        <v>4999</v>
      </c>
      <c r="Z178" s="174">
        <v>44015</v>
      </c>
      <c r="AA178" s="175" t="s">
        <v>264</v>
      </c>
      <c r="AB178" s="176">
        <v>44019</v>
      </c>
      <c r="AC178" s="177">
        <v>44019</v>
      </c>
      <c r="AF178" s="214" t="s">
        <v>9840</v>
      </c>
      <c r="AG178" s="215" t="s">
        <v>4999</v>
      </c>
      <c r="AH178" s="213" t="s">
        <v>9786</v>
      </c>
    </row>
    <row r="179" spans="1:35" s="213" customFormat="1" thickBot="1" x14ac:dyDescent="0.3">
      <c r="A179" s="221" t="str">
        <f t="shared" si="6"/>
        <v>OK</v>
      </c>
      <c r="B179" s="222" t="str">
        <f t="shared" si="7"/>
        <v>OK</v>
      </c>
      <c r="C179" s="223" t="str">
        <f t="shared" si="8"/>
        <v>OK</v>
      </c>
      <c r="D179" s="155">
        <v>0</v>
      </c>
      <c r="E179" s="156" t="s">
        <v>10113</v>
      </c>
      <c r="F179" s="157" t="s">
        <v>9580</v>
      </c>
      <c r="G179" s="157">
        <v>180927</v>
      </c>
      <c r="H179" s="157" t="s">
        <v>10114</v>
      </c>
      <c r="I179" s="157" t="s">
        <v>6820</v>
      </c>
      <c r="J179" s="157" t="s">
        <v>6829</v>
      </c>
      <c r="K179" s="157" t="s">
        <v>10115</v>
      </c>
      <c r="L179" s="157" t="s">
        <v>10116</v>
      </c>
      <c r="M179" s="157" t="s">
        <v>10117</v>
      </c>
      <c r="N179" s="158">
        <v>44014</v>
      </c>
      <c r="O179" s="157" t="s">
        <v>9350</v>
      </c>
      <c r="P179" s="158">
        <v>44014</v>
      </c>
      <c r="Q179" s="158">
        <v>44015</v>
      </c>
      <c r="R179" s="159">
        <v>44014</v>
      </c>
      <c r="S179" s="160" t="s">
        <v>9909</v>
      </c>
      <c r="T179" s="161" t="s">
        <v>9351</v>
      </c>
      <c r="U179" s="173">
        <v>44020</v>
      </c>
      <c r="V179" s="161" t="s">
        <v>10118</v>
      </c>
      <c r="W179" s="161">
        <v>3</v>
      </c>
      <c r="X179" s="172" t="s">
        <v>5683</v>
      </c>
      <c r="Y179" s="161" t="s">
        <v>4999</v>
      </c>
      <c r="Z179" s="174">
        <v>44048</v>
      </c>
      <c r="AA179" s="164" t="s">
        <v>264</v>
      </c>
      <c r="AB179" s="165">
        <v>44048</v>
      </c>
      <c r="AC179" s="166">
        <v>44048</v>
      </c>
      <c r="AD179" s="209"/>
      <c r="AE179" s="209"/>
      <c r="AF179" s="210"/>
      <c r="AG179" s="211"/>
      <c r="AH179" s="209"/>
      <c r="AI179" s="209"/>
    </row>
    <row r="180" spans="1:35" s="209" customFormat="1" thickBot="1" x14ac:dyDescent="0.3">
      <c r="A180" s="221" t="str">
        <f t="shared" si="6"/>
        <v>OK</v>
      </c>
      <c r="B180" s="222" t="str">
        <f t="shared" si="7"/>
        <v>OK</v>
      </c>
      <c r="C180" s="223" t="str">
        <f t="shared" si="8"/>
        <v>OK</v>
      </c>
      <c r="D180" s="155">
        <v>0</v>
      </c>
      <c r="E180" s="156" t="s">
        <v>10119</v>
      </c>
      <c r="F180" s="157" t="s">
        <v>6169</v>
      </c>
      <c r="G180" s="157">
        <v>180893</v>
      </c>
      <c r="H180" s="157" t="s">
        <v>10120</v>
      </c>
      <c r="I180" s="157" t="s">
        <v>6820</v>
      </c>
      <c r="J180" s="157" t="s">
        <v>6829</v>
      </c>
      <c r="K180" s="157" t="s">
        <v>10121</v>
      </c>
      <c r="L180" s="157" t="s">
        <v>10122</v>
      </c>
      <c r="M180" s="157" t="s">
        <v>1684</v>
      </c>
      <c r="N180" s="158">
        <v>43992</v>
      </c>
      <c r="O180" s="157" t="s">
        <v>9350</v>
      </c>
      <c r="P180" s="158">
        <v>43992</v>
      </c>
      <c r="Q180" s="158">
        <v>43993</v>
      </c>
      <c r="R180" s="159">
        <v>44012</v>
      </c>
      <c r="S180" s="160" t="s">
        <v>9351</v>
      </c>
      <c r="T180" s="161" t="s">
        <v>9350</v>
      </c>
      <c r="U180" s="162">
        <v>44062</v>
      </c>
      <c r="V180" s="161" t="s">
        <v>10123</v>
      </c>
      <c r="W180" s="161">
        <v>17</v>
      </c>
      <c r="X180" s="161" t="s">
        <v>5683</v>
      </c>
      <c r="Y180" s="161" t="s">
        <v>4999</v>
      </c>
      <c r="Z180" s="163">
        <v>44067</v>
      </c>
      <c r="AA180" s="164" t="s">
        <v>264</v>
      </c>
      <c r="AB180" s="165">
        <v>44067</v>
      </c>
      <c r="AC180" s="166">
        <v>44067</v>
      </c>
      <c r="AF180" s="210"/>
      <c r="AG180" s="211"/>
    </row>
    <row r="181" spans="1:35" s="209" customFormat="1" thickBot="1" x14ac:dyDescent="0.3">
      <c r="A181" s="221" t="str">
        <f t="shared" si="6"/>
        <v>OK</v>
      </c>
      <c r="B181" s="222" t="str">
        <f t="shared" si="7"/>
        <v>OK</v>
      </c>
      <c r="C181" s="223" t="str">
        <f t="shared" si="8"/>
        <v>OK</v>
      </c>
      <c r="D181" s="155">
        <v>0</v>
      </c>
      <c r="E181" s="156" t="s">
        <v>10124</v>
      </c>
      <c r="F181" s="157" t="s">
        <v>10125</v>
      </c>
      <c r="G181" s="157">
        <v>180894</v>
      </c>
      <c r="H181" s="157" t="s">
        <v>10126</v>
      </c>
      <c r="I181" s="157" t="s">
        <v>6820</v>
      </c>
      <c r="J181" s="157" t="s">
        <v>6829</v>
      </c>
      <c r="K181" s="157" t="s">
        <v>10121</v>
      </c>
      <c r="L181" s="157" t="s">
        <v>10127</v>
      </c>
      <c r="M181" s="157" t="s">
        <v>1684</v>
      </c>
      <c r="N181" s="158">
        <v>43992</v>
      </c>
      <c r="O181" s="157" t="s">
        <v>9350</v>
      </c>
      <c r="P181" s="158">
        <v>43992</v>
      </c>
      <c r="Q181" s="158">
        <v>43994</v>
      </c>
      <c r="R181" s="159">
        <v>44042</v>
      </c>
      <c r="S181" s="160" t="s">
        <v>9351</v>
      </c>
      <c r="T181" s="161" t="s">
        <v>9350</v>
      </c>
      <c r="U181" s="162">
        <v>44062</v>
      </c>
      <c r="V181" s="161" t="s">
        <v>10123</v>
      </c>
      <c r="W181" s="161">
        <v>20</v>
      </c>
      <c r="X181" s="161" t="s">
        <v>5683</v>
      </c>
      <c r="Y181" s="161" t="s">
        <v>4999</v>
      </c>
      <c r="Z181" s="163">
        <v>44069</v>
      </c>
      <c r="AA181" s="164" t="s">
        <v>264</v>
      </c>
      <c r="AB181" s="165">
        <v>44069</v>
      </c>
      <c r="AC181" s="166">
        <v>44069</v>
      </c>
      <c r="AF181" s="210"/>
      <c r="AG181" s="211"/>
    </row>
    <row r="182" spans="1:35" s="209" customFormat="1" thickBot="1" x14ac:dyDescent="0.3">
      <c r="A182" s="221" t="str">
        <f t="shared" si="6"/>
        <v>OK</v>
      </c>
      <c r="B182" s="222" t="str">
        <f t="shared" si="7"/>
        <v>OK</v>
      </c>
      <c r="C182" s="223" t="str">
        <f t="shared" si="8"/>
        <v>OK</v>
      </c>
      <c r="D182" s="155">
        <v>0</v>
      </c>
      <c r="E182" s="156" t="s">
        <v>10128</v>
      </c>
      <c r="F182" s="157" t="s">
        <v>10129</v>
      </c>
      <c r="G182" s="157">
        <v>180895</v>
      </c>
      <c r="H182" s="157" t="s">
        <v>10130</v>
      </c>
      <c r="I182" s="157" t="s">
        <v>6820</v>
      </c>
      <c r="J182" s="157" t="s">
        <v>6829</v>
      </c>
      <c r="K182" s="157" t="s">
        <v>10121</v>
      </c>
      <c r="L182" s="157" t="s">
        <v>10127</v>
      </c>
      <c r="M182" s="157" t="s">
        <v>1684</v>
      </c>
      <c r="N182" s="158">
        <v>43993</v>
      </c>
      <c r="O182" s="157" t="s">
        <v>9350</v>
      </c>
      <c r="P182" s="158">
        <v>43992</v>
      </c>
      <c r="Q182" s="158">
        <v>43995</v>
      </c>
      <c r="R182" s="159">
        <v>44042</v>
      </c>
      <c r="S182" s="160" t="s">
        <v>9351</v>
      </c>
      <c r="T182" s="161" t="s">
        <v>9350</v>
      </c>
      <c r="U182" s="162">
        <v>44062</v>
      </c>
      <c r="V182" s="161" t="s">
        <v>10123</v>
      </c>
      <c r="W182" s="161">
        <v>10</v>
      </c>
      <c r="X182" s="161" t="s">
        <v>5683</v>
      </c>
      <c r="Y182" s="161" t="s">
        <v>4999</v>
      </c>
      <c r="Z182" s="163">
        <v>44067</v>
      </c>
      <c r="AA182" s="164" t="s">
        <v>264</v>
      </c>
      <c r="AB182" s="165">
        <v>44067</v>
      </c>
      <c r="AC182" s="166">
        <v>44067</v>
      </c>
      <c r="AF182" s="210"/>
      <c r="AG182" s="211"/>
    </row>
    <row r="183" spans="1:35" s="209" customFormat="1" thickBot="1" x14ac:dyDescent="0.3">
      <c r="A183" s="221" t="str">
        <f t="shared" si="6"/>
        <v>OK</v>
      </c>
      <c r="B183" s="222" t="str">
        <f t="shared" si="7"/>
        <v>OK</v>
      </c>
      <c r="C183" s="223" t="str">
        <f t="shared" si="8"/>
        <v>OK</v>
      </c>
      <c r="D183" s="155">
        <v>0</v>
      </c>
      <c r="E183" s="156" t="s">
        <v>10131</v>
      </c>
      <c r="F183" s="157" t="s">
        <v>9361</v>
      </c>
      <c r="G183" s="157">
        <v>180929</v>
      </c>
      <c r="H183" s="157" t="s">
        <v>10132</v>
      </c>
      <c r="I183" s="157" t="s">
        <v>6820</v>
      </c>
      <c r="J183" s="157" t="s">
        <v>6829</v>
      </c>
      <c r="K183" s="157" t="s">
        <v>10133</v>
      </c>
      <c r="L183" s="157" t="s">
        <v>10134</v>
      </c>
      <c r="M183" s="157" t="s">
        <v>10135</v>
      </c>
      <c r="N183" s="158">
        <v>44018</v>
      </c>
      <c r="O183" s="157" t="s">
        <v>9350</v>
      </c>
      <c r="P183" s="158">
        <v>44018</v>
      </c>
      <c r="Q183" s="158">
        <v>44018</v>
      </c>
      <c r="R183" s="159">
        <v>44018</v>
      </c>
      <c r="S183" s="160" t="s">
        <v>9351</v>
      </c>
      <c r="T183" s="161" t="s">
        <v>9350</v>
      </c>
      <c r="U183" s="162">
        <v>44020</v>
      </c>
      <c r="V183" s="161" t="s">
        <v>10136</v>
      </c>
      <c r="W183" s="161">
        <v>1</v>
      </c>
      <c r="X183" s="161" t="s">
        <v>5683</v>
      </c>
      <c r="Y183" s="161" t="s">
        <v>4999</v>
      </c>
      <c r="Z183" s="163">
        <v>44025</v>
      </c>
      <c r="AA183" s="164" t="s">
        <v>264</v>
      </c>
      <c r="AB183" s="165">
        <v>44025</v>
      </c>
      <c r="AC183" s="166">
        <v>44025</v>
      </c>
      <c r="AF183" s="210" t="s">
        <v>9840</v>
      </c>
      <c r="AG183" s="211" t="s">
        <v>4999</v>
      </c>
      <c r="AH183" s="213" t="s">
        <v>9786</v>
      </c>
    </row>
    <row r="184" spans="1:35" s="209" customFormat="1" thickBot="1" x14ac:dyDescent="0.3">
      <c r="A184" s="221" t="str">
        <f t="shared" si="6"/>
        <v>OK</v>
      </c>
      <c r="B184" s="222" t="str">
        <f t="shared" si="7"/>
        <v>OK</v>
      </c>
      <c r="C184" s="223" t="str">
        <f t="shared" si="8"/>
        <v>OK</v>
      </c>
      <c r="D184" s="167">
        <v>0</v>
      </c>
      <c r="E184" s="168" t="s">
        <v>10137</v>
      </c>
      <c r="F184" s="169" t="s">
        <v>9396</v>
      </c>
      <c r="G184" s="169">
        <v>180933</v>
      </c>
      <c r="H184" s="169" t="s">
        <v>10138</v>
      </c>
      <c r="I184" s="169" t="s">
        <v>6820</v>
      </c>
      <c r="J184" s="169" t="s">
        <v>6829</v>
      </c>
      <c r="K184" s="169" t="s">
        <v>10139</v>
      </c>
      <c r="L184" s="169" t="s">
        <v>10140</v>
      </c>
      <c r="M184" s="169" t="s">
        <v>9699</v>
      </c>
      <c r="N184" s="170">
        <v>44019</v>
      </c>
      <c r="O184" s="169" t="s">
        <v>7729</v>
      </c>
      <c r="P184" s="170">
        <v>44019</v>
      </c>
      <c r="Q184" s="170">
        <v>44019</v>
      </c>
      <c r="R184" s="178">
        <v>44020</v>
      </c>
      <c r="S184" s="171" t="s">
        <v>9351</v>
      </c>
      <c r="T184" s="172" t="s">
        <v>9351</v>
      </c>
      <c r="U184" s="173">
        <v>44025</v>
      </c>
      <c r="V184" s="172" t="s">
        <v>74</v>
      </c>
      <c r="W184" s="172">
        <v>3</v>
      </c>
      <c r="X184" s="172" t="s">
        <v>5683</v>
      </c>
      <c r="Y184" s="172" t="s">
        <v>4999</v>
      </c>
      <c r="Z184" s="174">
        <v>44027</v>
      </c>
      <c r="AA184" s="175" t="s">
        <v>264</v>
      </c>
      <c r="AB184" s="176">
        <v>44027</v>
      </c>
      <c r="AC184" s="177">
        <v>44027</v>
      </c>
      <c r="AD184" s="213"/>
      <c r="AE184" s="213"/>
      <c r="AF184" s="214" t="s">
        <v>9840</v>
      </c>
      <c r="AG184" s="215" t="s">
        <v>4999</v>
      </c>
      <c r="AH184" s="213" t="s">
        <v>9786</v>
      </c>
      <c r="AI184" s="213"/>
    </row>
    <row r="185" spans="1:35" s="213" customFormat="1" thickBot="1" x14ac:dyDescent="0.3">
      <c r="A185" s="221" t="str">
        <f t="shared" si="6"/>
        <v>OK</v>
      </c>
      <c r="B185" s="222" t="str">
        <f t="shared" si="7"/>
        <v>OK</v>
      </c>
      <c r="C185" s="223" t="str">
        <f t="shared" si="8"/>
        <v>OK</v>
      </c>
      <c r="D185" s="167">
        <v>0</v>
      </c>
      <c r="E185" s="168" t="s">
        <v>10141</v>
      </c>
      <c r="F185" s="169" t="s">
        <v>9396</v>
      </c>
      <c r="G185" s="169">
        <v>180933</v>
      </c>
      <c r="H185" s="169" t="s">
        <v>10142</v>
      </c>
      <c r="I185" s="169" t="s">
        <v>6820</v>
      </c>
      <c r="J185" s="169" t="s">
        <v>6829</v>
      </c>
      <c r="K185" s="169" t="s">
        <v>10143</v>
      </c>
      <c r="L185" s="169" t="s">
        <v>7500</v>
      </c>
      <c r="M185" s="169" t="s">
        <v>7516</v>
      </c>
      <c r="N185" s="170">
        <v>44019</v>
      </c>
      <c r="O185" s="169" t="s">
        <v>7729</v>
      </c>
      <c r="P185" s="170">
        <v>44019</v>
      </c>
      <c r="Q185" s="170">
        <v>44019</v>
      </c>
      <c r="R185" s="178">
        <v>44020</v>
      </c>
      <c r="S185" s="171" t="s">
        <v>9351</v>
      </c>
      <c r="T185" s="172" t="s">
        <v>9351</v>
      </c>
      <c r="U185" s="173">
        <v>44029</v>
      </c>
      <c r="V185" s="172" t="s">
        <v>5044</v>
      </c>
      <c r="W185" s="172">
        <v>2</v>
      </c>
      <c r="X185" s="172" t="s">
        <v>5683</v>
      </c>
      <c r="Y185" s="172" t="s">
        <v>4999</v>
      </c>
      <c r="Z185" s="174">
        <v>44039</v>
      </c>
      <c r="AA185" s="175" t="s">
        <v>264</v>
      </c>
      <c r="AB185" s="176">
        <v>44039</v>
      </c>
      <c r="AC185" s="177">
        <v>44039</v>
      </c>
      <c r="AF185" s="214" t="s">
        <v>9840</v>
      </c>
      <c r="AG185" s="215"/>
      <c r="AH185" s="213" t="s">
        <v>9786</v>
      </c>
    </row>
    <row r="186" spans="1:35" s="213" customFormat="1" thickBot="1" x14ac:dyDescent="0.3">
      <c r="A186" s="221" t="str">
        <f t="shared" si="6"/>
        <v>OK</v>
      </c>
      <c r="B186" s="222" t="str">
        <f t="shared" si="7"/>
        <v>OK</v>
      </c>
      <c r="C186" s="223" t="str">
        <f t="shared" si="8"/>
        <v>OK</v>
      </c>
      <c r="D186" s="167">
        <v>0</v>
      </c>
      <c r="E186" s="168" t="s">
        <v>10144</v>
      </c>
      <c r="F186" s="169" t="s">
        <v>9396</v>
      </c>
      <c r="G186" s="169">
        <v>180933</v>
      </c>
      <c r="H186" s="169" t="s">
        <v>10145</v>
      </c>
      <c r="I186" s="169" t="s">
        <v>6820</v>
      </c>
      <c r="J186" s="169" t="s">
        <v>6829</v>
      </c>
      <c r="K186" s="169" t="s">
        <v>10146</v>
      </c>
      <c r="L186" s="169" t="s">
        <v>3719</v>
      </c>
      <c r="M186" s="169" t="s">
        <v>10147</v>
      </c>
      <c r="N186" s="170">
        <v>44019</v>
      </c>
      <c r="O186" s="169" t="s">
        <v>7729</v>
      </c>
      <c r="P186" s="170">
        <v>44019</v>
      </c>
      <c r="Q186" s="170">
        <v>44019</v>
      </c>
      <c r="R186" s="178">
        <v>44020</v>
      </c>
      <c r="S186" s="171" t="s">
        <v>9351</v>
      </c>
      <c r="T186" s="172" t="s">
        <v>9351</v>
      </c>
      <c r="U186" s="173">
        <v>44025</v>
      </c>
      <c r="V186" s="172" t="s">
        <v>10148</v>
      </c>
      <c r="W186" s="172">
        <v>6</v>
      </c>
      <c r="X186" s="172" t="s">
        <v>5683</v>
      </c>
      <c r="Y186" s="172" t="s">
        <v>4999</v>
      </c>
      <c r="Z186" s="174">
        <v>44027</v>
      </c>
      <c r="AA186" s="175" t="s">
        <v>264</v>
      </c>
      <c r="AB186" s="176">
        <v>44027</v>
      </c>
      <c r="AC186" s="177">
        <v>44027</v>
      </c>
      <c r="AF186" s="214" t="s">
        <v>9840</v>
      </c>
      <c r="AG186" s="215" t="s">
        <v>4999</v>
      </c>
      <c r="AH186" s="213" t="s">
        <v>9786</v>
      </c>
    </row>
    <row r="187" spans="1:35" s="213" customFormat="1" thickBot="1" x14ac:dyDescent="0.3">
      <c r="A187" s="221" t="str">
        <f t="shared" si="6"/>
        <v>OK</v>
      </c>
      <c r="B187" s="222" t="str">
        <f t="shared" si="7"/>
        <v>OK</v>
      </c>
      <c r="C187" s="223" t="str">
        <f t="shared" si="8"/>
        <v>OK</v>
      </c>
      <c r="D187" s="167">
        <v>0</v>
      </c>
      <c r="E187" s="168" t="s">
        <v>10149</v>
      </c>
      <c r="F187" s="169" t="s">
        <v>9396</v>
      </c>
      <c r="G187" s="169">
        <v>180933</v>
      </c>
      <c r="H187" s="169" t="s">
        <v>10150</v>
      </c>
      <c r="I187" s="169" t="s">
        <v>6820</v>
      </c>
      <c r="J187" s="169" t="s">
        <v>6829</v>
      </c>
      <c r="K187" s="169" t="s">
        <v>10151</v>
      </c>
      <c r="L187" s="169" t="s">
        <v>10152</v>
      </c>
      <c r="M187" s="169" t="s">
        <v>7516</v>
      </c>
      <c r="N187" s="170">
        <v>44019</v>
      </c>
      <c r="O187" s="169" t="s">
        <v>7729</v>
      </c>
      <c r="P187" s="170">
        <v>44019</v>
      </c>
      <c r="Q187" s="170">
        <v>44019</v>
      </c>
      <c r="R187" s="178">
        <v>44020</v>
      </c>
      <c r="S187" s="171" t="s">
        <v>9351</v>
      </c>
      <c r="T187" s="172" t="s">
        <v>7729</v>
      </c>
      <c r="U187" s="173">
        <v>44161</v>
      </c>
      <c r="V187" s="172" t="s">
        <v>10153</v>
      </c>
      <c r="W187" s="172">
        <v>3</v>
      </c>
      <c r="X187" s="172" t="s">
        <v>5683</v>
      </c>
      <c r="Y187" s="172" t="s">
        <v>4999</v>
      </c>
      <c r="Z187" s="174">
        <v>44162</v>
      </c>
      <c r="AA187" s="175" t="s">
        <v>10154</v>
      </c>
      <c r="AB187" s="176">
        <v>44167</v>
      </c>
      <c r="AC187" s="177">
        <v>44167</v>
      </c>
      <c r="AF187" s="214"/>
      <c r="AG187" s="215"/>
    </row>
    <row r="188" spans="1:35" s="213" customFormat="1" thickBot="1" x14ac:dyDescent="0.3">
      <c r="A188" s="221" t="str">
        <f t="shared" si="6"/>
        <v>OK</v>
      </c>
      <c r="B188" s="222" t="str">
        <f t="shared" si="7"/>
        <v>OK</v>
      </c>
      <c r="C188" s="223" t="str">
        <f t="shared" si="8"/>
        <v>OK</v>
      </c>
      <c r="D188" s="167">
        <v>0</v>
      </c>
      <c r="E188" s="168" t="s">
        <v>10155</v>
      </c>
      <c r="F188" s="169" t="s">
        <v>9396</v>
      </c>
      <c r="G188" s="169">
        <v>180933</v>
      </c>
      <c r="H188" s="169" t="s">
        <v>10156</v>
      </c>
      <c r="I188" s="169" t="s">
        <v>6820</v>
      </c>
      <c r="J188" s="169" t="s">
        <v>6829</v>
      </c>
      <c r="K188" s="169" t="s">
        <v>10069</v>
      </c>
      <c r="L188" s="169" t="s">
        <v>8889</v>
      </c>
      <c r="M188" s="169" t="s">
        <v>7516</v>
      </c>
      <c r="N188" s="170">
        <v>44019</v>
      </c>
      <c r="O188" s="169" t="s">
        <v>7729</v>
      </c>
      <c r="P188" s="170">
        <v>44019</v>
      </c>
      <c r="Q188" s="170">
        <v>44019</v>
      </c>
      <c r="R188" s="178">
        <v>44020</v>
      </c>
      <c r="S188" s="171" t="s">
        <v>9351</v>
      </c>
      <c r="T188" s="172" t="s">
        <v>9351</v>
      </c>
      <c r="U188" s="173">
        <v>44025</v>
      </c>
      <c r="V188" s="172" t="s">
        <v>10157</v>
      </c>
      <c r="W188" s="172">
        <v>6</v>
      </c>
      <c r="X188" s="172" t="s">
        <v>5683</v>
      </c>
      <c r="Y188" s="172" t="s">
        <v>4999</v>
      </c>
      <c r="Z188" s="174">
        <v>44028</v>
      </c>
      <c r="AA188" s="175" t="s">
        <v>264</v>
      </c>
      <c r="AB188" s="176">
        <v>44028</v>
      </c>
      <c r="AC188" s="177">
        <v>44028</v>
      </c>
      <c r="AF188" s="214" t="s">
        <v>9840</v>
      </c>
      <c r="AG188" s="215" t="s">
        <v>4999</v>
      </c>
      <c r="AH188" s="213" t="s">
        <v>9786</v>
      </c>
    </row>
    <row r="189" spans="1:35" s="213" customFormat="1" thickBot="1" x14ac:dyDescent="0.3">
      <c r="A189" s="221" t="str">
        <f t="shared" si="6"/>
        <v>OK</v>
      </c>
      <c r="B189" s="222" t="str">
        <f t="shared" si="7"/>
        <v>OK</v>
      </c>
      <c r="C189" s="223" t="str">
        <f t="shared" si="8"/>
        <v>OK</v>
      </c>
      <c r="D189" s="167">
        <v>0</v>
      </c>
      <c r="E189" s="168" t="s">
        <v>10158</v>
      </c>
      <c r="F189" s="169" t="s">
        <v>9172</v>
      </c>
      <c r="G189" s="169">
        <v>180931</v>
      </c>
      <c r="H189" s="169" t="s">
        <v>10159</v>
      </c>
      <c r="I189" s="169" t="s">
        <v>6820</v>
      </c>
      <c r="J189" s="169" t="s">
        <v>6829</v>
      </c>
      <c r="K189" s="169" t="s">
        <v>9324</v>
      </c>
      <c r="L189" s="169" t="s">
        <v>10160</v>
      </c>
      <c r="M189" s="169" t="s">
        <v>8944</v>
      </c>
      <c r="N189" s="170">
        <v>44018</v>
      </c>
      <c r="O189" s="169" t="s">
        <v>7729</v>
      </c>
      <c r="P189" s="170">
        <v>44018</v>
      </c>
      <c r="Q189" s="170">
        <v>44019</v>
      </c>
      <c r="R189" s="178">
        <v>44022</v>
      </c>
      <c r="S189" s="171" t="s">
        <v>9351</v>
      </c>
      <c r="T189" s="172" t="s">
        <v>7729</v>
      </c>
      <c r="U189" s="173">
        <v>44022</v>
      </c>
      <c r="V189" s="172" t="s">
        <v>2731</v>
      </c>
      <c r="W189" s="172">
        <v>1</v>
      </c>
      <c r="X189" s="172" t="s">
        <v>5683</v>
      </c>
      <c r="Y189" s="172" t="s">
        <v>4999</v>
      </c>
      <c r="Z189" s="174">
        <v>44027</v>
      </c>
      <c r="AA189" s="175" t="s">
        <v>264</v>
      </c>
      <c r="AB189" s="176">
        <v>44027</v>
      </c>
      <c r="AC189" s="177">
        <v>44027</v>
      </c>
      <c r="AF189" s="214" t="s">
        <v>9840</v>
      </c>
      <c r="AG189" s="215" t="s">
        <v>4999</v>
      </c>
      <c r="AH189" s="213" t="s">
        <v>9786</v>
      </c>
    </row>
    <row r="190" spans="1:35" s="213" customFormat="1" thickBot="1" x14ac:dyDescent="0.3">
      <c r="A190" s="221" t="str">
        <f t="shared" si="6"/>
        <v>OK</v>
      </c>
      <c r="B190" s="222" t="str">
        <f t="shared" si="7"/>
        <v>OK</v>
      </c>
      <c r="C190" s="223" t="str">
        <f t="shared" si="8"/>
        <v>OK</v>
      </c>
      <c r="D190" s="167">
        <v>0</v>
      </c>
      <c r="E190" s="168" t="s">
        <v>10161</v>
      </c>
      <c r="F190" s="169" t="s">
        <v>9172</v>
      </c>
      <c r="G190" s="169">
        <v>180931</v>
      </c>
      <c r="H190" s="169" t="s">
        <v>10162</v>
      </c>
      <c r="I190" s="169" t="s">
        <v>6820</v>
      </c>
      <c r="J190" s="169" t="s">
        <v>6829</v>
      </c>
      <c r="K190" s="169" t="s">
        <v>9041</v>
      </c>
      <c r="L190" s="169" t="s">
        <v>10163</v>
      </c>
      <c r="M190" s="169" t="s">
        <v>8944</v>
      </c>
      <c r="N190" s="170">
        <v>44018</v>
      </c>
      <c r="O190" s="169" t="s">
        <v>7729</v>
      </c>
      <c r="P190" s="170">
        <v>44018</v>
      </c>
      <c r="Q190" s="170">
        <v>44019</v>
      </c>
      <c r="R190" s="170">
        <v>44022</v>
      </c>
      <c r="S190" s="171" t="s">
        <v>9351</v>
      </c>
      <c r="T190" s="172" t="s">
        <v>7729</v>
      </c>
      <c r="U190" s="173">
        <v>44022</v>
      </c>
      <c r="V190" s="172" t="s">
        <v>1876</v>
      </c>
      <c r="W190" s="172">
        <v>1</v>
      </c>
      <c r="X190" s="172" t="s">
        <v>5683</v>
      </c>
      <c r="Y190" s="172" t="s">
        <v>4999</v>
      </c>
      <c r="Z190" s="174">
        <v>44027</v>
      </c>
      <c r="AA190" s="175" t="s">
        <v>264</v>
      </c>
      <c r="AB190" s="176">
        <v>44027</v>
      </c>
      <c r="AC190" s="177">
        <v>44027</v>
      </c>
      <c r="AF190" s="214" t="s">
        <v>9840</v>
      </c>
      <c r="AG190" s="215" t="s">
        <v>4999</v>
      </c>
      <c r="AH190" s="213" t="s">
        <v>9786</v>
      </c>
    </row>
    <row r="191" spans="1:35" s="213" customFormat="1" ht="30.75" thickBot="1" x14ac:dyDescent="0.3">
      <c r="A191" s="221" t="str">
        <f t="shared" si="6"/>
        <v>OK</v>
      </c>
      <c r="B191" s="222" t="str">
        <f t="shared" si="7"/>
        <v>OK</v>
      </c>
      <c r="C191" s="223" t="str">
        <f t="shared" si="8"/>
        <v>OK</v>
      </c>
      <c r="D191" s="167">
        <v>0</v>
      </c>
      <c r="E191" s="168" t="s">
        <v>10164</v>
      </c>
      <c r="F191" s="169" t="s">
        <v>9172</v>
      </c>
      <c r="G191" s="169">
        <v>180931</v>
      </c>
      <c r="H191" s="169" t="s">
        <v>10165</v>
      </c>
      <c r="I191" s="169" t="s">
        <v>6820</v>
      </c>
      <c r="J191" s="169" t="s">
        <v>6829</v>
      </c>
      <c r="K191" s="169" t="s">
        <v>9389</v>
      </c>
      <c r="L191" s="169" t="s">
        <v>10166</v>
      </c>
      <c r="M191" s="169" t="s">
        <v>8944</v>
      </c>
      <c r="N191" s="170">
        <v>44018</v>
      </c>
      <c r="O191" s="169" t="s">
        <v>7729</v>
      </c>
      <c r="P191" s="170">
        <v>44018</v>
      </c>
      <c r="Q191" s="170">
        <v>44019</v>
      </c>
      <c r="R191" s="170">
        <v>44022</v>
      </c>
      <c r="S191" s="171" t="s">
        <v>9351</v>
      </c>
      <c r="T191" s="172" t="s">
        <v>7729</v>
      </c>
      <c r="U191" s="173">
        <v>44022</v>
      </c>
      <c r="V191" s="172" t="s">
        <v>9390</v>
      </c>
      <c r="W191" s="172">
        <v>16</v>
      </c>
      <c r="X191" s="172" t="s">
        <v>5683</v>
      </c>
      <c r="Y191" s="172" t="s">
        <v>4999</v>
      </c>
      <c r="Z191" s="174">
        <v>44027</v>
      </c>
      <c r="AA191" s="175" t="s">
        <v>264</v>
      </c>
      <c r="AB191" s="176">
        <v>44028</v>
      </c>
      <c r="AC191" s="177">
        <v>44028</v>
      </c>
      <c r="AF191" s="214" t="s">
        <v>9840</v>
      </c>
      <c r="AG191" s="215" t="s">
        <v>4999</v>
      </c>
      <c r="AH191" s="213" t="s">
        <v>9786</v>
      </c>
    </row>
    <row r="192" spans="1:35" s="213" customFormat="1" thickBot="1" x14ac:dyDescent="0.3">
      <c r="A192" s="221" t="str">
        <f t="shared" si="6"/>
        <v>OK</v>
      </c>
      <c r="B192" s="222" t="str">
        <f t="shared" si="7"/>
        <v>OK</v>
      </c>
      <c r="C192" s="223" t="str">
        <f t="shared" si="8"/>
        <v>OK</v>
      </c>
      <c r="D192" s="155">
        <v>0</v>
      </c>
      <c r="E192" s="156" t="s">
        <v>10167</v>
      </c>
      <c r="F192" s="157" t="s">
        <v>9396</v>
      </c>
      <c r="G192" s="157">
        <v>180933</v>
      </c>
      <c r="H192" s="157" t="s">
        <v>10168</v>
      </c>
      <c r="I192" s="157" t="s">
        <v>6820</v>
      </c>
      <c r="J192" s="157" t="s">
        <v>6829</v>
      </c>
      <c r="K192" s="157" t="s">
        <v>10169</v>
      </c>
      <c r="L192" s="157" t="s">
        <v>10170</v>
      </c>
      <c r="M192" s="169" t="s">
        <v>10147</v>
      </c>
      <c r="N192" s="158">
        <v>44019</v>
      </c>
      <c r="O192" s="157" t="s">
        <v>7729</v>
      </c>
      <c r="P192" s="158">
        <v>44019</v>
      </c>
      <c r="Q192" s="158">
        <v>44019</v>
      </c>
      <c r="R192" s="158">
        <v>44020</v>
      </c>
      <c r="S192" s="160" t="s">
        <v>9351</v>
      </c>
      <c r="T192" s="161" t="s">
        <v>9351</v>
      </c>
      <c r="U192" s="162">
        <v>44025</v>
      </c>
      <c r="V192" s="161" t="s">
        <v>10171</v>
      </c>
      <c r="W192" s="161">
        <v>2</v>
      </c>
      <c r="X192" s="161" t="s">
        <v>5683</v>
      </c>
      <c r="Y192" s="161" t="s">
        <v>4999</v>
      </c>
      <c r="Z192" s="163">
        <v>44028</v>
      </c>
      <c r="AA192" s="164" t="s">
        <v>264</v>
      </c>
      <c r="AB192" s="165">
        <v>44028</v>
      </c>
      <c r="AC192" s="165">
        <v>44028</v>
      </c>
      <c r="AD192" s="209"/>
      <c r="AE192" s="209"/>
      <c r="AF192" s="214" t="s">
        <v>9840</v>
      </c>
      <c r="AG192" s="215" t="s">
        <v>4999</v>
      </c>
      <c r="AH192" s="213" t="s">
        <v>9786</v>
      </c>
      <c r="AI192" s="209"/>
    </row>
    <row r="193" spans="1:35" s="209" customFormat="1" thickBot="1" x14ac:dyDescent="0.3">
      <c r="A193" s="221" t="str">
        <f t="shared" si="6"/>
        <v>OK</v>
      </c>
      <c r="B193" s="222" t="str">
        <f t="shared" si="7"/>
        <v>OK</v>
      </c>
      <c r="C193" s="223" t="str">
        <f t="shared" si="8"/>
        <v>OK</v>
      </c>
      <c r="D193" s="155">
        <v>1</v>
      </c>
      <c r="E193" s="156" t="s">
        <v>10172</v>
      </c>
      <c r="F193" s="157" t="s">
        <v>10173</v>
      </c>
      <c r="G193" s="157">
        <v>180917</v>
      </c>
      <c r="H193" s="157" t="s">
        <v>10174</v>
      </c>
      <c r="I193" s="157" t="s">
        <v>6820</v>
      </c>
      <c r="J193" s="157" t="s">
        <v>6829</v>
      </c>
      <c r="K193" s="157" t="s">
        <v>10100</v>
      </c>
      <c r="L193" s="157" t="s">
        <v>5600</v>
      </c>
      <c r="M193" s="157" t="s">
        <v>5529</v>
      </c>
      <c r="N193" s="158">
        <v>44006</v>
      </c>
      <c r="O193" s="157" t="s">
        <v>9350</v>
      </c>
      <c r="P193" s="158">
        <v>44006</v>
      </c>
      <c r="Q193" s="158">
        <v>44008</v>
      </c>
      <c r="R193" s="159">
        <v>44013</v>
      </c>
      <c r="S193" s="160" t="s">
        <v>9694</v>
      </c>
      <c r="T193" s="161" t="s">
        <v>9350</v>
      </c>
      <c r="U193" s="162">
        <v>44029</v>
      </c>
      <c r="V193" s="161" t="s">
        <v>5601</v>
      </c>
      <c r="W193" s="161">
        <v>12</v>
      </c>
      <c r="X193" s="161" t="s">
        <v>5683</v>
      </c>
      <c r="Y193" s="161" t="s">
        <v>4999</v>
      </c>
      <c r="Z193" s="163">
        <v>44048</v>
      </c>
      <c r="AA193" s="164" t="s">
        <v>264</v>
      </c>
      <c r="AB193" s="165">
        <v>44048</v>
      </c>
      <c r="AC193" s="166">
        <v>44048</v>
      </c>
      <c r="AF193" s="210" t="s">
        <v>5683</v>
      </c>
      <c r="AG193" s="211" t="s">
        <v>4999</v>
      </c>
      <c r="AH193" s="213" t="s">
        <v>9786</v>
      </c>
    </row>
    <row r="194" spans="1:35" s="209" customFormat="1" thickBot="1" x14ac:dyDescent="0.3">
      <c r="A194" s="221" t="str">
        <f t="shared" si="6"/>
        <v>OK</v>
      </c>
      <c r="B194" s="222" t="str">
        <f t="shared" si="7"/>
        <v>OK</v>
      </c>
      <c r="C194" s="223" t="str">
        <f t="shared" si="8"/>
        <v>OK</v>
      </c>
      <c r="D194" s="155">
        <v>0</v>
      </c>
      <c r="E194" s="156" t="s">
        <v>10172</v>
      </c>
      <c r="F194" s="157" t="s">
        <v>10173</v>
      </c>
      <c r="G194" s="157">
        <v>180917</v>
      </c>
      <c r="H194" s="157" t="s">
        <v>10174</v>
      </c>
      <c r="I194" s="157" t="s">
        <v>6820</v>
      </c>
      <c r="J194" s="157" t="s">
        <v>6829</v>
      </c>
      <c r="K194" s="157" t="s">
        <v>10100</v>
      </c>
      <c r="L194" s="157" t="s">
        <v>5600</v>
      </c>
      <c r="M194" s="157" t="s">
        <v>5529</v>
      </c>
      <c r="N194" s="158">
        <v>44006</v>
      </c>
      <c r="O194" s="157" t="s">
        <v>9350</v>
      </c>
      <c r="P194" s="158">
        <v>44006</v>
      </c>
      <c r="Q194" s="158">
        <v>44008</v>
      </c>
      <c r="R194" s="159">
        <v>44013</v>
      </c>
      <c r="S194" s="160" t="s">
        <v>9909</v>
      </c>
      <c r="T194" s="161" t="s">
        <v>9350</v>
      </c>
      <c r="U194" s="162">
        <v>44029</v>
      </c>
      <c r="V194" s="161" t="s">
        <v>5601</v>
      </c>
      <c r="W194" s="161">
        <v>12</v>
      </c>
      <c r="X194" s="161" t="s">
        <v>5683</v>
      </c>
      <c r="Y194" s="161" t="s">
        <v>4999</v>
      </c>
      <c r="Z194" s="163">
        <v>44039</v>
      </c>
      <c r="AA194" s="164" t="s">
        <v>264</v>
      </c>
      <c r="AB194" s="165">
        <v>44043</v>
      </c>
      <c r="AC194" s="166">
        <v>44043</v>
      </c>
      <c r="AF194" s="214" t="s">
        <v>9840</v>
      </c>
      <c r="AG194" s="215" t="s">
        <v>4999</v>
      </c>
      <c r="AH194" s="213" t="s">
        <v>9786</v>
      </c>
    </row>
    <row r="195" spans="1:35" s="209" customFormat="1" ht="30.75" thickBot="1" x14ac:dyDescent="0.3">
      <c r="A195" s="221" t="str">
        <f t="shared" si="6"/>
        <v>OK</v>
      </c>
      <c r="B195" s="222" t="str">
        <f t="shared" si="7"/>
        <v>OK</v>
      </c>
      <c r="C195" s="223" t="str">
        <f t="shared" si="8"/>
        <v>OK</v>
      </c>
      <c r="D195" s="155">
        <v>0</v>
      </c>
      <c r="E195" s="156" t="s">
        <v>10175</v>
      </c>
      <c r="F195" s="157" t="s">
        <v>9414</v>
      </c>
      <c r="G195" s="157">
        <v>180946</v>
      </c>
      <c r="H195" s="157" t="s">
        <v>10176</v>
      </c>
      <c r="I195" s="157" t="s">
        <v>6820</v>
      </c>
      <c r="J195" s="157" t="s">
        <v>6829</v>
      </c>
      <c r="K195" s="169" t="s">
        <v>9451</v>
      </c>
      <c r="L195" s="169" t="s">
        <v>10177</v>
      </c>
      <c r="M195" s="157" t="s">
        <v>1106</v>
      </c>
      <c r="N195" s="170">
        <v>44026</v>
      </c>
      <c r="O195" s="157" t="s">
        <v>9350</v>
      </c>
      <c r="P195" s="158">
        <v>44026</v>
      </c>
      <c r="Q195" s="170">
        <v>44027</v>
      </c>
      <c r="R195" s="178">
        <v>44028</v>
      </c>
      <c r="S195" s="160" t="s">
        <v>9909</v>
      </c>
      <c r="T195" s="161" t="s">
        <v>9350</v>
      </c>
      <c r="U195" s="173">
        <v>44048</v>
      </c>
      <c r="V195" s="161" t="s">
        <v>9848</v>
      </c>
      <c r="W195" s="161">
        <v>13</v>
      </c>
      <c r="X195" s="161" t="s">
        <v>5683</v>
      </c>
      <c r="Y195" s="161" t="s">
        <v>4999</v>
      </c>
      <c r="Z195" s="174">
        <v>44050</v>
      </c>
      <c r="AA195" s="164" t="s">
        <v>264</v>
      </c>
      <c r="AB195" s="165">
        <v>44050</v>
      </c>
      <c r="AC195" s="166">
        <v>44050</v>
      </c>
      <c r="AF195" s="210"/>
      <c r="AG195" s="211"/>
    </row>
    <row r="196" spans="1:35" s="209" customFormat="1" thickBot="1" x14ac:dyDescent="0.3">
      <c r="A196" s="221" t="str">
        <f t="shared" si="6"/>
        <v>OK</v>
      </c>
      <c r="B196" s="222" t="str">
        <f t="shared" si="7"/>
        <v>OK</v>
      </c>
      <c r="C196" s="223" t="str">
        <f t="shared" si="8"/>
        <v>OK</v>
      </c>
      <c r="D196" s="167">
        <v>0</v>
      </c>
      <c r="E196" s="168" t="s">
        <v>10178</v>
      </c>
      <c r="F196" s="169" t="s">
        <v>8322</v>
      </c>
      <c r="G196" s="169">
        <v>180950</v>
      </c>
      <c r="H196" s="169" t="s">
        <v>10179</v>
      </c>
      <c r="I196" s="169" t="s">
        <v>6820</v>
      </c>
      <c r="J196" s="169" t="s">
        <v>6829</v>
      </c>
      <c r="K196" s="169" t="s">
        <v>10180</v>
      </c>
      <c r="L196" s="169" t="s">
        <v>10181</v>
      </c>
      <c r="M196" s="169" t="s">
        <v>10182</v>
      </c>
      <c r="N196" s="170">
        <v>44028</v>
      </c>
      <c r="O196" s="169" t="s">
        <v>9350</v>
      </c>
      <c r="P196" s="170">
        <v>44029</v>
      </c>
      <c r="Q196" s="170">
        <v>44029</v>
      </c>
      <c r="R196" s="178">
        <v>44039</v>
      </c>
      <c r="S196" s="171" t="s">
        <v>9351</v>
      </c>
      <c r="T196" s="172" t="s">
        <v>9350</v>
      </c>
      <c r="U196" s="173">
        <v>44035</v>
      </c>
      <c r="V196" s="172" t="s">
        <v>9461</v>
      </c>
      <c r="W196" s="172">
        <v>4</v>
      </c>
      <c r="X196" s="172" t="s">
        <v>5683</v>
      </c>
      <c r="Y196" s="172" t="s">
        <v>4999</v>
      </c>
      <c r="Z196" s="174">
        <v>44039</v>
      </c>
      <c r="AA196" s="175" t="s">
        <v>264</v>
      </c>
      <c r="AB196" s="176">
        <v>44039</v>
      </c>
      <c r="AC196" s="177">
        <v>44039</v>
      </c>
      <c r="AD196" s="213"/>
      <c r="AE196" s="213"/>
      <c r="AF196" s="214" t="s">
        <v>9840</v>
      </c>
      <c r="AG196" s="215"/>
      <c r="AH196" s="213" t="s">
        <v>9786</v>
      </c>
      <c r="AI196" s="213"/>
    </row>
    <row r="197" spans="1:35" s="213" customFormat="1" thickBot="1" x14ac:dyDescent="0.3">
      <c r="A197" s="221" t="str">
        <f t="shared" si="6"/>
        <v>OK</v>
      </c>
      <c r="B197" s="222" t="str">
        <f t="shared" si="7"/>
        <v>OK</v>
      </c>
      <c r="C197" s="223" t="str">
        <f t="shared" si="8"/>
        <v>OK</v>
      </c>
      <c r="D197" s="155">
        <v>0</v>
      </c>
      <c r="E197" s="156" t="s">
        <v>10183</v>
      </c>
      <c r="F197" s="157" t="s">
        <v>9414</v>
      </c>
      <c r="G197" s="157">
        <v>180934</v>
      </c>
      <c r="H197" s="157" t="s">
        <v>10184</v>
      </c>
      <c r="I197" s="157" t="s">
        <v>6820</v>
      </c>
      <c r="J197" s="157" t="s">
        <v>6829</v>
      </c>
      <c r="K197" s="157" t="s">
        <v>9451</v>
      </c>
      <c r="L197" s="157" t="s">
        <v>10185</v>
      </c>
      <c r="M197" s="157" t="s">
        <v>9417</v>
      </c>
      <c r="N197" s="158">
        <v>44020</v>
      </c>
      <c r="O197" s="157" t="s">
        <v>9350</v>
      </c>
      <c r="P197" s="158">
        <v>44020</v>
      </c>
      <c r="Q197" s="158">
        <v>44020</v>
      </c>
      <c r="R197" s="159">
        <v>44021</v>
      </c>
      <c r="S197" s="160" t="s">
        <v>10186</v>
      </c>
      <c r="T197" s="161" t="s">
        <v>9350</v>
      </c>
      <c r="U197" s="162">
        <v>44035</v>
      </c>
      <c r="V197" s="161" t="s">
        <v>10187</v>
      </c>
      <c r="W197" s="161">
        <v>3</v>
      </c>
      <c r="X197" s="161" t="s">
        <v>5683</v>
      </c>
      <c r="Y197" s="161" t="s">
        <v>4999</v>
      </c>
      <c r="Z197" s="163">
        <v>44035</v>
      </c>
      <c r="AA197" s="164" t="s">
        <v>264</v>
      </c>
      <c r="AB197" s="165">
        <v>44036</v>
      </c>
      <c r="AC197" s="166">
        <v>44036</v>
      </c>
      <c r="AD197" s="209"/>
      <c r="AE197" s="209"/>
      <c r="AF197" s="214" t="s">
        <v>9840</v>
      </c>
      <c r="AG197" s="211"/>
      <c r="AH197" s="213" t="s">
        <v>9786</v>
      </c>
      <c r="AI197" s="209"/>
    </row>
    <row r="198" spans="1:35" s="209" customFormat="1" thickBot="1" x14ac:dyDescent="0.3">
      <c r="A198" s="221" t="str">
        <f t="shared" ref="A198:A261" si="9">IF(OR(ISBLANK(D198),ISBLANK(E198),ISBLANK(F198),ISBLANK(G198),ISBLANK(H198),ISBLANK(I198),ISBLANK(J198),ISBLANK(K198),ISBLANK(L198),ISBLANK(M198),ISBLANK(N198),ISBLANK(O198),ISBLANK(P198),ISBLANK(Q198),ISBLANK(R198))=TRUE,"P","OK")</f>
        <v>OK</v>
      </c>
      <c r="B198" s="222" t="str">
        <f t="shared" si="7"/>
        <v>OK</v>
      </c>
      <c r="C198" s="223" t="str">
        <f t="shared" si="8"/>
        <v>OK</v>
      </c>
      <c r="D198" s="155">
        <v>0</v>
      </c>
      <c r="E198" s="156" t="s">
        <v>10188</v>
      </c>
      <c r="F198" s="157" t="s">
        <v>9997</v>
      </c>
      <c r="G198" s="157">
        <v>180972</v>
      </c>
      <c r="H198" s="157" t="s">
        <v>10189</v>
      </c>
      <c r="I198" s="157" t="s">
        <v>6820</v>
      </c>
      <c r="J198" s="157" t="s">
        <v>6829</v>
      </c>
      <c r="K198" s="157" t="s">
        <v>1113</v>
      </c>
      <c r="L198" s="157" t="s">
        <v>10190</v>
      </c>
      <c r="M198" s="157" t="s">
        <v>9417</v>
      </c>
      <c r="N198" s="158">
        <v>44041</v>
      </c>
      <c r="O198" s="157" t="s">
        <v>9350</v>
      </c>
      <c r="P198" s="158">
        <v>44041</v>
      </c>
      <c r="Q198" s="158">
        <v>44042</v>
      </c>
      <c r="R198" s="159">
        <v>44043</v>
      </c>
      <c r="S198" s="160" t="s">
        <v>9351</v>
      </c>
      <c r="T198" s="161" t="s">
        <v>9351</v>
      </c>
      <c r="U198" s="162">
        <v>44082</v>
      </c>
      <c r="V198" s="161" t="s">
        <v>9422</v>
      </c>
      <c r="W198" s="161">
        <v>1</v>
      </c>
      <c r="X198" s="161" t="s">
        <v>5683</v>
      </c>
      <c r="Y198" s="161" t="s">
        <v>4999</v>
      </c>
      <c r="Z198" s="163">
        <v>44084</v>
      </c>
      <c r="AA198" s="164" t="s">
        <v>10191</v>
      </c>
      <c r="AB198" s="165">
        <v>44085</v>
      </c>
      <c r="AC198" s="166">
        <v>44089</v>
      </c>
      <c r="AF198" s="210"/>
      <c r="AG198" s="211"/>
    </row>
    <row r="199" spans="1:35" s="209" customFormat="1" thickBot="1" x14ac:dyDescent="0.3">
      <c r="A199" s="221" t="str">
        <f t="shared" si="9"/>
        <v>OK</v>
      </c>
      <c r="B199" s="222" t="str">
        <f t="shared" ref="B199:B262" si="10">IF(OR(ISBLANK(S199),ISBLANK(T199),ISBLANK(U199),ISBLANK(V199),ISBLANK(W199),ISBLANK(X199),ISBLANK(Y199),ISBLANK(Z199))=TRUE,"P","OK")</f>
        <v>OK</v>
      </c>
      <c r="C199" s="223" t="str">
        <f t="shared" ref="C199:C262" si="11">IF(OR(ISBLANK(AA199),ISBLANK(AB199),ISBLANK(AC199))=TRUE,"P","OK")</f>
        <v>OK</v>
      </c>
      <c r="D199" s="155">
        <v>0</v>
      </c>
      <c r="E199" s="156" t="s">
        <v>10192</v>
      </c>
      <c r="F199" s="157" t="s">
        <v>8322</v>
      </c>
      <c r="G199" s="157">
        <v>180957</v>
      </c>
      <c r="H199" s="157" t="s">
        <v>10193</v>
      </c>
      <c r="I199" s="157" t="s">
        <v>6820</v>
      </c>
      <c r="J199" s="157" t="s">
        <v>6829</v>
      </c>
      <c r="K199" s="157" t="s">
        <v>5612</v>
      </c>
      <c r="L199" s="157" t="s">
        <v>5613</v>
      </c>
      <c r="M199" s="157" t="s">
        <v>9990</v>
      </c>
      <c r="N199" s="158">
        <v>44034</v>
      </c>
      <c r="O199" s="158" t="s">
        <v>9350</v>
      </c>
      <c r="P199" s="158">
        <v>44034</v>
      </c>
      <c r="Q199" s="158">
        <v>44034</v>
      </c>
      <c r="R199" s="159">
        <v>44034</v>
      </c>
      <c r="S199" s="160" t="s">
        <v>10194</v>
      </c>
      <c r="T199" s="161" t="s">
        <v>9350</v>
      </c>
      <c r="U199" s="162">
        <v>44035</v>
      </c>
      <c r="V199" s="161" t="s">
        <v>10195</v>
      </c>
      <c r="W199" s="161">
        <v>1</v>
      </c>
      <c r="X199" s="161" t="s">
        <v>5683</v>
      </c>
      <c r="Y199" s="161" t="s">
        <v>4999</v>
      </c>
      <c r="Z199" s="163">
        <v>44040</v>
      </c>
      <c r="AA199" s="164" t="s">
        <v>264</v>
      </c>
      <c r="AB199" s="165">
        <v>44043</v>
      </c>
      <c r="AC199" s="166">
        <v>44043</v>
      </c>
      <c r="AF199" s="210"/>
      <c r="AG199" s="211"/>
    </row>
    <row r="200" spans="1:35" s="209" customFormat="1" thickBot="1" x14ac:dyDescent="0.3">
      <c r="A200" s="221" t="str">
        <f t="shared" si="9"/>
        <v>OK</v>
      </c>
      <c r="B200" s="222" t="str">
        <f t="shared" si="10"/>
        <v>OK</v>
      </c>
      <c r="C200" s="223" t="str">
        <f t="shared" si="11"/>
        <v>OK</v>
      </c>
      <c r="D200" s="167">
        <v>0</v>
      </c>
      <c r="E200" s="168" t="s">
        <v>10196</v>
      </c>
      <c r="F200" s="169" t="s">
        <v>9172</v>
      </c>
      <c r="G200" s="169">
        <v>180958</v>
      </c>
      <c r="H200" s="169" t="s">
        <v>10197</v>
      </c>
      <c r="I200" s="169" t="s">
        <v>6820</v>
      </c>
      <c r="J200" s="169" t="s">
        <v>6829</v>
      </c>
      <c r="K200" s="169" t="s">
        <v>9624</v>
      </c>
      <c r="L200" s="169" t="s">
        <v>10198</v>
      </c>
      <c r="M200" s="169" t="s">
        <v>46</v>
      </c>
      <c r="N200" s="170">
        <v>44035</v>
      </c>
      <c r="O200" s="169" t="s">
        <v>7729</v>
      </c>
      <c r="P200" s="170">
        <v>44035</v>
      </c>
      <c r="Q200" s="170">
        <v>44035</v>
      </c>
      <c r="R200" s="178">
        <v>44035</v>
      </c>
      <c r="S200" s="171" t="s">
        <v>9909</v>
      </c>
      <c r="T200" s="172" t="s">
        <v>7729</v>
      </c>
      <c r="U200" s="173">
        <v>44040</v>
      </c>
      <c r="V200" s="172" t="s">
        <v>10199</v>
      </c>
      <c r="W200" s="172">
        <v>4</v>
      </c>
      <c r="X200" s="172" t="s">
        <v>5683</v>
      </c>
      <c r="Y200" s="172" t="s">
        <v>4999</v>
      </c>
      <c r="Z200" s="174">
        <v>44041</v>
      </c>
      <c r="AA200" s="175" t="s">
        <v>264</v>
      </c>
      <c r="AB200" s="176">
        <v>44042</v>
      </c>
      <c r="AC200" s="177">
        <v>44042</v>
      </c>
      <c r="AD200" s="213"/>
      <c r="AE200" s="213"/>
      <c r="AF200" s="214" t="s">
        <v>9840</v>
      </c>
      <c r="AG200" s="211"/>
      <c r="AH200" s="212"/>
      <c r="AI200" s="213"/>
    </row>
    <row r="201" spans="1:35" s="213" customFormat="1" thickBot="1" x14ac:dyDescent="0.3">
      <c r="A201" s="221" t="str">
        <f t="shared" si="9"/>
        <v>OK</v>
      </c>
      <c r="B201" s="222" t="str">
        <f t="shared" si="10"/>
        <v>OK</v>
      </c>
      <c r="C201" s="223" t="str">
        <f t="shared" si="11"/>
        <v>OK</v>
      </c>
      <c r="D201" s="167">
        <v>0</v>
      </c>
      <c r="E201" s="168" t="s">
        <v>10200</v>
      </c>
      <c r="F201" s="169" t="s">
        <v>9172</v>
      </c>
      <c r="G201" s="169">
        <v>180958</v>
      </c>
      <c r="H201" s="169" t="s">
        <v>10201</v>
      </c>
      <c r="I201" s="169" t="s">
        <v>6820</v>
      </c>
      <c r="J201" s="169" t="s">
        <v>6829</v>
      </c>
      <c r="K201" s="169" t="s">
        <v>10202</v>
      </c>
      <c r="L201" s="169" t="s">
        <v>8165</v>
      </c>
      <c r="M201" s="169" t="s">
        <v>8944</v>
      </c>
      <c r="N201" s="170">
        <v>44035</v>
      </c>
      <c r="O201" s="169" t="s">
        <v>7729</v>
      </c>
      <c r="P201" s="170">
        <v>44035</v>
      </c>
      <c r="Q201" s="170">
        <v>44035</v>
      </c>
      <c r="R201" s="178">
        <v>44035</v>
      </c>
      <c r="S201" s="171" t="s">
        <v>10186</v>
      </c>
      <c r="T201" s="172" t="s">
        <v>7729</v>
      </c>
      <c r="U201" s="173">
        <v>44040</v>
      </c>
      <c r="V201" s="172" t="s">
        <v>10203</v>
      </c>
      <c r="W201" s="172">
        <v>1</v>
      </c>
      <c r="X201" s="172" t="s">
        <v>5683</v>
      </c>
      <c r="Y201" s="172" t="s">
        <v>4999</v>
      </c>
      <c r="Z201" s="174">
        <v>44041</v>
      </c>
      <c r="AA201" s="175" t="s">
        <v>264</v>
      </c>
      <c r="AB201" s="176">
        <v>44042</v>
      </c>
      <c r="AC201" s="177">
        <v>44042</v>
      </c>
      <c r="AD201" s="212"/>
      <c r="AE201" s="212"/>
      <c r="AF201" s="214" t="s">
        <v>9840</v>
      </c>
      <c r="AG201" s="211"/>
      <c r="AH201" s="212"/>
      <c r="AI201" s="212"/>
    </row>
    <row r="202" spans="1:35" s="212" customFormat="1" thickBot="1" x14ac:dyDescent="0.3">
      <c r="A202" s="221" t="str">
        <f t="shared" si="9"/>
        <v>OK</v>
      </c>
      <c r="B202" s="222" t="str">
        <f t="shared" si="10"/>
        <v>OK</v>
      </c>
      <c r="C202" s="223" t="str">
        <f t="shared" si="11"/>
        <v>OK</v>
      </c>
      <c r="D202" s="155">
        <v>0</v>
      </c>
      <c r="E202" s="156" t="s">
        <v>10204</v>
      </c>
      <c r="F202" s="157" t="s">
        <v>9377</v>
      </c>
      <c r="G202" s="157">
        <v>180961</v>
      </c>
      <c r="H202" s="157" t="s">
        <v>10205</v>
      </c>
      <c r="I202" s="157" t="s">
        <v>6820</v>
      </c>
      <c r="J202" s="157" t="s">
        <v>6829</v>
      </c>
      <c r="K202" s="157" t="s">
        <v>3057</v>
      </c>
      <c r="L202" s="157" t="s">
        <v>10206</v>
      </c>
      <c r="M202" s="157" t="s">
        <v>8268</v>
      </c>
      <c r="N202" s="158">
        <v>44035</v>
      </c>
      <c r="O202" s="157" t="s">
        <v>9350</v>
      </c>
      <c r="P202" s="158">
        <v>44035</v>
      </c>
      <c r="Q202" s="158">
        <v>44035</v>
      </c>
      <c r="R202" s="159">
        <v>44036</v>
      </c>
      <c r="S202" s="160" t="s">
        <v>10207</v>
      </c>
      <c r="T202" s="161" t="s">
        <v>9350</v>
      </c>
      <c r="U202" s="162">
        <v>44039</v>
      </c>
      <c r="V202" s="161" t="s">
        <v>10208</v>
      </c>
      <c r="W202" s="161">
        <v>1</v>
      </c>
      <c r="X202" s="161" t="s">
        <v>5683</v>
      </c>
      <c r="Y202" s="161" t="s">
        <v>4999</v>
      </c>
      <c r="Z202" s="174">
        <v>44041</v>
      </c>
      <c r="AA202" s="164" t="s">
        <v>264</v>
      </c>
      <c r="AB202" s="165">
        <v>44042</v>
      </c>
      <c r="AC202" s="166">
        <v>44042</v>
      </c>
      <c r="AD202" s="209"/>
      <c r="AE202" s="209"/>
      <c r="AF202" s="214" t="s">
        <v>9840</v>
      </c>
      <c r="AG202" s="211"/>
      <c r="AH202" s="213" t="s">
        <v>9786</v>
      </c>
      <c r="AI202" s="209"/>
    </row>
    <row r="203" spans="1:35" s="209" customFormat="1" thickBot="1" x14ac:dyDescent="0.3">
      <c r="A203" s="221" t="str">
        <f t="shared" si="9"/>
        <v>OK</v>
      </c>
      <c r="B203" s="222" t="str">
        <f t="shared" si="10"/>
        <v>OK</v>
      </c>
      <c r="C203" s="223" t="str">
        <f t="shared" si="11"/>
        <v>OK</v>
      </c>
      <c r="D203" s="155">
        <v>0</v>
      </c>
      <c r="E203" s="156" t="s">
        <v>10209</v>
      </c>
      <c r="F203" s="157" t="s">
        <v>6169</v>
      </c>
      <c r="G203" s="157">
        <v>180962</v>
      </c>
      <c r="H203" s="157" t="s">
        <v>10210</v>
      </c>
      <c r="I203" s="157" t="s">
        <v>6820</v>
      </c>
      <c r="J203" s="157" t="s">
        <v>6829</v>
      </c>
      <c r="K203" s="157" t="s">
        <v>10211</v>
      </c>
      <c r="L203" s="157" t="s">
        <v>10212</v>
      </c>
      <c r="M203" s="157" t="s">
        <v>10213</v>
      </c>
      <c r="N203" s="158">
        <v>44035</v>
      </c>
      <c r="O203" s="157" t="s">
        <v>9350</v>
      </c>
      <c r="P203" s="158">
        <v>44035</v>
      </c>
      <c r="Q203" s="158">
        <v>44036</v>
      </c>
      <c r="R203" s="178" t="s">
        <v>8644</v>
      </c>
      <c r="S203" s="160" t="s">
        <v>9351</v>
      </c>
      <c r="T203" s="161" t="s">
        <v>9350</v>
      </c>
      <c r="U203" s="173">
        <v>44050</v>
      </c>
      <c r="V203" s="161" t="s">
        <v>10214</v>
      </c>
      <c r="W203" s="161">
        <v>3</v>
      </c>
      <c r="X203" s="161" t="s">
        <v>5683</v>
      </c>
      <c r="Y203" s="161" t="s">
        <v>4999</v>
      </c>
      <c r="Z203" s="174">
        <v>44054</v>
      </c>
      <c r="AA203" s="164" t="s">
        <v>264</v>
      </c>
      <c r="AB203" s="165">
        <v>44054</v>
      </c>
      <c r="AC203" s="166">
        <v>44054</v>
      </c>
      <c r="AF203" s="210"/>
      <c r="AG203" s="211"/>
    </row>
    <row r="204" spans="1:35" s="209" customFormat="1" thickBot="1" x14ac:dyDescent="0.3">
      <c r="A204" s="221" t="str">
        <f t="shared" si="9"/>
        <v>P</v>
      </c>
      <c r="B204" s="222" t="str">
        <f t="shared" si="10"/>
        <v>P</v>
      </c>
      <c r="C204" s="223" t="str">
        <f t="shared" si="11"/>
        <v>P</v>
      </c>
      <c r="D204" s="155">
        <v>0</v>
      </c>
      <c r="E204" s="156" t="s">
        <v>10215</v>
      </c>
      <c r="F204" s="157"/>
      <c r="G204" s="157"/>
      <c r="H204" s="157"/>
      <c r="I204" s="157"/>
      <c r="J204" s="157"/>
      <c r="K204" s="157"/>
      <c r="L204" s="157"/>
      <c r="M204" s="157"/>
      <c r="N204" s="157"/>
      <c r="O204" s="157"/>
      <c r="P204" s="157"/>
      <c r="Q204" s="157"/>
      <c r="R204" s="178"/>
      <c r="S204" s="160"/>
      <c r="T204" s="161"/>
      <c r="U204" s="173"/>
      <c r="V204" s="161"/>
      <c r="W204" s="161"/>
      <c r="X204" s="161"/>
      <c r="Y204" s="161"/>
      <c r="Z204" s="174"/>
      <c r="AA204" s="164"/>
      <c r="AB204" s="165"/>
      <c r="AC204" s="166"/>
      <c r="AF204" s="210"/>
      <c r="AG204" s="211"/>
    </row>
    <row r="205" spans="1:35" s="209" customFormat="1" thickBot="1" x14ac:dyDescent="0.3">
      <c r="A205" s="221" t="str">
        <f t="shared" si="9"/>
        <v>OK</v>
      </c>
      <c r="B205" s="222" t="str">
        <f t="shared" si="10"/>
        <v>OK</v>
      </c>
      <c r="C205" s="223" t="str">
        <f t="shared" si="11"/>
        <v>OK</v>
      </c>
      <c r="D205" s="155">
        <v>0</v>
      </c>
      <c r="E205" s="156" t="s">
        <v>10216</v>
      </c>
      <c r="F205" s="157" t="s">
        <v>9478</v>
      </c>
      <c r="G205" s="157">
        <v>180964</v>
      </c>
      <c r="H205" s="157" t="s">
        <v>10217</v>
      </c>
      <c r="I205" s="157" t="s">
        <v>6820</v>
      </c>
      <c r="J205" s="157" t="s">
        <v>6829</v>
      </c>
      <c r="K205" s="157" t="s">
        <v>9754</v>
      </c>
      <c r="L205" s="157" t="s">
        <v>9755</v>
      </c>
      <c r="M205" s="157" t="s">
        <v>9756</v>
      </c>
      <c r="N205" s="158">
        <v>44038</v>
      </c>
      <c r="O205" s="157" t="s">
        <v>9350</v>
      </c>
      <c r="P205" s="158">
        <v>44038</v>
      </c>
      <c r="Q205" s="158">
        <v>44038</v>
      </c>
      <c r="R205" s="178">
        <v>44038</v>
      </c>
      <c r="S205" s="160" t="s">
        <v>9351</v>
      </c>
      <c r="T205" s="161" t="s">
        <v>9351</v>
      </c>
      <c r="U205" s="173">
        <v>44039</v>
      </c>
      <c r="V205" s="161" t="s">
        <v>9757</v>
      </c>
      <c r="W205" s="161">
        <v>2</v>
      </c>
      <c r="X205" s="161" t="s">
        <v>5683</v>
      </c>
      <c r="Y205" s="161" t="s">
        <v>4999</v>
      </c>
      <c r="Z205" s="163">
        <v>44053</v>
      </c>
      <c r="AA205" s="164" t="s">
        <v>264</v>
      </c>
      <c r="AB205" s="165">
        <v>44056</v>
      </c>
      <c r="AC205" s="166">
        <v>44056</v>
      </c>
      <c r="AF205" s="210"/>
      <c r="AG205" s="211"/>
    </row>
    <row r="206" spans="1:35" s="209" customFormat="1" thickBot="1" x14ac:dyDescent="0.3">
      <c r="A206" s="221" t="str">
        <f t="shared" si="9"/>
        <v>OK</v>
      </c>
      <c r="B206" s="222" t="str">
        <f t="shared" si="10"/>
        <v>OK</v>
      </c>
      <c r="C206" s="223" t="str">
        <f t="shared" si="11"/>
        <v>OK</v>
      </c>
      <c r="D206" s="155">
        <v>0</v>
      </c>
      <c r="E206" s="156" t="s">
        <v>10218</v>
      </c>
      <c r="F206" s="157" t="s">
        <v>9396</v>
      </c>
      <c r="G206" s="157">
        <v>180965</v>
      </c>
      <c r="H206" s="157" t="s">
        <v>10219</v>
      </c>
      <c r="I206" s="157" t="s">
        <v>6820</v>
      </c>
      <c r="J206" s="157" t="s">
        <v>6829</v>
      </c>
      <c r="K206" s="157" t="s">
        <v>10069</v>
      </c>
      <c r="L206" s="157" t="s">
        <v>9407</v>
      </c>
      <c r="M206" s="157" t="s">
        <v>7516</v>
      </c>
      <c r="N206" s="158">
        <v>44036</v>
      </c>
      <c r="O206" s="157" t="s">
        <v>7729</v>
      </c>
      <c r="P206" s="158">
        <v>44036</v>
      </c>
      <c r="Q206" s="158">
        <v>44036</v>
      </c>
      <c r="R206" s="178">
        <v>44041</v>
      </c>
      <c r="S206" s="160" t="s">
        <v>9351</v>
      </c>
      <c r="T206" s="161" t="s">
        <v>9351</v>
      </c>
      <c r="U206" s="173">
        <v>44048</v>
      </c>
      <c r="V206" s="161" t="s">
        <v>10220</v>
      </c>
      <c r="W206" s="161">
        <v>1</v>
      </c>
      <c r="X206" s="161" t="s">
        <v>5683</v>
      </c>
      <c r="Y206" s="161" t="s">
        <v>4999</v>
      </c>
      <c r="Z206" s="174">
        <v>44057</v>
      </c>
      <c r="AA206" s="164" t="s">
        <v>264</v>
      </c>
      <c r="AB206" s="165">
        <v>44057</v>
      </c>
      <c r="AC206" s="166">
        <v>44057</v>
      </c>
      <c r="AF206" s="210"/>
      <c r="AG206" s="211"/>
    </row>
    <row r="207" spans="1:35" s="209" customFormat="1" ht="15.75" customHeight="1" thickBot="1" x14ac:dyDescent="0.3">
      <c r="A207" s="221" t="str">
        <f t="shared" si="9"/>
        <v>OK</v>
      </c>
      <c r="B207" s="222" t="str">
        <f t="shared" si="10"/>
        <v>OK</v>
      </c>
      <c r="C207" s="223" t="str">
        <f t="shared" si="11"/>
        <v>OK</v>
      </c>
      <c r="D207" s="155">
        <v>0</v>
      </c>
      <c r="E207" s="156" t="s">
        <v>10221</v>
      </c>
      <c r="F207" s="157" t="s">
        <v>9396</v>
      </c>
      <c r="G207" s="157">
        <v>180965</v>
      </c>
      <c r="H207" s="157" t="s">
        <v>10222</v>
      </c>
      <c r="I207" s="157" t="s">
        <v>6820</v>
      </c>
      <c r="J207" s="157" t="s">
        <v>6829</v>
      </c>
      <c r="K207" s="157" t="s">
        <v>10223</v>
      </c>
      <c r="L207" s="157" t="s">
        <v>2683</v>
      </c>
      <c r="M207" s="157" t="s">
        <v>7516</v>
      </c>
      <c r="N207" s="158">
        <v>44036</v>
      </c>
      <c r="O207" s="157" t="s">
        <v>7729</v>
      </c>
      <c r="P207" s="158">
        <v>44036</v>
      </c>
      <c r="Q207" s="158">
        <v>44036</v>
      </c>
      <c r="R207" s="178">
        <v>44041</v>
      </c>
      <c r="S207" s="160" t="s">
        <v>9351</v>
      </c>
      <c r="T207" s="161" t="s">
        <v>9351</v>
      </c>
      <c r="U207" s="173">
        <v>44048</v>
      </c>
      <c r="V207" s="161" t="s">
        <v>2684</v>
      </c>
      <c r="W207" s="161">
        <v>2</v>
      </c>
      <c r="X207" s="161" t="s">
        <v>5683</v>
      </c>
      <c r="Y207" s="161" t="s">
        <v>4999</v>
      </c>
      <c r="Z207" s="174">
        <v>44058</v>
      </c>
      <c r="AA207" s="164" t="s">
        <v>264</v>
      </c>
      <c r="AB207" s="165">
        <v>44057</v>
      </c>
      <c r="AC207" s="166">
        <v>44057</v>
      </c>
      <c r="AF207" s="210"/>
      <c r="AG207" s="211"/>
    </row>
    <row r="208" spans="1:35" s="209" customFormat="1" thickBot="1" x14ac:dyDescent="0.3">
      <c r="A208" s="221" t="str">
        <f t="shared" si="9"/>
        <v>P</v>
      </c>
      <c r="B208" s="222" t="str">
        <f t="shared" si="10"/>
        <v>P</v>
      </c>
      <c r="C208" s="223" t="str">
        <f t="shared" si="11"/>
        <v>P</v>
      </c>
      <c r="D208" s="155">
        <v>0</v>
      </c>
      <c r="E208" s="156" t="s">
        <v>10224</v>
      </c>
      <c r="F208" s="157"/>
      <c r="G208" s="157"/>
      <c r="H208" s="157"/>
      <c r="I208" s="157"/>
      <c r="J208" s="157"/>
      <c r="K208" s="157"/>
      <c r="L208" s="157"/>
      <c r="M208" s="157"/>
      <c r="N208" s="158"/>
      <c r="O208" s="157"/>
      <c r="P208" s="158"/>
      <c r="Q208" s="158"/>
      <c r="R208" s="178"/>
      <c r="S208" s="160"/>
      <c r="T208" s="161"/>
      <c r="U208" s="173"/>
      <c r="V208" s="161"/>
      <c r="W208" s="161"/>
      <c r="X208" s="161" t="s">
        <v>5683</v>
      </c>
      <c r="Y208" s="161" t="s">
        <v>4999</v>
      </c>
      <c r="Z208" s="174"/>
      <c r="AA208" s="164"/>
      <c r="AB208" s="165"/>
      <c r="AC208" s="166"/>
      <c r="AF208" s="210"/>
      <c r="AG208" s="211"/>
    </row>
    <row r="209" spans="1:34" s="209" customFormat="1" thickBot="1" x14ac:dyDescent="0.3">
      <c r="A209" s="221" t="str">
        <f t="shared" si="9"/>
        <v>OK</v>
      </c>
      <c r="B209" s="222" t="str">
        <f t="shared" si="10"/>
        <v>OK</v>
      </c>
      <c r="C209" s="223" t="str">
        <f t="shared" si="11"/>
        <v>OK</v>
      </c>
      <c r="D209" s="155">
        <v>0</v>
      </c>
      <c r="E209" s="156" t="s">
        <v>10225</v>
      </c>
      <c r="F209" s="157" t="s">
        <v>8322</v>
      </c>
      <c r="G209" s="157">
        <v>180966</v>
      </c>
      <c r="H209" s="157" t="s">
        <v>10226</v>
      </c>
      <c r="I209" s="157" t="s">
        <v>6820</v>
      </c>
      <c r="J209" s="157" t="s">
        <v>6829</v>
      </c>
      <c r="K209" s="157" t="s">
        <v>10227</v>
      </c>
      <c r="L209" s="157" t="s">
        <v>5613</v>
      </c>
      <c r="M209" s="157" t="s">
        <v>5529</v>
      </c>
      <c r="N209" s="158">
        <v>44033</v>
      </c>
      <c r="O209" s="157" t="s">
        <v>9350</v>
      </c>
      <c r="P209" s="158">
        <v>44036</v>
      </c>
      <c r="Q209" s="158">
        <v>44037</v>
      </c>
      <c r="R209" s="178">
        <v>44054</v>
      </c>
      <c r="S209" s="160" t="s">
        <v>9351</v>
      </c>
      <c r="T209" s="161" t="s">
        <v>9350</v>
      </c>
      <c r="U209" s="173">
        <v>44057</v>
      </c>
      <c r="V209" s="161" t="s">
        <v>10228</v>
      </c>
      <c r="W209" s="161">
        <v>2</v>
      </c>
      <c r="X209" s="161" t="s">
        <v>5683</v>
      </c>
      <c r="Y209" s="161" t="s">
        <v>4999</v>
      </c>
      <c r="Z209" s="174">
        <v>44063</v>
      </c>
      <c r="AA209" s="164" t="s">
        <v>264</v>
      </c>
      <c r="AB209" s="165">
        <v>44063</v>
      </c>
      <c r="AC209" s="166">
        <v>44063</v>
      </c>
      <c r="AF209" s="210"/>
      <c r="AG209" s="211"/>
    </row>
    <row r="210" spans="1:34" s="209" customFormat="1" thickBot="1" x14ac:dyDescent="0.3">
      <c r="A210" s="221" t="str">
        <f t="shared" si="9"/>
        <v>OK</v>
      </c>
      <c r="B210" s="222" t="str">
        <f t="shared" si="10"/>
        <v>OK</v>
      </c>
      <c r="C210" s="223" t="str">
        <f t="shared" si="11"/>
        <v>OK</v>
      </c>
      <c r="D210" s="155">
        <v>0</v>
      </c>
      <c r="E210" s="156" t="s">
        <v>10229</v>
      </c>
      <c r="F210" s="157" t="s">
        <v>9361</v>
      </c>
      <c r="G210" s="157">
        <v>180955</v>
      </c>
      <c r="H210" s="157" t="s">
        <v>10230</v>
      </c>
      <c r="I210" s="157" t="s">
        <v>6820</v>
      </c>
      <c r="J210" s="157" t="s">
        <v>6829</v>
      </c>
      <c r="K210" s="157" t="s">
        <v>10231</v>
      </c>
      <c r="L210" s="157" t="s">
        <v>10232</v>
      </c>
      <c r="M210" s="157" t="s">
        <v>10233</v>
      </c>
      <c r="N210" s="158">
        <v>44027</v>
      </c>
      <c r="O210" s="157" t="s">
        <v>9350</v>
      </c>
      <c r="P210" s="158">
        <v>44027</v>
      </c>
      <c r="Q210" s="158">
        <v>44034</v>
      </c>
      <c r="R210" s="178">
        <v>44039</v>
      </c>
      <c r="S210" s="160" t="s">
        <v>9351</v>
      </c>
      <c r="T210" s="161" t="s">
        <v>9350</v>
      </c>
      <c r="U210" s="173">
        <v>44039</v>
      </c>
      <c r="V210" s="161" t="s">
        <v>10234</v>
      </c>
      <c r="W210" s="161">
        <v>16</v>
      </c>
      <c r="X210" s="161" t="s">
        <v>5683</v>
      </c>
      <c r="Y210" s="161" t="s">
        <v>4999</v>
      </c>
      <c r="Z210" s="174">
        <v>44092</v>
      </c>
      <c r="AA210" s="164" t="s">
        <v>264</v>
      </c>
      <c r="AB210" s="165">
        <v>44097</v>
      </c>
      <c r="AC210" s="166">
        <v>44097</v>
      </c>
      <c r="AF210" s="210"/>
      <c r="AG210" s="211"/>
    </row>
    <row r="211" spans="1:34" s="209" customFormat="1" ht="15.75" customHeight="1" thickBot="1" x14ac:dyDescent="0.3">
      <c r="A211" s="221" t="str">
        <f t="shared" si="9"/>
        <v>OK</v>
      </c>
      <c r="B211" s="222" t="str">
        <f t="shared" si="10"/>
        <v>OK</v>
      </c>
      <c r="C211" s="223" t="str">
        <f t="shared" si="11"/>
        <v>OK</v>
      </c>
      <c r="D211" s="155">
        <v>0</v>
      </c>
      <c r="E211" s="156" t="s">
        <v>10235</v>
      </c>
      <c r="F211" s="157" t="s">
        <v>9361</v>
      </c>
      <c r="G211" s="157">
        <v>180955</v>
      </c>
      <c r="H211" s="157" t="s">
        <v>10236</v>
      </c>
      <c r="I211" s="157" t="s">
        <v>6820</v>
      </c>
      <c r="J211" s="157" t="s">
        <v>6829</v>
      </c>
      <c r="K211" s="157" t="s">
        <v>10237</v>
      </c>
      <c r="L211" s="157" t="s">
        <v>10238</v>
      </c>
      <c r="M211" s="157" t="s">
        <v>10239</v>
      </c>
      <c r="N211" s="158">
        <v>44027</v>
      </c>
      <c r="O211" s="157" t="s">
        <v>9350</v>
      </c>
      <c r="P211" s="158">
        <v>44027</v>
      </c>
      <c r="Q211" s="158">
        <v>44034</v>
      </c>
      <c r="R211" s="178">
        <v>44039</v>
      </c>
      <c r="S211" s="160" t="s">
        <v>9351</v>
      </c>
      <c r="T211" s="161" t="s">
        <v>9350</v>
      </c>
      <c r="U211" s="173">
        <v>44040</v>
      </c>
      <c r="V211" s="161" t="s">
        <v>10240</v>
      </c>
      <c r="W211" s="161">
        <v>1</v>
      </c>
      <c r="X211" s="161" t="s">
        <v>5683</v>
      </c>
      <c r="Y211" s="161" t="s">
        <v>4999</v>
      </c>
      <c r="Z211" s="174">
        <v>44113</v>
      </c>
      <c r="AA211" s="164" t="s">
        <v>8250</v>
      </c>
      <c r="AB211" s="165">
        <v>44127</v>
      </c>
      <c r="AC211" s="166">
        <v>44127</v>
      </c>
      <c r="AF211" s="210"/>
      <c r="AG211" s="211"/>
    </row>
    <row r="212" spans="1:34" s="209" customFormat="1" thickBot="1" x14ac:dyDescent="0.3">
      <c r="A212" s="221" t="str">
        <f t="shared" si="9"/>
        <v>OK</v>
      </c>
      <c r="B212" s="222" t="str">
        <f t="shared" si="10"/>
        <v>OK</v>
      </c>
      <c r="C212" s="223" t="str">
        <f t="shared" si="11"/>
        <v>OK</v>
      </c>
      <c r="D212" s="155">
        <v>0</v>
      </c>
      <c r="E212" s="156" t="s">
        <v>10241</v>
      </c>
      <c r="F212" s="157" t="s">
        <v>9024</v>
      </c>
      <c r="G212" s="157">
        <v>180968</v>
      </c>
      <c r="H212" s="157" t="s">
        <v>10242</v>
      </c>
      <c r="I212" s="157" t="s">
        <v>6820</v>
      </c>
      <c r="J212" s="157" t="s">
        <v>6829</v>
      </c>
      <c r="K212" s="169" t="s">
        <v>9942</v>
      </c>
      <c r="L212" s="169" t="s">
        <v>9384</v>
      </c>
      <c r="M212" s="169" t="s">
        <v>2504</v>
      </c>
      <c r="N212" s="158">
        <v>44039</v>
      </c>
      <c r="O212" s="157" t="s">
        <v>9350</v>
      </c>
      <c r="P212" s="158">
        <v>44039</v>
      </c>
      <c r="Q212" s="158">
        <v>44040</v>
      </c>
      <c r="R212" s="178">
        <v>44040</v>
      </c>
      <c r="S212" s="160" t="s">
        <v>9909</v>
      </c>
      <c r="T212" s="161" t="s">
        <v>9350</v>
      </c>
      <c r="U212" s="173">
        <v>44048</v>
      </c>
      <c r="V212" s="172" t="s">
        <v>10104</v>
      </c>
      <c r="W212" s="161">
        <v>2</v>
      </c>
      <c r="X212" s="172" t="s">
        <v>5683</v>
      </c>
      <c r="Y212" s="172" t="s">
        <v>4999</v>
      </c>
      <c r="Z212" s="174">
        <v>44050</v>
      </c>
      <c r="AA212" s="164" t="s">
        <v>264</v>
      </c>
      <c r="AB212" s="165">
        <v>44053</v>
      </c>
      <c r="AC212" s="166">
        <v>44053</v>
      </c>
      <c r="AF212" s="210"/>
      <c r="AG212" s="211"/>
      <c r="AH212" s="209" t="s">
        <v>10243</v>
      </c>
    </row>
    <row r="213" spans="1:34" s="209" customFormat="1" thickBot="1" x14ac:dyDescent="0.3">
      <c r="A213" s="221" t="str">
        <f t="shared" si="9"/>
        <v>OK</v>
      </c>
      <c r="B213" s="222" t="str">
        <f t="shared" si="10"/>
        <v>OK</v>
      </c>
      <c r="C213" s="223" t="str">
        <f t="shared" si="11"/>
        <v>OK</v>
      </c>
      <c r="D213" s="155">
        <v>0</v>
      </c>
      <c r="E213" s="156" t="s">
        <v>10244</v>
      </c>
      <c r="F213" s="157" t="s">
        <v>9172</v>
      </c>
      <c r="G213" s="157">
        <v>180971</v>
      </c>
      <c r="H213" s="157" t="s">
        <v>10245</v>
      </c>
      <c r="I213" s="157" t="s">
        <v>6820</v>
      </c>
      <c r="J213" s="157" t="s">
        <v>6829</v>
      </c>
      <c r="K213" s="157" t="s">
        <v>9041</v>
      </c>
      <c r="L213" s="157" t="s">
        <v>5723</v>
      </c>
      <c r="M213" s="157" t="s">
        <v>8944</v>
      </c>
      <c r="N213" s="158">
        <v>44041</v>
      </c>
      <c r="O213" s="157" t="s">
        <v>7729</v>
      </c>
      <c r="P213" s="170">
        <v>44041</v>
      </c>
      <c r="Q213" s="158">
        <v>44041</v>
      </c>
      <c r="R213" s="178">
        <v>44041</v>
      </c>
      <c r="S213" s="160" t="s">
        <v>9853</v>
      </c>
      <c r="T213" s="161" t="s">
        <v>7729</v>
      </c>
      <c r="U213" s="173">
        <v>44048</v>
      </c>
      <c r="V213" s="172" t="s">
        <v>1876</v>
      </c>
      <c r="W213" s="161">
        <v>6</v>
      </c>
      <c r="X213" s="161" t="s">
        <v>5683</v>
      </c>
      <c r="Y213" s="172" t="s">
        <v>4999</v>
      </c>
      <c r="Z213" s="174">
        <v>44050</v>
      </c>
      <c r="AA213" s="164" t="s">
        <v>264</v>
      </c>
      <c r="AB213" s="165">
        <v>44053</v>
      </c>
      <c r="AC213" s="166">
        <v>44053</v>
      </c>
      <c r="AF213" s="210"/>
      <c r="AG213" s="211"/>
      <c r="AH213" s="209" t="s">
        <v>10243</v>
      </c>
    </row>
    <row r="214" spans="1:34" s="209" customFormat="1" thickBot="1" x14ac:dyDescent="0.3">
      <c r="A214" s="221" t="str">
        <f t="shared" si="9"/>
        <v>OK</v>
      </c>
      <c r="B214" s="222" t="str">
        <f t="shared" si="10"/>
        <v>OK</v>
      </c>
      <c r="C214" s="223" t="str">
        <f t="shared" si="11"/>
        <v>OK</v>
      </c>
      <c r="D214" s="155">
        <v>0</v>
      </c>
      <c r="E214" s="156" t="s">
        <v>10246</v>
      </c>
      <c r="F214" s="157" t="s">
        <v>8326</v>
      </c>
      <c r="G214" s="157">
        <v>180954</v>
      </c>
      <c r="H214" s="157" t="s">
        <v>10247</v>
      </c>
      <c r="I214" s="157" t="s">
        <v>6820</v>
      </c>
      <c r="J214" s="157" t="s">
        <v>6829</v>
      </c>
      <c r="K214" s="157" t="s">
        <v>7641</v>
      </c>
      <c r="L214" s="157" t="s">
        <v>10248</v>
      </c>
      <c r="M214" s="157" t="s">
        <v>1426</v>
      </c>
      <c r="N214" s="158">
        <v>44033</v>
      </c>
      <c r="O214" s="157" t="s">
        <v>9350</v>
      </c>
      <c r="P214" s="158">
        <v>44033</v>
      </c>
      <c r="Q214" s="158">
        <v>44033</v>
      </c>
      <c r="R214" s="178">
        <v>44034</v>
      </c>
      <c r="S214" s="160" t="s">
        <v>9909</v>
      </c>
      <c r="T214" s="161" t="s">
        <v>9350</v>
      </c>
      <c r="U214" s="173">
        <v>44040</v>
      </c>
      <c r="V214" s="161" t="s">
        <v>10249</v>
      </c>
      <c r="W214" s="161">
        <v>8</v>
      </c>
      <c r="X214" s="161" t="s">
        <v>5683</v>
      </c>
      <c r="Y214" s="172" t="s">
        <v>4999</v>
      </c>
      <c r="Z214" s="174">
        <v>44046</v>
      </c>
      <c r="AA214" s="164" t="s">
        <v>264</v>
      </c>
      <c r="AB214" s="165">
        <v>44047</v>
      </c>
      <c r="AC214" s="166">
        <v>44047</v>
      </c>
      <c r="AF214" s="210"/>
      <c r="AG214" s="211"/>
    </row>
    <row r="215" spans="1:34" s="209" customFormat="1" thickBot="1" x14ac:dyDescent="0.3">
      <c r="A215" s="221" t="str">
        <f t="shared" si="9"/>
        <v>OK</v>
      </c>
      <c r="B215" s="222" t="str">
        <f t="shared" si="10"/>
        <v>OK</v>
      </c>
      <c r="C215" s="223" t="str">
        <f t="shared" si="11"/>
        <v>OK</v>
      </c>
      <c r="D215" s="155">
        <v>0</v>
      </c>
      <c r="E215" s="156" t="s">
        <v>10250</v>
      </c>
      <c r="F215" s="157" t="s">
        <v>8434</v>
      </c>
      <c r="G215" s="157">
        <v>180947</v>
      </c>
      <c r="H215" s="157" t="s">
        <v>10251</v>
      </c>
      <c r="I215" s="157" t="s">
        <v>6820</v>
      </c>
      <c r="J215" s="157" t="s">
        <v>6829</v>
      </c>
      <c r="K215" s="157" t="s">
        <v>10252</v>
      </c>
      <c r="L215" s="157" t="s">
        <v>8437</v>
      </c>
      <c r="M215" s="157" t="s">
        <v>10253</v>
      </c>
      <c r="N215" s="158">
        <v>44028</v>
      </c>
      <c r="O215" s="157" t="s">
        <v>9350</v>
      </c>
      <c r="P215" s="158">
        <v>44028</v>
      </c>
      <c r="Q215" s="158">
        <v>44032</v>
      </c>
      <c r="R215" s="178">
        <v>44041</v>
      </c>
      <c r="S215" s="160" t="s">
        <v>9909</v>
      </c>
      <c r="T215" s="161" t="s">
        <v>9350</v>
      </c>
      <c r="U215" s="173">
        <v>44048</v>
      </c>
      <c r="V215" s="161" t="s">
        <v>7409</v>
      </c>
      <c r="W215" s="161">
        <v>20</v>
      </c>
      <c r="X215" s="161" t="s">
        <v>5683</v>
      </c>
      <c r="Y215" s="161" t="s">
        <v>4999</v>
      </c>
      <c r="Z215" s="174">
        <v>44050</v>
      </c>
      <c r="AA215" s="164" t="s">
        <v>264</v>
      </c>
      <c r="AB215" s="165">
        <v>44056</v>
      </c>
      <c r="AC215" s="166">
        <v>44056</v>
      </c>
      <c r="AF215" s="210"/>
      <c r="AG215" s="211"/>
      <c r="AH215" s="209" t="s">
        <v>10243</v>
      </c>
    </row>
    <row r="216" spans="1:34" s="209" customFormat="1" thickBot="1" x14ac:dyDescent="0.3">
      <c r="A216" s="221" t="str">
        <f t="shared" si="9"/>
        <v>OK</v>
      </c>
      <c r="B216" s="222" t="str">
        <f t="shared" si="10"/>
        <v>OK</v>
      </c>
      <c r="C216" s="223" t="str">
        <f t="shared" si="11"/>
        <v>OK</v>
      </c>
      <c r="D216" s="155">
        <v>0</v>
      </c>
      <c r="E216" s="156" t="s">
        <v>10254</v>
      </c>
      <c r="F216" s="157" t="s">
        <v>9396</v>
      </c>
      <c r="G216" s="157">
        <v>180978</v>
      </c>
      <c r="H216" s="157" t="s">
        <v>10255</v>
      </c>
      <c r="I216" s="157" t="s">
        <v>6820</v>
      </c>
      <c r="J216" s="157" t="s">
        <v>6829</v>
      </c>
      <c r="K216" s="157" t="s">
        <v>10256</v>
      </c>
      <c r="L216" s="157" t="s">
        <v>10257</v>
      </c>
      <c r="M216" s="157" t="s">
        <v>7516</v>
      </c>
      <c r="N216" s="158">
        <v>44049</v>
      </c>
      <c r="O216" s="157" t="s">
        <v>7729</v>
      </c>
      <c r="P216" s="158">
        <v>44049</v>
      </c>
      <c r="Q216" s="158">
        <v>44049</v>
      </c>
      <c r="R216" s="178">
        <v>44050</v>
      </c>
      <c r="S216" s="160" t="s">
        <v>9909</v>
      </c>
      <c r="T216" s="161" t="s">
        <v>9351</v>
      </c>
      <c r="U216" s="173">
        <v>44062</v>
      </c>
      <c r="V216" s="161" t="s">
        <v>10258</v>
      </c>
      <c r="W216" s="161">
        <v>2</v>
      </c>
      <c r="X216" s="161" t="s">
        <v>5683</v>
      </c>
      <c r="Y216" s="161" t="s">
        <v>4999</v>
      </c>
      <c r="Z216" s="174">
        <v>44067</v>
      </c>
      <c r="AA216" s="164" t="s">
        <v>264</v>
      </c>
      <c r="AB216" s="165">
        <v>44067</v>
      </c>
      <c r="AC216" s="166">
        <v>44067</v>
      </c>
      <c r="AF216" s="210"/>
      <c r="AG216" s="211"/>
    </row>
    <row r="217" spans="1:34" s="209" customFormat="1" thickBot="1" x14ac:dyDescent="0.3">
      <c r="A217" s="221" t="str">
        <f t="shared" si="9"/>
        <v>OK</v>
      </c>
      <c r="B217" s="222" t="str">
        <f t="shared" si="10"/>
        <v>OK</v>
      </c>
      <c r="C217" s="223" t="str">
        <f t="shared" si="11"/>
        <v>OK</v>
      </c>
      <c r="D217" s="155">
        <v>0</v>
      </c>
      <c r="E217" s="156" t="s">
        <v>10259</v>
      </c>
      <c r="F217" s="157" t="s">
        <v>9396</v>
      </c>
      <c r="G217" s="157">
        <v>180979</v>
      </c>
      <c r="H217" s="157" t="s">
        <v>10260</v>
      </c>
      <c r="I217" s="157" t="s">
        <v>6820</v>
      </c>
      <c r="J217" s="157" t="s">
        <v>6829</v>
      </c>
      <c r="K217" s="157" t="s">
        <v>8543</v>
      </c>
      <c r="L217" s="157" t="s">
        <v>10261</v>
      </c>
      <c r="M217" s="157" t="s">
        <v>7516</v>
      </c>
      <c r="N217" s="158">
        <v>44049</v>
      </c>
      <c r="O217" s="157" t="s">
        <v>7729</v>
      </c>
      <c r="P217" s="158">
        <v>44049</v>
      </c>
      <c r="Q217" s="158">
        <v>44049</v>
      </c>
      <c r="R217" s="178">
        <v>44050</v>
      </c>
      <c r="S217" s="160" t="s">
        <v>9909</v>
      </c>
      <c r="T217" s="161" t="s">
        <v>9351</v>
      </c>
      <c r="U217" s="173">
        <v>44062</v>
      </c>
      <c r="V217" s="161" t="s">
        <v>8870</v>
      </c>
      <c r="W217" s="161">
        <v>2</v>
      </c>
      <c r="X217" s="161" t="s">
        <v>5683</v>
      </c>
      <c r="Y217" s="161" t="s">
        <v>4999</v>
      </c>
      <c r="Z217" s="174">
        <v>44067</v>
      </c>
      <c r="AA217" s="164" t="s">
        <v>264</v>
      </c>
      <c r="AB217" s="165">
        <v>44068</v>
      </c>
      <c r="AC217" s="166">
        <v>44068</v>
      </c>
      <c r="AF217" s="210"/>
      <c r="AG217" s="211"/>
    </row>
    <row r="218" spans="1:34" s="209" customFormat="1" thickBot="1" x14ac:dyDescent="0.3">
      <c r="A218" s="221" t="str">
        <f t="shared" si="9"/>
        <v>OK</v>
      </c>
      <c r="B218" s="222" t="str">
        <f t="shared" si="10"/>
        <v>OK</v>
      </c>
      <c r="C218" s="223" t="str">
        <f t="shared" si="11"/>
        <v>OK</v>
      </c>
      <c r="D218" s="155">
        <v>0</v>
      </c>
      <c r="E218" s="156" t="s">
        <v>10262</v>
      </c>
      <c r="F218" s="157" t="s">
        <v>9396</v>
      </c>
      <c r="G218" s="157">
        <v>180980</v>
      </c>
      <c r="H218" s="157" t="s">
        <v>10263</v>
      </c>
      <c r="I218" s="157" t="s">
        <v>6820</v>
      </c>
      <c r="J218" s="157" t="s">
        <v>6829</v>
      </c>
      <c r="K218" s="157" t="s">
        <v>8835</v>
      </c>
      <c r="L218" s="157" t="s">
        <v>10264</v>
      </c>
      <c r="M218" s="157" t="s">
        <v>7516</v>
      </c>
      <c r="N218" s="158">
        <v>44049</v>
      </c>
      <c r="O218" s="157" t="s">
        <v>7729</v>
      </c>
      <c r="P218" s="158">
        <v>44049</v>
      </c>
      <c r="Q218" s="158">
        <v>44049</v>
      </c>
      <c r="R218" s="178">
        <v>44055</v>
      </c>
      <c r="S218" s="160" t="s">
        <v>9909</v>
      </c>
      <c r="T218" s="161" t="s">
        <v>9351</v>
      </c>
      <c r="U218" s="173">
        <v>44062</v>
      </c>
      <c r="V218" s="161" t="s">
        <v>10265</v>
      </c>
      <c r="W218" s="161">
        <v>1</v>
      </c>
      <c r="X218" s="161" t="s">
        <v>5683</v>
      </c>
      <c r="Y218" s="161" t="s">
        <v>4999</v>
      </c>
      <c r="Z218" s="174">
        <v>44070</v>
      </c>
      <c r="AA218" s="164" t="s">
        <v>264</v>
      </c>
      <c r="AB218" s="165">
        <v>44071</v>
      </c>
      <c r="AC218" s="166">
        <v>44071</v>
      </c>
      <c r="AF218" s="210"/>
      <c r="AG218" s="211"/>
    </row>
    <row r="219" spans="1:34" s="209" customFormat="1" thickBot="1" x14ac:dyDescent="0.3">
      <c r="A219" s="221" t="str">
        <f t="shared" si="9"/>
        <v>OK</v>
      </c>
      <c r="B219" s="222" t="str">
        <f t="shared" si="10"/>
        <v>OK</v>
      </c>
      <c r="C219" s="223" t="str">
        <f t="shared" si="11"/>
        <v>OK</v>
      </c>
      <c r="D219" s="155">
        <v>0</v>
      </c>
      <c r="E219" s="156" t="s">
        <v>10266</v>
      </c>
      <c r="F219" s="157" t="s">
        <v>9396</v>
      </c>
      <c r="G219" s="157">
        <v>180981</v>
      </c>
      <c r="H219" s="157" t="s">
        <v>10267</v>
      </c>
      <c r="I219" s="157" t="s">
        <v>6820</v>
      </c>
      <c r="J219" s="157" t="s">
        <v>6829</v>
      </c>
      <c r="K219" s="157" t="s">
        <v>8932</v>
      </c>
      <c r="L219" s="157" t="s">
        <v>8544</v>
      </c>
      <c r="M219" s="157" t="s">
        <v>7516</v>
      </c>
      <c r="N219" s="158">
        <v>44049</v>
      </c>
      <c r="O219" s="157" t="s">
        <v>7729</v>
      </c>
      <c r="P219" s="158">
        <v>44049</v>
      </c>
      <c r="Q219" s="158">
        <v>44049</v>
      </c>
      <c r="R219" s="178">
        <v>44050</v>
      </c>
      <c r="S219" s="160" t="s">
        <v>9909</v>
      </c>
      <c r="T219" s="161" t="s">
        <v>9351</v>
      </c>
      <c r="U219" s="173">
        <v>44062</v>
      </c>
      <c r="V219" s="161" t="s">
        <v>8870</v>
      </c>
      <c r="W219" s="161">
        <v>4</v>
      </c>
      <c r="X219" s="161" t="s">
        <v>5683</v>
      </c>
      <c r="Y219" s="161" t="s">
        <v>4999</v>
      </c>
      <c r="Z219" s="174">
        <v>44068</v>
      </c>
      <c r="AA219" s="164" t="s">
        <v>264</v>
      </c>
      <c r="AB219" s="165">
        <v>44071</v>
      </c>
      <c r="AC219" s="166">
        <v>44071</v>
      </c>
      <c r="AF219" s="210"/>
      <c r="AG219" s="211"/>
    </row>
    <row r="220" spans="1:34" s="209" customFormat="1" thickBot="1" x14ac:dyDescent="0.3">
      <c r="A220" s="221" t="str">
        <f t="shared" si="9"/>
        <v>OK</v>
      </c>
      <c r="B220" s="222" t="str">
        <f t="shared" si="10"/>
        <v>OK</v>
      </c>
      <c r="C220" s="223" t="str">
        <f t="shared" si="11"/>
        <v>OK</v>
      </c>
      <c r="D220" s="155">
        <v>0</v>
      </c>
      <c r="E220" s="156" t="s">
        <v>10268</v>
      </c>
      <c r="F220" s="157" t="s">
        <v>9414</v>
      </c>
      <c r="G220" s="157">
        <v>180976</v>
      </c>
      <c r="H220" s="157" t="s">
        <v>10269</v>
      </c>
      <c r="I220" s="157" t="s">
        <v>6820</v>
      </c>
      <c r="J220" s="157" t="s">
        <v>6829</v>
      </c>
      <c r="K220" s="157" t="s">
        <v>1135</v>
      </c>
      <c r="L220" s="157" t="s">
        <v>10270</v>
      </c>
      <c r="M220" s="157" t="s">
        <v>1106</v>
      </c>
      <c r="N220" s="158">
        <v>44048</v>
      </c>
      <c r="O220" s="157" t="s">
        <v>9350</v>
      </c>
      <c r="P220" s="158">
        <v>44048</v>
      </c>
      <c r="Q220" s="158">
        <v>44048</v>
      </c>
      <c r="R220" s="178">
        <v>44048</v>
      </c>
      <c r="S220" s="160" t="s">
        <v>9351</v>
      </c>
      <c r="T220" s="161" t="s">
        <v>9351</v>
      </c>
      <c r="U220" s="173">
        <v>44056</v>
      </c>
      <c r="V220" s="161" t="s">
        <v>10271</v>
      </c>
      <c r="W220" s="161">
        <v>1</v>
      </c>
      <c r="X220" s="161" t="s">
        <v>5683</v>
      </c>
      <c r="Y220" s="161" t="s">
        <v>4999</v>
      </c>
      <c r="Z220" s="174">
        <v>44060</v>
      </c>
      <c r="AA220" s="164" t="s">
        <v>264</v>
      </c>
      <c r="AB220" s="165">
        <v>44061</v>
      </c>
      <c r="AC220" s="166">
        <v>44061</v>
      </c>
      <c r="AF220" s="210"/>
      <c r="AG220" s="211"/>
    </row>
    <row r="221" spans="1:34" s="209" customFormat="1" thickBot="1" x14ac:dyDescent="0.3">
      <c r="A221" s="221" t="str">
        <f t="shared" si="9"/>
        <v>OK</v>
      </c>
      <c r="B221" s="222" t="str">
        <f t="shared" si="10"/>
        <v>OK</v>
      </c>
      <c r="C221" s="223" t="str">
        <f t="shared" si="11"/>
        <v>OK</v>
      </c>
      <c r="D221" s="155">
        <v>0</v>
      </c>
      <c r="E221" s="156" t="s">
        <v>10272</v>
      </c>
      <c r="F221" s="157" t="s">
        <v>9414</v>
      </c>
      <c r="G221" s="157">
        <v>180977</v>
      </c>
      <c r="H221" s="157" t="s">
        <v>10273</v>
      </c>
      <c r="I221" s="157" t="s">
        <v>6820</v>
      </c>
      <c r="J221" s="157" t="s">
        <v>6829</v>
      </c>
      <c r="K221" s="157" t="s">
        <v>10274</v>
      </c>
      <c r="L221" s="157" t="s">
        <v>10275</v>
      </c>
      <c r="M221" s="157" t="s">
        <v>1106</v>
      </c>
      <c r="N221" s="158">
        <v>44049</v>
      </c>
      <c r="O221" s="157" t="s">
        <v>9350</v>
      </c>
      <c r="P221" s="158">
        <v>44049</v>
      </c>
      <c r="Q221" s="158">
        <v>44049</v>
      </c>
      <c r="R221" s="178">
        <v>44049</v>
      </c>
      <c r="S221" s="160" t="s">
        <v>9351</v>
      </c>
      <c r="T221" s="161" t="s">
        <v>9351</v>
      </c>
      <c r="U221" s="173">
        <v>44055</v>
      </c>
      <c r="V221" s="161" t="s">
        <v>3870</v>
      </c>
      <c r="W221" s="161">
        <v>1</v>
      </c>
      <c r="X221" s="161" t="s">
        <v>5683</v>
      </c>
      <c r="Y221" s="161" t="s">
        <v>4999</v>
      </c>
      <c r="Z221" s="174">
        <v>44056</v>
      </c>
      <c r="AA221" s="164" t="s">
        <v>264</v>
      </c>
      <c r="AB221" s="165">
        <v>44061</v>
      </c>
      <c r="AC221" s="166">
        <v>44061</v>
      </c>
      <c r="AF221" s="210"/>
      <c r="AG221" s="211"/>
    </row>
    <row r="222" spans="1:34" s="209" customFormat="1" thickBot="1" x14ac:dyDescent="0.3">
      <c r="A222" s="221" t="str">
        <f t="shared" si="9"/>
        <v>OK</v>
      </c>
      <c r="B222" s="222" t="str">
        <f t="shared" si="10"/>
        <v>OK</v>
      </c>
      <c r="C222" s="223" t="str">
        <f t="shared" si="11"/>
        <v>OK</v>
      </c>
      <c r="D222" s="155">
        <v>0</v>
      </c>
      <c r="E222" s="156" t="s">
        <v>10276</v>
      </c>
      <c r="F222" s="157" t="s">
        <v>9414</v>
      </c>
      <c r="G222" s="157">
        <v>181057</v>
      </c>
      <c r="H222" s="157" t="s">
        <v>10277</v>
      </c>
      <c r="I222" s="157" t="s">
        <v>6820</v>
      </c>
      <c r="J222" s="157" t="s">
        <v>6829</v>
      </c>
      <c r="K222" s="157" t="s">
        <v>5745</v>
      </c>
      <c r="L222" s="157" t="s">
        <v>10278</v>
      </c>
      <c r="M222" s="157" t="s">
        <v>1106</v>
      </c>
      <c r="N222" s="158">
        <v>44105</v>
      </c>
      <c r="O222" s="157" t="s">
        <v>9350</v>
      </c>
      <c r="P222" s="158">
        <v>44105</v>
      </c>
      <c r="Q222" s="158">
        <v>44105</v>
      </c>
      <c r="R222" s="178">
        <v>44106</v>
      </c>
      <c r="S222" s="160" t="s">
        <v>10279</v>
      </c>
      <c r="T222" s="161" t="s">
        <v>9350</v>
      </c>
      <c r="U222" s="173">
        <v>44106</v>
      </c>
      <c r="V222" s="161" t="s">
        <v>9769</v>
      </c>
      <c r="W222" s="161">
        <v>4</v>
      </c>
      <c r="X222" s="161" t="s">
        <v>5683</v>
      </c>
      <c r="Y222" s="161" t="s">
        <v>4999</v>
      </c>
      <c r="Z222" s="174">
        <v>44109</v>
      </c>
      <c r="AA222" s="164" t="s">
        <v>264</v>
      </c>
      <c r="AB222" s="165">
        <v>44112</v>
      </c>
      <c r="AC222" s="166">
        <v>44112</v>
      </c>
      <c r="AF222" s="210"/>
      <c r="AG222" s="211"/>
    </row>
    <row r="223" spans="1:34" s="209" customFormat="1" thickBot="1" x14ac:dyDescent="0.3">
      <c r="A223" s="221" t="str">
        <f t="shared" si="9"/>
        <v>OK</v>
      </c>
      <c r="B223" s="222" t="str">
        <f t="shared" si="10"/>
        <v>OK</v>
      </c>
      <c r="C223" s="223" t="str">
        <f t="shared" si="11"/>
        <v>OK</v>
      </c>
      <c r="D223" s="155">
        <v>0</v>
      </c>
      <c r="E223" s="156" t="s">
        <v>10280</v>
      </c>
      <c r="F223" s="157" t="s">
        <v>9414</v>
      </c>
      <c r="G223" s="157">
        <v>181077</v>
      </c>
      <c r="H223" s="157" t="s">
        <v>10281</v>
      </c>
      <c r="I223" s="157" t="s">
        <v>6820</v>
      </c>
      <c r="J223" s="157" t="s">
        <v>6829</v>
      </c>
      <c r="K223" s="157" t="s">
        <v>10282</v>
      </c>
      <c r="L223" s="157" t="s">
        <v>10283</v>
      </c>
      <c r="M223" s="157" t="s">
        <v>1106</v>
      </c>
      <c r="N223" s="158">
        <v>44120</v>
      </c>
      <c r="O223" s="157" t="s">
        <v>9350</v>
      </c>
      <c r="P223" s="158">
        <v>44120</v>
      </c>
      <c r="Q223" s="158">
        <v>44123</v>
      </c>
      <c r="R223" s="178">
        <v>44125</v>
      </c>
      <c r="S223" s="160" t="s">
        <v>9351</v>
      </c>
      <c r="T223" s="161" t="s">
        <v>9351</v>
      </c>
      <c r="U223" s="173">
        <v>44126</v>
      </c>
      <c r="V223" s="161" t="s">
        <v>9769</v>
      </c>
      <c r="W223" s="161">
        <v>1</v>
      </c>
      <c r="X223" s="161" t="s">
        <v>5683</v>
      </c>
      <c r="Y223" s="161" t="s">
        <v>4999</v>
      </c>
      <c r="Z223" s="174">
        <v>44127</v>
      </c>
      <c r="AA223" s="164" t="s">
        <v>264</v>
      </c>
      <c r="AB223" s="165">
        <v>44130</v>
      </c>
      <c r="AC223" s="166">
        <v>44130</v>
      </c>
      <c r="AF223" s="210"/>
      <c r="AG223" s="211"/>
    </row>
    <row r="224" spans="1:34" s="209" customFormat="1" thickBot="1" x14ac:dyDescent="0.3">
      <c r="A224" s="221" t="str">
        <f t="shared" si="9"/>
        <v>OK</v>
      </c>
      <c r="B224" s="222" t="str">
        <f t="shared" si="10"/>
        <v>OK</v>
      </c>
      <c r="C224" s="223" t="str">
        <f t="shared" si="11"/>
        <v>OK</v>
      </c>
      <c r="D224" s="155">
        <v>0</v>
      </c>
      <c r="E224" s="156" t="s">
        <v>10284</v>
      </c>
      <c r="F224" s="157" t="s">
        <v>9414</v>
      </c>
      <c r="G224" s="157">
        <v>181047</v>
      </c>
      <c r="H224" s="157" t="s">
        <v>10285</v>
      </c>
      <c r="I224" s="157" t="s">
        <v>6820</v>
      </c>
      <c r="J224" s="157" t="s">
        <v>6829</v>
      </c>
      <c r="K224" s="157" t="s">
        <v>10286</v>
      </c>
      <c r="L224" s="157" t="s">
        <v>10287</v>
      </c>
      <c r="M224" s="157" t="s">
        <v>1106</v>
      </c>
      <c r="N224" s="158">
        <v>44097</v>
      </c>
      <c r="O224" s="157" t="s">
        <v>9350</v>
      </c>
      <c r="P224" s="158">
        <v>44097</v>
      </c>
      <c r="Q224" s="158">
        <v>44159</v>
      </c>
      <c r="R224" s="178">
        <v>44159</v>
      </c>
      <c r="S224" s="160" t="s">
        <v>7729</v>
      </c>
      <c r="T224" s="161" t="s">
        <v>7729</v>
      </c>
      <c r="U224" s="173">
        <v>44160</v>
      </c>
      <c r="V224" s="161" t="s">
        <v>9422</v>
      </c>
      <c r="W224" s="161">
        <v>12</v>
      </c>
      <c r="X224" s="161" t="s">
        <v>5683</v>
      </c>
      <c r="Y224" s="161" t="s">
        <v>4999</v>
      </c>
      <c r="Z224" s="174">
        <v>44160</v>
      </c>
      <c r="AA224" s="164" t="s">
        <v>264</v>
      </c>
      <c r="AB224" s="165">
        <v>44112</v>
      </c>
      <c r="AC224" s="166">
        <v>44112</v>
      </c>
      <c r="AF224" s="210"/>
      <c r="AG224" s="211"/>
    </row>
    <row r="225" spans="1:35" s="209" customFormat="1" ht="30.75" thickBot="1" x14ac:dyDescent="0.3">
      <c r="A225" s="221" t="str">
        <f t="shared" si="9"/>
        <v>OK</v>
      </c>
      <c r="B225" s="222" t="str">
        <f t="shared" si="10"/>
        <v>OK</v>
      </c>
      <c r="C225" s="223" t="str">
        <f t="shared" si="11"/>
        <v>OK</v>
      </c>
      <c r="D225" s="155">
        <v>0</v>
      </c>
      <c r="E225" s="156" t="s">
        <v>10288</v>
      </c>
      <c r="F225" s="157" t="s">
        <v>9414</v>
      </c>
      <c r="G225" s="157">
        <v>181146</v>
      </c>
      <c r="H225" s="157" t="s">
        <v>10289</v>
      </c>
      <c r="I225" s="157" t="s">
        <v>6820</v>
      </c>
      <c r="J225" s="157" t="s">
        <v>6829</v>
      </c>
      <c r="K225" s="157" t="s">
        <v>1113</v>
      </c>
      <c r="L225" s="157" t="s">
        <v>10290</v>
      </c>
      <c r="M225" s="157" t="s">
        <v>1106</v>
      </c>
      <c r="N225" s="158">
        <v>44159</v>
      </c>
      <c r="O225" s="157" t="s">
        <v>7729</v>
      </c>
      <c r="P225" s="158">
        <v>44159</v>
      </c>
      <c r="Q225" s="158">
        <v>44159</v>
      </c>
      <c r="R225" s="178">
        <v>44159</v>
      </c>
      <c r="S225" s="160" t="s">
        <v>7729</v>
      </c>
      <c r="T225" s="161" t="s">
        <v>7729</v>
      </c>
      <c r="U225" s="173">
        <v>44160</v>
      </c>
      <c r="V225" s="161" t="s">
        <v>9422</v>
      </c>
      <c r="W225" s="161">
        <v>16</v>
      </c>
      <c r="X225" s="161" t="s">
        <v>5683</v>
      </c>
      <c r="Y225" s="161" t="s">
        <v>4999</v>
      </c>
      <c r="Z225" s="174">
        <v>44167</v>
      </c>
      <c r="AA225" s="164" t="s">
        <v>8250</v>
      </c>
      <c r="AB225" s="165">
        <v>44167</v>
      </c>
      <c r="AC225" s="166">
        <v>44167</v>
      </c>
      <c r="AF225" s="210"/>
      <c r="AG225" s="211"/>
    </row>
    <row r="226" spans="1:35" s="209" customFormat="1" thickBot="1" x14ac:dyDescent="0.3">
      <c r="A226" s="221" t="str">
        <f t="shared" si="9"/>
        <v>OK</v>
      </c>
      <c r="B226" s="222" t="str">
        <f t="shared" si="10"/>
        <v>OK</v>
      </c>
      <c r="C226" s="223" t="str">
        <f t="shared" si="11"/>
        <v>OK</v>
      </c>
      <c r="D226" s="155">
        <v>0</v>
      </c>
      <c r="E226" s="156" t="s">
        <v>10291</v>
      </c>
      <c r="F226" s="157" t="s">
        <v>8326</v>
      </c>
      <c r="G226" s="157">
        <v>180984</v>
      </c>
      <c r="H226" s="157" t="s">
        <v>10292</v>
      </c>
      <c r="I226" s="157" t="s">
        <v>6820</v>
      </c>
      <c r="J226" s="157" t="s">
        <v>6829</v>
      </c>
      <c r="K226" s="157" t="s">
        <v>10293</v>
      </c>
      <c r="L226" s="157" t="s">
        <v>10294</v>
      </c>
      <c r="M226" s="157" t="s">
        <v>10295</v>
      </c>
      <c r="N226" s="158">
        <v>44053</v>
      </c>
      <c r="O226" s="157" t="s">
        <v>9350</v>
      </c>
      <c r="P226" s="158">
        <v>44053</v>
      </c>
      <c r="Q226" s="158">
        <v>44053</v>
      </c>
      <c r="R226" s="178">
        <v>44053</v>
      </c>
      <c r="S226" s="160" t="s">
        <v>9351</v>
      </c>
      <c r="T226" s="161" t="s">
        <v>9351</v>
      </c>
      <c r="U226" s="173">
        <v>44057</v>
      </c>
      <c r="V226" s="161" t="s">
        <v>10296</v>
      </c>
      <c r="W226" s="161">
        <v>3</v>
      </c>
      <c r="X226" s="161" t="s">
        <v>5683</v>
      </c>
      <c r="Y226" s="161" t="s">
        <v>4999</v>
      </c>
      <c r="Z226" s="174">
        <v>44060</v>
      </c>
      <c r="AA226" s="164" t="s">
        <v>264</v>
      </c>
      <c r="AB226" s="165">
        <v>44070</v>
      </c>
      <c r="AC226" s="166">
        <v>44070</v>
      </c>
      <c r="AF226" s="210"/>
      <c r="AG226" s="211"/>
    </row>
    <row r="227" spans="1:35" s="209" customFormat="1" ht="28.5" customHeight="1" thickBot="1" x14ac:dyDescent="0.3">
      <c r="A227" s="221" t="str">
        <f t="shared" si="9"/>
        <v>OK</v>
      </c>
      <c r="B227" s="222" t="str">
        <f t="shared" si="10"/>
        <v>OK</v>
      </c>
      <c r="C227" s="223" t="str">
        <f t="shared" si="11"/>
        <v>OK</v>
      </c>
      <c r="D227" s="155">
        <v>0</v>
      </c>
      <c r="E227" s="156" t="s">
        <v>10297</v>
      </c>
      <c r="F227" s="157" t="s">
        <v>9396</v>
      </c>
      <c r="G227" s="157">
        <v>180996</v>
      </c>
      <c r="H227" s="157" t="s">
        <v>10298</v>
      </c>
      <c r="I227" s="157" t="s">
        <v>6820</v>
      </c>
      <c r="J227" s="157" t="s">
        <v>6829</v>
      </c>
      <c r="K227" s="157" t="s">
        <v>10299</v>
      </c>
      <c r="L227" s="157" t="s">
        <v>2683</v>
      </c>
      <c r="M227" s="157" t="s">
        <v>7516</v>
      </c>
      <c r="N227" s="158">
        <v>44062</v>
      </c>
      <c r="O227" s="157" t="s">
        <v>7729</v>
      </c>
      <c r="P227" s="158">
        <v>44063</v>
      </c>
      <c r="Q227" s="158">
        <v>44063</v>
      </c>
      <c r="R227" s="178">
        <v>44068</v>
      </c>
      <c r="S227" s="160" t="s">
        <v>9351</v>
      </c>
      <c r="T227" s="161" t="s">
        <v>7729</v>
      </c>
      <c r="U227" s="173">
        <v>44082</v>
      </c>
      <c r="V227" s="161" t="s">
        <v>7450</v>
      </c>
      <c r="W227" s="161">
        <v>1</v>
      </c>
      <c r="X227" s="161" t="s">
        <v>5683</v>
      </c>
      <c r="Y227" s="161" t="s">
        <v>4999</v>
      </c>
      <c r="Z227" s="174">
        <v>44090</v>
      </c>
      <c r="AA227" s="164" t="s">
        <v>264</v>
      </c>
      <c r="AB227" s="165">
        <v>44091</v>
      </c>
      <c r="AC227" s="166">
        <v>44091</v>
      </c>
      <c r="AF227" s="210"/>
      <c r="AG227" s="211"/>
    </row>
    <row r="228" spans="1:35" s="209" customFormat="1" thickBot="1" x14ac:dyDescent="0.3">
      <c r="A228" s="221" t="str">
        <f t="shared" si="9"/>
        <v>OK</v>
      </c>
      <c r="B228" s="222" t="str">
        <f t="shared" si="10"/>
        <v>OK</v>
      </c>
      <c r="C228" s="223" t="str">
        <f t="shared" si="11"/>
        <v>OK</v>
      </c>
      <c r="D228" s="155">
        <v>0</v>
      </c>
      <c r="E228" s="156" t="s">
        <v>10300</v>
      </c>
      <c r="F228" s="157" t="s">
        <v>9396</v>
      </c>
      <c r="G228" s="157">
        <v>180996</v>
      </c>
      <c r="H228" s="157" t="s">
        <v>10301</v>
      </c>
      <c r="I228" s="157" t="s">
        <v>6820</v>
      </c>
      <c r="J228" s="157" t="s">
        <v>6829</v>
      </c>
      <c r="K228" s="169" t="s">
        <v>10143</v>
      </c>
      <c r="L228" s="157" t="s">
        <v>10302</v>
      </c>
      <c r="M228" s="157" t="s">
        <v>7516</v>
      </c>
      <c r="N228" s="158">
        <v>44062</v>
      </c>
      <c r="O228" s="157" t="s">
        <v>7729</v>
      </c>
      <c r="P228" s="158">
        <v>44063</v>
      </c>
      <c r="Q228" s="158">
        <v>44063</v>
      </c>
      <c r="R228" s="178">
        <v>44068</v>
      </c>
      <c r="S228" s="160" t="s">
        <v>9351</v>
      </c>
      <c r="T228" s="161" t="s">
        <v>7729</v>
      </c>
      <c r="U228" s="173">
        <v>44082</v>
      </c>
      <c r="V228" s="161" t="s">
        <v>5044</v>
      </c>
      <c r="W228" s="161">
        <v>10</v>
      </c>
      <c r="X228" s="161" t="s">
        <v>5683</v>
      </c>
      <c r="Y228" s="161" t="s">
        <v>4999</v>
      </c>
      <c r="Z228" s="174">
        <v>44091</v>
      </c>
      <c r="AA228" s="164" t="s">
        <v>264</v>
      </c>
      <c r="AB228" s="165">
        <v>44091</v>
      </c>
      <c r="AC228" s="166">
        <v>44091</v>
      </c>
      <c r="AF228" s="210"/>
      <c r="AG228" s="211"/>
    </row>
    <row r="229" spans="1:35" s="209" customFormat="1" thickBot="1" x14ac:dyDescent="0.3">
      <c r="A229" s="221" t="str">
        <f t="shared" si="9"/>
        <v>OK</v>
      </c>
      <c r="B229" s="222" t="str">
        <f t="shared" si="10"/>
        <v>OK</v>
      </c>
      <c r="C229" s="223" t="str">
        <f t="shared" si="11"/>
        <v>OK</v>
      </c>
      <c r="D229" s="155">
        <v>0</v>
      </c>
      <c r="E229" s="156" t="s">
        <v>10303</v>
      </c>
      <c r="F229" s="157" t="s">
        <v>9396</v>
      </c>
      <c r="G229" s="157">
        <v>180996</v>
      </c>
      <c r="H229" s="157" t="s">
        <v>10304</v>
      </c>
      <c r="I229" s="157" t="s">
        <v>6820</v>
      </c>
      <c r="J229" s="157" t="s">
        <v>6829</v>
      </c>
      <c r="K229" s="157" t="s">
        <v>10069</v>
      </c>
      <c r="L229" s="157" t="s">
        <v>10305</v>
      </c>
      <c r="M229" s="157" t="s">
        <v>7516</v>
      </c>
      <c r="N229" s="158">
        <v>44062</v>
      </c>
      <c r="O229" s="157" t="s">
        <v>7729</v>
      </c>
      <c r="P229" s="158">
        <v>44063</v>
      </c>
      <c r="Q229" s="158">
        <v>44063</v>
      </c>
      <c r="R229" s="178">
        <v>44068</v>
      </c>
      <c r="S229" s="160" t="s">
        <v>9351</v>
      </c>
      <c r="T229" s="161" t="s">
        <v>7729</v>
      </c>
      <c r="U229" s="173">
        <v>44082</v>
      </c>
      <c r="V229" s="161" t="s">
        <v>10070</v>
      </c>
      <c r="W229" s="161">
        <v>2</v>
      </c>
      <c r="X229" s="161" t="s">
        <v>5683</v>
      </c>
      <c r="Y229" s="161" t="s">
        <v>4999</v>
      </c>
      <c r="Z229" s="163">
        <v>44090</v>
      </c>
      <c r="AA229" s="164" t="s">
        <v>264</v>
      </c>
      <c r="AB229" s="165">
        <v>44091</v>
      </c>
      <c r="AC229" s="166">
        <v>44091</v>
      </c>
      <c r="AF229" s="210"/>
      <c r="AG229" s="211"/>
      <c r="AH229" s="208"/>
      <c r="AI229" s="208"/>
    </row>
    <row r="230" spans="1:35" s="208" customFormat="1" thickBot="1" x14ac:dyDescent="0.3">
      <c r="A230" s="221" t="str">
        <f t="shared" si="9"/>
        <v>OK</v>
      </c>
      <c r="B230" s="222" t="str">
        <f t="shared" si="10"/>
        <v>OK</v>
      </c>
      <c r="C230" s="223" t="str">
        <f t="shared" si="11"/>
        <v>OK</v>
      </c>
      <c r="D230" s="155">
        <v>0</v>
      </c>
      <c r="E230" s="156" t="s">
        <v>10306</v>
      </c>
      <c r="F230" s="157" t="s">
        <v>9396</v>
      </c>
      <c r="G230" s="157">
        <v>180996</v>
      </c>
      <c r="H230" s="157" t="s">
        <v>10307</v>
      </c>
      <c r="I230" s="157" t="s">
        <v>6820</v>
      </c>
      <c r="J230" s="157" t="s">
        <v>6829</v>
      </c>
      <c r="K230" s="157" t="s">
        <v>10115</v>
      </c>
      <c r="L230" s="157" t="s">
        <v>10308</v>
      </c>
      <c r="M230" s="157" t="s">
        <v>10117</v>
      </c>
      <c r="N230" s="158">
        <v>44062</v>
      </c>
      <c r="O230" s="157" t="s">
        <v>7729</v>
      </c>
      <c r="P230" s="158">
        <v>44063</v>
      </c>
      <c r="Q230" s="158">
        <v>44063</v>
      </c>
      <c r="R230" s="178">
        <v>44068</v>
      </c>
      <c r="S230" s="160" t="s">
        <v>9351</v>
      </c>
      <c r="T230" s="161" t="s">
        <v>7729</v>
      </c>
      <c r="U230" s="173">
        <v>44082</v>
      </c>
      <c r="V230" s="161" t="s">
        <v>7535</v>
      </c>
      <c r="W230" s="161">
        <v>3</v>
      </c>
      <c r="X230" s="161" t="s">
        <v>5683</v>
      </c>
      <c r="Y230" s="161" t="s">
        <v>4999</v>
      </c>
      <c r="Z230" s="163">
        <v>44090</v>
      </c>
      <c r="AA230" s="164" t="s">
        <v>264</v>
      </c>
      <c r="AB230" s="165">
        <v>44126</v>
      </c>
      <c r="AC230" s="166">
        <v>44126</v>
      </c>
      <c r="AD230" s="209"/>
      <c r="AE230" s="209"/>
      <c r="AF230" s="210"/>
      <c r="AG230" s="211"/>
    </row>
    <row r="231" spans="1:35" s="208" customFormat="1" ht="15" customHeight="1" thickBot="1" x14ac:dyDescent="0.3">
      <c r="A231" s="221" t="str">
        <f t="shared" si="9"/>
        <v>OK</v>
      </c>
      <c r="B231" s="222" t="str">
        <f t="shared" si="10"/>
        <v>OK</v>
      </c>
      <c r="C231" s="223" t="str">
        <f t="shared" si="11"/>
        <v>OK</v>
      </c>
      <c r="D231" s="155">
        <v>0</v>
      </c>
      <c r="E231" s="156" t="s">
        <v>10309</v>
      </c>
      <c r="F231" s="157" t="s">
        <v>8322</v>
      </c>
      <c r="G231" s="157">
        <v>180992</v>
      </c>
      <c r="H231" s="157" t="s">
        <v>10310</v>
      </c>
      <c r="I231" s="157" t="s">
        <v>6820</v>
      </c>
      <c r="J231" s="157" t="s">
        <v>6829</v>
      </c>
      <c r="K231" s="157" t="s">
        <v>10311</v>
      </c>
      <c r="L231" s="157" t="s">
        <v>10312</v>
      </c>
      <c r="M231" s="157" t="s">
        <v>5529</v>
      </c>
      <c r="N231" s="158">
        <v>44060</v>
      </c>
      <c r="O231" s="157" t="s">
        <v>9350</v>
      </c>
      <c r="P231" s="158">
        <v>44060</v>
      </c>
      <c r="Q231" s="158">
        <v>44061</v>
      </c>
      <c r="R231" s="159">
        <v>44089</v>
      </c>
      <c r="S231" s="160" t="s">
        <v>9351</v>
      </c>
      <c r="T231" s="161" t="s">
        <v>9350</v>
      </c>
      <c r="U231" s="162">
        <v>44067</v>
      </c>
      <c r="V231" s="161" t="s">
        <v>10313</v>
      </c>
      <c r="W231" s="161">
        <v>2</v>
      </c>
      <c r="X231" s="161" t="s">
        <v>5683</v>
      </c>
      <c r="Y231" s="161" t="s">
        <v>4999</v>
      </c>
      <c r="Z231" s="163">
        <v>44069</v>
      </c>
      <c r="AA231" s="164" t="s">
        <v>264</v>
      </c>
      <c r="AB231" s="165">
        <v>44069</v>
      </c>
      <c r="AC231" s="166">
        <v>44069</v>
      </c>
      <c r="AD231" s="209"/>
      <c r="AE231" s="209"/>
      <c r="AF231" s="210"/>
      <c r="AG231" s="211"/>
    </row>
    <row r="232" spans="1:35" s="208" customFormat="1" ht="15" customHeight="1" x14ac:dyDescent="0.25">
      <c r="A232" s="221" t="str">
        <f t="shared" si="9"/>
        <v>OK</v>
      </c>
      <c r="B232" s="222" t="str">
        <f t="shared" si="10"/>
        <v>OK</v>
      </c>
      <c r="C232" s="223" t="str">
        <f t="shared" si="11"/>
        <v>OK</v>
      </c>
      <c r="D232" s="155">
        <v>0</v>
      </c>
      <c r="E232" s="156" t="s">
        <v>10314</v>
      </c>
      <c r="F232" s="157" t="s">
        <v>10315</v>
      </c>
      <c r="G232" s="157">
        <v>180990</v>
      </c>
      <c r="H232" s="157" t="s">
        <v>10316</v>
      </c>
      <c r="I232" s="157" t="s">
        <v>6820</v>
      </c>
      <c r="J232" s="157" t="s">
        <v>6829</v>
      </c>
      <c r="K232" s="157" t="s">
        <v>10317</v>
      </c>
      <c r="L232" s="157" t="s">
        <v>10318</v>
      </c>
      <c r="M232" s="157" t="s">
        <v>1684</v>
      </c>
      <c r="N232" s="158">
        <v>44056</v>
      </c>
      <c r="O232" s="157" t="s">
        <v>9350</v>
      </c>
      <c r="P232" s="158">
        <v>44056</v>
      </c>
      <c r="Q232" s="158">
        <v>44060</v>
      </c>
      <c r="R232" s="159">
        <v>44064</v>
      </c>
      <c r="S232" s="160" t="s">
        <v>9351</v>
      </c>
      <c r="T232" s="161" t="s">
        <v>9351</v>
      </c>
      <c r="U232" s="162">
        <v>44083</v>
      </c>
      <c r="V232" s="161" t="s">
        <v>10319</v>
      </c>
      <c r="W232" s="161">
        <v>1</v>
      </c>
      <c r="X232" s="161" t="s">
        <v>5683</v>
      </c>
      <c r="Y232" s="161" t="s">
        <v>4999</v>
      </c>
      <c r="Z232" s="163">
        <v>44104</v>
      </c>
      <c r="AA232" s="164" t="s">
        <v>264</v>
      </c>
      <c r="AB232" s="165">
        <v>44104</v>
      </c>
      <c r="AC232" s="166">
        <v>44104</v>
      </c>
      <c r="AD232" s="209"/>
      <c r="AE232" s="209"/>
      <c r="AF232" s="210"/>
      <c r="AG232" s="211"/>
    </row>
    <row r="233" spans="1:35" s="264" customFormat="1" ht="15" customHeight="1" thickBot="1" x14ac:dyDescent="0.3">
      <c r="A233" s="468" t="s">
        <v>10320</v>
      </c>
      <c r="B233" s="469"/>
      <c r="C233" s="470"/>
      <c r="D233" s="254">
        <v>0</v>
      </c>
      <c r="E233" s="255" t="s">
        <v>10321</v>
      </c>
      <c r="F233" s="224" t="s">
        <v>6169</v>
      </c>
      <c r="G233" s="224">
        <v>180993</v>
      </c>
      <c r="H233" s="224" t="s">
        <v>10322</v>
      </c>
      <c r="I233" s="224" t="s">
        <v>6820</v>
      </c>
      <c r="J233" s="224" t="s">
        <v>6829</v>
      </c>
      <c r="K233" s="224" t="s">
        <v>10323</v>
      </c>
      <c r="L233" s="224" t="s">
        <v>10324</v>
      </c>
      <c r="M233" s="224" t="s">
        <v>10325</v>
      </c>
      <c r="N233" s="205">
        <v>44056</v>
      </c>
      <c r="O233" s="224" t="s">
        <v>9350</v>
      </c>
      <c r="P233" s="205">
        <v>44056</v>
      </c>
      <c r="Q233" s="205">
        <v>44061</v>
      </c>
      <c r="R233" s="256"/>
      <c r="S233" s="257" t="s">
        <v>9145</v>
      </c>
      <c r="T233" s="258" t="s">
        <v>9350</v>
      </c>
      <c r="U233" s="261">
        <v>44067</v>
      </c>
      <c r="V233" s="258" t="s">
        <v>4094</v>
      </c>
      <c r="W233" s="258">
        <v>1</v>
      </c>
      <c r="X233" s="258" t="s">
        <v>5683</v>
      </c>
      <c r="Y233" s="258" t="s">
        <v>4999</v>
      </c>
      <c r="Z233" s="262">
        <v>44068</v>
      </c>
      <c r="AA233" s="260"/>
      <c r="AB233" s="261"/>
      <c r="AC233" s="262"/>
      <c r="AD233" s="263"/>
      <c r="AE233" s="263"/>
      <c r="AF233" s="257"/>
      <c r="AG233" s="259"/>
    </row>
    <row r="234" spans="1:35" s="208" customFormat="1" ht="15" customHeight="1" thickBot="1" x14ac:dyDescent="0.3">
      <c r="A234" s="221" t="str">
        <f t="shared" si="9"/>
        <v>OK</v>
      </c>
      <c r="B234" s="222" t="str">
        <f t="shared" si="10"/>
        <v>OK</v>
      </c>
      <c r="C234" s="223" t="str">
        <f t="shared" si="11"/>
        <v>OK</v>
      </c>
      <c r="D234" s="155">
        <v>0</v>
      </c>
      <c r="E234" s="156" t="s">
        <v>10326</v>
      </c>
      <c r="F234" s="157" t="s">
        <v>8369</v>
      </c>
      <c r="G234" s="157">
        <v>180997</v>
      </c>
      <c r="H234" s="157" t="s">
        <v>10327</v>
      </c>
      <c r="I234" s="157" t="s">
        <v>6820</v>
      </c>
      <c r="J234" s="157" t="s">
        <v>6829</v>
      </c>
      <c r="K234" s="157" t="s">
        <v>10328</v>
      </c>
      <c r="L234" s="157" t="s">
        <v>10329</v>
      </c>
      <c r="M234" s="157" t="s">
        <v>223</v>
      </c>
      <c r="N234" s="158">
        <v>44064</v>
      </c>
      <c r="O234" s="157" t="s">
        <v>9350</v>
      </c>
      <c r="P234" s="158">
        <v>44064</v>
      </c>
      <c r="Q234" s="158">
        <v>44067</v>
      </c>
      <c r="R234" s="159">
        <v>44067</v>
      </c>
      <c r="S234" s="160" t="s">
        <v>9351</v>
      </c>
      <c r="T234" s="161" t="s">
        <v>9350</v>
      </c>
      <c r="U234" s="162">
        <v>44071</v>
      </c>
      <c r="V234" s="161" t="s">
        <v>10330</v>
      </c>
      <c r="W234" s="161">
        <v>1</v>
      </c>
      <c r="X234" s="161" t="s">
        <v>5683</v>
      </c>
      <c r="Y234" s="161" t="s">
        <v>4999</v>
      </c>
      <c r="Z234" s="163">
        <v>44076</v>
      </c>
      <c r="AA234" s="164" t="s">
        <v>264</v>
      </c>
      <c r="AB234" s="165">
        <v>44083</v>
      </c>
      <c r="AC234" s="166">
        <v>44083</v>
      </c>
      <c r="AD234" s="209"/>
      <c r="AE234" s="209"/>
      <c r="AF234" s="210"/>
      <c r="AG234" s="211"/>
    </row>
    <row r="235" spans="1:35" s="208" customFormat="1" ht="15" customHeight="1" thickBot="1" x14ac:dyDescent="0.3">
      <c r="A235" s="221" t="str">
        <f t="shared" si="9"/>
        <v>OK</v>
      </c>
      <c r="B235" s="222" t="str">
        <f t="shared" si="10"/>
        <v>OK</v>
      </c>
      <c r="C235" s="223" t="str">
        <f t="shared" si="11"/>
        <v>OK</v>
      </c>
      <c r="D235" s="155">
        <v>0</v>
      </c>
      <c r="E235" s="156" t="s">
        <v>10331</v>
      </c>
      <c r="F235" s="157" t="s">
        <v>8369</v>
      </c>
      <c r="G235" s="157">
        <v>180998</v>
      </c>
      <c r="H235" s="157" t="s">
        <v>10332</v>
      </c>
      <c r="I235" s="157" t="s">
        <v>6820</v>
      </c>
      <c r="J235" s="157" t="s">
        <v>6829</v>
      </c>
      <c r="K235" s="157" t="s">
        <v>135</v>
      </c>
      <c r="L235" s="157" t="s">
        <v>10333</v>
      </c>
      <c r="M235" s="157" t="s">
        <v>6232</v>
      </c>
      <c r="N235" s="158">
        <v>44064</v>
      </c>
      <c r="O235" s="157" t="s">
        <v>9350</v>
      </c>
      <c r="P235" s="158">
        <v>44064</v>
      </c>
      <c r="Q235" s="158">
        <v>44067</v>
      </c>
      <c r="R235" s="159">
        <v>44067</v>
      </c>
      <c r="S235" s="160" t="s">
        <v>9351</v>
      </c>
      <c r="T235" s="161" t="s">
        <v>9350</v>
      </c>
      <c r="U235" s="162">
        <v>44071</v>
      </c>
      <c r="V235" s="161" t="s">
        <v>137</v>
      </c>
      <c r="W235" s="161">
        <v>8</v>
      </c>
      <c r="X235" s="161" t="s">
        <v>5683</v>
      </c>
      <c r="Y235" s="161" t="s">
        <v>4999</v>
      </c>
      <c r="Z235" s="163">
        <v>44074</v>
      </c>
      <c r="AA235" s="164" t="s">
        <v>8250</v>
      </c>
      <c r="AB235" s="165">
        <v>44083</v>
      </c>
      <c r="AC235" s="166">
        <v>44083</v>
      </c>
      <c r="AD235" s="209"/>
      <c r="AE235" s="209"/>
      <c r="AF235" s="210"/>
      <c r="AG235" s="211"/>
    </row>
    <row r="236" spans="1:35" s="208" customFormat="1" ht="15" customHeight="1" thickBot="1" x14ac:dyDescent="0.3">
      <c r="A236" s="221" t="str">
        <f t="shared" si="9"/>
        <v>OK</v>
      </c>
      <c r="B236" s="222" t="str">
        <f t="shared" si="10"/>
        <v>OK</v>
      </c>
      <c r="C236" s="223" t="str">
        <f t="shared" si="11"/>
        <v>OK</v>
      </c>
      <c r="D236" s="155">
        <v>0</v>
      </c>
      <c r="E236" s="156" t="s">
        <v>10334</v>
      </c>
      <c r="F236" s="157" t="s">
        <v>8369</v>
      </c>
      <c r="G236" s="157">
        <v>180999</v>
      </c>
      <c r="H236" s="157" t="s">
        <v>10335</v>
      </c>
      <c r="I236" s="157" t="s">
        <v>6820</v>
      </c>
      <c r="J236" s="157" t="s">
        <v>6829</v>
      </c>
      <c r="K236" s="157" t="s">
        <v>10336</v>
      </c>
      <c r="L236" s="157" t="s">
        <v>10337</v>
      </c>
      <c r="M236" s="157" t="s">
        <v>1812</v>
      </c>
      <c r="N236" s="158">
        <v>44064</v>
      </c>
      <c r="O236" s="157" t="s">
        <v>9350</v>
      </c>
      <c r="P236" s="158">
        <v>44064</v>
      </c>
      <c r="Q236" s="158">
        <v>44067</v>
      </c>
      <c r="R236" s="159">
        <v>44067</v>
      </c>
      <c r="S236" s="160" t="s">
        <v>9351</v>
      </c>
      <c r="T236" s="161" t="s">
        <v>9350</v>
      </c>
      <c r="U236" s="162">
        <v>44071</v>
      </c>
      <c r="V236" s="161" t="s">
        <v>9665</v>
      </c>
      <c r="W236" s="161">
        <v>3</v>
      </c>
      <c r="X236" s="161" t="s">
        <v>5683</v>
      </c>
      <c r="Y236" s="161" t="s">
        <v>4999</v>
      </c>
      <c r="Z236" s="163" t="s">
        <v>10338</v>
      </c>
      <c r="AA236" s="164" t="s">
        <v>8250</v>
      </c>
      <c r="AB236" s="165">
        <v>44083</v>
      </c>
      <c r="AC236" s="166">
        <v>44083</v>
      </c>
      <c r="AD236" s="209"/>
      <c r="AE236" s="209"/>
      <c r="AF236" s="210"/>
      <c r="AG236" s="211"/>
    </row>
    <row r="237" spans="1:35" s="208" customFormat="1" ht="15" customHeight="1" thickBot="1" x14ac:dyDescent="0.3">
      <c r="A237" s="221" t="str">
        <f t="shared" si="9"/>
        <v>OK</v>
      </c>
      <c r="B237" s="222" t="str">
        <f t="shared" si="10"/>
        <v>OK</v>
      </c>
      <c r="C237" s="223" t="str">
        <f t="shared" si="11"/>
        <v>OK</v>
      </c>
      <c r="D237" s="155">
        <v>0</v>
      </c>
      <c r="E237" s="156" t="s">
        <v>10339</v>
      </c>
      <c r="F237" s="157" t="s">
        <v>10340</v>
      </c>
      <c r="G237" s="157">
        <v>181005</v>
      </c>
      <c r="H237" s="157" t="s">
        <v>10341</v>
      </c>
      <c r="I237" s="157" t="s">
        <v>6820</v>
      </c>
      <c r="J237" s="157" t="s">
        <v>6829</v>
      </c>
      <c r="K237" s="157" t="s">
        <v>10342</v>
      </c>
      <c r="L237" s="157" t="s">
        <v>10343</v>
      </c>
      <c r="M237" s="157" t="s">
        <v>10344</v>
      </c>
      <c r="N237" s="158">
        <v>44069</v>
      </c>
      <c r="O237" s="157" t="s">
        <v>7729</v>
      </c>
      <c r="P237" s="158">
        <v>44069</v>
      </c>
      <c r="Q237" s="158">
        <v>44069</v>
      </c>
      <c r="R237" s="159">
        <v>44069</v>
      </c>
      <c r="S237" s="160" t="s">
        <v>9351</v>
      </c>
      <c r="T237" s="161" t="s">
        <v>9350</v>
      </c>
      <c r="U237" s="162">
        <v>44076</v>
      </c>
      <c r="V237" s="161" t="s">
        <v>2112</v>
      </c>
      <c r="W237" s="161">
        <v>1</v>
      </c>
      <c r="X237" s="161" t="s">
        <v>5683</v>
      </c>
      <c r="Y237" s="161" t="s">
        <v>4999</v>
      </c>
      <c r="Z237" s="163">
        <v>44078</v>
      </c>
      <c r="AA237" s="164" t="s">
        <v>8250</v>
      </c>
      <c r="AB237" s="165">
        <v>44083</v>
      </c>
      <c r="AC237" s="166">
        <v>44083</v>
      </c>
      <c r="AD237" s="209"/>
      <c r="AE237" s="209"/>
      <c r="AF237" s="210"/>
      <c r="AG237" s="211"/>
    </row>
    <row r="238" spans="1:35" s="208" customFormat="1" ht="15" customHeight="1" thickBot="1" x14ac:dyDescent="0.3">
      <c r="A238" s="221" t="str">
        <f t="shared" si="9"/>
        <v>OK</v>
      </c>
      <c r="B238" s="222" t="str">
        <f t="shared" si="10"/>
        <v>OK</v>
      </c>
      <c r="C238" s="223" t="str">
        <f t="shared" si="11"/>
        <v>OK</v>
      </c>
      <c r="D238" s="155">
        <v>0</v>
      </c>
      <c r="E238" s="156" t="s">
        <v>10345</v>
      </c>
      <c r="F238" s="157" t="s">
        <v>9024</v>
      </c>
      <c r="G238" s="157">
        <v>181008</v>
      </c>
      <c r="H238" s="157" t="s">
        <v>10346</v>
      </c>
      <c r="I238" s="157" t="s">
        <v>6820</v>
      </c>
      <c r="J238" s="157" t="s">
        <v>6829</v>
      </c>
      <c r="K238" s="157" t="s">
        <v>9882</v>
      </c>
      <c r="L238" s="157">
        <v>3110</v>
      </c>
      <c r="M238" s="157" t="s">
        <v>10347</v>
      </c>
      <c r="N238" s="158">
        <v>44038</v>
      </c>
      <c r="O238" s="157" t="s">
        <v>9350</v>
      </c>
      <c r="P238" s="158">
        <v>44069</v>
      </c>
      <c r="Q238" s="158">
        <v>44077</v>
      </c>
      <c r="R238" s="159">
        <v>44077</v>
      </c>
      <c r="S238" s="160" t="s">
        <v>9351</v>
      </c>
      <c r="T238" s="161" t="s">
        <v>9350</v>
      </c>
      <c r="U238" s="162">
        <v>44070</v>
      </c>
      <c r="V238" s="161" t="s">
        <v>9029</v>
      </c>
      <c r="W238" s="161">
        <v>1</v>
      </c>
      <c r="X238" s="161" t="s">
        <v>5683</v>
      </c>
      <c r="Y238" s="161" t="s">
        <v>4999</v>
      </c>
      <c r="Z238" s="163">
        <v>44077</v>
      </c>
      <c r="AA238" s="164" t="s">
        <v>8250</v>
      </c>
      <c r="AB238" s="165">
        <v>44083</v>
      </c>
      <c r="AC238" s="166">
        <v>44083</v>
      </c>
      <c r="AD238" s="209"/>
      <c r="AE238" s="209"/>
      <c r="AF238" s="210"/>
      <c r="AG238" s="211"/>
    </row>
    <row r="239" spans="1:35" s="208" customFormat="1" ht="15" customHeight="1" thickBot="1" x14ac:dyDescent="0.3">
      <c r="A239" s="221" t="str">
        <f t="shared" si="9"/>
        <v>OK</v>
      </c>
      <c r="B239" s="222" t="str">
        <f t="shared" si="10"/>
        <v>OK</v>
      </c>
      <c r="C239" s="223" t="str">
        <f t="shared" si="11"/>
        <v>OK</v>
      </c>
      <c r="D239" s="155">
        <v>0</v>
      </c>
      <c r="E239" s="156" t="s">
        <v>10348</v>
      </c>
      <c r="F239" s="157" t="s">
        <v>6169</v>
      </c>
      <c r="G239" s="157">
        <v>180994</v>
      </c>
      <c r="H239" s="157">
        <v>180994</v>
      </c>
      <c r="I239" s="157" t="s">
        <v>6820</v>
      </c>
      <c r="J239" s="157" t="s">
        <v>6829</v>
      </c>
      <c r="K239" s="157" t="s">
        <v>10349</v>
      </c>
      <c r="L239" s="157" t="s">
        <v>10350</v>
      </c>
      <c r="M239" s="157" t="s">
        <v>10351</v>
      </c>
      <c r="N239" s="158">
        <v>44069</v>
      </c>
      <c r="O239" s="157" t="s">
        <v>9350</v>
      </c>
      <c r="P239" s="158">
        <v>44069</v>
      </c>
      <c r="Q239" s="158">
        <v>44069</v>
      </c>
      <c r="R239" s="159">
        <v>44069</v>
      </c>
      <c r="S239" s="160" t="s">
        <v>9351</v>
      </c>
      <c r="T239" s="161" t="s">
        <v>9350</v>
      </c>
      <c r="U239" s="162">
        <v>44097</v>
      </c>
      <c r="V239" s="161" t="s">
        <v>7129</v>
      </c>
      <c r="W239" s="161">
        <v>1</v>
      </c>
      <c r="X239" s="161" t="s">
        <v>5683</v>
      </c>
      <c r="Y239" s="161" t="s">
        <v>4999</v>
      </c>
      <c r="Z239" s="163">
        <v>44097</v>
      </c>
      <c r="AA239" s="164" t="s">
        <v>264</v>
      </c>
      <c r="AB239" s="165">
        <v>44098</v>
      </c>
      <c r="AC239" s="166">
        <v>44098</v>
      </c>
      <c r="AD239" s="209"/>
      <c r="AE239" s="209"/>
      <c r="AF239" s="210"/>
      <c r="AG239" s="211"/>
    </row>
    <row r="240" spans="1:35" s="208" customFormat="1" ht="15" customHeight="1" thickBot="1" x14ac:dyDescent="0.3">
      <c r="A240" s="221" t="str">
        <f t="shared" si="9"/>
        <v>OK</v>
      </c>
      <c r="B240" s="222" t="str">
        <f t="shared" si="10"/>
        <v>OK</v>
      </c>
      <c r="C240" s="223" t="str">
        <f t="shared" si="11"/>
        <v>OK</v>
      </c>
      <c r="D240" s="155">
        <v>0</v>
      </c>
      <c r="E240" s="156" t="s">
        <v>10352</v>
      </c>
      <c r="F240" s="157" t="s">
        <v>8272</v>
      </c>
      <c r="G240" s="157">
        <v>180948</v>
      </c>
      <c r="H240" s="157" t="s">
        <v>10353</v>
      </c>
      <c r="I240" s="157" t="s">
        <v>6820</v>
      </c>
      <c r="J240" s="157" t="s">
        <v>6829</v>
      </c>
      <c r="K240" s="157" t="s">
        <v>8404</v>
      </c>
      <c r="L240" s="157" t="s">
        <v>10354</v>
      </c>
      <c r="M240" s="157" t="s">
        <v>10355</v>
      </c>
      <c r="N240" s="158">
        <v>44039</v>
      </c>
      <c r="O240" s="157" t="s">
        <v>7729</v>
      </c>
      <c r="P240" s="158">
        <v>44039</v>
      </c>
      <c r="Q240" s="158">
        <v>44039</v>
      </c>
      <c r="R240" s="159">
        <v>44074</v>
      </c>
      <c r="S240" s="160" t="s">
        <v>9351</v>
      </c>
      <c r="T240" s="161" t="s">
        <v>7729</v>
      </c>
      <c r="U240" s="162">
        <v>44071</v>
      </c>
      <c r="V240" s="161" t="s">
        <v>10356</v>
      </c>
      <c r="W240" s="161">
        <v>1</v>
      </c>
      <c r="X240" s="161" t="s">
        <v>5683</v>
      </c>
      <c r="Y240" s="161" t="s">
        <v>4999</v>
      </c>
      <c r="Z240" s="163">
        <v>44166</v>
      </c>
      <c r="AA240" s="164" t="s">
        <v>8250</v>
      </c>
      <c r="AB240" s="165">
        <v>44167</v>
      </c>
      <c r="AC240" s="166">
        <v>44167</v>
      </c>
      <c r="AD240" s="209"/>
      <c r="AE240" s="209"/>
      <c r="AF240" s="210"/>
      <c r="AG240" s="211"/>
    </row>
    <row r="241" spans="1:33" s="208" customFormat="1" ht="15" customHeight="1" thickBot="1" x14ac:dyDescent="0.3">
      <c r="A241" s="221" t="str">
        <f t="shared" si="9"/>
        <v>OK</v>
      </c>
      <c r="B241" s="222" t="str">
        <f t="shared" si="10"/>
        <v>OK</v>
      </c>
      <c r="C241" s="223" t="str">
        <f t="shared" si="11"/>
        <v>OK</v>
      </c>
      <c r="D241" s="155">
        <v>0</v>
      </c>
      <c r="E241" s="156" t="s">
        <v>10357</v>
      </c>
      <c r="F241" s="157" t="s">
        <v>8272</v>
      </c>
      <c r="G241" s="157">
        <v>180982</v>
      </c>
      <c r="H241" s="157" t="s">
        <v>10358</v>
      </c>
      <c r="I241" s="157" t="s">
        <v>6820</v>
      </c>
      <c r="J241" s="157" t="s">
        <v>6829</v>
      </c>
      <c r="K241" s="157" t="s">
        <v>10359</v>
      </c>
      <c r="L241" s="157" t="s">
        <v>10360</v>
      </c>
      <c r="M241" s="157" t="s">
        <v>10361</v>
      </c>
      <c r="N241" s="158">
        <v>44050</v>
      </c>
      <c r="O241" s="157" t="s">
        <v>7729</v>
      </c>
      <c r="P241" s="158">
        <v>44050</v>
      </c>
      <c r="Q241" s="158">
        <v>44050</v>
      </c>
      <c r="R241" s="159">
        <v>44074</v>
      </c>
      <c r="S241" s="160" t="s">
        <v>9351</v>
      </c>
      <c r="T241" s="161" t="s">
        <v>7729</v>
      </c>
      <c r="U241" s="162">
        <v>44098</v>
      </c>
      <c r="V241" s="161" t="s">
        <v>505</v>
      </c>
      <c r="W241" s="161">
        <v>2</v>
      </c>
      <c r="X241" s="161" t="s">
        <v>5683</v>
      </c>
      <c r="Y241" s="161" t="s">
        <v>4999</v>
      </c>
      <c r="Z241" s="163">
        <v>44098</v>
      </c>
      <c r="AA241" s="164" t="s">
        <v>8250</v>
      </c>
      <c r="AB241" s="165">
        <v>44133</v>
      </c>
      <c r="AC241" s="166">
        <v>44133</v>
      </c>
      <c r="AD241" s="209"/>
      <c r="AE241" s="209"/>
      <c r="AF241" s="210"/>
      <c r="AG241" s="211"/>
    </row>
    <row r="242" spans="1:33" s="208" customFormat="1" ht="15" customHeight="1" thickBot="1" x14ac:dyDescent="0.3">
      <c r="A242" s="221" t="str">
        <f t="shared" si="9"/>
        <v>OK</v>
      </c>
      <c r="B242" s="222" t="str">
        <f t="shared" si="10"/>
        <v>OK</v>
      </c>
      <c r="C242" s="223" t="str">
        <f t="shared" si="11"/>
        <v>OK</v>
      </c>
      <c r="D242" s="155">
        <v>0</v>
      </c>
      <c r="E242" s="156" t="s">
        <v>10362</v>
      </c>
      <c r="F242" s="157" t="s">
        <v>10363</v>
      </c>
      <c r="G242" s="157">
        <v>180945</v>
      </c>
      <c r="H242" s="157">
        <v>180945</v>
      </c>
      <c r="I242" s="157" t="s">
        <v>6820</v>
      </c>
      <c r="J242" s="157" t="s">
        <v>6829</v>
      </c>
      <c r="K242" s="157" t="s">
        <v>10364</v>
      </c>
      <c r="L242" s="157" t="s">
        <v>10365</v>
      </c>
      <c r="M242" s="157" t="s">
        <v>10366</v>
      </c>
      <c r="N242" s="158">
        <v>44026</v>
      </c>
      <c r="O242" s="157" t="s">
        <v>9350</v>
      </c>
      <c r="P242" s="158">
        <v>44026</v>
      </c>
      <c r="Q242" s="158">
        <v>44026</v>
      </c>
      <c r="R242" s="159">
        <v>44026</v>
      </c>
      <c r="S242" s="160" t="s">
        <v>9351</v>
      </c>
      <c r="T242" s="161" t="s">
        <v>9350</v>
      </c>
      <c r="U242" s="162">
        <v>43710</v>
      </c>
      <c r="V242" s="161" t="s">
        <v>7378</v>
      </c>
      <c r="W242" s="161">
        <v>10</v>
      </c>
      <c r="X242" s="161" t="s">
        <v>5683</v>
      </c>
      <c r="Y242" s="161" t="s">
        <v>4999</v>
      </c>
      <c r="Z242" s="163">
        <v>44083</v>
      </c>
      <c r="AA242" s="164" t="s">
        <v>8250</v>
      </c>
      <c r="AB242" s="165">
        <v>44085</v>
      </c>
      <c r="AC242" s="166">
        <v>44085</v>
      </c>
      <c r="AD242" s="209"/>
      <c r="AE242" s="209"/>
      <c r="AF242" s="210"/>
      <c r="AG242" s="211"/>
    </row>
    <row r="243" spans="1:33" s="208" customFormat="1" ht="15" customHeight="1" thickBot="1" x14ac:dyDescent="0.3">
      <c r="A243" s="221" t="str">
        <f t="shared" si="9"/>
        <v>OK</v>
      </c>
      <c r="B243" s="222" t="str">
        <f t="shared" si="10"/>
        <v>OK</v>
      </c>
      <c r="C243" s="223" t="str">
        <f t="shared" si="11"/>
        <v>OK</v>
      </c>
      <c r="D243" s="155">
        <v>0</v>
      </c>
      <c r="E243" s="156" t="s">
        <v>10367</v>
      </c>
      <c r="F243" s="157" t="s">
        <v>10368</v>
      </c>
      <c r="G243" s="157">
        <v>180937</v>
      </c>
      <c r="H243" s="157" t="s">
        <v>10369</v>
      </c>
      <c r="I243" s="157" t="s">
        <v>6820</v>
      </c>
      <c r="J243" s="157" t="s">
        <v>6829</v>
      </c>
      <c r="K243" s="157" t="s">
        <v>10364</v>
      </c>
      <c r="L243" s="157" t="s">
        <v>10365</v>
      </c>
      <c r="M243" s="157" t="s">
        <v>10366</v>
      </c>
      <c r="N243" s="158">
        <v>44026</v>
      </c>
      <c r="O243" s="157" t="s">
        <v>9350</v>
      </c>
      <c r="P243" s="158">
        <v>44026</v>
      </c>
      <c r="Q243" s="158">
        <v>44026</v>
      </c>
      <c r="R243" s="159">
        <v>44075</v>
      </c>
      <c r="S243" s="160" t="s">
        <v>9351</v>
      </c>
      <c r="T243" s="161" t="s">
        <v>9350</v>
      </c>
      <c r="U243" s="162">
        <v>43710</v>
      </c>
      <c r="V243" s="161" t="s">
        <v>7378</v>
      </c>
      <c r="W243" s="161">
        <v>19</v>
      </c>
      <c r="X243" s="161" t="s">
        <v>5683</v>
      </c>
      <c r="Y243" s="161" t="s">
        <v>4999</v>
      </c>
      <c r="Z243" s="163">
        <v>44083</v>
      </c>
      <c r="AA243" s="164" t="s">
        <v>8250</v>
      </c>
      <c r="AB243" s="165">
        <v>44085</v>
      </c>
      <c r="AC243" s="166">
        <v>44085</v>
      </c>
      <c r="AD243" s="209"/>
      <c r="AE243" s="209"/>
      <c r="AF243" s="210"/>
      <c r="AG243" s="211"/>
    </row>
    <row r="244" spans="1:33" s="208" customFormat="1" ht="15" customHeight="1" thickBot="1" x14ac:dyDescent="0.3">
      <c r="A244" s="221" t="str">
        <f t="shared" si="9"/>
        <v>OK</v>
      </c>
      <c r="B244" s="222" t="str">
        <f t="shared" si="10"/>
        <v>OK</v>
      </c>
      <c r="C244" s="223" t="str">
        <f t="shared" si="11"/>
        <v>OK</v>
      </c>
      <c r="D244" s="155">
        <v>0</v>
      </c>
      <c r="E244" s="156" t="s">
        <v>10370</v>
      </c>
      <c r="F244" s="157" t="s">
        <v>156</v>
      </c>
      <c r="G244" s="157">
        <v>181020</v>
      </c>
      <c r="H244" s="157" t="s">
        <v>10371</v>
      </c>
      <c r="I244" s="157" t="s">
        <v>6820</v>
      </c>
      <c r="J244" s="157" t="s">
        <v>6829</v>
      </c>
      <c r="K244" s="157" t="s">
        <v>10372</v>
      </c>
      <c r="L244" s="157" t="s">
        <v>10373</v>
      </c>
      <c r="M244" s="157" t="s">
        <v>160</v>
      </c>
      <c r="N244" s="158">
        <v>44076</v>
      </c>
      <c r="O244" s="157" t="s">
        <v>9350</v>
      </c>
      <c r="P244" s="158">
        <v>44076</v>
      </c>
      <c r="Q244" s="158">
        <v>44077</v>
      </c>
      <c r="R244" s="159">
        <v>44078</v>
      </c>
      <c r="S244" s="160" t="s">
        <v>9351</v>
      </c>
      <c r="T244" s="161" t="s">
        <v>9350</v>
      </c>
      <c r="U244" s="162">
        <v>44085</v>
      </c>
      <c r="V244" s="161" t="s">
        <v>274</v>
      </c>
      <c r="W244" s="161">
        <v>8</v>
      </c>
      <c r="X244" s="161" t="s">
        <v>5683</v>
      </c>
      <c r="Y244" s="161" t="s">
        <v>4999</v>
      </c>
      <c r="Z244" s="163">
        <v>44090</v>
      </c>
      <c r="AA244" s="164" t="s">
        <v>8250</v>
      </c>
      <c r="AB244" s="165">
        <v>44090</v>
      </c>
      <c r="AC244" s="166">
        <v>44090</v>
      </c>
      <c r="AD244" s="209"/>
      <c r="AE244" s="209"/>
      <c r="AF244" s="210"/>
      <c r="AG244" s="211"/>
    </row>
    <row r="245" spans="1:33" s="208" customFormat="1" ht="15" customHeight="1" thickBot="1" x14ac:dyDescent="0.3">
      <c r="A245" s="221" t="str">
        <f t="shared" si="9"/>
        <v>OK</v>
      </c>
      <c r="B245" s="222" t="str">
        <f t="shared" si="10"/>
        <v>OK</v>
      </c>
      <c r="C245" s="223" t="str">
        <f t="shared" si="11"/>
        <v>OK</v>
      </c>
      <c r="D245" s="155">
        <v>0</v>
      </c>
      <c r="E245" s="156" t="s">
        <v>10374</v>
      </c>
      <c r="F245" s="157" t="s">
        <v>8317</v>
      </c>
      <c r="G245" s="157">
        <v>181016</v>
      </c>
      <c r="H245" s="157" t="s">
        <v>10375</v>
      </c>
      <c r="I245" s="157" t="s">
        <v>6820</v>
      </c>
      <c r="J245" s="157" t="s">
        <v>6829</v>
      </c>
      <c r="K245" s="157" t="s">
        <v>10376</v>
      </c>
      <c r="L245" s="157" t="s">
        <v>10377</v>
      </c>
      <c r="M245" s="157" t="s">
        <v>10378</v>
      </c>
      <c r="N245" s="158">
        <v>44078</v>
      </c>
      <c r="O245" s="157" t="s">
        <v>7729</v>
      </c>
      <c r="P245" s="158">
        <v>44083</v>
      </c>
      <c r="Q245" s="158">
        <v>44083</v>
      </c>
      <c r="R245" s="159">
        <v>44084</v>
      </c>
      <c r="S245" s="160" t="s">
        <v>9351</v>
      </c>
      <c r="T245" s="161" t="s">
        <v>9351</v>
      </c>
      <c r="U245" s="162">
        <v>44084</v>
      </c>
      <c r="V245" s="161" t="s">
        <v>10379</v>
      </c>
      <c r="W245" s="161">
        <v>4</v>
      </c>
      <c r="X245" s="161" t="s">
        <v>5683</v>
      </c>
      <c r="Y245" s="161" t="s">
        <v>4999</v>
      </c>
      <c r="Z245" s="163">
        <v>44085</v>
      </c>
      <c r="AA245" s="164" t="s">
        <v>264</v>
      </c>
      <c r="AB245" s="165">
        <v>44089</v>
      </c>
      <c r="AC245" s="166">
        <v>44089</v>
      </c>
      <c r="AD245" s="209"/>
      <c r="AE245" s="209"/>
      <c r="AF245" s="210"/>
      <c r="AG245" s="211"/>
    </row>
    <row r="246" spans="1:33" s="208" customFormat="1" ht="15" customHeight="1" thickBot="1" x14ac:dyDescent="0.3">
      <c r="A246" s="221" t="str">
        <f t="shared" si="9"/>
        <v>OK</v>
      </c>
      <c r="B246" s="222" t="str">
        <f t="shared" si="10"/>
        <v>OK</v>
      </c>
      <c r="C246" s="223" t="str">
        <f t="shared" si="11"/>
        <v>OK</v>
      </c>
      <c r="D246" s="155">
        <v>0</v>
      </c>
      <c r="E246" s="156" t="s">
        <v>10380</v>
      </c>
      <c r="F246" s="157" t="s">
        <v>10381</v>
      </c>
      <c r="G246" s="157">
        <v>180853</v>
      </c>
      <c r="H246" s="157" t="s">
        <v>10382</v>
      </c>
      <c r="I246" s="157" t="s">
        <v>6820</v>
      </c>
      <c r="J246" s="157" t="s">
        <v>6829</v>
      </c>
      <c r="K246" s="157" t="s">
        <v>10383</v>
      </c>
      <c r="L246" s="157" t="s">
        <v>10384</v>
      </c>
      <c r="M246" s="157" t="s">
        <v>9320</v>
      </c>
      <c r="N246" s="158">
        <v>43964</v>
      </c>
      <c r="O246" s="157" t="s">
        <v>7729</v>
      </c>
      <c r="P246" s="158">
        <v>44067</v>
      </c>
      <c r="Q246" s="158">
        <v>44067</v>
      </c>
      <c r="R246" s="159">
        <v>44084</v>
      </c>
      <c r="S246" s="160" t="s">
        <v>464</v>
      </c>
      <c r="T246" s="161" t="s">
        <v>7729</v>
      </c>
      <c r="U246" s="162">
        <v>44085</v>
      </c>
      <c r="V246" s="161" t="s">
        <v>9321</v>
      </c>
      <c r="W246" s="161">
        <v>2</v>
      </c>
      <c r="X246" s="161" t="s">
        <v>5683</v>
      </c>
      <c r="Y246" s="161" t="s">
        <v>4999</v>
      </c>
      <c r="Z246" s="163">
        <v>44092</v>
      </c>
      <c r="AA246" s="164" t="s">
        <v>264</v>
      </c>
      <c r="AB246" s="165">
        <v>44092</v>
      </c>
      <c r="AC246" s="166">
        <v>44092</v>
      </c>
      <c r="AD246" s="209"/>
      <c r="AE246" s="209"/>
      <c r="AF246" s="210"/>
      <c r="AG246" s="211"/>
    </row>
    <row r="247" spans="1:33" s="208" customFormat="1" ht="15" customHeight="1" thickBot="1" x14ac:dyDescent="0.3">
      <c r="A247" s="221" t="str">
        <f t="shared" si="9"/>
        <v>OK</v>
      </c>
      <c r="B247" s="222" t="str">
        <f t="shared" si="10"/>
        <v>OK</v>
      </c>
      <c r="C247" s="223" t="str">
        <f t="shared" si="11"/>
        <v>OK</v>
      </c>
      <c r="D247" s="155">
        <v>0</v>
      </c>
      <c r="E247" s="156" t="s">
        <v>10385</v>
      </c>
      <c r="F247" s="157" t="s">
        <v>9396</v>
      </c>
      <c r="G247" s="157">
        <v>181019</v>
      </c>
      <c r="H247" s="157" t="s">
        <v>10386</v>
      </c>
      <c r="I247" s="157" t="s">
        <v>6820</v>
      </c>
      <c r="J247" s="157" t="s">
        <v>6829</v>
      </c>
      <c r="K247" s="157" t="s">
        <v>9716</v>
      </c>
      <c r="L247" s="157" t="s">
        <v>9717</v>
      </c>
      <c r="M247" s="157" t="s">
        <v>7516</v>
      </c>
      <c r="N247" s="158">
        <v>44084</v>
      </c>
      <c r="O247" s="157" t="s">
        <v>7729</v>
      </c>
      <c r="P247" s="158">
        <v>44084</v>
      </c>
      <c r="Q247" s="158">
        <v>44084</v>
      </c>
      <c r="R247" s="159">
        <v>44089</v>
      </c>
      <c r="S247" s="160" t="s">
        <v>9145</v>
      </c>
      <c r="T247" s="161" t="s">
        <v>9351</v>
      </c>
      <c r="U247" s="162">
        <v>44118</v>
      </c>
      <c r="V247" s="161" t="s">
        <v>9719</v>
      </c>
      <c r="W247" s="161">
        <v>3</v>
      </c>
      <c r="X247" s="161" t="s">
        <v>5683</v>
      </c>
      <c r="Y247" s="161" t="s">
        <v>4999</v>
      </c>
      <c r="Z247" s="163">
        <v>44118</v>
      </c>
      <c r="AA247" s="164" t="s">
        <v>264</v>
      </c>
      <c r="AB247" s="165">
        <v>44123</v>
      </c>
      <c r="AC247" s="166">
        <v>44123</v>
      </c>
      <c r="AD247" s="209"/>
      <c r="AE247" s="209"/>
      <c r="AF247" s="210"/>
      <c r="AG247" s="211"/>
    </row>
    <row r="248" spans="1:33" s="208" customFormat="1" ht="15" customHeight="1" thickBot="1" x14ac:dyDescent="0.3">
      <c r="A248" s="221" t="str">
        <f t="shared" si="9"/>
        <v>OK</v>
      </c>
      <c r="B248" s="222" t="str">
        <f t="shared" si="10"/>
        <v>OK</v>
      </c>
      <c r="C248" s="223" t="str">
        <f t="shared" si="11"/>
        <v>OK</v>
      </c>
      <c r="D248" s="155">
        <v>0</v>
      </c>
      <c r="E248" s="156" t="s">
        <v>10387</v>
      </c>
      <c r="F248" s="157" t="s">
        <v>9396</v>
      </c>
      <c r="G248" s="157">
        <v>181019</v>
      </c>
      <c r="H248" s="157" t="s">
        <v>10388</v>
      </c>
      <c r="I248" s="157" t="s">
        <v>6820</v>
      </c>
      <c r="J248" s="157" t="s">
        <v>6829</v>
      </c>
      <c r="K248" s="157" t="s">
        <v>8347</v>
      </c>
      <c r="L248" s="157" t="s">
        <v>2688</v>
      </c>
      <c r="M248" s="157" t="s">
        <v>7516</v>
      </c>
      <c r="N248" s="158">
        <v>44084</v>
      </c>
      <c r="O248" s="157" t="s">
        <v>7729</v>
      </c>
      <c r="P248" s="158">
        <v>44084</v>
      </c>
      <c r="Q248" s="158">
        <v>44084</v>
      </c>
      <c r="R248" s="159">
        <v>44090</v>
      </c>
      <c r="S248" s="160" t="s">
        <v>9351</v>
      </c>
      <c r="T248" s="161" t="s">
        <v>9351</v>
      </c>
      <c r="U248" s="162">
        <v>44119</v>
      </c>
      <c r="V248" s="161" t="s">
        <v>2690</v>
      </c>
      <c r="W248" s="161">
        <v>1</v>
      </c>
      <c r="X248" s="161" t="s">
        <v>5683</v>
      </c>
      <c r="Y248" s="161" t="s">
        <v>4999</v>
      </c>
      <c r="Z248" s="163">
        <v>44119</v>
      </c>
      <c r="AA248" s="164" t="s">
        <v>264</v>
      </c>
      <c r="AB248" s="165">
        <v>44123</v>
      </c>
      <c r="AC248" s="166">
        <v>44123</v>
      </c>
      <c r="AD248" s="209"/>
      <c r="AE248" s="209"/>
      <c r="AF248" s="210"/>
      <c r="AG248" s="211"/>
    </row>
    <row r="249" spans="1:33" s="208" customFormat="1" ht="15" customHeight="1" thickBot="1" x14ac:dyDescent="0.3">
      <c r="A249" s="221" t="str">
        <f t="shared" si="9"/>
        <v>OK</v>
      </c>
      <c r="B249" s="222" t="str">
        <f t="shared" si="10"/>
        <v>OK</v>
      </c>
      <c r="C249" s="223" t="str">
        <f t="shared" si="11"/>
        <v>OK</v>
      </c>
      <c r="D249" s="155">
        <v>0</v>
      </c>
      <c r="E249" s="156" t="s">
        <v>10389</v>
      </c>
      <c r="F249" s="157" t="s">
        <v>9396</v>
      </c>
      <c r="G249" s="157">
        <v>181019</v>
      </c>
      <c r="H249" s="157" t="s">
        <v>10390</v>
      </c>
      <c r="I249" s="157" t="s">
        <v>6820</v>
      </c>
      <c r="J249" s="157" t="s">
        <v>6829</v>
      </c>
      <c r="K249" s="157" t="s">
        <v>8691</v>
      </c>
      <c r="L249" s="157" t="s">
        <v>10391</v>
      </c>
      <c r="M249" s="157" t="s">
        <v>7516</v>
      </c>
      <c r="N249" s="158">
        <v>44084</v>
      </c>
      <c r="O249" s="157" t="s">
        <v>7729</v>
      </c>
      <c r="P249" s="158">
        <v>44084</v>
      </c>
      <c r="Q249" s="158">
        <v>44084</v>
      </c>
      <c r="R249" s="159">
        <v>44091</v>
      </c>
      <c r="S249" s="160" t="s">
        <v>9351</v>
      </c>
      <c r="T249" s="161" t="s">
        <v>9351</v>
      </c>
      <c r="U249" s="162">
        <v>44119</v>
      </c>
      <c r="V249" s="161" t="s">
        <v>5008</v>
      </c>
      <c r="W249" s="161">
        <v>1</v>
      </c>
      <c r="X249" s="161" t="s">
        <v>5683</v>
      </c>
      <c r="Y249" s="161" t="s">
        <v>4999</v>
      </c>
      <c r="Z249" s="163">
        <v>44119</v>
      </c>
      <c r="AA249" s="164" t="s">
        <v>264</v>
      </c>
      <c r="AB249" s="165">
        <v>44126</v>
      </c>
      <c r="AC249" s="166">
        <v>44126</v>
      </c>
      <c r="AD249" s="209"/>
      <c r="AE249" s="209"/>
      <c r="AF249" s="210"/>
      <c r="AG249" s="211"/>
    </row>
    <row r="250" spans="1:33" s="208" customFormat="1" ht="15" customHeight="1" thickBot="1" x14ac:dyDescent="0.3">
      <c r="A250" s="221" t="str">
        <f t="shared" si="9"/>
        <v>OK</v>
      </c>
      <c r="B250" s="222" t="str">
        <f t="shared" si="10"/>
        <v>OK</v>
      </c>
      <c r="C250" s="223" t="str">
        <f t="shared" si="11"/>
        <v>OK</v>
      </c>
      <c r="D250" s="155">
        <v>0</v>
      </c>
      <c r="E250" s="156" t="s">
        <v>10392</v>
      </c>
      <c r="F250" s="157" t="s">
        <v>9396</v>
      </c>
      <c r="G250" s="157">
        <v>181019</v>
      </c>
      <c r="H250" s="157" t="s">
        <v>10393</v>
      </c>
      <c r="I250" s="157" t="s">
        <v>6820</v>
      </c>
      <c r="J250" s="157" t="s">
        <v>6829</v>
      </c>
      <c r="K250" s="157" t="s">
        <v>10054</v>
      </c>
      <c r="L250" s="157" t="s">
        <v>8401</v>
      </c>
      <c r="M250" s="157" t="s">
        <v>7516</v>
      </c>
      <c r="N250" s="158">
        <v>44084</v>
      </c>
      <c r="O250" s="157" t="s">
        <v>7729</v>
      </c>
      <c r="P250" s="158">
        <v>44084</v>
      </c>
      <c r="Q250" s="158">
        <v>44084</v>
      </c>
      <c r="R250" s="159">
        <v>44092</v>
      </c>
      <c r="S250" s="160" t="s">
        <v>9145</v>
      </c>
      <c r="T250" s="161" t="s">
        <v>9351</v>
      </c>
      <c r="U250" s="162">
        <v>44118</v>
      </c>
      <c r="V250" s="161" t="s">
        <v>5413</v>
      </c>
      <c r="W250" s="161">
        <v>1</v>
      </c>
      <c r="X250" s="161" t="s">
        <v>5683</v>
      </c>
      <c r="Y250" s="161" t="s">
        <v>4999</v>
      </c>
      <c r="Z250" s="163">
        <v>44118</v>
      </c>
      <c r="AA250" s="164" t="s">
        <v>264</v>
      </c>
      <c r="AB250" s="165">
        <v>44123</v>
      </c>
      <c r="AC250" s="166">
        <v>44123</v>
      </c>
      <c r="AD250" s="209"/>
      <c r="AE250" s="209"/>
      <c r="AF250" s="210"/>
      <c r="AG250" s="211"/>
    </row>
    <row r="251" spans="1:33" s="208" customFormat="1" ht="15" customHeight="1" thickBot="1" x14ac:dyDescent="0.3">
      <c r="A251" s="221" t="str">
        <f t="shared" si="9"/>
        <v>OK</v>
      </c>
      <c r="B251" s="222" t="str">
        <f t="shared" si="10"/>
        <v>OK</v>
      </c>
      <c r="C251" s="223" t="str">
        <f t="shared" si="11"/>
        <v>OK</v>
      </c>
      <c r="D251" s="155">
        <v>0</v>
      </c>
      <c r="E251" s="156" t="s">
        <v>10394</v>
      </c>
      <c r="F251" s="157" t="s">
        <v>8369</v>
      </c>
      <c r="G251" s="157">
        <v>181025</v>
      </c>
      <c r="H251" s="157" t="s">
        <v>10395</v>
      </c>
      <c r="I251" s="157" t="s">
        <v>6820</v>
      </c>
      <c r="J251" s="157" t="s">
        <v>6829</v>
      </c>
      <c r="K251" s="157" t="s">
        <v>10396</v>
      </c>
      <c r="L251" s="157" t="s">
        <v>10397</v>
      </c>
      <c r="M251" s="157" t="s">
        <v>10398</v>
      </c>
      <c r="N251" s="158">
        <v>44083</v>
      </c>
      <c r="O251" s="157" t="s">
        <v>9350</v>
      </c>
      <c r="P251" s="158">
        <v>44083</v>
      </c>
      <c r="Q251" s="158">
        <v>44089</v>
      </c>
      <c r="R251" s="159">
        <v>44083</v>
      </c>
      <c r="S251" s="160" t="s">
        <v>9351</v>
      </c>
      <c r="T251" s="161" t="s">
        <v>9350</v>
      </c>
      <c r="U251" s="162">
        <v>44089</v>
      </c>
      <c r="V251" s="161" t="s">
        <v>10399</v>
      </c>
      <c r="W251" s="161">
        <v>1</v>
      </c>
      <c r="X251" s="161" t="s">
        <v>5683</v>
      </c>
      <c r="Y251" s="161" t="s">
        <v>4999</v>
      </c>
      <c r="Z251" s="163">
        <v>44091</v>
      </c>
      <c r="AA251" s="164" t="s">
        <v>8250</v>
      </c>
      <c r="AB251" s="165">
        <v>44095</v>
      </c>
      <c r="AC251" s="166">
        <v>44095</v>
      </c>
      <c r="AD251" s="209"/>
      <c r="AE251" s="209"/>
      <c r="AF251" s="210"/>
      <c r="AG251" s="211"/>
    </row>
    <row r="252" spans="1:33" s="208" customFormat="1" ht="15" customHeight="1" thickBot="1" x14ac:dyDescent="0.3">
      <c r="A252" s="221" t="str">
        <f t="shared" si="9"/>
        <v>OK</v>
      </c>
      <c r="B252" s="222" t="str">
        <f t="shared" si="10"/>
        <v>OK</v>
      </c>
      <c r="C252" s="223" t="str">
        <f t="shared" si="11"/>
        <v>OK</v>
      </c>
      <c r="D252" s="155">
        <v>0</v>
      </c>
      <c r="E252" s="156" t="s">
        <v>10400</v>
      </c>
      <c r="F252" s="157" t="s">
        <v>8369</v>
      </c>
      <c r="G252" s="157">
        <v>181026</v>
      </c>
      <c r="H252" s="157" t="s">
        <v>10401</v>
      </c>
      <c r="I252" s="157" t="s">
        <v>6820</v>
      </c>
      <c r="J252" s="157" t="s">
        <v>6829</v>
      </c>
      <c r="K252" s="157" t="s">
        <v>10402</v>
      </c>
      <c r="L252" s="157" t="s">
        <v>10403</v>
      </c>
      <c r="M252" s="157" t="s">
        <v>10404</v>
      </c>
      <c r="N252" s="158">
        <v>44084</v>
      </c>
      <c r="O252" s="157" t="s">
        <v>9350</v>
      </c>
      <c r="P252" s="158">
        <v>44084</v>
      </c>
      <c r="Q252" s="158">
        <v>44085</v>
      </c>
      <c r="R252" s="159">
        <v>44085</v>
      </c>
      <c r="S252" s="160" t="s">
        <v>9351</v>
      </c>
      <c r="T252" s="161" t="s">
        <v>9350</v>
      </c>
      <c r="U252" s="162">
        <v>44089</v>
      </c>
      <c r="V252" s="161" t="s">
        <v>10405</v>
      </c>
      <c r="W252" s="161">
        <v>2</v>
      </c>
      <c r="X252" s="161" t="s">
        <v>5683</v>
      </c>
      <c r="Y252" s="161" t="s">
        <v>4999</v>
      </c>
      <c r="Z252" s="163">
        <v>44091</v>
      </c>
      <c r="AA252" s="164" t="s">
        <v>8250</v>
      </c>
      <c r="AB252" s="165">
        <v>44092</v>
      </c>
      <c r="AC252" s="166">
        <v>44092</v>
      </c>
      <c r="AD252" s="209"/>
      <c r="AE252" s="209"/>
      <c r="AF252" s="210"/>
      <c r="AG252" s="211"/>
    </row>
    <row r="253" spans="1:33" s="208" customFormat="1" ht="15" customHeight="1" thickBot="1" x14ac:dyDescent="0.3">
      <c r="A253" s="221" t="str">
        <f t="shared" si="9"/>
        <v>OK</v>
      </c>
      <c r="B253" s="222" t="str">
        <f t="shared" si="10"/>
        <v>OK</v>
      </c>
      <c r="C253" s="223" t="str">
        <f t="shared" si="11"/>
        <v>OK</v>
      </c>
      <c r="D253" s="155">
        <v>0</v>
      </c>
      <c r="E253" s="156" t="s">
        <v>10406</v>
      </c>
      <c r="F253" s="157" t="s">
        <v>8317</v>
      </c>
      <c r="G253" s="157">
        <v>181033</v>
      </c>
      <c r="H253" s="157" t="s">
        <v>10407</v>
      </c>
      <c r="I253" s="157" t="s">
        <v>6820</v>
      </c>
      <c r="J253" s="157" t="s">
        <v>6829</v>
      </c>
      <c r="K253" s="157" t="s">
        <v>10408</v>
      </c>
      <c r="L253" s="157" t="s">
        <v>7308</v>
      </c>
      <c r="M253" s="157" t="s">
        <v>1902</v>
      </c>
      <c r="N253" s="158">
        <v>44092</v>
      </c>
      <c r="O253" s="157" t="s">
        <v>7729</v>
      </c>
      <c r="P253" s="158">
        <v>44092</v>
      </c>
      <c r="Q253" s="158">
        <v>44092</v>
      </c>
      <c r="R253" s="159">
        <v>44095</v>
      </c>
      <c r="S253" s="160" t="s">
        <v>464</v>
      </c>
      <c r="T253" s="161" t="s">
        <v>7729</v>
      </c>
      <c r="U253" s="162">
        <v>44097</v>
      </c>
      <c r="V253" s="161" t="s">
        <v>6632</v>
      </c>
      <c r="W253" s="161">
        <v>2</v>
      </c>
      <c r="X253" s="161" t="s">
        <v>5683</v>
      </c>
      <c r="Y253" s="161" t="s">
        <v>4999</v>
      </c>
      <c r="Z253" s="163">
        <v>44098</v>
      </c>
      <c r="AA253" s="164" t="s">
        <v>264</v>
      </c>
      <c r="AB253" s="165">
        <v>44099</v>
      </c>
      <c r="AC253" s="166">
        <v>44099</v>
      </c>
      <c r="AD253" s="209"/>
      <c r="AE253" s="209"/>
      <c r="AF253" s="210"/>
      <c r="AG253" s="211"/>
    </row>
    <row r="254" spans="1:33" s="208" customFormat="1" ht="15" customHeight="1" thickBot="1" x14ac:dyDescent="0.3">
      <c r="A254" s="221" t="str">
        <f t="shared" si="9"/>
        <v>OK</v>
      </c>
      <c r="B254" s="222" t="str">
        <f t="shared" si="10"/>
        <v>OK</v>
      </c>
      <c r="C254" s="223" t="str">
        <f t="shared" si="11"/>
        <v>OK</v>
      </c>
      <c r="D254" s="155">
        <v>0</v>
      </c>
      <c r="E254" s="156" t="s">
        <v>10409</v>
      </c>
      <c r="F254" s="157" t="s">
        <v>6169</v>
      </c>
      <c r="G254" s="157">
        <v>181032</v>
      </c>
      <c r="H254" s="157" t="s">
        <v>10410</v>
      </c>
      <c r="I254" s="157" t="s">
        <v>6820</v>
      </c>
      <c r="J254" s="157" t="s">
        <v>6829</v>
      </c>
      <c r="K254" s="157" t="s">
        <v>7064</v>
      </c>
      <c r="L254" s="157" t="s">
        <v>10411</v>
      </c>
      <c r="M254" s="157" t="s">
        <v>7066</v>
      </c>
      <c r="N254" s="158">
        <v>44091</v>
      </c>
      <c r="O254" s="157" t="s">
        <v>9350</v>
      </c>
      <c r="P254" s="158">
        <v>44091</v>
      </c>
      <c r="Q254" s="158">
        <v>44091</v>
      </c>
      <c r="R254" s="159">
        <v>44092</v>
      </c>
      <c r="S254" s="160" t="s">
        <v>464</v>
      </c>
      <c r="T254" s="161" t="s">
        <v>9350</v>
      </c>
      <c r="U254" s="162">
        <v>44097</v>
      </c>
      <c r="V254" s="161" t="s">
        <v>5535</v>
      </c>
      <c r="W254" s="161">
        <v>1</v>
      </c>
      <c r="X254" s="161" t="s">
        <v>5683</v>
      </c>
      <c r="Y254" s="161" t="s">
        <v>4999</v>
      </c>
      <c r="Z254" s="163">
        <v>44097</v>
      </c>
      <c r="AA254" s="164" t="s">
        <v>264</v>
      </c>
      <c r="AB254" s="165">
        <v>44097</v>
      </c>
      <c r="AC254" s="166">
        <v>44097</v>
      </c>
      <c r="AD254" s="209"/>
      <c r="AE254" s="209"/>
      <c r="AF254" s="210"/>
      <c r="AG254" s="211"/>
    </row>
    <row r="255" spans="1:33" s="208" customFormat="1" ht="15" customHeight="1" thickBot="1" x14ac:dyDescent="0.3">
      <c r="A255" s="221" t="str">
        <f t="shared" si="9"/>
        <v>OK</v>
      </c>
      <c r="B255" s="222" t="str">
        <f t="shared" si="10"/>
        <v>OK</v>
      </c>
      <c r="C255" s="223" t="str">
        <f t="shared" si="11"/>
        <v>OK</v>
      </c>
      <c r="D255" s="155">
        <v>0</v>
      </c>
      <c r="E255" s="156" t="s">
        <v>10412</v>
      </c>
      <c r="F255" s="157" t="s">
        <v>9721</v>
      </c>
      <c r="G255" s="157">
        <v>181035</v>
      </c>
      <c r="H255" s="157" t="s">
        <v>10413</v>
      </c>
      <c r="I255" s="157" t="s">
        <v>6820</v>
      </c>
      <c r="J255" s="157" t="s">
        <v>6829</v>
      </c>
      <c r="K255" s="157" t="s">
        <v>1424</v>
      </c>
      <c r="L255" s="157" t="s">
        <v>10414</v>
      </c>
      <c r="M255" s="157" t="s">
        <v>10415</v>
      </c>
      <c r="N255" s="158">
        <v>44095</v>
      </c>
      <c r="O255" s="157" t="s">
        <v>9350</v>
      </c>
      <c r="P255" s="158">
        <v>44095</v>
      </c>
      <c r="Q255" s="158">
        <v>44095</v>
      </c>
      <c r="R255" s="159">
        <v>44095</v>
      </c>
      <c r="S255" s="160" t="s">
        <v>10416</v>
      </c>
      <c r="T255" s="161" t="s">
        <v>9350</v>
      </c>
      <c r="U255" s="162">
        <v>44096</v>
      </c>
      <c r="V255" s="161" t="s">
        <v>7644</v>
      </c>
      <c r="W255" s="161">
        <v>2</v>
      </c>
      <c r="X255" s="161" t="s">
        <v>5683</v>
      </c>
      <c r="Y255" s="161" t="s">
        <v>4999</v>
      </c>
      <c r="Z255" s="163">
        <v>44099</v>
      </c>
      <c r="AA255" s="164" t="s">
        <v>8250</v>
      </c>
      <c r="AB255" s="165">
        <v>44103</v>
      </c>
      <c r="AC255" s="166">
        <v>44103</v>
      </c>
      <c r="AD255" s="209"/>
      <c r="AE255" s="209"/>
      <c r="AF255" s="210"/>
      <c r="AG255" s="211"/>
    </row>
    <row r="256" spans="1:33" s="208" customFormat="1" ht="15" customHeight="1" thickBot="1" x14ac:dyDescent="0.3">
      <c r="A256" s="221" t="str">
        <f t="shared" si="9"/>
        <v>OK</v>
      </c>
      <c r="B256" s="222" t="str">
        <f t="shared" si="10"/>
        <v>OK</v>
      </c>
      <c r="C256" s="223" t="str">
        <f t="shared" si="11"/>
        <v>OK</v>
      </c>
      <c r="D256" s="155">
        <v>0</v>
      </c>
      <c r="E256" s="156" t="s">
        <v>10417</v>
      </c>
      <c r="F256" s="157" t="s">
        <v>8369</v>
      </c>
      <c r="G256" s="157">
        <v>181036</v>
      </c>
      <c r="H256" s="157" t="s">
        <v>10418</v>
      </c>
      <c r="I256" s="157" t="s">
        <v>6820</v>
      </c>
      <c r="J256" s="157" t="s">
        <v>6829</v>
      </c>
      <c r="K256" s="157" t="s">
        <v>10419</v>
      </c>
      <c r="L256" s="157" t="s">
        <v>10420</v>
      </c>
      <c r="M256" s="157" t="s">
        <v>10421</v>
      </c>
      <c r="N256" s="158">
        <v>44095</v>
      </c>
      <c r="O256" s="157" t="s">
        <v>9350</v>
      </c>
      <c r="P256" s="158">
        <v>44095</v>
      </c>
      <c r="Q256" s="158">
        <v>44095</v>
      </c>
      <c r="R256" s="159">
        <v>44095</v>
      </c>
      <c r="S256" s="160" t="s">
        <v>10416</v>
      </c>
      <c r="T256" s="161" t="s">
        <v>9350</v>
      </c>
      <c r="U256" s="162">
        <v>44096</v>
      </c>
      <c r="V256" s="161" t="s">
        <v>6802</v>
      </c>
      <c r="W256" s="161">
        <v>2</v>
      </c>
      <c r="X256" s="161" t="s">
        <v>5683</v>
      </c>
      <c r="Y256" s="161" t="s">
        <v>4999</v>
      </c>
      <c r="Z256" s="163">
        <v>44102</v>
      </c>
      <c r="AA256" s="164" t="s">
        <v>8250</v>
      </c>
      <c r="AB256" s="165">
        <v>44103</v>
      </c>
      <c r="AC256" s="166">
        <v>44103</v>
      </c>
      <c r="AD256" s="209"/>
      <c r="AE256" s="209"/>
      <c r="AF256" s="210"/>
      <c r="AG256" s="211"/>
    </row>
    <row r="257" spans="1:33" s="208" customFormat="1" ht="15" customHeight="1" thickBot="1" x14ac:dyDescent="0.3">
      <c r="A257" s="221" t="str">
        <f t="shared" si="9"/>
        <v>OK</v>
      </c>
      <c r="B257" s="222" t="str">
        <f t="shared" si="10"/>
        <v>OK</v>
      </c>
      <c r="C257" s="223" t="str">
        <f t="shared" si="11"/>
        <v>OK</v>
      </c>
      <c r="D257" s="155">
        <v>0</v>
      </c>
      <c r="E257" s="156" t="s">
        <v>10422</v>
      </c>
      <c r="F257" s="157" t="s">
        <v>8369</v>
      </c>
      <c r="G257" s="157">
        <v>181037</v>
      </c>
      <c r="H257" s="157" t="s">
        <v>10423</v>
      </c>
      <c r="I257" s="157" t="s">
        <v>6820</v>
      </c>
      <c r="J257" s="157" t="s">
        <v>6829</v>
      </c>
      <c r="K257" s="157" t="s">
        <v>9994</v>
      </c>
      <c r="L257" s="157" t="s">
        <v>10424</v>
      </c>
      <c r="M257" s="157" t="s">
        <v>1812</v>
      </c>
      <c r="N257" s="158">
        <v>44095</v>
      </c>
      <c r="O257" s="157" t="s">
        <v>9350</v>
      </c>
      <c r="P257" s="158">
        <v>44095</v>
      </c>
      <c r="Q257" s="158">
        <v>44095</v>
      </c>
      <c r="R257" s="159">
        <v>44095</v>
      </c>
      <c r="S257" s="160" t="s">
        <v>10416</v>
      </c>
      <c r="T257" s="161" t="s">
        <v>9350</v>
      </c>
      <c r="U257" s="162">
        <v>44096</v>
      </c>
      <c r="V257" s="161" t="s">
        <v>9665</v>
      </c>
      <c r="W257" s="161">
        <v>12</v>
      </c>
      <c r="X257" s="161" t="s">
        <v>5683</v>
      </c>
      <c r="Y257" s="161" t="s">
        <v>4999</v>
      </c>
      <c r="Z257" s="163">
        <v>44071</v>
      </c>
      <c r="AA257" s="164" t="s">
        <v>8250</v>
      </c>
      <c r="AB257" s="165">
        <v>44103</v>
      </c>
      <c r="AC257" s="166">
        <v>44103</v>
      </c>
      <c r="AD257" s="209"/>
      <c r="AE257" s="209"/>
      <c r="AF257" s="210"/>
      <c r="AG257" s="211"/>
    </row>
    <row r="258" spans="1:33" s="208" customFormat="1" ht="15" customHeight="1" thickBot="1" x14ac:dyDescent="0.3">
      <c r="A258" s="221" t="str">
        <f t="shared" si="9"/>
        <v>OK</v>
      </c>
      <c r="B258" s="222" t="str">
        <f t="shared" si="10"/>
        <v>OK</v>
      </c>
      <c r="C258" s="223" t="str">
        <f t="shared" si="11"/>
        <v>OK</v>
      </c>
      <c r="D258" s="155">
        <v>0</v>
      </c>
      <c r="E258" s="156" t="s">
        <v>10425</v>
      </c>
      <c r="F258" s="157" t="s">
        <v>6169</v>
      </c>
      <c r="G258" s="157">
        <v>181041</v>
      </c>
      <c r="H258" s="157" t="s">
        <v>10426</v>
      </c>
      <c r="I258" s="157" t="s">
        <v>6820</v>
      </c>
      <c r="J258" s="157" t="s">
        <v>6829</v>
      </c>
      <c r="K258" s="157" t="s">
        <v>7925</v>
      </c>
      <c r="L258" s="157" t="s">
        <v>10427</v>
      </c>
      <c r="M258" s="157" t="s">
        <v>3190</v>
      </c>
      <c r="N258" s="158">
        <v>44095</v>
      </c>
      <c r="O258" s="157" t="s">
        <v>9350</v>
      </c>
      <c r="P258" s="158">
        <v>44095</v>
      </c>
      <c r="Q258" s="158">
        <v>44095</v>
      </c>
      <c r="R258" s="159">
        <v>44096</v>
      </c>
      <c r="S258" s="160" t="s">
        <v>9351</v>
      </c>
      <c r="T258" s="161" t="s">
        <v>9350</v>
      </c>
      <c r="U258" s="162">
        <v>44097</v>
      </c>
      <c r="V258" s="161" t="s">
        <v>10428</v>
      </c>
      <c r="W258" s="161">
        <v>1</v>
      </c>
      <c r="X258" s="161" t="s">
        <v>5683</v>
      </c>
      <c r="Y258" s="161" t="s">
        <v>4999</v>
      </c>
      <c r="Z258" s="163">
        <v>44097</v>
      </c>
      <c r="AA258" s="164" t="s">
        <v>264</v>
      </c>
      <c r="AB258" s="165">
        <v>44097</v>
      </c>
      <c r="AC258" s="166">
        <v>44097</v>
      </c>
      <c r="AD258" s="209"/>
      <c r="AE258" s="209"/>
      <c r="AF258" s="210"/>
      <c r="AG258" s="211"/>
    </row>
    <row r="259" spans="1:33" s="208" customFormat="1" ht="15" customHeight="1" thickBot="1" x14ac:dyDescent="0.3">
      <c r="A259" s="221" t="str">
        <f t="shared" si="9"/>
        <v>OK</v>
      </c>
      <c r="B259" s="222" t="str">
        <f t="shared" si="10"/>
        <v>OK</v>
      </c>
      <c r="C259" s="223" t="str">
        <f t="shared" si="11"/>
        <v>OK</v>
      </c>
      <c r="D259" s="155">
        <v>0</v>
      </c>
      <c r="E259" s="156" t="s">
        <v>10429</v>
      </c>
      <c r="F259" s="157" t="s">
        <v>9168</v>
      </c>
      <c r="G259" s="157">
        <v>181041</v>
      </c>
      <c r="H259" s="157" t="s">
        <v>10430</v>
      </c>
      <c r="I259" s="157" t="s">
        <v>6820</v>
      </c>
      <c r="J259" s="157" t="s">
        <v>6829</v>
      </c>
      <c r="K259" s="157" t="s">
        <v>7925</v>
      </c>
      <c r="L259" s="157" t="s">
        <v>10431</v>
      </c>
      <c r="M259" s="157" t="s">
        <v>3190</v>
      </c>
      <c r="N259" s="158">
        <v>44095</v>
      </c>
      <c r="O259" s="157" t="s">
        <v>9350</v>
      </c>
      <c r="P259" s="158">
        <v>44095</v>
      </c>
      <c r="Q259" s="158">
        <v>44095</v>
      </c>
      <c r="R259" s="159">
        <v>44096</v>
      </c>
      <c r="S259" s="160" t="s">
        <v>9351</v>
      </c>
      <c r="T259" s="161" t="s">
        <v>9350</v>
      </c>
      <c r="U259" s="162">
        <v>44097</v>
      </c>
      <c r="V259" s="161" t="s">
        <v>3191</v>
      </c>
      <c r="W259" s="161">
        <v>5</v>
      </c>
      <c r="X259" s="161" t="s">
        <v>5683</v>
      </c>
      <c r="Y259" s="161" t="s">
        <v>4999</v>
      </c>
      <c r="Z259" s="163">
        <v>44097</v>
      </c>
      <c r="AA259" s="164" t="s">
        <v>8250</v>
      </c>
      <c r="AB259" s="165">
        <v>44111</v>
      </c>
      <c r="AC259" s="166">
        <v>44111</v>
      </c>
      <c r="AD259" s="209"/>
      <c r="AE259" s="209"/>
      <c r="AF259" s="210"/>
      <c r="AG259" s="211"/>
    </row>
    <row r="260" spans="1:33" s="208" customFormat="1" ht="15" customHeight="1" thickBot="1" x14ac:dyDescent="0.3">
      <c r="A260" s="221" t="str">
        <f t="shared" si="9"/>
        <v>OK</v>
      </c>
      <c r="B260" s="222" t="str">
        <f t="shared" si="10"/>
        <v>OK</v>
      </c>
      <c r="C260" s="223" t="str">
        <f t="shared" si="11"/>
        <v>OK</v>
      </c>
      <c r="D260" s="155">
        <v>0</v>
      </c>
      <c r="E260" s="156" t="s">
        <v>10432</v>
      </c>
      <c r="F260" s="157" t="s">
        <v>10433</v>
      </c>
      <c r="G260" s="157">
        <v>181042</v>
      </c>
      <c r="H260" s="157" t="s">
        <v>10434</v>
      </c>
      <c r="I260" s="157" t="s">
        <v>6820</v>
      </c>
      <c r="J260" s="157" t="s">
        <v>6829</v>
      </c>
      <c r="K260" s="157" t="s">
        <v>9818</v>
      </c>
      <c r="L260" s="157" t="s">
        <v>10435</v>
      </c>
      <c r="M260" s="157" t="s">
        <v>9938</v>
      </c>
      <c r="N260" s="158">
        <v>44095</v>
      </c>
      <c r="O260" s="157" t="s">
        <v>9350</v>
      </c>
      <c r="P260" s="158">
        <v>44095</v>
      </c>
      <c r="Q260" s="158">
        <v>44096</v>
      </c>
      <c r="R260" s="159">
        <v>44096</v>
      </c>
      <c r="S260" s="160" t="s">
        <v>9351</v>
      </c>
      <c r="T260" s="161" t="s">
        <v>9350</v>
      </c>
      <c r="U260" s="162">
        <v>44098</v>
      </c>
      <c r="V260" s="161" t="s">
        <v>9939</v>
      </c>
      <c r="W260" s="161">
        <v>1</v>
      </c>
      <c r="X260" s="161" t="s">
        <v>5683</v>
      </c>
      <c r="Y260" s="161" t="s">
        <v>4999</v>
      </c>
      <c r="Z260" s="163">
        <v>44098</v>
      </c>
      <c r="AA260" s="164" t="s">
        <v>264</v>
      </c>
      <c r="AB260" s="165">
        <v>44098</v>
      </c>
      <c r="AC260" s="166">
        <v>44098</v>
      </c>
      <c r="AD260" s="209"/>
      <c r="AE260" s="209"/>
      <c r="AF260" s="210"/>
      <c r="AG260" s="211"/>
    </row>
    <row r="261" spans="1:33" s="208" customFormat="1" ht="15" customHeight="1" thickBot="1" x14ac:dyDescent="0.3">
      <c r="A261" s="221" t="str">
        <f t="shared" si="9"/>
        <v>OK</v>
      </c>
      <c r="B261" s="222" t="str">
        <f t="shared" si="10"/>
        <v>OK</v>
      </c>
      <c r="C261" s="223" t="str">
        <f t="shared" si="11"/>
        <v>OK</v>
      </c>
      <c r="D261" s="155">
        <v>0</v>
      </c>
      <c r="E261" s="156" t="s">
        <v>10436</v>
      </c>
      <c r="F261" s="157" t="s">
        <v>9377</v>
      </c>
      <c r="G261" s="157">
        <v>181043</v>
      </c>
      <c r="H261" s="157" t="s">
        <v>10437</v>
      </c>
      <c r="I261" s="157" t="s">
        <v>6820</v>
      </c>
      <c r="J261" s="157" t="s">
        <v>6829</v>
      </c>
      <c r="K261" s="157" t="s">
        <v>9818</v>
      </c>
      <c r="L261" s="157" t="s">
        <v>10435</v>
      </c>
      <c r="M261" s="157" t="s">
        <v>9938</v>
      </c>
      <c r="N261" s="158">
        <v>44095</v>
      </c>
      <c r="O261" s="157" t="s">
        <v>9350</v>
      </c>
      <c r="P261" s="158">
        <v>44095</v>
      </c>
      <c r="Q261" s="158">
        <v>44096</v>
      </c>
      <c r="R261" s="159">
        <v>44096</v>
      </c>
      <c r="S261" s="160" t="s">
        <v>9351</v>
      </c>
      <c r="T261" s="161" t="s">
        <v>9350</v>
      </c>
      <c r="U261" s="162">
        <v>44098</v>
      </c>
      <c r="V261" s="161" t="s">
        <v>9939</v>
      </c>
      <c r="W261" s="161">
        <v>1</v>
      </c>
      <c r="X261" s="161" t="s">
        <v>5683</v>
      </c>
      <c r="Y261" s="161" t="s">
        <v>4999</v>
      </c>
      <c r="Z261" s="163">
        <v>44098</v>
      </c>
      <c r="AA261" s="164" t="s">
        <v>264</v>
      </c>
      <c r="AB261" s="165">
        <v>44098</v>
      </c>
      <c r="AC261" s="166">
        <v>44098</v>
      </c>
      <c r="AD261" s="209"/>
      <c r="AE261" s="209"/>
      <c r="AF261" s="210"/>
      <c r="AG261" s="211"/>
    </row>
    <row r="262" spans="1:33" s="208" customFormat="1" ht="30.75" thickBot="1" x14ac:dyDescent="0.3">
      <c r="A262" s="221" t="str">
        <f t="shared" ref="A262:A320" si="12">IF(OR(ISBLANK(D262),ISBLANK(E262),ISBLANK(F262),ISBLANK(G262),ISBLANK(H262),ISBLANK(I262),ISBLANK(J262),ISBLANK(K262),ISBLANK(L262),ISBLANK(M262),ISBLANK(N262),ISBLANK(O262),ISBLANK(P262),ISBLANK(Q262),ISBLANK(R262))=TRUE,"P","OK")</f>
        <v>OK</v>
      </c>
      <c r="B262" s="222" t="str">
        <f t="shared" si="10"/>
        <v>OK</v>
      </c>
      <c r="C262" s="223" t="str">
        <f t="shared" si="11"/>
        <v>OK</v>
      </c>
      <c r="D262" s="155">
        <v>0</v>
      </c>
      <c r="E262" s="156" t="s">
        <v>10438</v>
      </c>
      <c r="F262" s="157" t="s">
        <v>3449</v>
      </c>
      <c r="G262" s="157">
        <v>180949</v>
      </c>
      <c r="H262" s="157" t="s">
        <v>10439</v>
      </c>
      <c r="I262" s="157" t="s">
        <v>6820</v>
      </c>
      <c r="J262" s="157" t="s">
        <v>6829</v>
      </c>
      <c r="K262" s="157" t="s">
        <v>10440</v>
      </c>
      <c r="L262" s="157" t="s">
        <v>10441</v>
      </c>
      <c r="M262" s="157" t="s">
        <v>1715</v>
      </c>
      <c r="N262" s="158">
        <v>44028</v>
      </c>
      <c r="O262" s="157" t="s">
        <v>7729</v>
      </c>
      <c r="P262" s="158">
        <v>44028</v>
      </c>
      <c r="Q262" s="158">
        <v>44028</v>
      </c>
      <c r="R262" s="159">
        <v>44099</v>
      </c>
      <c r="S262" s="160" t="s">
        <v>8254</v>
      </c>
      <c r="T262" s="161" t="s">
        <v>8254</v>
      </c>
      <c r="U262" s="162">
        <v>44152</v>
      </c>
      <c r="V262" s="161" t="s">
        <v>2127</v>
      </c>
      <c r="W262" s="161">
        <v>1</v>
      </c>
      <c r="X262" s="161" t="s">
        <v>5683</v>
      </c>
      <c r="Y262" s="161" t="s">
        <v>4999</v>
      </c>
      <c r="Z262" s="163">
        <v>44153</v>
      </c>
      <c r="AA262" s="164" t="s">
        <v>264</v>
      </c>
      <c r="AB262" s="165">
        <v>44161</v>
      </c>
      <c r="AC262" s="166">
        <v>44161</v>
      </c>
      <c r="AD262" s="209"/>
      <c r="AE262" s="209"/>
      <c r="AF262" s="210"/>
      <c r="AG262" s="211"/>
    </row>
    <row r="263" spans="1:33" s="208" customFormat="1" ht="15" customHeight="1" thickBot="1" x14ac:dyDescent="0.3">
      <c r="A263" s="221" t="str">
        <f t="shared" si="12"/>
        <v>OK</v>
      </c>
      <c r="B263" s="222" t="str">
        <f t="shared" ref="B263:B320" si="13">IF(OR(ISBLANK(S263),ISBLANK(T263),ISBLANK(U263),ISBLANK(V263),ISBLANK(W263),ISBLANK(X263),ISBLANK(Y263),ISBLANK(Z263))=TRUE,"P","OK")</f>
        <v>OK</v>
      </c>
      <c r="C263" s="223" t="str">
        <f t="shared" ref="C263:C320" si="14">IF(OR(ISBLANK(AA263),ISBLANK(AB263),ISBLANK(AC263))=TRUE,"P","OK")</f>
        <v>OK</v>
      </c>
      <c r="D263" s="155">
        <v>0</v>
      </c>
      <c r="E263" s="156" t="s">
        <v>10442</v>
      </c>
      <c r="F263" s="157" t="s">
        <v>6169</v>
      </c>
      <c r="G263" s="157">
        <v>181053</v>
      </c>
      <c r="H263" s="157" t="s">
        <v>10443</v>
      </c>
      <c r="I263" s="157" t="s">
        <v>6820</v>
      </c>
      <c r="J263" s="157" t="s">
        <v>6829</v>
      </c>
      <c r="K263" s="157" t="s">
        <v>7925</v>
      </c>
      <c r="L263" s="157" t="s">
        <v>10431</v>
      </c>
      <c r="M263" s="157" t="s">
        <v>3190</v>
      </c>
      <c r="N263" s="158">
        <v>44102</v>
      </c>
      <c r="O263" s="157" t="s">
        <v>9350</v>
      </c>
      <c r="P263" s="158">
        <v>44102</v>
      </c>
      <c r="Q263" s="158">
        <v>44102</v>
      </c>
      <c r="R263" s="159">
        <v>44102</v>
      </c>
      <c r="S263" s="160" t="s">
        <v>9351</v>
      </c>
      <c r="T263" s="161" t="s">
        <v>9350</v>
      </c>
      <c r="U263" s="162">
        <v>44103</v>
      </c>
      <c r="V263" s="161" t="s">
        <v>3191</v>
      </c>
      <c r="W263" s="161">
        <v>2</v>
      </c>
      <c r="X263" s="161" t="s">
        <v>5683</v>
      </c>
      <c r="Y263" s="161" t="s">
        <v>4999</v>
      </c>
      <c r="Z263" s="163">
        <v>44103</v>
      </c>
      <c r="AA263" s="164" t="s">
        <v>8250</v>
      </c>
      <c r="AB263" s="165">
        <v>44104</v>
      </c>
      <c r="AC263" s="166">
        <v>44104</v>
      </c>
      <c r="AD263" s="209"/>
      <c r="AE263" s="209"/>
      <c r="AF263" s="210"/>
      <c r="AG263" s="211"/>
    </row>
    <row r="264" spans="1:33" s="208" customFormat="1" ht="15" customHeight="1" thickBot="1" x14ac:dyDescent="0.3">
      <c r="A264" s="221" t="str">
        <f t="shared" si="12"/>
        <v>OK</v>
      </c>
      <c r="B264" s="222" t="str">
        <f t="shared" si="13"/>
        <v>OK</v>
      </c>
      <c r="C264" s="223" t="str">
        <f t="shared" si="14"/>
        <v>OK</v>
      </c>
      <c r="D264" s="155">
        <v>0</v>
      </c>
      <c r="E264" s="156" t="s">
        <v>10444</v>
      </c>
      <c r="F264" s="157" t="s">
        <v>9396</v>
      </c>
      <c r="G264" s="157">
        <v>181054</v>
      </c>
      <c r="H264" s="157" t="s">
        <v>10445</v>
      </c>
      <c r="I264" s="157" t="s">
        <v>6820</v>
      </c>
      <c r="J264" s="157" t="s">
        <v>6829</v>
      </c>
      <c r="K264" s="157" t="s">
        <v>10446</v>
      </c>
      <c r="L264" s="157" t="s">
        <v>10447</v>
      </c>
      <c r="M264" s="157" t="s">
        <v>7516</v>
      </c>
      <c r="N264" s="158">
        <v>44103</v>
      </c>
      <c r="O264" s="157" t="s">
        <v>7729</v>
      </c>
      <c r="P264" s="158">
        <v>44103</v>
      </c>
      <c r="Q264" s="158">
        <v>44103</v>
      </c>
      <c r="R264" s="159">
        <v>44106</v>
      </c>
      <c r="S264" s="160" t="s">
        <v>9351</v>
      </c>
      <c r="T264" s="161" t="s">
        <v>9351</v>
      </c>
      <c r="U264" s="162">
        <v>44118</v>
      </c>
      <c r="V264" s="161" t="s">
        <v>10448</v>
      </c>
      <c r="W264" s="161">
        <v>2</v>
      </c>
      <c r="X264" s="161" t="s">
        <v>5683</v>
      </c>
      <c r="Y264" s="161" t="s">
        <v>4999</v>
      </c>
      <c r="Z264" s="163">
        <v>44123</v>
      </c>
      <c r="AA264" s="164" t="s">
        <v>264</v>
      </c>
      <c r="AB264" s="165" t="s">
        <v>10449</v>
      </c>
      <c r="AC264" s="166">
        <v>44126</v>
      </c>
      <c r="AD264" s="209"/>
      <c r="AE264" s="209"/>
      <c r="AF264" s="210"/>
      <c r="AG264" s="211"/>
    </row>
    <row r="265" spans="1:33" s="208" customFormat="1" ht="15" customHeight="1" thickBot="1" x14ac:dyDescent="0.3">
      <c r="A265" s="221" t="str">
        <f t="shared" si="12"/>
        <v>OK</v>
      </c>
      <c r="B265" s="222" t="str">
        <f t="shared" si="13"/>
        <v>OK</v>
      </c>
      <c r="C265" s="223" t="str">
        <f t="shared" si="14"/>
        <v>OK</v>
      </c>
      <c r="D265" s="155">
        <v>0</v>
      </c>
      <c r="E265" s="156" t="s">
        <v>10450</v>
      </c>
      <c r="F265" s="157" t="s">
        <v>9396</v>
      </c>
      <c r="G265" s="157">
        <v>181054</v>
      </c>
      <c r="H265" s="157" t="s">
        <v>10451</v>
      </c>
      <c r="I265" s="157" t="s">
        <v>6820</v>
      </c>
      <c r="J265" s="157" t="s">
        <v>6829</v>
      </c>
      <c r="K265" s="157" t="s">
        <v>10452</v>
      </c>
      <c r="L265" s="157" t="s">
        <v>10453</v>
      </c>
      <c r="M265" s="157" t="s">
        <v>7516</v>
      </c>
      <c r="N265" s="158">
        <v>44103</v>
      </c>
      <c r="O265" s="157" t="s">
        <v>7729</v>
      </c>
      <c r="P265" s="158">
        <v>44103</v>
      </c>
      <c r="Q265" s="158">
        <v>44103</v>
      </c>
      <c r="R265" s="159">
        <v>44106</v>
      </c>
      <c r="S265" s="160" t="s">
        <v>9351</v>
      </c>
      <c r="T265" s="161" t="s">
        <v>9351</v>
      </c>
      <c r="U265" s="162">
        <v>44118</v>
      </c>
      <c r="V265" s="161" t="s">
        <v>10454</v>
      </c>
      <c r="W265" s="161">
        <v>3</v>
      </c>
      <c r="X265" s="161" t="s">
        <v>5683</v>
      </c>
      <c r="Y265" s="161" t="s">
        <v>4999</v>
      </c>
      <c r="Z265" s="163">
        <v>44120</v>
      </c>
      <c r="AA265" s="164" t="s">
        <v>8250</v>
      </c>
      <c r="AB265" s="165">
        <v>44130</v>
      </c>
      <c r="AC265" s="166">
        <v>44130</v>
      </c>
      <c r="AD265" s="209"/>
      <c r="AE265" s="209"/>
      <c r="AF265" s="210"/>
      <c r="AG265" s="211"/>
    </row>
    <row r="266" spans="1:33" s="208" customFormat="1" ht="15" customHeight="1" thickBot="1" x14ac:dyDescent="0.3">
      <c r="A266" s="221" t="str">
        <f t="shared" si="12"/>
        <v>OK</v>
      </c>
      <c r="B266" s="222" t="str">
        <f t="shared" si="13"/>
        <v>OK</v>
      </c>
      <c r="C266" s="223" t="str">
        <f t="shared" si="14"/>
        <v>OK</v>
      </c>
      <c r="D266" s="155">
        <v>0</v>
      </c>
      <c r="E266" s="156" t="s">
        <v>10455</v>
      </c>
      <c r="F266" s="157" t="s">
        <v>9396</v>
      </c>
      <c r="G266" s="157">
        <v>181063</v>
      </c>
      <c r="H266" s="157" t="s">
        <v>10456</v>
      </c>
      <c r="I266" s="157" t="s">
        <v>6820</v>
      </c>
      <c r="J266" s="157" t="s">
        <v>6829</v>
      </c>
      <c r="K266" s="157" t="s">
        <v>2151</v>
      </c>
      <c r="L266" s="157" t="s">
        <v>10457</v>
      </c>
      <c r="M266" s="157" t="s">
        <v>7516</v>
      </c>
      <c r="N266" s="158">
        <v>44110</v>
      </c>
      <c r="O266" s="157" t="s">
        <v>7729</v>
      </c>
      <c r="P266" s="158">
        <v>44110</v>
      </c>
      <c r="Q266" s="158">
        <v>44110</v>
      </c>
      <c r="R266" s="159">
        <v>44112</v>
      </c>
      <c r="S266" s="160" t="s">
        <v>10458</v>
      </c>
      <c r="T266" s="161" t="s">
        <v>9351</v>
      </c>
      <c r="U266" s="162">
        <v>44118</v>
      </c>
      <c r="V266" s="161" t="s">
        <v>8870</v>
      </c>
      <c r="W266" s="161">
        <v>10</v>
      </c>
      <c r="X266" s="161" t="s">
        <v>5683</v>
      </c>
      <c r="Y266" s="161" t="s">
        <v>4999</v>
      </c>
      <c r="Z266" s="163">
        <v>44119</v>
      </c>
      <c r="AA266" s="164" t="s">
        <v>264</v>
      </c>
      <c r="AB266" s="165">
        <v>44123</v>
      </c>
      <c r="AC266" s="166">
        <v>44123</v>
      </c>
      <c r="AD266" s="209"/>
      <c r="AE266" s="209"/>
      <c r="AF266" s="210"/>
      <c r="AG266" s="211"/>
    </row>
    <row r="267" spans="1:33" s="208" customFormat="1" ht="15" customHeight="1" thickBot="1" x14ac:dyDescent="0.3">
      <c r="A267" s="221" t="str">
        <f t="shared" si="12"/>
        <v>OK</v>
      </c>
      <c r="B267" s="222" t="str">
        <f t="shared" si="13"/>
        <v>OK</v>
      </c>
      <c r="C267" s="223" t="str">
        <f t="shared" si="14"/>
        <v>OK</v>
      </c>
      <c r="D267" s="155">
        <v>0</v>
      </c>
      <c r="E267" s="156" t="s">
        <v>10459</v>
      </c>
      <c r="F267" s="157" t="s">
        <v>9396</v>
      </c>
      <c r="G267" s="157">
        <v>181064</v>
      </c>
      <c r="H267" s="157" t="s">
        <v>10460</v>
      </c>
      <c r="I267" s="157" t="s">
        <v>6820</v>
      </c>
      <c r="J267" s="157" t="s">
        <v>6829</v>
      </c>
      <c r="K267" s="157" t="s">
        <v>9692</v>
      </c>
      <c r="L267" s="157" t="s">
        <v>10461</v>
      </c>
      <c r="M267" s="157" t="s">
        <v>7516</v>
      </c>
      <c r="N267" s="158">
        <v>44110</v>
      </c>
      <c r="O267" s="157" t="s">
        <v>7729</v>
      </c>
      <c r="P267" s="158">
        <v>44110</v>
      </c>
      <c r="Q267" s="158">
        <v>44110</v>
      </c>
      <c r="R267" s="159">
        <v>44112</v>
      </c>
      <c r="S267" s="160" t="s">
        <v>10458</v>
      </c>
      <c r="T267" s="161" t="s">
        <v>9351</v>
      </c>
      <c r="U267" s="162">
        <v>44118</v>
      </c>
      <c r="V267" s="161" t="s">
        <v>10258</v>
      </c>
      <c r="W267" s="161">
        <v>6</v>
      </c>
      <c r="X267" s="161" t="s">
        <v>5683</v>
      </c>
      <c r="Y267" s="161" t="s">
        <v>4999</v>
      </c>
      <c r="Z267" s="163">
        <v>44120</v>
      </c>
      <c r="AA267" s="164" t="s">
        <v>264</v>
      </c>
      <c r="AB267" s="165">
        <v>44120</v>
      </c>
      <c r="AC267" s="166">
        <v>44120</v>
      </c>
      <c r="AD267" s="209"/>
      <c r="AE267" s="209"/>
      <c r="AF267" s="210"/>
      <c r="AG267" s="211"/>
    </row>
    <row r="268" spans="1:33" s="208" customFormat="1" ht="15" customHeight="1" thickBot="1" x14ac:dyDescent="0.3">
      <c r="A268" s="221" t="str">
        <f t="shared" si="12"/>
        <v>OK</v>
      </c>
      <c r="B268" s="222" t="str">
        <f t="shared" si="13"/>
        <v>OK</v>
      </c>
      <c r="C268" s="223" t="str">
        <f t="shared" si="14"/>
        <v>OK</v>
      </c>
      <c r="D268" s="155">
        <v>0</v>
      </c>
      <c r="E268" s="156" t="s">
        <v>10462</v>
      </c>
      <c r="F268" s="157" t="s">
        <v>8322</v>
      </c>
      <c r="G268" s="157">
        <v>181013</v>
      </c>
      <c r="H268" s="157" t="s">
        <v>10463</v>
      </c>
      <c r="I268" s="157" t="s">
        <v>6820</v>
      </c>
      <c r="J268" s="157" t="s">
        <v>6829</v>
      </c>
      <c r="K268" s="157" t="s">
        <v>3322</v>
      </c>
      <c r="L268" s="157" t="s">
        <v>10464</v>
      </c>
      <c r="M268" s="157" t="s">
        <v>9411</v>
      </c>
      <c r="N268" s="158">
        <v>44074</v>
      </c>
      <c r="O268" s="157" t="s">
        <v>9350</v>
      </c>
      <c r="P268" s="158">
        <v>44074</v>
      </c>
      <c r="Q268" s="158">
        <v>44112</v>
      </c>
      <c r="R268" s="159">
        <v>44112</v>
      </c>
      <c r="S268" s="160" t="s">
        <v>10458</v>
      </c>
      <c r="T268" s="161" t="s">
        <v>9351</v>
      </c>
      <c r="U268" s="162">
        <v>44113</v>
      </c>
      <c r="V268" s="161" t="s">
        <v>10465</v>
      </c>
      <c r="W268" s="161">
        <v>5</v>
      </c>
      <c r="X268" s="161" t="s">
        <v>5683</v>
      </c>
      <c r="Y268" s="161" t="s">
        <v>4999</v>
      </c>
      <c r="Z268" s="163">
        <v>44119</v>
      </c>
      <c r="AA268" s="164" t="s">
        <v>264</v>
      </c>
      <c r="AB268" s="165">
        <v>44120</v>
      </c>
      <c r="AC268" s="166">
        <v>44120</v>
      </c>
      <c r="AD268" s="209"/>
      <c r="AE268" s="209"/>
      <c r="AF268" s="210"/>
      <c r="AG268" s="211"/>
    </row>
    <row r="269" spans="1:33" s="208" customFormat="1" ht="15" customHeight="1" thickBot="1" x14ac:dyDescent="0.3">
      <c r="A269" s="221" t="str">
        <f t="shared" si="12"/>
        <v>OK</v>
      </c>
      <c r="B269" s="222" t="str">
        <f t="shared" si="13"/>
        <v>OK</v>
      </c>
      <c r="C269" s="223" t="str">
        <f t="shared" si="14"/>
        <v>OK</v>
      </c>
      <c r="D269" s="155">
        <v>0</v>
      </c>
      <c r="E269" s="156" t="s">
        <v>10466</v>
      </c>
      <c r="F269" s="157" t="s">
        <v>8322</v>
      </c>
      <c r="G269" s="157">
        <v>181066</v>
      </c>
      <c r="H269" s="157" t="s">
        <v>10467</v>
      </c>
      <c r="I269" s="157" t="s">
        <v>6820</v>
      </c>
      <c r="J269" s="157" t="s">
        <v>6829</v>
      </c>
      <c r="K269" s="157" t="s">
        <v>10468</v>
      </c>
      <c r="L269" s="157" t="s">
        <v>10469</v>
      </c>
      <c r="M269" s="157" t="s">
        <v>10182</v>
      </c>
      <c r="N269" s="158">
        <v>44111</v>
      </c>
      <c r="O269" s="157" t="s">
        <v>9350</v>
      </c>
      <c r="P269" s="158">
        <v>44111</v>
      </c>
      <c r="Q269" s="158">
        <v>44111</v>
      </c>
      <c r="R269" s="159">
        <v>44118</v>
      </c>
      <c r="S269" s="160" t="s">
        <v>10458</v>
      </c>
      <c r="T269" s="161" t="s">
        <v>9351</v>
      </c>
      <c r="U269" s="162">
        <v>44113</v>
      </c>
      <c r="V269" s="161" t="s">
        <v>9461</v>
      </c>
      <c r="W269" s="161">
        <v>7</v>
      </c>
      <c r="X269" s="161" t="s">
        <v>5683</v>
      </c>
      <c r="Y269" s="161" t="s">
        <v>4999</v>
      </c>
      <c r="Z269" s="163">
        <v>44119</v>
      </c>
      <c r="AA269" s="164" t="s">
        <v>264</v>
      </c>
      <c r="AB269" s="165">
        <v>44120</v>
      </c>
      <c r="AC269" s="166">
        <v>44120</v>
      </c>
      <c r="AD269" s="209"/>
      <c r="AE269" s="209"/>
      <c r="AF269" s="210"/>
      <c r="AG269" s="211"/>
    </row>
    <row r="270" spans="1:33" s="208" customFormat="1" ht="15" customHeight="1" thickBot="1" x14ac:dyDescent="0.3">
      <c r="A270" s="221" t="str">
        <f t="shared" si="12"/>
        <v>OK</v>
      </c>
      <c r="B270" s="222" t="str">
        <f t="shared" si="13"/>
        <v>OK</v>
      </c>
      <c r="C270" s="223" t="str">
        <f t="shared" si="14"/>
        <v>OK</v>
      </c>
      <c r="D270" s="155">
        <v>0</v>
      </c>
      <c r="E270" s="156" t="s">
        <v>10470</v>
      </c>
      <c r="F270" s="157" t="s">
        <v>9172</v>
      </c>
      <c r="G270" s="157">
        <v>181074</v>
      </c>
      <c r="H270" s="157" t="s">
        <v>10471</v>
      </c>
      <c r="I270" s="157" t="s">
        <v>6820</v>
      </c>
      <c r="J270" s="157" t="s">
        <v>6829</v>
      </c>
      <c r="K270" s="157" t="s">
        <v>10472</v>
      </c>
      <c r="L270" s="157" t="s">
        <v>10473</v>
      </c>
      <c r="M270" s="169" t="s">
        <v>46</v>
      </c>
      <c r="N270" s="158">
        <v>44119</v>
      </c>
      <c r="O270" s="157" t="s">
        <v>7729</v>
      </c>
      <c r="P270" s="158">
        <v>44119</v>
      </c>
      <c r="Q270" s="158">
        <v>44119</v>
      </c>
      <c r="R270" s="159">
        <v>44119</v>
      </c>
      <c r="S270" s="160" t="s">
        <v>9145</v>
      </c>
      <c r="T270" s="161" t="s">
        <v>7729</v>
      </c>
      <c r="U270" s="162">
        <v>44123</v>
      </c>
      <c r="V270" s="161" t="s">
        <v>154</v>
      </c>
      <c r="W270" s="161">
        <v>5</v>
      </c>
      <c r="X270" s="161" t="s">
        <v>5683</v>
      </c>
      <c r="Y270" s="161" t="s">
        <v>4999</v>
      </c>
      <c r="Z270" s="163">
        <v>44124</v>
      </c>
      <c r="AA270" s="164" t="s">
        <v>10154</v>
      </c>
      <c r="AB270" s="165">
        <v>44126</v>
      </c>
      <c r="AC270" s="166">
        <v>44127</v>
      </c>
      <c r="AD270" s="209"/>
      <c r="AE270" s="209"/>
      <c r="AF270" s="210"/>
      <c r="AG270" s="211"/>
    </row>
    <row r="271" spans="1:33" s="208" customFormat="1" ht="15" customHeight="1" thickBot="1" x14ac:dyDescent="0.3">
      <c r="A271" s="221" t="str">
        <f t="shared" si="12"/>
        <v>P</v>
      </c>
      <c r="B271" s="222" t="str">
        <f t="shared" si="13"/>
        <v>P</v>
      </c>
      <c r="C271" s="223" t="str">
        <f t="shared" si="14"/>
        <v>P</v>
      </c>
      <c r="D271" s="155">
        <v>0</v>
      </c>
      <c r="E271" s="156" t="s">
        <v>10474</v>
      </c>
      <c r="F271" s="157"/>
      <c r="G271" s="157"/>
      <c r="H271" s="157"/>
      <c r="I271" s="157"/>
      <c r="J271" s="157"/>
      <c r="K271" s="157"/>
      <c r="L271" s="157"/>
      <c r="M271" s="157"/>
      <c r="N271" s="158">
        <v>44083</v>
      </c>
      <c r="O271" s="157" t="s">
        <v>9350</v>
      </c>
      <c r="P271" s="158">
        <v>44095</v>
      </c>
      <c r="Q271" s="158">
        <v>44095</v>
      </c>
      <c r="R271" s="159">
        <v>44119</v>
      </c>
      <c r="S271" s="160"/>
      <c r="T271" s="161"/>
      <c r="U271" s="161"/>
      <c r="V271" s="161"/>
      <c r="W271" s="161"/>
      <c r="X271" s="161"/>
      <c r="Y271" s="161"/>
      <c r="Z271" s="187"/>
      <c r="AA271" s="164"/>
      <c r="AB271" s="165"/>
      <c r="AC271" s="166"/>
      <c r="AD271" s="209"/>
      <c r="AE271" s="209"/>
      <c r="AF271" s="210"/>
      <c r="AG271" s="211"/>
    </row>
    <row r="272" spans="1:33" s="208" customFormat="1" ht="15" customHeight="1" thickBot="1" x14ac:dyDescent="0.3">
      <c r="A272" s="221" t="str">
        <f t="shared" si="12"/>
        <v>OK</v>
      </c>
      <c r="B272" s="222" t="str">
        <f t="shared" si="13"/>
        <v>OK</v>
      </c>
      <c r="C272" s="223" t="str">
        <f t="shared" si="14"/>
        <v>OK</v>
      </c>
      <c r="D272" s="155">
        <v>0</v>
      </c>
      <c r="E272" s="156" t="s">
        <v>10475</v>
      </c>
      <c r="F272" s="157" t="s">
        <v>6169</v>
      </c>
      <c r="G272" s="157">
        <v>181085</v>
      </c>
      <c r="H272" s="157" t="s">
        <v>10476</v>
      </c>
      <c r="I272" s="157" t="s">
        <v>6820</v>
      </c>
      <c r="J272" s="157" t="s">
        <v>6829</v>
      </c>
      <c r="K272" s="157" t="s">
        <v>10477</v>
      </c>
      <c r="L272" s="157" t="s">
        <v>10478</v>
      </c>
      <c r="M272" s="157" t="s">
        <v>10479</v>
      </c>
      <c r="N272" s="158">
        <v>44123</v>
      </c>
      <c r="O272" s="157" t="s">
        <v>7729</v>
      </c>
      <c r="P272" s="158">
        <v>44124</v>
      </c>
      <c r="Q272" s="158">
        <v>44124</v>
      </c>
      <c r="R272" s="158">
        <v>44124</v>
      </c>
      <c r="S272" s="160" t="s">
        <v>8248</v>
      </c>
      <c r="T272" s="161" t="s">
        <v>10480</v>
      </c>
      <c r="U272" s="162">
        <v>44139</v>
      </c>
      <c r="V272" s="161" t="s">
        <v>10481</v>
      </c>
      <c r="W272" s="161">
        <v>1</v>
      </c>
      <c r="X272" s="161" t="s">
        <v>5683</v>
      </c>
      <c r="Y272" s="161" t="s">
        <v>4999</v>
      </c>
      <c r="Z272" s="163">
        <v>44151</v>
      </c>
      <c r="AA272" s="164" t="s">
        <v>264</v>
      </c>
      <c r="AB272" s="165">
        <v>44153</v>
      </c>
      <c r="AC272" s="166">
        <v>44153</v>
      </c>
      <c r="AD272" s="209"/>
      <c r="AE272" s="209"/>
      <c r="AF272" s="210"/>
      <c r="AG272" s="211"/>
    </row>
    <row r="273" spans="1:33" s="208" customFormat="1" ht="15" customHeight="1" thickBot="1" x14ac:dyDescent="0.3">
      <c r="A273" s="221" t="str">
        <f t="shared" si="12"/>
        <v>OK</v>
      </c>
      <c r="B273" s="222" t="str">
        <f t="shared" si="13"/>
        <v>OK</v>
      </c>
      <c r="C273" s="223" t="str">
        <f t="shared" si="14"/>
        <v>OK</v>
      </c>
      <c r="D273" s="155">
        <v>0</v>
      </c>
      <c r="E273" s="156" t="s">
        <v>10482</v>
      </c>
      <c r="F273" s="157" t="s">
        <v>6169</v>
      </c>
      <c r="G273" s="157">
        <v>181086</v>
      </c>
      <c r="H273" s="157" t="s">
        <v>10483</v>
      </c>
      <c r="I273" s="157" t="s">
        <v>6820</v>
      </c>
      <c r="J273" s="157" t="s">
        <v>6829</v>
      </c>
      <c r="K273" s="157" t="s">
        <v>10477</v>
      </c>
      <c r="L273" s="157" t="s">
        <v>10478</v>
      </c>
      <c r="M273" s="157" t="s">
        <v>6579</v>
      </c>
      <c r="N273" s="158">
        <v>44123</v>
      </c>
      <c r="O273" s="157" t="s">
        <v>7729</v>
      </c>
      <c r="P273" s="158">
        <v>44124</v>
      </c>
      <c r="Q273" s="158">
        <v>44124</v>
      </c>
      <c r="R273" s="158">
        <v>44124</v>
      </c>
      <c r="S273" s="160" t="s">
        <v>8248</v>
      </c>
      <c r="T273" s="161" t="s">
        <v>9145</v>
      </c>
      <c r="U273" s="162">
        <v>44158</v>
      </c>
      <c r="V273" s="161" t="s">
        <v>10481</v>
      </c>
      <c r="W273" s="161">
        <v>4</v>
      </c>
      <c r="X273" s="161" t="s">
        <v>5683</v>
      </c>
      <c r="Y273" s="161" t="s">
        <v>4999</v>
      </c>
      <c r="Z273" s="163">
        <v>44158</v>
      </c>
      <c r="AA273" s="164" t="s">
        <v>264</v>
      </c>
      <c r="AB273" s="165">
        <v>44158</v>
      </c>
      <c r="AC273" s="166">
        <v>44158</v>
      </c>
      <c r="AD273" s="209"/>
      <c r="AE273" s="209"/>
      <c r="AF273" s="210"/>
      <c r="AG273" s="211"/>
    </row>
    <row r="274" spans="1:33" s="208" customFormat="1" ht="15" customHeight="1" thickBot="1" x14ac:dyDescent="0.3">
      <c r="A274" s="221" t="str">
        <f t="shared" si="12"/>
        <v>OK</v>
      </c>
      <c r="B274" s="222" t="str">
        <f t="shared" si="13"/>
        <v>OK</v>
      </c>
      <c r="C274" s="223" t="str">
        <f t="shared" si="14"/>
        <v>OK</v>
      </c>
      <c r="D274" s="155">
        <v>0</v>
      </c>
      <c r="E274" s="156" t="s">
        <v>10484</v>
      </c>
      <c r="F274" s="157" t="s">
        <v>8369</v>
      </c>
      <c r="G274" s="157">
        <v>181078</v>
      </c>
      <c r="H274" s="157" t="s">
        <v>10485</v>
      </c>
      <c r="I274" s="157" t="s">
        <v>6820</v>
      </c>
      <c r="J274" s="157" t="s">
        <v>6829</v>
      </c>
      <c r="K274" s="157" t="s">
        <v>10486</v>
      </c>
      <c r="L274" s="157" t="s">
        <v>6214</v>
      </c>
      <c r="M274" s="157" t="s">
        <v>10487</v>
      </c>
      <c r="N274" s="158">
        <v>44120</v>
      </c>
      <c r="O274" s="157" t="s">
        <v>7729</v>
      </c>
      <c r="P274" s="158">
        <v>44120</v>
      </c>
      <c r="Q274" s="158">
        <v>44120</v>
      </c>
      <c r="R274" s="159">
        <v>44120</v>
      </c>
      <c r="S274" s="160" t="s">
        <v>9351</v>
      </c>
      <c r="T274" s="161" t="s">
        <v>264</v>
      </c>
      <c r="U274" s="162">
        <v>44125</v>
      </c>
      <c r="V274" s="161" t="s">
        <v>10488</v>
      </c>
      <c r="W274" s="161">
        <v>2</v>
      </c>
      <c r="X274" s="161" t="s">
        <v>5683</v>
      </c>
      <c r="Y274" s="161" t="s">
        <v>4999</v>
      </c>
      <c r="Z274" s="163">
        <v>44125</v>
      </c>
      <c r="AA274" s="164" t="s">
        <v>8250</v>
      </c>
      <c r="AB274" s="165">
        <v>44131</v>
      </c>
      <c r="AC274" s="166">
        <v>44131</v>
      </c>
      <c r="AD274" s="209"/>
      <c r="AE274" s="209"/>
      <c r="AF274" s="210"/>
      <c r="AG274" s="211"/>
    </row>
    <row r="275" spans="1:33" s="208" customFormat="1" ht="15" customHeight="1" thickBot="1" x14ac:dyDescent="0.3">
      <c r="A275" s="221" t="str">
        <f t="shared" si="12"/>
        <v>OK</v>
      </c>
      <c r="B275" s="222" t="str">
        <f t="shared" si="13"/>
        <v>OK</v>
      </c>
      <c r="C275" s="223" t="str">
        <f t="shared" si="14"/>
        <v>OK</v>
      </c>
      <c r="D275" s="155">
        <v>0</v>
      </c>
      <c r="E275" s="156" t="s">
        <v>10489</v>
      </c>
      <c r="F275" s="157" t="s">
        <v>8369</v>
      </c>
      <c r="G275" s="157">
        <v>181083</v>
      </c>
      <c r="H275" s="157" t="s">
        <v>10490</v>
      </c>
      <c r="I275" s="157" t="s">
        <v>6820</v>
      </c>
      <c r="J275" s="157" t="s">
        <v>6829</v>
      </c>
      <c r="K275" s="157" t="s">
        <v>10491</v>
      </c>
      <c r="L275" s="157" t="s">
        <v>10491</v>
      </c>
      <c r="M275" s="157" t="s">
        <v>566</v>
      </c>
      <c r="N275" s="158">
        <v>44123</v>
      </c>
      <c r="O275" s="157" t="s">
        <v>7729</v>
      </c>
      <c r="P275" s="158">
        <v>44120</v>
      </c>
      <c r="Q275" s="158">
        <v>44123</v>
      </c>
      <c r="R275" s="159">
        <v>44123</v>
      </c>
      <c r="S275" s="160" t="s">
        <v>9351</v>
      </c>
      <c r="T275" s="161" t="s">
        <v>264</v>
      </c>
      <c r="U275" s="162">
        <v>44125</v>
      </c>
      <c r="V275" s="161" t="s">
        <v>10492</v>
      </c>
      <c r="W275" s="161">
        <v>4</v>
      </c>
      <c r="X275" s="161" t="s">
        <v>5683</v>
      </c>
      <c r="Y275" s="161" t="s">
        <v>4999</v>
      </c>
      <c r="Z275" s="163">
        <v>44125</v>
      </c>
      <c r="AA275" s="164" t="s">
        <v>8250</v>
      </c>
      <c r="AB275" s="165">
        <v>44134</v>
      </c>
      <c r="AC275" s="166">
        <v>44134</v>
      </c>
      <c r="AD275" s="209"/>
      <c r="AE275" s="209"/>
      <c r="AF275" s="210"/>
      <c r="AG275" s="211"/>
    </row>
    <row r="276" spans="1:33" s="208" customFormat="1" ht="15" customHeight="1" thickBot="1" x14ac:dyDescent="0.3">
      <c r="A276" s="221" t="str">
        <f t="shared" si="12"/>
        <v>OK</v>
      </c>
      <c r="B276" s="222" t="str">
        <f t="shared" si="13"/>
        <v>OK</v>
      </c>
      <c r="C276" s="223" t="str">
        <f t="shared" si="14"/>
        <v>OK</v>
      </c>
      <c r="D276" s="155">
        <v>0</v>
      </c>
      <c r="E276" s="156" t="s">
        <v>10493</v>
      </c>
      <c r="F276" s="157" t="s">
        <v>9024</v>
      </c>
      <c r="G276" s="157">
        <v>181079</v>
      </c>
      <c r="H276" s="157" t="s">
        <v>10494</v>
      </c>
      <c r="I276" s="157" t="s">
        <v>6820</v>
      </c>
      <c r="J276" s="157" t="s">
        <v>6829</v>
      </c>
      <c r="K276" s="157" t="s">
        <v>10495</v>
      </c>
      <c r="L276" s="157" t="s">
        <v>10496</v>
      </c>
      <c r="M276" s="157" t="s">
        <v>5470</v>
      </c>
      <c r="N276" s="158">
        <v>44119</v>
      </c>
      <c r="O276" s="157" t="s">
        <v>7729</v>
      </c>
      <c r="P276" s="158">
        <v>44120</v>
      </c>
      <c r="Q276" s="158">
        <v>44124</v>
      </c>
      <c r="R276" s="159">
        <v>44124</v>
      </c>
      <c r="S276" s="160" t="s">
        <v>9351</v>
      </c>
      <c r="T276" s="161" t="s">
        <v>264</v>
      </c>
      <c r="U276" s="162">
        <v>44125</v>
      </c>
      <c r="V276" s="161" t="s">
        <v>3324</v>
      </c>
      <c r="W276" s="161">
        <v>16</v>
      </c>
      <c r="X276" s="161" t="s">
        <v>5683</v>
      </c>
      <c r="Y276" s="161" t="s">
        <v>4999</v>
      </c>
      <c r="Z276" s="163">
        <v>44127</v>
      </c>
      <c r="AA276" s="164" t="s">
        <v>264</v>
      </c>
      <c r="AB276" s="165">
        <v>44133</v>
      </c>
      <c r="AC276" s="166">
        <v>44133</v>
      </c>
      <c r="AD276" s="209"/>
      <c r="AE276" s="209"/>
      <c r="AF276" s="210"/>
      <c r="AG276" s="211"/>
    </row>
    <row r="277" spans="1:33" s="208" customFormat="1" ht="15" customHeight="1" thickBot="1" x14ac:dyDescent="0.3">
      <c r="A277" s="221" t="str">
        <f t="shared" si="12"/>
        <v>OK</v>
      </c>
      <c r="B277" s="222" t="str">
        <f t="shared" si="13"/>
        <v>OK</v>
      </c>
      <c r="C277" s="223" t="str">
        <f t="shared" si="14"/>
        <v>OK</v>
      </c>
      <c r="D277" s="155">
        <v>0</v>
      </c>
      <c r="E277" s="156" t="s">
        <v>10497</v>
      </c>
      <c r="F277" s="157" t="s">
        <v>9024</v>
      </c>
      <c r="G277" s="157">
        <v>181079</v>
      </c>
      <c r="H277" s="157" t="s">
        <v>10498</v>
      </c>
      <c r="I277" s="157" t="s">
        <v>6820</v>
      </c>
      <c r="J277" s="157" t="s">
        <v>6829</v>
      </c>
      <c r="K277" s="157" t="s">
        <v>10499</v>
      </c>
      <c r="L277" s="157" t="s">
        <v>10500</v>
      </c>
      <c r="M277" s="157" t="s">
        <v>7460</v>
      </c>
      <c r="N277" s="158">
        <v>44119</v>
      </c>
      <c r="O277" s="157" t="s">
        <v>7729</v>
      </c>
      <c r="P277" s="158">
        <v>44120</v>
      </c>
      <c r="Q277" s="158">
        <v>44124</v>
      </c>
      <c r="R277" s="159">
        <v>44124</v>
      </c>
      <c r="S277" s="160" t="s">
        <v>9351</v>
      </c>
      <c r="T277" s="161" t="s">
        <v>264</v>
      </c>
      <c r="U277" s="162">
        <v>44125</v>
      </c>
      <c r="V277" s="161" t="s">
        <v>10501</v>
      </c>
      <c r="W277" s="161">
        <v>8</v>
      </c>
      <c r="X277" s="161" t="s">
        <v>5683</v>
      </c>
      <c r="Y277" s="161" t="s">
        <v>4999</v>
      </c>
      <c r="Z277" s="163">
        <v>44127</v>
      </c>
      <c r="AA277" s="164" t="s">
        <v>264</v>
      </c>
      <c r="AB277" s="165">
        <v>44133</v>
      </c>
      <c r="AC277" s="166">
        <v>44133</v>
      </c>
      <c r="AD277" s="209"/>
      <c r="AE277" s="209"/>
      <c r="AF277" s="210"/>
      <c r="AG277" s="211"/>
    </row>
    <row r="278" spans="1:33" s="208" customFormat="1" ht="15" customHeight="1" thickBot="1" x14ac:dyDescent="0.3">
      <c r="A278" s="221" t="str">
        <f t="shared" si="12"/>
        <v>OK</v>
      </c>
      <c r="B278" s="222" t="str">
        <f t="shared" si="13"/>
        <v>OK</v>
      </c>
      <c r="C278" s="223" t="str">
        <f t="shared" si="14"/>
        <v>OK</v>
      </c>
      <c r="D278" s="155">
        <v>0</v>
      </c>
      <c r="E278" s="156" t="s">
        <v>10502</v>
      </c>
      <c r="F278" s="157" t="s">
        <v>9024</v>
      </c>
      <c r="G278" s="157">
        <v>181079</v>
      </c>
      <c r="H278" s="157" t="s">
        <v>10503</v>
      </c>
      <c r="I278" s="157" t="s">
        <v>6820</v>
      </c>
      <c r="J278" s="157" t="s">
        <v>6829</v>
      </c>
      <c r="K278" s="157" t="s">
        <v>10504</v>
      </c>
      <c r="L278" s="157" t="s">
        <v>10505</v>
      </c>
      <c r="M278" s="157" t="s">
        <v>7030</v>
      </c>
      <c r="N278" s="158">
        <v>44119</v>
      </c>
      <c r="O278" s="157" t="s">
        <v>7729</v>
      </c>
      <c r="P278" s="158">
        <v>44120</v>
      </c>
      <c r="Q278" s="158">
        <v>44124</v>
      </c>
      <c r="R278" s="159">
        <v>44124</v>
      </c>
      <c r="S278" s="160" t="s">
        <v>9351</v>
      </c>
      <c r="T278" s="161" t="s">
        <v>264</v>
      </c>
      <c r="U278" s="162">
        <v>44125</v>
      </c>
      <c r="V278" s="161" t="s">
        <v>10506</v>
      </c>
      <c r="W278" s="161">
        <v>16</v>
      </c>
      <c r="X278" s="161" t="s">
        <v>5683</v>
      </c>
      <c r="Y278" s="161" t="s">
        <v>4999</v>
      </c>
      <c r="Z278" s="163">
        <v>44127</v>
      </c>
      <c r="AA278" s="164" t="s">
        <v>264</v>
      </c>
      <c r="AB278" s="165">
        <v>44134</v>
      </c>
      <c r="AC278" s="166">
        <v>44134</v>
      </c>
      <c r="AD278" s="209"/>
      <c r="AE278" s="209"/>
      <c r="AF278" s="210"/>
      <c r="AG278" s="211"/>
    </row>
    <row r="279" spans="1:33" s="208" customFormat="1" ht="15" customHeight="1" thickBot="1" x14ac:dyDescent="0.3">
      <c r="A279" s="221" t="str">
        <f t="shared" si="12"/>
        <v>OK</v>
      </c>
      <c r="B279" s="222" t="str">
        <f t="shared" si="13"/>
        <v>OK</v>
      </c>
      <c r="C279" s="223" t="str">
        <f t="shared" si="14"/>
        <v>OK</v>
      </c>
      <c r="D279" s="155">
        <v>0</v>
      </c>
      <c r="E279" s="156" t="s">
        <v>10507</v>
      </c>
      <c r="F279" s="169" t="s">
        <v>8443</v>
      </c>
      <c r="G279" s="157">
        <v>181093</v>
      </c>
      <c r="H279" s="157" t="s">
        <v>10508</v>
      </c>
      <c r="I279" s="157" t="s">
        <v>6820</v>
      </c>
      <c r="J279" s="157" t="s">
        <v>6829</v>
      </c>
      <c r="K279" s="157" t="s">
        <v>10509</v>
      </c>
      <c r="L279" s="157" t="s">
        <v>10510</v>
      </c>
      <c r="M279" s="157" t="s">
        <v>8631</v>
      </c>
      <c r="N279" s="158">
        <v>44126</v>
      </c>
      <c r="O279" s="157" t="s">
        <v>7729</v>
      </c>
      <c r="P279" s="158">
        <v>44126</v>
      </c>
      <c r="Q279" s="158">
        <v>44126</v>
      </c>
      <c r="R279" s="159">
        <v>44126</v>
      </c>
      <c r="S279" s="160" t="s">
        <v>8254</v>
      </c>
      <c r="T279" s="161" t="s">
        <v>9145</v>
      </c>
      <c r="U279" s="162">
        <v>44160</v>
      </c>
      <c r="V279" s="161" t="s">
        <v>8448</v>
      </c>
      <c r="W279" s="161">
        <v>2</v>
      </c>
      <c r="X279" s="161" t="s">
        <v>5683</v>
      </c>
      <c r="Y279" s="161" t="s">
        <v>4999</v>
      </c>
      <c r="Z279" s="163">
        <v>44162</v>
      </c>
      <c r="AA279" s="164" t="s">
        <v>264</v>
      </c>
      <c r="AB279" s="165">
        <v>44162</v>
      </c>
      <c r="AC279" s="166">
        <v>44162</v>
      </c>
      <c r="AD279" s="209"/>
      <c r="AE279" s="209"/>
      <c r="AF279" s="210"/>
      <c r="AG279" s="211"/>
    </row>
    <row r="280" spans="1:33" s="208" customFormat="1" ht="15" customHeight="1" thickBot="1" x14ac:dyDescent="0.3">
      <c r="A280" s="221" t="str">
        <f t="shared" si="12"/>
        <v>P</v>
      </c>
      <c r="B280" s="222" t="str">
        <f t="shared" si="13"/>
        <v>P</v>
      </c>
      <c r="C280" s="223" t="str">
        <f t="shared" si="14"/>
        <v>P</v>
      </c>
      <c r="D280" s="155">
        <v>0</v>
      </c>
      <c r="E280" s="156" t="s">
        <v>10511</v>
      </c>
      <c r="F280" s="157"/>
      <c r="G280" s="157"/>
      <c r="H280" s="157"/>
      <c r="I280" s="157"/>
      <c r="J280" s="157"/>
      <c r="K280" s="157"/>
      <c r="L280" s="157"/>
      <c r="M280" s="157"/>
      <c r="N280" s="158"/>
      <c r="O280" s="157"/>
      <c r="P280" s="158"/>
      <c r="Q280" s="158"/>
      <c r="R280" s="159"/>
      <c r="S280" s="160"/>
      <c r="T280" s="161"/>
      <c r="U280" s="161"/>
      <c r="V280" s="161"/>
      <c r="W280" s="161"/>
      <c r="X280" s="161" t="s">
        <v>5683</v>
      </c>
      <c r="Y280" s="161" t="s">
        <v>4999</v>
      </c>
      <c r="Z280" s="187"/>
      <c r="AA280" s="164"/>
      <c r="AB280" s="165"/>
      <c r="AC280" s="166"/>
      <c r="AD280" s="209"/>
      <c r="AE280" s="209"/>
      <c r="AF280" s="210"/>
      <c r="AG280" s="211"/>
    </row>
    <row r="281" spans="1:33" s="208" customFormat="1" ht="15" customHeight="1" thickBot="1" x14ac:dyDescent="0.3">
      <c r="A281" s="221" t="str">
        <f t="shared" si="12"/>
        <v>P</v>
      </c>
      <c r="B281" s="222" t="str">
        <f t="shared" si="13"/>
        <v>P</v>
      </c>
      <c r="C281" s="223" t="str">
        <f t="shared" si="14"/>
        <v>P</v>
      </c>
      <c r="D281" s="155">
        <v>0</v>
      </c>
      <c r="E281" s="156" t="s">
        <v>10512</v>
      </c>
      <c r="F281" s="157"/>
      <c r="G281" s="157"/>
      <c r="H281" s="157"/>
      <c r="I281" s="157"/>
      <c r="J281" s="157"/>
      <c r="K281" s="157"/>
      <c r="L281" s="157"/>
      <c r="M281" s="157"/>
      <c r="N281" s="158"/>
      <c r="O281" s="157"/>
      <c r="P281" s="158"/>
      <c r="Q281" s="158"/>
      <c r="R281" s="159"/>
      <c r="S281" s="160"/>
      <c r="T281" s="161"/>
      <c r="U281" s="161"/>
      <c r="V281" s="161"/>
      <c r="W281" s="161"/>
      <c r="X281" s="161" t="s">
        <v>5683</v>
      </c>
      <c r="Y281" s="161" t="s">
        <v>4999</v>
      </c>
      <c r="Z281" s="187"/>
      <c r="AA281" s="164"/>
      <c r="AB281" s="165"/>
      <c r="AC281" s="166"/>
      <c r="AD281" s="209"/>
      <c r="AE281" s="209"/>
      <c r="AF281" s="210"/>
      <c r="AG281" s="211"/>
    </row>
    <row r="282" spans="1:33" s="208" customFormat="1" ht="15" customHeight="1" thickBot="1" x14ac:dyDescent="0.3">
      <c r="A282" s="221" t="str">
        <f t="shared" si="12"/>
        <v>OK</v>
      </c>
      <c r="B282" s="222" t="str">
        <f t="shared" si="13"/>
        <v>OK</v>
      </c>
      <c r="C282" s="223" t="str">
        <f t="shared" si="14"/>
        <v>OK</v>
      </c>
      <c r="D282" s="155">
        <v>0</v>
      </c>
      <c r="E282" s="156" t="s">
        <v>10513</v>
      </c>
      <c r="F282" s="157" t="s">
        <v>9396</v>
      </c>
      <c r="G282" s="157">
        <v>181096</v>
      </c>
      <c r="H282" s="157" t="s">
        <v>10514</v>
      </c>
      <c r="I282" s="157" t="s">
        <v>6820</v>
      </c>
      <c r="J282" s="157" t="s">
        <v>6829</v>
      </c>
      <c r="K282" s="157" t="s">
        <v>10515</v>
      </c>
      <c r="L282" s="157" t="s">
        <v>10516</v>
      </c>
      <c r="M282" s="157" t="s">
        <v>7516</v>
      </c>
      <c r="N282" s="158">
        <v>44126</v>
      </c>
      <c r="O282" s="157" t="s">
        <v>7729</v>
      </c>
      <c r="P282" s="158">
        <v>44126</v>
      </c>
      <c r="Q282" s="158">
        <v>44126</v>
      </c>
      <c r="R282" s="159">
        <v>44154</v>
      </c>
      <c r="S282" s="160" t="s">
        <v>8248</v>
      </c>
      <c r="T282" s="160" t="s">
        <v>7729</v>
      </c>
      <c r="U282" s="162">
        <v>44161</v>
      </c>
      <c r="V282" s="161" t="s">
        <v>8902</v>
      </c>
      <c r="W282" s="161">
        <v>2</v>
      </c>
      <c r="X282" s="161" t="s">
        <v>5683</v>
      </c>
      <c r="Y282" s="161" t="s">
        <v>4999</v>
      </c>
      <c r="Z282" s="163">
        <v>44162</v>
      </c>
      <c r="AA282" s="164" t="s">
        <v>8250</v>
      </c>
      <c r="AB282" s="165">
        <v>44166</v>
      </c>
      <c r="AC282" s="166">
        <v>44166</v>
      </c>
      <c r="AD282" s="209"/>
      <c r="AE282" s="209"/>
      <c r="AF282" s="210"/>
      <c r="AG282" s="211"/>
    </row>
    <row r="283" spans="1:33" s="208" customFormat="1" ht="15" customHeight="1" thickBot="1" x14ac:dyDescent="0.3">
      <c r="A283" s="221" t="str">
        <f t="shared" si="12"/>
        <v>OK</v>
      </c>
      <c r="B283" s="222" t="str">
        <f t="shared" si="13"/>
        <v>OK</v>
      </c>
      <c r="C283" s="223" t="str">
        <f t="shared" si="14"/>
        <v>OK</v>
      </c>
      <c r="D283" s="155">
        <v>0</v>
      </c>
      <c r="E283" s="156" t="s">
        <v>10517</v>
      </c>
      <c r="F283" s="157" t="s">
        <v>9396</v>
      </c>
      <c r="G283" s="157">
        <v>181096</v>
      </c>
      <c r="H283" s="157" t="s">
        <v>10518</v>
      </c>
      <c r="I283" s="157" t="s">
        <v>6820</v>
      </c>
      <c r="J283" s="157" t="s">
        <v>6829</v>
      </c>
      <c r="K283" s="157" t="s">
        <v>10519</v>
      </c>
      <c r="L283" s="157" t="s">
        <v>10520</v>
      </c>
      <c r="M283" s="157" t="s">
        <v>7516</v>
      </c>
      <c r="N283" s="158">
        <v>44126</v>
      </c>
      <c r="O283" s="157" t="s">
        <v>7729</v>
      </c>
      <c r="P283" s="158">
        <v>44126</v>
      </c>
      <c r="Q283" s="158">
        <v>44126</v>
      </c>
      <c r="R283" s="159">
        <v>44154</v>
      </c>
      <c r="S283" s="160" t="s">
        <v>8248</v>
      </c>
      <c r="T283" s="161" t="s">
        <v>7729</v>
      </c>
      <c r="U283" s="162">
        <v>44161</v>
      </c>
      <c r="V283" s="161" t="s">
        <v>10521</v>
      </c>
      <c r="W283" s="161">
        <v>4</v>
      </c>
      <c r="X283" s="161" t="s">
        <v>5683</v>
      </c>
      <c r="Y283" s="161" t="s">
        <v>4999</v>
      </c>
      <c r="Z283" s="163">
        <v>44162</v>
      </c>
      <c r="AA283" s="164" t="s">
        <v>8250</v>
      </c>
      <c r="AB283" s="165">
        <v>44166</v>
      </c>
      <c r="AC283" s="166">
        <v>44166</v>
      </c>
      <c r="AD283" s="209"/>
      <c r="AE283" s="209"/>
      <c r="AF283" s="210"/>
      <c r="AG283" s="211"/>
    </row>
    <row r="284" spans="1:33" s="208" customFormat="1" ht="15" customHeight="1" thickBot="1" x14ac:dyDescent="0.3">
      <c r="A284" s="221" t="str">
        <f t="shared" si="12"/>
        <v>OK</v>
      </c>
      <c r="B284" s="222" t="str">
        <f t="shared" si="13"/>
        <v>OK</v>
      </c>
      <c r="C284" s="223" t="str">
        <f t="shared" si="14"/>
        <v>OK</v>
      </c>
      <c r="D284" s="155">
        <v>0</v>
      </c>
      <c r="E284" s="156" t="s">
        <v>10522</v>
      </c>
      <c r="F284" s="157" t="s">
        <v>6169</v>
      </c>
      <c r="G284" s="157">
        <v>181081</v>
      </c>
      <c r="H284" s="157" t="s">
        <v>10523</v>
      </c>
      <c r="I284" s="157" t="s">
        <v>6820</v>
      </c>
      <c r="J284" s="157" t="s">
        <v>6829</v>
      </c>
      <c r="K284" s="157" t="s">
        <v>10524</v>
      </c>
      <c r="L284" s="157">
        <v>86517</v>
      </c>
      <c r="M284" s="157" t="s">
        <v>5550</v>
      </c>
      <c r="N284" s="158">
        <v>44123</v>
      </c>
      <c r="O284" s="157" t="s">
        <v>7729</v>
      </c>
      <c r="P284" s="158">
        <v>44123</v>
      </c>
      <c r="Q284" s="158">
        <v>44123</v>
      </c>
      <c r="R284" s="159">
        <v>44123</v>
      </c>
      <c r="S284" s="160" t="s">
        <v>8248</v>
      </c>
      <c r="T284" s="161" t="s">
        <v>9145</v>
      </c>
      <c r="U284" s="162">
        <v>44154</v>
      </c>
      <c r="V284" s="161" t="s">
        <v>3191</v>
      </c>
      <c r="W284" s="161">
        <v>1</v>
      </c>
      <c r="X284" s="161" t="s">
        <v>5683</v>
      </c>
      <c r="Y284" s="161" t="s">
        <v>4999</v>
      </c>
      <c r="Z284" s="163">
        <v>44154</v>
      </c>
      <c r="AA284" s="164" t="s">
        <v>264</v>
      </c>
      <c r="AB284" s="165">
        <v>44158</v>
      </c>
      <c r="AC284" s="166">
        <v>44158</v>
      </c>
      <c r="AD284" s="209"/>
      <c r="AE284" s="209"/>
      <c r="AF284" s="210"/>
      <c r="AG284" s="211"/>
    </row>
    <row r="285" spans="1:33" s="208" customFormat="1" ht="15" customHeight="1" x14ac:dyDescent="0.25">
      <c r="A285" s="221" t="str">
        <f t="shared" si="12"/>
        <v>OK</v>
      </c>
      <c r="B285" s="222" t="str">
        <f t="shared" si="13"/>
        <v>OK</v>
      </c>
      <c r="C285" s="223" t="str">
        <f t="shared" si="14"/>
        <v>OK</v>
      </c>
      <c r="D285" s="155">
        <v>0</v>
      </c>
      <c r="E285" s="156" t="s">
        <v>10525</v>
      </c>
      <c r="F285" s="157" t="s">
        <v>6169</v>
      </c>
      <c r="G285" s="157">
        <v>181102</v>
      </c>
      <c r="H285" s="157" t="s">
        <v>10526</v>
      </c>
      <c r="I285" s="157" t="s">
        <v>6820</v>
      </c>
      <c r="J285" s="157" t="s">
        <v>6829</v>
      </c>
      <c r="K285" s="157" t="s">
        <v>8770</v>
      </c>
      <c r="L285" s="157" t="s">
        <v>10527</v>
      </c>
      <c r="M285" s="157" t="s">
        <v>10479</v>
      </c>
      <c r="N285" s="158">
        <v>44131</v>
      </c>
      <c r="O285" s="157" t="s">
        <v>7729</v>
      </c>
      <c r="P285" s="158">
        <v>44131</v>
      </c>
      <c r="Q285" s="158">
        <v>44131</v>
      </c>
      <c r="R285" s="159">
        <v>44132</v>
      </c>
      <c r="S285" s="160" t="s">
        <v>8248</v>
      </c>
      <c r="T285" s="161" t="s">
        <v>9145</v>
      </c>
      <c r="U285" s="162">
        <v>44161</v>
      </c>
      <c r="V285" s="161">
        <v>1506310</v>
      </c>
      <c r="W285" s="161">
        <v>1</v>
      </c>
      <c r="X285" s="161" t="s">
        <v>5683</v>
      </c>
      <c r="Y285" s="161" t="s">
        <v>4999</v>
      </c>
      <c r="Z285" s="163">
        <v>44161</v>
      </c>
      <c r="AA285" s="164" t="s">
        <v>264</v>
      </c>
      <c r="AB285" s="165">
        <v>44161</v>
      </c>
      <c r="AC285" s="166">
        <v>44161</v>
      </c>
      <c r="AD285" s="209"/>
      <c r="AE285" s="209"/>
      <c r="AF285" s="210"/>
      <c r="AG285" s="211"/>
    </row>
    <row r="286" spans="1:33" s="264" customFormat="1" ht="15" customHeight="1" thickBot="1" x14ac:dyDescent="0.3">
      <c r="A286" s="468" t="s">
        <v>10320</v>
      </c>
      <c r="B286" s="469"/>
      <c r="C286" s="470"/>
      <c r="D286" s="254">
        <v>0</v>
      </c>
      <c r="E286" s="255" t="s">
        <v>10528</v>
      </c>
      <c r="F286" s="224" t="s">
        <v>9024</v>
      </c>
      <c r="G286" s="224">
        <v>181079</v>
      </c>
      <c r="H286" s="224" t="s">
        <v>10494</v>
      </c>
      <c r="I286" s="224" t="s">
        <v>6820</v>
      </c>
      <c r="J286" s="224" t="s">
        <v>6829</v>
      </c>
      <c r="K286" s="224"/>
      <c r="L286" s="224"/>
      <c r="M286" s="224"/>
      <c r="N286" s="224"/>
      <c r="O286" s="224"/>
      <c r="P286" s="224"/>
      <c r="Q286" s="224"/>
      <c r="R286" s="256"/>
      <c r="S286" s="257"/>
      <c r="T286" s="258"/>
      <c r="U286" s="258"/>
      <c r="V286" s="258"/>
      <c r="W286" s="258"/>
      <c r="X286" s="258" t="s">
        <v>5683</v>
      </c>
      <c r="Y286" s="258" t="s">
        <v>4999</v>
      </c>
      <c r="Z286" s="259"/>
      <c r="AA286" s="260"/>
      <c r="AB286" s="261"/>
      <c r="AC286" s="262"/>
      <c r="AD286" s="263"/>
      <c r="AE286" s="263"/>
      <c r="AF286" s="257"/>
      <c r="AG286" s="259"/>
    </row>
    <row r="287" spans="1:33" s="208" customFormat="1" ht="15" customHeight="1" x14ac:dyDescent="0.25">
      <c r="A287" s="221" t="str">
        <f t="shared" si="12"/>
        <v>OK</v>
      </c>
      <c r="B287" s="222" t="str">
        <f t="shared" si="13"/>
        <v>OK</v>
      </c>
      <c r="C287" s="223" t="str">
        <f t="shared" si="14"/>
        <v>OK</v>
      </c>
      <c r="D287" s="155">
        <v>0</v>
      </c>
      <c r="E287" s="156" t="s">
        <v>10529</v>
      </c>
      <c r="F287" s="157" t="s">
        <v>9396</v>
      </c>
      <c r="G287" s="157">
        <v>181110</v>
      </c>
      <c r="H287" s="157" t="s">
        <v>10530</v>
      </c>
      <c r="I287" s="157" t="s">
        <v>6820</v>
      </c>
      <c r="J287" s="157" t="s">
        <v>6829</v>
      </c>
      <c r="K287" s="157" t="s">
        <v>10531</v>
      </c>
      <c r="L287" s="157" t="s">
        <v>10532</v>
      </c>
      <c r="M287" s="157" t="s">
        <v>5012</v>
      </c>
      <c r="N287" s="158">
        <v>44134</v>
      </c>
      <c r="O287" s="157" t="s">
        <v>7729</v>
      </c>
      <c r="P287" s="158">
        <v>44134</v>
      </c>
      <c r="Q287" s="158">
        <v>44134</v>
      </c>
      <c r="R287" s="159">
        <v>44152</v>
      </c>
      <c r="S287" s="160" t="s">
        <v>8248</v>
      </c>
      <c r="T287" s="161" t="s">
        <v>7729</v>
      </c>
      <c r="U287" s="162">
        <v>44161</v>
      </c>
      <c r="V287" s="161" t="s">
        <v>10533</v>
      </c>
      <c r="W287" s="161">
        <v>1</v>
      </c>
      <c r="X287" s="161" t="s">
        <v>5683</v>
      </c>
      <c r="Y287" s="161" t="s">
        <v>4999</v>
      </c>
      <c r="Z287" s="163">
        <v>44162</v>
      </c>
      <c r="AA287" s="164" t="s">
        <v>8250</v>
      </c>
      <c r="AB287" s="165">
        <v>44167</v>
      </c>
      <c r="AC287" s="166">
        <v>44167</v>
      </c>
      <c r="AD287" s="209"/>
      <c r="AE287" s="209"/>
      <c r="AF287" s="210"/>
    </row>
    <row r="288" spans="1:33" s="265" customFormat="1" ht="15" customHeight="1" thickBot="1" x14ac:dyDescent="0.3">
      <c r="A288" s="452" t="s">
        <v>7575</v>
      </c>
      <c r="B288" s="453"/>
      <c r="C288" s="454"/>
      <c r="D288" s="188">
        <v>0</v>
      </c>
      <c r="E288" s="189" t="s">
        <v>10534</v>
      </c>
      <c r="F288" s="190" t="s">
        <v>9414</v>
      </c>
      <c r="G288" s="190">
        <v>181104</v>
      </c>
      <c r="H288" s="190" t="s">
        <v>10535</v>
      </c>
      <c r="I288" s="190" t="s">
        <v>6820</v>
      </c>
      <c r="J288" s="190" t="s">
        <v>6829</v>
      </c>
      <c r="K288" s="190" t="s">
        <v>9784</v>
      </c>
      <c r="L288" s="190" t="s">
        <v>10536</v>
      </c>
      <c r="M288" s="190" t="s">
        <v>1106</v>
      </c>
      <c r="N288" s="191">
        <v>44133</v>
      </c>
      <c r="O288" s="190" t="s">
        <v>7729</v>
      </c>
      <c r="P288" s="191">
        <v>44133</v>
      </c>
      <c r="Q288" s="191">
        <v>44133</v>
      </c>
      <c r="R288" s="192">
        <v>44134</v>
      </c>
      <c r="S288" s="193" t="s">
        <v>8254</v>
      </c>
      <c r="T288" s="194"/>
      <c r="U288" s="194"/>
      <c r="V288" s="194" t="s">
        <v>3884</v>
      </c>
      <c r="W288" s="194">
        <v>2</v>
      </c>
      <c r="X288" s="194" t="s">
        <v>5683</v>
      </c>
      <c r="Y288" s="194" t="s">
        <v>4999</v>
      </c>
      <c r="Z288" s="204"/>
      <c r="AA288" s="197"/>
      <c r="AB288" s="195"/>
      <c r="AC288" s="196"/>
      <c r="AD288" s="217"/>
      <c r="AE288" s="217"/>
      <c r="AF288" s="193"/>
    </row>
    <row r="289" spans="1:32" s="208" customFormat="1" ht="15" customHeight="1" thickBot="1" x14ac:dyDescent="0.3">
      <c r="A289" s="221" t="str">
        <f t="shared" si="12"/>
        <v>OK</v>
      </c>
      <c r="B289" s="222" t="str">
        <f t="shared" si="13"/>
        <v>OK</v>
      </c>
      <c r="C289" s="223" t="str">
        <f t="shared" si="14"/>
        <v>OK</v>
      </c>
      <c r="D289" s="155">
        <v>0</v>
      </c>
      <c r="E289" s="156" t="s">
        <v>10537</v>
      </c>
      <c r="F289" s="157" t="s">
        <v>8272</v>
      </c>
      <c r="G289" s="157">
        <v>181099</v>
      </c>
      <c r="H289" s="157" t="s">
        <v>10538</v>
      </c>
      <c r="I289" s="157" t="s">
        <v>6820</v>
      </c>
      <c r="J289" s="157" t="s">
        <v>6829</v>
      </c>
      <c r="K289" s="157" t="s">
        <v>9041</v>
      </c>
      <c r="L289" s="157" t="s">
        <v>10539</v>
      </c>
      <c r="M289" s="157" t="s">
        <v>10540</v>
      </c>
      <c r="N289" s="158">
        <v>44130</v>
      </c>
      <c r="O289" s="157" t="s">
        <v>7729</v>
      </c>
      <c r="P289" s="158">
        <v>44130</v>
      </c>
      <c r="Q289" s="158">
        <v>44130</v>
      </c>
      <c r="R289" s="159">
        <v>44134</v>
      </c>
      <c r="S289" s="160" t="s">
        <v>8248</v>
      </c>
      <c r="T289" s="161" t="s">
        <v>9145</v>
      </c>
      <c r="U289" s="162">
        <v>44151</v>
      </c>
      <c r="V289" s="161" t="s">
        <v>10541</v>
      </c>
      <c r="W289" s="161">
        <v>16</v>
      </c>
      <c r="X289" s="161" t="s">
        <v>5683</v>
      </c>
      <c r="Y289" s="161" t="s">
        <v>4999</v>
      </c>
      <c r="Z289" s="163">
        <v>44158</v>
      </c>
      <c r="AA289" s="164" t="s">
        <v>264</v>
      </c>
      <c r="AB289" s="165">
        <v>44158</v>
      </c>
      <c r="AC289" s="166">
        <v>44158</v>
      </c>
      <c r="AD289" s="209"/>
      <c r="AE289" s="209"/>
      <c r="AF289" s="210"/>
    </row>
    <row r="290" spans="1:32" s="208" customFormat="1" ht="15" customHeight="1" thickBot="1" x14ac:dyDescent="0.3">
      <c r="A290" s="221" t="str">
        <f t="shared" si="12"/>
        <v>OK</v>
      </c>
      <c r="B290" s="222" t="str">
        <f t="shared" si="13"/>
        <v>OK</v>
      </c>
      <c r="C290" s="223" t="str">
        <f t="shared" si="14"/>
        <v>OK</v>
      </c>
      <c r="D290" s="155">
        <v>0</v>
      </c>
      <c r="E290" s="156" t="s">
        <v>10542</v>
      </c>
      <c r="F290" s="157" t="s">
        <v>6792</v>
      </c>
      <c r="G290" s="157">
        <v>181107</v>
      </c>
      <c r="H290" s="157" t="s">
        <v>10543</v>
      </c>
      <c r="I290" s="157" t="s">
        <v>6820</v>
      </c>
      <c r="J290" s="157" t="s">
        <v>6829</v>
      </c>
      <c r="K290" s="157" t="s">
        <v>10544</v>
      </c>
      <c r="L290" s="157" t="s">
        <v>10545</v>
      </c>
      <c r="M290" s="157" t="s">
        <v>9878</v>
      </c>
      <c r="N290" s="158">
        <v>44134</v>
      </c>
      <c r="O290" s="157" t="s">
        <v>7729</v>
      </c>
      <c r="P290" s="158">
        <v>44134</v>
      </c>
      <c r="Q290" s="158">
        <v>44134</v>
      </c>
      <c r="R290" s="159">
        <v>44139</v>
      </c>
      <c r="S290" s="160" t="s">
        <v>8248</v>
      </c>
      <c r="T290" s="161" t="s">
        <v>7729</v>
      </c>
      <c r="U290" s="162">
        <v>44138</v>
      </c>
      <c r="V290" s="161" t="s">
        <v>10546</v>
      </c>
      <c r="W290" s="161">
        <v>3</v>
      </c>
      <c r="X290" s="161" t="s">
        <v>5683</v>
      </c>
      <c r="Y290" s="161" t="s">
        <v>4999</v>
      </c>
      <c r="Z290" s="163">
        <v>44145</v>
      </c>
      <c r="AA290" s="164" t="s">
        <v>264</v>
      </c>
      <c r="AB290" s="165">
        <v>44145</v>
      </c>
      <c r="AC290" s="166">
        <v>44145</v>
      </c>
      <c r="AD290" s="209"/>
      <c r="AE290" s="209"/>
      <c r="AF290" s="210"/>
    </row>
    <row r="291" spans="1:32" s="208" customFormat="1" ht="15" customHeight="1" thickBot="1" x14ac:dyDescent="0.3">
      <c r="A291" s="221" t="str">
        <f t="shared" si="12"/>
        <v>OK</v>
      </c>
      <c r="B291" s="222" t="str">
        <f t="shared" si="13"/>
        <v>OK</v>
      </c>
      <c r="C291" s="223" t="str">
        <f t="shared" si="14"/>
        <v>OK</v>
      </c>
      <c r="D291" s="155">
        <v>0</v>
      </c>
      <c r="E291" s="156" t="s">
        <v>10547</v>
      </c>
      <c r="F291" s="157" t="s">
        <v>10548</v>
      </c>
      <c r="G291" s="157">
        <v>181103</v>
      </c>
      <c r="H291" s="157" t="s">
        <v>10549</v>
      </c>
      <c r="I291" s="157" t="s">
        <v>6820</v>
      </c>
      <c r="J291" s="157" t="s">
        <v>6829</v>
      </c>
      <c r="K291" s="157" t="s">
        <v>10550</v>
      </c>
      <c r="L291" s="157">
        <v>8625</v>
      </c>
      <c r="M291" s="157" t="s">
        <v>10551</v>
      </c>
      <c r="N291" s="158">
        <v>44132</v>
      </c>
      <c r="O291" s="157" t="s">
        <v>7729</v>
      </c>
      <c r="P291" s="158">
        <v>44132</v>
      </c>
      <c r="Q291" s="158">
        <v>44133</v>
      </c>
      <c r="R291" s="159">
        <v>44134</v>
      </c>
      <c r="S291" s="160" t="s">
        <v>8248</v>
      </c>
      <c r="T291" s="161" t="s">
        <v>9145</v>
      </c>
      <c r="U291" s="162">
        <v>44141</v>
      </c>
      <c r="V291" s="161" t="s">
        <v>10552</v>
      </c>
      <c r="W291" s="161">
        <v>1</v>
      </c>
      <c r="X291" s="161" t="s">
        <v>5683</v>
      </c>
      <c r="Y291" s="161" t="s">
        <v>4999</v>
      </c>
      <c r="Z291" s="163">
        <v>44145</v>
      </c>
      <c r="AA291" s="164" t="s">
        <v>264</v>
      </c>
      <c r="AB291" s="165">
        <v>44145</v>
      </c>
      <c r="AC291" s="166">
        <v>44145</v>
      </c>
      <c r="AD291" s="209"/>
      <c r="AE291" s="209"/>
      <c r="AF291" s="210"/>
    </row>
    <row r="292" spans="1:32" s="208" customFormat="1" ht="15" customHeight="1" thickBot="1" x14ac:dyDescent="0.3">
      <c r="A292" s="221" t="str">
        <f t="shared" si="12"/>
        <v>OK</v>
      </c>
      <c r="B292" s="222" t="str">
        <f t="shared" si="13"/>
        <v>OK</v>
      </c>
      <c r="C292" s="223" t="str">
        <f t="shared" si="14"/>
        <v>OK</v>
      </c>
      <c r="D292" s="155">
        <v>0</v>
      </c>
      <c r="E292" s="156" t="s">
        <v>10553</v>
      </c>
      <c r="F292" s="157" t="s">
        <v>8326</v>
      </c>
      <c r="G292" s="157">
        <v>181114</v>
      </c>
      <c r="H292" s="157" t="s">
        <v>10554</v>
      </c>
      <c r="I292" s="157" t="s">
        <v>6820</v>
      </c>
      <c r="J292" s="157" t="s">
        <v>6829</v>
      </c>
      <c r="K292" s="157" t="s">
        <v>7641</v>
      </c>
      <c r="L292" s="157" t="s">
        <v>10555</v>
      </c>
      <c r="M292" s="157" t="s">
        <v>10556</v>
      </c>
      <c r="N292" s="158">
        <v>44139</v>
      </c>
      <c r="O292" s="157" t="s">
        <v>7729</v>
      </c>
      <c r="P292" s="158">
        <v>44139</v>
      </c>
      <c r="Q292" s="158">
        <v>44139</v>
      </c>
      <c r="R292" s="159">
        <v>44140</v>
      </c>
      <c r="S292" s="160" t="s">
        <v>8248</v>
      </c>
      <c r="T292" s="161" t="s">
        <v>9145</v>
      </c>
      <c r="U292" s="162">
        <v>44140</v>
      </c>
      <c r="V292" s="161" t="s">
        <v>10557</v>
      </c>
      <c r="W292" s="161">
        <v>4</v>
      </c>
      <c r="X292" s="161" t="s">
        <v>5683</v>
      </c>
      <c r="Y292" s="161" t="s">
        <v>4999</v>
      </c>
      <c r="Z292" s="163">
        <v>44188</v>
      </c>
      <c r="AA292" s="164" t="s">
        <v>264</v>
      </c>
      <c r="AB292" s="165">
        <v>44188</v>
      </c>
      <c r="AC292" s="166">
        <v>44188</v>
      </c>
      <c r="AD292" s="209"/>
      <c r="AE292" s="209"/>
      <c r="AF292" s="210"/>
    </row>
    <row r="293" spans="1:32" s="208" customFormat="1" ht="15" customHeight="1" thickBot="1" x14ac:dyDescent="0.3">
      <c r="A293" s="221" t="str">
        <f t="shared" si="12"/>
        <v>OK</v>
      </c>
      <c r="B293" s="222" t="str">
        <f t="shared" si="13"/>
        <v>OK</v>
      </c>
      <c r="C293" s="223" t="str">
        <f t="shared" si="14"/>
        <v>OK</v>
      </c>
      <c r="D293" s="155">
        <v>0</v>
      </c>
      <c r="E293" s="156" t="s">
        <v>10558</v>
      </c>
      <c r="F293" s="157" t="s">
        <v>8326</v>
      </c>
      <c r="G293" s="157">
        <v>181114</v>
      </c>
      <c r="H293" s="157" t="s">
        <v>10559</v>
      </c>
      <c r="I293" s="157" t="s">
        <v>6820</v>
      </c>
      <c r="J293" s="157" t="s">
        <v>6829</v>
      </c>
      <c r="K293" s="157" t="s">
        <v>7641</v>
      </c>
      <c r="L293" s="157" t="s">
        <v>10560</v>
      </c>
      <c r="M293" s="157" t="s">
        <v>10556</v>
      </c>
      <c r="N293" s="158">
        <v>44139</v>
      </c>
      <c r="O293" s="157" t="s">
        <v>7729</v>
      </c>
      <c r="P293" s="158">
        <v>44139</v>
      </c>
      <c r="Q293" s="158">
        <v>44139</v>
      </c>
      <c r="R293" s="159">
        <v>44140</v>
      </c>
      <c r="S293" s="160" t="s">
        <v>8248</v>
      </c>
      <c r="T293" s="161" t="s">
        <v>9145</v>
      </c>
      <c r="U293" s="162">
        <v>44140</v>
      </c>
      <c r="V293" s="161" t="s">
        <v>10561</v>
      </c>
      <c r="W293" s="161">
        <v>4</v>
      </c>
      <c r="X293" s="161" t="s">
        <v>5683</v>
      </c>
      <c r="Y293" s="161" t="s">
        <v>4999</v>
      </c>
      <c r="Z293" s="163">
        <v>44188</v>
      </c>
      <c r="AA293" s="164" t="s">
        <v>264</v>
      </c>
      <c r="AB293" s="165">
        <v>44188</v>
      </c>
      <c r="AC293" s="166">
        <v>44188</v>
      </c>
      <c r="AD293" s="209"/>
      <c r="AE293" s="209"/>
      <c r="AF293" s="210"/>
    </row>
    <row r="294" spans="1:32" s="208" customFormat="1" ht="15" customHeight="1" thickBot="1" x14ac:dyDescent="0.3">
      <c r="A294" s="221" t="str">
        <f t="shared" si="12"/>
        <v>OK</v>
      </c>
      <c r="B294" s="222" t="str">
        <f t="shared" si="13"/>
        <v>OK</v>
      </c>
      <c r="C294" s="223" t="str">
        <f t="shared" si="14"/>
        <v>OK</v>
      </c>
      <c r="D294" s="155">
        <v>0</v>
      </c>
      <c r="E294" s="156" t="s">
        <v>10562</v>
      </c>
      <c r="F294" s="157" t="s">
        <v>9653</v>
      </c>
      <c r="G294" s="157">
        <v>181114</v>
      </c>
      <c r="H294" s="157" t="s">
        <v>10563</v>
      </c>
      <c r="I294" s="157" t="s">
        <v>6820</v>
      </c>
      <c r="J294" s="157" t="s">
        <v>6829</v>
      </c>
      <c r="K294" s="157" t="s">
        <v>10564</v>
      </c>
      <c r="L294" s="157" t="s">
        <v>10565</v>
      </c>
      <c r="M294" s="157" t="s">
        <v>10556</v>
      </c>
      <c r="N294" s="158">
        <v>44139</v>
      </c>
      <c r="O294" s="157" t="s">
        <v>7729</v>
      </c>
      <c r="P294" s="158">
        <v>44139</v>
      </c>
      <c r="Q294" s="158">
        <v>44139</v>
      </c>
      <c r="R294" s="159">
        <v>44140</v>
      </c>
      <c r="S294" s="160" t="s">
        <v>8248</v>
      </c>
      <c r="T294" s="161" t="s">
        <v>9145</v>
      </c>
      <c r="U294" s="162">
        <v>44140</v>
      </c>
      <c r="V294" s="161" t="s">
        <v>10566</v>
      </c>
      <c r="W294" s="161">
        <v>4</v>
      </c>
      <c r="X294" s="161" t="s">
        <v>5683</v>
      </c>
      <c r="Y294" s="161" t="s">
        <v>4999</v>
      </c>
      <c r="Z294" s="163">
        <v>44188</v>
      </c>
      <c r="AA294" s="164" t="s">
        <v>264</v>
      </c>
      <c r="AB294" s="165">
        <v>44188</v>
      </c>
      <c r="AC294" s="166">
        <v>44188</v>
      </c>
      <c r="AD294" s="209"/>
      <c r="AE294" s="209"/>
      <c r="AF294" s="210"/>
    </row>
    <row r="295" spans="1:32" s="208" customFormat="1" ht="15" customHeight="1" thickBot="1" x14ac:dyDescent="0.3">
      <c r="A295" s="221" t="str">
        <f t="shared" si="12"/>
        <v>OK</v>
      </c>
      <c r="B295" s="222" t="str">
        <f t="shared" si="13"/>
        <v>OK</v>
      </c>
      <c r="C295" s="223" t="str">
        <f t="shared" si="14"/>
        <v>OK</v>
      </c>
      <c r="D295" s="155">
        <v>0</v>
      </c>
      <c r="E295" s="156" t="s">
        <v>10567</v>
      </c>
      <c r="F295" s="157" t="s">
        <v>10568</v>
      </c>
      <c r="G295" s="157">
        <v>180974</v>
      </c>
      <c r="H295" s="157">
        <v>180974.1</v>
      </c>
      <c r="I295" s="157" t="s">
        <v>6820</v>
      </c>
      <c r="J295" s="157" t="s">
        <v>6829</v>
      </c>
      <c r="K295" s="157" t="s">
        <v>10569</v>
      </c>
      <c r="L295" s="157" t="s">
        <v>10570</v>
      </c>
      <c r="M295" s="157" t="s">
        <v>10571</v>
      </c>
      <c r="N295" s="158">
        <v>44046</v>
      </c>
      <c r="O295" s="157" t="s">
        <v>7729</v>
      </c>
      <c r="P295" s="158">
        <v>44133</v>
      </c>
      <c r="Q295" s="158">
        <v>44133</v>
      </c>
      <c r="R295" s="159">
        <v>44139</v>
      </c>
      <c r="S295" s="160" t="s">
        <v>10572</v>
      </c>
      <c r="T295" s="161" t="s">
        <v>9145</v>
      </c>
      <c r="U295" s="162">
        <v>44141</v>
      </c>
      <c r="V295" s="161" t="s">
        <v>10573</v>
      </c>
      <c r="W295" s="161">
        <v>6</v>
      </c>
      <c r="X295" s="161" t="s">
        <v>5683</v>
      </c>
      <c r="Y295" s="161" t="s">
        <v>4999</v>
      </c>
      <c r="Z295" s="163">
        <v>44152</v>
      </c>
      <c r="AA295" s="164" t="s">
        <v>264</v>
      </c>
      <c r="AB295" s="165">
        <v>44152</v>
      </c>
      <c r="AC295" s="166">
        <v>44152</v>
      </c>
      <c r="AD295" s="209"/>
      <c r="AE295" s="209"/>
      <c r="AF295" s="210"/>
    </row>
    <row r="296" spans="1:32" s="208" customFormat="1" ht="15" customHeight="1" thickBot="1" x14ac:dyDescent="0.3">
      <c r="A296" s="221" t="str">
        <f t="shared" si="12"/>
        <v>OK</v>
      </c>
      <c r="B296" s="222" t="str">
        <f t="shared" si="13"/>
        <v>OK</v>
      </c>
      <c r="C296" s="223" t="str">
        <f t="shared" si="14"/>
        <v>OK</v>
      </c>
      <c r="D296" s="155">
        <v>0</v>
      </c>
      <c r="E296" s="156" t="s">
        <v>10574</v>
      </c>
      <c r="F296" s="157" t="s">
        <v>10575</v>
      </c>
      <c r="G296" s="157">
        <v>181112</v>
      </c>
      <c r="H296" s="157" t="s">
        <v>10576</v>
      </c>
      <c r="I296" s="157" t="s">
        <v>6820</v>
      </c>
      <c r="J296" s="157" t="s">
        <v>6829</v>
      </c>
      <c r="K296" s="157" t="s">
        <v>10577</v>
      </c>
      <c r="L296" s="157" t="s">
        <v>10577</v>
      </c>
      <c r="M296" s="157" t="s">
        <v>10578</v>
      </c>
      <c r="N296" s="158">
        <v>44134</v>
      </c>
      <c r="O296" s="157" t="s">
        <v>7729</v>
      </c>
      <c r="P296" s="158">
        <v>44140</v>
      </c>
      <c r="Q296" s="158">
        <v>44140</v>
      </c>
      <c r="R296" s="159">
        <v>44140</v>
      </c>
      <c r="S296" s="160" t="s">
        <v>8253</v>
      </c>
      <c r="T296" s="161" t="s">
        <v>9145</v>
      </c>
      <c r="U296" s="162">
        <v>44182</v>
      </c>
      <c r="V296" s="161" t="s">
        <v>10579</v>
      </c>
      <c r="W296" s="161">
        <v>20</v>
      </c>
      <c r="X296" s="161" t="s">
        <v>5683</v>
      </c>
      <c r="Y296" s="161" t="s">
        <v>4999</v>
      </c>
      <c r="Z296" s="163">
        <v>43906</v>
      </c>
      <c r="AA296" s="164" t="s">
        <v>264</v>
      </c>
      <c r="AB296" s="165">
        <v>44272</v>
      </c>
      <c r="AC296" s="166">
        <v>44272</v>
      </c>
      <c r="AD296" s="209"/>
      <c r="AE296" s="209"/>
      <c r="AF296" s="210"/>
    </row>
    <row r="297" spans="1:32" s="208" customFormat="1" ht="21.75" customHeight="1" thickBot="1" x14ac:dyDescent="0.3">
      <c r="A297" s="221" t="str">
        <f t="shared" si="12"/>
        <v>OK</v>
      </c>
      <c r="B297" s="222" t="str">
        <f t="shared" si="13"/>
        <v>OK</v>
      </c>
      <c r="C297" s="223" t="str">
        <f t="shared" si="14"/>
        <v>OK</v>
      </c>
      <c r="D297" s="155">
        <v>0</v>
      </c>
      <c r="E297" s="156" t="s">
        <v>10580</v>
      </c>
      <c r="F297" s="157" t="s">
        <v>9172</v>
      </c>
      <c r="G297" s="157">
        <v>181117</v>
      </c>
      <c r="H297" s="157" t="s">
        <v>10581</v>
      </c>
      <c r="I297" s="157" t="s">
        <v>6820</v>
      </c>
      <c r="J297" s="157" t="s">
        <v>6829</v>
      </c>
      <c r="K297" s="169" t="s">
        <v>9041</v>
      </c>
      <c r="L297" s="157" t="s">
        <v>10582</v>
      </c>
      <c r="M297" s="169" t="s">
        <v>8944</v>
      </c>
      <c r="N297" s="158">
        <v>44140</v>
      </c>
      <c r="O297" s="157" t="s">
        <v>7729</v>
      </c>
      <c r="P297" s="158">
        <v>44140</v>
      </c>
      <c r="Q297" s="158">
        <v>44140</v>
      </c>
      <c r="R297" s="159">
        <v>44144</v>
      </c>
      <c r="S297" s="160" t="s">
        <v>10583</v>
      </c>
      <c r="T297" s="161" t="s">
        <v>7729</v>
      </c>
      <c r="U297" s="162">
        <v>44146</v>
      </c>
      <c r="V297" s="161" t="s">
        <v>10584</v>
      </c>
      <c r="W297" s="161">
        <v>1</v>
      </c>
      <c r="X297" s="161" t="s">
        <v>5683</v>
      </c>
      <c r="Y297" s="161" t="s">
        <v>4999</v>
      </c>
      <c r="Z297" s="163">
        <v>44148</v>
      </c>
      <c r="AA297" s="164" t="s">
        <v>264</v>
      </c>
      <c r="AB297" s="165">
        <v>44151</v>
      </c>
      <c r="AC297" s="166">
        <v>44151</v>
      </c>
      <c r="AD297" s="209"/>
      <c r="AE297" s="209"/>
      <c r="AF297" s="210"/>
    </row>
    <row r="298" spans="1:32" s="208" customFormat="1" ht="15" customHeight="1" x14ac:dyDescent="0.25">
      <c r="A298" s="221" t="str">
        <f t="shared" si="12"/>
        <v>OK</v>
      </c>
      <c r="B298" s="222" t="str">
        <f t="shared" si="13"/>
        <v>OK</v>
      </c>
      <c r="C298" s="223" t="str">
        <f t="shared" si="14"/>
        <v>OK</v>
      </c>
      <c r="D298" s="155">
        <v>0</v>
      </c>
      <c r="E298" s="156" t="s">
        <v>10585</v>
      </c>
      <c r="F298" s="157" t="s">
        <v>10586</v>
      </c>
      <c r="G298" s="157">
        <v>181127</v>
      </c>
      <c r="H298" s="157" t="s">
        <v>10587</v>
      </c>
      <c r="I298" s="157" t="s">
        <v>6820</v>
      </c>
      <c r="J298" s="157" t="s">
        <v>6829</v>
      </c>
      <c r="K298" s="157" t="s">
        <v>10588</v>
      </c>
      <c r="L298" s="157" t="s">
        <v>9664</v>
      </c>
      <c r="M298" s="157" t="s">
        <v>10589</v>
      </c>
      <c r="N298" s="158">
        <v>44145</v>
      </c>
      <c r="O298" s="157" t="s">
        <v>7729</v>
      </c>
      <c r="P298" s="158">
        <v>44145</v>
      </c>
      <c r="Q298" s="158">
        <v>44145</v>
      </c>
      <c r="R298" s="158">
        <v>44145</v>
      </c>
      <c r="S298" s="160" t="s">
        <v>8248</v>
      </c>
      <c r="T298" s="161" t="s">
        <v>9145</v>
      </c>
      <c r="U298" s="162">
        <v>44146</v>
      </c>
      <c r="V298" s="161" t="s">
        <v>9665</v>
      </c>
      <c r="W298" s="161">
        <v>2</v>
      </c>
      <c r="X298" s="161" t="s">
        <v>5683</v>
      </c>
      <c r="Y298" s="161" t="s">
        <v>4999</v>
      </c>
      <c r="Z298" s="163">
        <v>44148</v>
      </c>
      <c r="AA298" s="164" t="s">
        <v>10154</v>
      </c>
      <c r="AB298" s="165">
        <v>44148</v>
      </c>
      <c r="AC298" s="165">
        <v>44148</v>
      </c>
      <c r="AD298" s="209"/>
      <c r="AE298" s="209"/>
      <c r="AF298" s="210"/>
    </row>
    <row r="299" spans="1:32" s="265" customFormat="1" ht="15" customHeight="1" thickBot="1" x14ac:dyDescent="0.3">
      <c r="A299" s="452" t="s">
        <v>7575</v>
      </c>
      <c r="B299" s="453"/>
      <c r="C299" s="454"/>
      <c r="D299" s="188">
        <v>0</v>
      </c>
      <c r="E299" s="189" t="s">
        <v>10590</v>
      </c>
      <c r="F299" s="190" t="s">
        <v>9414</v>
      </c>
      <c r="G299" s="190">
        <v>181108</v>
      </c>
      <c r="H299" s="190" t="s">
        <v>10591</v>
      </c>
      <c r="I299" s="190" t="s">
        <v>6820</v>
      </c>
      <c r="J299" s="190" t="s">
        <v>6829</v>
      </c>
      <c r="K299" s="190" t="s">
        <v>10592</v>
      </c>
      <c r="L299" s="190" t="s">
        <v>10593</v>
      </c>
      <c r="M299" s="190" t="s">
        <v>3584</v>
      </c>
      <c r="N299" s="191">
        <v>44134</v>
      </c>
      <c r="O299" s="190" t="s">
        <v>7729</v>
      </c>
      <c r="P299" s="191">
        <v>44134</v>
      </c>
      <c r="Q299" s="191">
        <v>44134</v>
      </c>
      <c r="R299" s="191">
        <v>44134</v>
      </c>
      <c r="S299" s="193" t="s">
        <v>8254</v>
      </c>
      <c r="T299" s="194"/>
      <c r="U299" s="194"/>
      <c r="V299" s="194" t="s">
        <v>10594</v>
      </c>
      <c r="W299" s="194">
        <v>1</v>
      </c>
      <c r="X299" s="194" t="s">
        <v>5683</v>
      </c>
      <c r="Y299" s="194" t="s">
        <v>4999</v>
      </c>
      <c r="Z299" s="204"/>
      <c r="AA299" s="197"/>
      <c r="AB299" s="195"/>
      <c r="AC299" s="196"/>
      <c r="AD299" s="217"/>
      <c r="AE299" s="217"/>
      <c r="AF299" s="193"/>
    </row>
    <row r="300" spans="1:32" s="208" customFormat="1" ht="15" customHeight="1" thickBot="1" x14ac:dyDescent="0.3">
      <c r="A300" s="221" t="str">
        <f t="shared" si="12"/>
        <v>OK</v>
      </c>
      <c r="B300" s="222" t="str">
        <f t="shared" si="13"/>
        <v>OK</v>
      </c>
      <c r="C300" s="223" t="str">
        <f t="shared" si="14"/>
        <v>OK</v>
      </c>
      <c r="D300" s="155">
        <v>0</v>
      </c>
      <c r="E300" s="156" t="s">
        <v>10595</v>
      </c>
      <c r="F300" s="157" t="s">
        <v>6169</v>
      </c>
      <c r="G300" s="157">
        <v>181061</v>
      </c>
      <c r="H300" s="157" t="s">
        <v>10596</v>
      </c>
      <c r="I300" s="157" t="s">
        <v>6820</v>
      </c>
      <c r="J300" s="157" t="s">
        <v>6829</v>
      </c>
      <c r="K300" s="157" t="s">
        <v>3382</v>
      </c>
      <c r="L300" s="157" t="s">
        <v>3419</v>
      </c>
      <c r="M300" s="157" t="s">
        <v>10597</v>
      </c>
      <c r="N300" s="158">
        <v>44106</v>
      </c>
      <c r="O300" s="157" t="s">
        <v>7729</v>
      </c>
      <c r="P300" s="158">
        <v>44106</v>
      </c>
      <c r="Q300" s="158">
        <v>44109</v>
      </c>
      <c r="R300" s="159">
        <v>44115</v>
      </c>
      <c r="S300" s="160" t="s">
        <v>8248</v>
      </c>
      <c r="T300" s="161" t="s">
        <v>9145</v>
      </c>
      <c r="U300" s="162">
        <v>44158</v>
      </c>
      <c r="V300" s="161" t="s">
        <v>3384</v>
      </c>
      <c r="W300" s="161">
        <v>1</v>
      </c>
      <c r="X300" s="161" t="s">
        <v>5683</v>
      </c>
      <c r="Y300" s="161" t="s">
        <v>4999</v>
      </c>
      <c r="Z300" s="163">
        <v>44161</v>
      </c>
      <c r="AA300" s="164" t="s">
        <v>264</v>
      </c>
      <c r="AB300" s="165">
        <v>44162</v>
      </c>
      <c r="AC300" s="166">
        <v>44162</v>
      </c>
      <c r="AD300" s="209"/>
      <c r="AE300" s="209"/>
      <c r="AF300" s="210"/>
    </row>
    <row r="301" spans="1:32" s="208" customFormat="1" ht="15" customHeight="1" thickBot="1" x14ac:dyDescent="0.3">
      <c r="A301" s="221" t="str">
        <f t="shared" si="12"/>
        <v>OK</v>
      </c>
      <c r="B301" s="222" t="str">
        <f t="shared" si="13"/>
        <v>OK</v>
      </c>
      <c r="C301" s="223" t="str">
        <f t="shared" si="14"/>
        <v>OK</v>
      </c>
      <c r="D301" s="155">
        <v>0</v>
      </c>
      <c r="E301" s="156" t="s">
        <v>10598</v>
      </c>
      <c r="F301" s="156" t="s">
        <v>8264</v>
      </c>
      <c r="G301" s="157">
        <v>181133</v>
      </c>
      <c r="H301" s="157">
        <v>181133.1</v>
      </c>
      <c r="I301" s="157" t="s">
        <v>6820</v>
      </c>
      <c r="J301" s="157" t="s">
        <v>6829</v>
      </c>
      <c r="K301" s="157" t="s">
        <v>10599</v>
      </c>
      <c r="L301" s="157" t="s">
        <v>8267</v>
      </c>
      <c r="M301" s="157" t="s">
        <v>8268</v>
      </c>
      <c r="N301" s="158">
        <v>44151</v>
      </c>
      <c r="O301" s="157" t="s">
        <v>7729</v>
      </c>
      <c r="P301" s="158">
        <v>44160</v>
      </c>
      <c r="Q301" s="158">
        <v>44160</v>
      </c>
      <c r="R301" s="159">
        <v>44160</v>
      </c>
      <c r="S301" s="160" t="s">
        <v>8254</v>
      </c>
      <c r="T301" s="161" t="s">
        <v>10154</v>
      </c>
      <c r="U301" s="162">
        <v>44211</v>
      </c>
      <c r="V301" s="161" t="s">
        <v>8270</v>
      </c>
      <c r="W301" s="161">
        <v>3</v>
      </c>
      <c r="X301" s="161" t="s">
        <v>5683</v>
      </c>
      <c r="Y301" s="161" t="s">
        <v>4999</v>
      </c>
      <c r="Z301" s="163">
        <v>44211</v>
      </c>
      <c r="AA301" s="164" t="s">
        <v>10154</v>
      </c>
      <c r="AB301" s="165">
        <v>44215</v>
      </c>
      <c r="AC301" s="166">
        <v>44215</v>
      </c>
      <c r="AD301" s="209"/>
      <c r="AE301" s="209"/>
      <c r="AF301" s="210"/>
    </row>
    <row r="302" spans="1:32" s="208" customFormat="1" ht="15" customHeight="1" thickBot="1" x14ac:dyDescent="0.3">
      <c r="A302" s="221" t="str">
        <f t="shared" si="12"/>
        <v>OK</v>
      </c>
      <c r="B302" s="222" t="str">
        <f t="shared" si="13"/>
        <v>OK</v>
      </c>
      <c r="C302" s="223" t="str">
        <f t="shared" si="14"/>
        <v>OK</v>
      </c>
      <c r="D302" s="155">
        <v>0</v>
      </c>
      <c r="E302" s="156" t="s">
        <v>10600</v>
      </c>
      <c r="F302" s="157" t="s">
        <v>8264</v>
      </c>
      <c r="G302" s="157">
        <v>181135</v>
      </c>
      <c r="H302" s="157" t="s">
        <v>10601</v>
      </c>
      <c r="I302" s="157" t="s">
        <v>6820</v>
      </c>
      <c r="J302" s="157" t="s">
        <v>6829</v>
      </c>
      <c r="K302" s="157" t="s">
        <v>10602</v>
      </c>
      <c r="L302" s="157" t="s">
        <v>10603</v>
      </c>
      <c r="M302" s="157" t="s">
        <v>10604</v>
      </c>
      <c r="N302" s="158">
        <v>44152</v>
      </c>
      <c r="O302" s="157" t="s">
        <v>7729</v>
      </c>
      <c r="P302" s="158">
        <v>44152</v>
      </c>
      <c r="Q302" s="158">
        <v>44152</v>
      </c>
      <c r="R302" s="158">
        <v>44152</v>
      </c>
      <c r="S302" s="160" t="s">
        <v>8254</v>
      </c>
      <c r="T302" s="161" t="s">
        <v>7729</v>
      </c>
      <c r="U302" s="162">
        <v>44158</v>
      </c>
      <c r="V302" s="161" t="s">
        <v>10605</v>
      </c>
      <c r="W302" s="161">
        <v>2</v>
      </c>
      <c r="X302" s="161" t="s">
        <v>5683</v>
      </c>
      <c r="Y302" s="161" t="s">
        <v>4999</v>
      </c>
      <c r="Z302" s="163">
        <v>44158</v>
      </c>
      <c r="AA302" s="164" t="s">
        <v>264</v>
      </c>
      <c r="AB302" s="164">
        <v>44158</v>
      </c>
      <c r="AC302" s="164">
        <v>44158</v>
      </c>
      <c r="AD302" s="209"/>
      <c r="AE302" s="209"/>
      <c r="AF302" s="210"/>
    </row>
    <row r="303" spans="1:32" s="208" customFormat="1" ht="15" customHeight="1" thickBot="1" x14ac:dyDescent="0.3">
      <c r="A303" s="221" t="str">
        <f t="shared" si="12"/>
        <v>OK</v>
      </c>
      <c r="B303" s="222" t="str">
        <f t="shared" si="13"/>
        <v>OK</v>
      </c>
      <c r="C303" s="223" t="str">
        <f t="shared" si="14"/>
        <v>OK</v>
      </c>
      <c r="D303" s="155">
        <v>0</v>
      </c>
      <c r="E303" s="156" t="s">
        <v>10606</v>
      </c>
      <c r="F303" s="157" t="s">
        <v>9396</v>
      </c>
      <c r="G303" s="157">
        <v>181105</v>
      </c>
      <c r="H303" s="157" t="s">
        <v>10607</v>
      </c>
      <c r="I303" s="157" t="s">
        <v>6820</v>
      </c>
      <c r="J303" s="157" t="s">
        <v>6829</v>
      </c>
      <c r="K303" s="157" t="s">
        <v>10446</v>
      </c>
      <c r="L303" s="157" t="s">
        <v>10608</v>
      </c>
      <c r="M303" s="157" t="s">
        <v>7516</v>
      </c>
      <c r="N303" s="158">
        <v>44133</v>
      </c>
      <c r="O303" s="157" t="s">
        <v>7729</v>
      </c>
      <c r="P303" s="158">
        <v>44133</v>
      </c>
      <c r="Q303" s="158">
        <v>44133</v>
      </c>
      <c r="R303" s="159">
        <v>44134</v>
      </c>
      <c r="S303" s="160" t="s">
        <v>8248</v>
      </c>
      <c r="T303" s="161" t="s">
        <v>7729</v>
      </c>
      <c r="U303" s="162">
        <v>44161</v>
      </c>
      <c r="V303" s="161" t="s">
        <v>10609</v>
      </c>
      <c r="W303" s="161">
        <v>10</v>
      </c>
      <c r="X303" s="161" t="s">
        <v>5683</v>
      </c>
      <c r="Y303" s="161" t="s">
        <v>4999</v>
      </c>
      <c r="Z303" s="163">
        <v>44162</v>
      </c>
      <c r="AA303" s="164" t="s">
        <v>10154</v>
      </c>
      <c r="AB303" s="165">
        <v>44167</v>
      </c>
      <c r="AC303" s="165">
        <v>44167</v>
      </c>
      <c r="AD303" s="209"/>
      <c r="AE303" s="209"/>
      <c r="AF303" s="210"/>
    </row>
    <row r="304" spans="1:32" s="208" customFormat="1" ht="15" customHeight="1" thickBot="1" x14ac:dyDescent="0.3">
      <c r="A304" s="221" t="str">
        <f t="shared" si="12"/>
        <v>OK</v>
      </c>
      <c r="B304" s="222" t="str">
        <f t="shared" si="13"/>
        <v>OK</v>
      </c>
      <c r="C304" s="223" t="str">
        <f t="shared" si="14"/>
        <v>OK</v>
      </c>
      <c r="D304" s="155">
        <v>0</v>
      </c>
      <c r="E304" s="156" t="s">
        <v>10610</v>
      </c>
      <c r="F304" s="157" t="s">
        <v>9396</v>
      </c>
      <c r="G304" s="157">
        <v>181109</v>
      </c>
      <c r="H304" s="157" t="s">
        <v>10611</v>
      </c>
      <c r="I304" s="157" t="s">
        <v>6820</v>
      </c>
      <c r="J304" s="157" t="s">
        <v>6829</v>
      </c>
      <c r="K304" s="157" t="s">
        <v>10256</v>
      </c>
      <c r="L304" s="157" t="s">
        <v>10257</v>
      </c>
      <c r="M304" s="157" t="s">
        <v>7516</v>
      </c>
      <c r="N304" s="158">
        <v>44134</v>
      </c>
      <c r="O304" s="157" t="s">
        <v>7729</v>
      </c>
      <c r="P304" s="158">
        <v>44134</v>
      </c>
      <c r="Q304" s="158">
        <v>44134</v>
      </c>
      <c r="R304" s="158">
        <v>44152</v>
      </c>
      <c r="S304" s="160" t="s">
        <v>8254</v>
      </c>
      <c r="T304" s="161" t="s">
        <v>7729</v>
      </c>
      <c r="U304" s="162">
        <v>44161</v>
      </c>
      <c r="V304" s="161" t="s">
        <v>10258</v>
      </c>
      <c r="W304" s="161">
        <v>2</v>
      </c>
      <c r="X304" s="161" t="s">
        <v>5683</v>
      </c>
      <c r="Y304" s="161" t="s">
        <v>4999</v>
      </c>
      <c r="Z304" s="163">
        <v>44166</v>
      </c>
      <c r="AA304" s="164" t="s">
        <v>10154</v>
      </c>
      <c r="AB304" s="165">
        <v>44167</v>
      </c>
      <c r="AC304" s="165">
        <v>44167</v>
      </c>
      <c r="AD304" s="209"/>
      <c r="AE304" s="209"/>
      <c r="AF304" s="210"/>
    </row>
    <row r="305" spans="1:32" s="208" customFormat="1" ht="15" customHeight="1" thickBot="1" x14ac:dyDescent="0.3">
      <c r="A305" s="221" t="str">
        <f t="shared" si="12"/>
        <v>OK</v>
      </c>
      <c r="B305" s="222" t="str">
        <f t="shared" si="13"/>
        <v>OK</v>
      </c>
      <c r="C305" s="223" t="str">
        <f t="shared" si="14"/>
        <v>OK</v>
      </c>
      <c r="D305" s="155">
        <v>2</v>
      </c>
      <c r="E305" s="156" t="s">
        <v>10612</v>
      </c>
      <c r="F305" s="157" t="s">
        <v>8369</v>
      </c>
      <c r="G305" s="157">
        <v>181141</v>
      </c>
      <c r="H305" s="157" t="s">
        <v>10613</v>
      </c>
      <c r="I305" s="157" t="s">
        <v>6820</v>
      </c>
      <c r="J305" s="157" t="s">
        <v>6829</v>
      </c>
      <c r="K305" s="157" t="s">
        <v>10614</v>
      </c>
      <c r="L305" s="157" t="s">
        <v>10615</v>
      </c>
      <c r="M305" s="157" t="s">
        <v>10616</v>
      </c>
      <c r="N305" s="158">
        <v>44155</v>
      </c>
      <c r="O305" s="157" t="s">
        <v>7729</v>
      </c>
      <c r="P305" s="158">
        <v>44155</v>
      </c>
      <c r="Q305" s="158">
        <v>44155</v>
      </c>
      <c r="R305" s="159">
        <v>44161</v>
      </c>
      <c r="S305" s="160" t="s">
        <v>8254</v>
      </c>
      <c r="T305" s="161" t="s">
        <v>7729</v>
      </c>
      <c r="U305" s="162">
        <v>44159</v>
      </c>
      <c r="V305" s="161" t="s">
        <v>10617</v>
      </c>
      <c r="W305" s="161">
        <v>2</v>
      </c>
      <c r="X305" s="161" t="s">
        <v>5683</v>
      </c>
      <c r="Y305" s="161" t="s">
        <v>4999</v>
      </c>
      <c r="Z305" s="163">
        <v>44165</v>
      </c>
      <c r="AA305" s="164" t="s">
        <v>10154</v>
      </c>
      <c r="AB305" s="166">
        <v>44166</v>
      </c>
      <c r="AC305" s="166">
        <v>44166</v>
      </c>
      <c r="AD305" s="209"/>
      <c r="AE305" s="209"/>
      <c r="AF305" s="210"/>
    </row>
    <row r="306" spans="1:32" s="208" customFormat="1" ht="15" customHeight="1" thickBot="1" x14ac:dyDescent="0.3">
      <c r="A306" s="221" t="str">
        <f t="shared" si="12"/>
        <v>OK</v>
      </c>
      <c r="B306" s="222" t="str">
        <f t="shared" si="13"/>
        <v>OK</v>
      </c>
      <c r="C306" s="223" t="str">
        <f t="shared" si="14"/>
        <v>OK</v>
      </c>
      <c r="D306" s="155">
        <v>1</v>
      </c>
      <c r="E306" s="156" t="s">
        <v>10612</v>
      </c>
      <c r="F306" s="157" t="s">
        <v>8369</v>
      </c>
      <c r="G306" s="157">
        <v>181141</v>
      </c>
      <c r="H306" s="157" t="s">
        <v>10618</v>
      </c>
      <c r="I306" s="157" t="s">
        <v>6820</v>
      </c>
      <c r="J306" s="157" t="s">
        <v>6829</v>
      </c>
      <c r="K306" s="157" t="s">
        <v>10614</v>
      </c>
      <c r="L306" s="157" t="s">
        <v>10615</v>
      </c>
      <c r="M306" s="157" t="s">
        <v>10616</v>
      </c>
      <c r="N306" s="158">
        <v>44155</v>
      </c>
      <c r="O306" s="157" t="s">
        <v>7729</v>
      </c>
      <c r="P306" s="158">
        <v>44155</v>
      </c>
      <c r="Q306" s="158">
        <v>44155</v>
      </c>
      <c r="R306" s="159">
        <v>44161</v>
      </c>
      <c r="S306" s="160" t="s">
        <v>8254</v>
      </c>
      <c r="T306" s="161" t="s">
        <v>7729</v>
      </c>
      <c r="U306" s="162">
        <v>44159</v>
      </c>
      <c r="V306" s="161" t="s">
        <v>10617</v>
      </c>
      <c r="W306" s="161">
        <v>2</v>
      </c>
      <c r="X306" s="161" t="s">
        <v>5683</v>
      </c>
      <c r="Y306" s="161" t="s">
        <v>4999</v>
      </c>
      <c r="Z306" s="163">
        <v>44165</v>
      </c>
      <c r="AA306" s="164" t="s">
        <v>10154</v>
      </c>
      <c r="AB306" s="166">
        <v>44166</v>
      </c>
      <c r="AC306" s="166">
        <v>44166</v>
      </c>
      <c r="AD306" s="209"/>
      <c r="AE306" s="209"/>
      <c r="AF306" s="210"/>
    </row>
    <row r="307" spans="1:32" s="208" customFormat="1" ht="15" customHeight="1" thickBot="1" x14ac:dyDescent="0.3">
      <c r="A307" s="221" t="str">
        <f t="shared" si="12"/>
        <v>OK</v>
      </c>
      <c r="B307" s="222" t="str">
        <f t="shared" si="13"/>
        <v>OK</v>
      </c>
      <c r="C307" s="223" t="str">
        <f t="shared" si="14"/>
        <v>OK</v>
      </c>
      <c r="D307" s="155">
        <v>0</v>
      </c>
      <c r="E307" s="156" t="s">
        <v>10612</v>
      </c>
      <c r="F307" s="157" t="s">
        <v>8369</v>
      </c>
      <c r="G307" s="157">
        <v>181141</v>
      </c>
      <c r="H307" s="157" t="s">
        <v>10619</v>
      </c>
      <c r="I307" s="157" t="s">
        <v>6820</v>
      </c>
      <c r="J307" s="157" t="s">
        <v>6829</v>
      </c>
      <c r="K307" s="157" t="s">
        <v>10614</v>
      </c>
      <c r="L307" s="157" t="s">
        <v>10615</v>
      </c>
      <c r="M307" s="157" t="s">
        <v>10616</v>
      </c>
      <c r="N307" s="158">
        <v>44155</v>
      </c>
      <c r="O307" s="157" t="s">
        <v>7729</v>
      </c>
      <c r="P307" s="158">
        <v>44155</v>
      </c>
      <c r="Q307" s="158">
        <v>44155</v>
      </c>
      <c r="R307" s="159">
        <v>44161</v>
      </c>
      <c r="S307" s="160" t="s">
        <v>8254</v>
      </c>
      <c r="T307" s="161" t="s">
        <v>7729</v>
      </c>
      <c r="U307" s="162">
        <v>44159</v>
      </c>
      <c r="V307" s="161" t="s">
        <v>10617</v>
      </c>
      <c r="W307" s="161">
        <v>2</v>
      </c>
      <c r="X307" s="161" t="s">
        <v>5683</v>
      </c>
      <c r="Y307" s="161" t="s">
        <v>4999</v>
      </c>
      <c r="Z307" s="163">
        <v>44165</v>
      </c>
      <c r="AA307" s="164" t="s">
        <v>264</v>
      </c>
      <c r="AB307" s="165">
        <v>44165</v>
      </c>
      <c r="AC307" s="165">
        <v>44165</v>
      </c>
      <c r="AD307" s="209"/>
      <c r="AE307" s="209"/>
      <c r="AF307" s="210"/>
    </row>
    <row r="308" spans="1:32" s="208" customFormat="1" ht="15" customHeight="1" thickBot="1" x14ac:dyDescent="0.3">
      <c r="A308" s="221" t="str">
        <f t="shared" si="12"/>
        <v>P</v>
      </c>
      <c r="B308" s="222" t="str">
        <f t="shared" si="13"/>
        <v>P</v>
      </c>
      <c r="C308" s="223" t="str">
        <f t="shared" si="14"/>
        <v>P</v>
      </c>
      <c r="D308" s="155">
        <v>0</v>
      </c>
      <c r="E308" s="156" t="s">
        <v>10620</v>
      </c>
      <c r="F308" s="202"/>
      <c r="G308" s="157"/>
      <c r="H308" s="157"/>
      <c r="I308" s="157"/>
      <c r="J308" s="157"/>
      <c r="K308" s="157"/>
      <c r="L308" s="157"/>
      <c r="M308" s="157"/>
      <c r="N308" s="158"/>
      <c r="O308" s="157"/>
      <c r="P308" s="158"/>
      <c r="Q308" s="158"/>
      <c r="R308" s="159"/>
      <c r="S308" s="160"/>
      <c r="T308" s="161"/>
      <c r="U308" s="161"/>
      <c r="V308" s="161"/>
      <c r="W308" s="161"/>
      <c r="X308" s="161"/>
      <c r="Y308" s="161"/>
      <c r="Z308" s="187"/>
      <c r="AA308" s="164"/>
      <c r="AB308" s="165"/>
      <c r="AC308" s="166"/>
      <c r="AD308" s="209"/>
      <c r="AE308" s="209"/>
      <c r="AF308" s="210"/>
    </row>
    <row r="309" spans="1:32" s="208" customFormat="1" ht="15" customHeight="1" thickBot="1" x14ac:dyDescent="0.3">
      <c r="A309" s="221" t="str">
        <f t="shared" si="12"/>
        <v>OK</v>
      </c>
      <c r="B309" s="222" t="str">
        <f t="shared" si="13"/>
        <v>OK</v>
      </c>
      <c r="C309" s="223" t="str">
        <f t="shared" si="14"/>
        <v>OK</v>
      </c>
      <c r="D309" s="155">
        <v>0</v>
      </c>
      <c r="E309" s="156" t="s">
        <v>10621</v>
      </c>
      <c r="F309" s="157" t="s">
        <v>6169</v>
      </c>
      <c r="G309" s="157">
        <v>181080</v>
      </c>
      <c r="H309" s="157" t="s">
        <v>10622</v>
      </c>
      <c r="I309" s="157" t="s">
        <v>6820</v>
      </c>
      <c r="J309" s="157" t="s">
        <v>6829</v>
      </c>
      <c r="K309" s="157" t="s">
        <v>10524</v>
      </c>
      <c r="L309" s="157">
        <v>86517</v>
      </c>
      <c r="M309" s="157" t="s">
        <v>7110</v>
      </c>
      <c r="N309" s="158">
        <v>44123</v>
      </c>
      <c r="O309" s="157" t="s">
        <v>7729</v>
      </c>
      <c r="P309" s="158">
        <v>44123</v>
      </c>
      <c r="Q309" s="158">
        <v>44123</v>
      </c>
      <c r="R309" s="158">
        <v>44123</v>
      </c>
      <c r="S309" s="160" t="s">
        <v>8254</v>
      </c>
      <c r="T309" s="161" t="s">
        <v>5683</v>
      </c>
      <c r="U309" s="162">
        <v>44159</v>
      </c>
      <c r="V309" s="161" t="s">
        <v>3191</v>
      </c>
      <c r="W309" s="161">
        <v>1</v>
      </c>
      <c r="X309" s="161" t="s">
        <v>5683</v>
      </c>
      <c r="Y309" s="161" t="s">
        <v>4999</v>
      </c>
      <c r="Z309" s="163">
        <v>44162</v>
      </c>
      <c r="AA309" s="164" t="s">
        <v>264</v>
      </c>
      <c r="AB309" s="164">
        <v>44162</v>
      </c>
      <c r="AC309" s="166">
        <v>44166</v>
      </c>
      <c r="AD309" s="209"/>
      <c r="AE309" s="209"/>
      <c r="AF309" s="210"/>
    </row>
    <row r="310" spans="1:32" s="208" customFormat="1" ht="15" customHeight="1" thickBot="1" x14ac:dyDescent="0.3">
      <c r="A310" s="221" t="str">
        <f t="shared" si="12"/>
        <v>OK</v>
      </c>
      <c r="B310" s="222" t="str">
        <f t="shared" si="13"/>
        <v>OK</v>
      </c>
      <c r="C310" s="223" t="str">
        <f t="shared" si="14"/>
        <v>OK</v>
      </c>
      <c r="D310" s="155">
        <v>0</v>
      </c>
      <c r="E310" s="156" t="s">
        <v>10623</v>
      </c>
      <c r="F310" s="157" t="s">
        <v>10624</v>
      </c>
      <c r="G310" s="157">
        <v>181140</v>
      </c>
      <c r="H310" s="157">
        <v>181140.1</v>
      </c>
      <c r="I310" s="157" t="s">
        <v>6820</v>
      </c>
      <c r="J310" s="157" t="s">
        <v>6829</v>
      </c>
      <c r="K310" s="157" t="s">
        <v>10625</v>
      </c>
      <c r="L310" s="157" t="s">
        <v>10626</v>
      </c>
      <c r="M310" s="157" t="s">
        <v>10627</v>
      </c>
      <c r="N310" s="158">
        <v>44155</v>
      </c>
      <c r="O310" s="157" t="s">
        <v>7729</v>
      </c>
      <c r="P310" s="158">
        <v>44155</v>
      </c>
      <c r="Q310" s="158">
        <v>44155</v>
      </c>
      <c r="R310" s="158">
        <v>44155</v>
      </c>
      <c r="S310" s="160" t="s">
        <v>8254</v>
      </c>
      <c r="T310" s="161" t="s">
        <v>7729</v>
      </c>
      <c r="U310" s="162">
        <v>44159</v>
      </c>
      <c r="V310" s="161" t="s">
        <v>10628</v>
      </c>
      <c r="W310" s="161">
        <v>1</v>
      </c>
      <c r="X310" s="161" t="s">
        <v>5683</v>
      </c>
      <c r="Y310" s="161" t="s">
        <v>4999</v>
      </c>
      <c r="Z310" s="163">
        <v>44161</v>
      </c>
      <c r="AA310" s="164" t="s">
        <v>10154</v>
      </c>
      <c r="AB310" s="166">
        <v>44166</v>
      </c>
      <c r="AC310" s="166">
        <v>44166</v>
      </c>
      <c r="AD310" s="209"/>
      <c r="AE310" s="209"/>
      <c r="AF310" s="210"/>
    </row>
    <row r="311" spans="1:32" s="208" customFormat="1" ht="15" customHeight="1" thickBot="1" x14ac:dyDescent="0.3">
      <c r="A311" s="221" t="str">
        <f t="shared" si="12"/>
        <v>OK</v>
      </c>
      <c r="B311" s="222" t="str">
        <f t="shared" si="13"/>
        <v>OK</v>
      </c>
      <c r="C311" s="223" t="str">
        <f t="shared" si="14"/>
        <v>OK</v>
      </c>
      <c r="D311" s="155">
        <v>0</v>
      </c>
      <c r="E311" s="156" t="s">
        <v>10629</v>
      </c>
      <c r="F311" s="157" t="s">
        <v>9396</v>
      </c>
      <c r="G311" s="157">
        <v>181130</v>
      </c>
      <c r="H311" s="157" t="s">
        <v>10630</v>
      </c>
      <c r="I311" s="157" t="s">
        <v>6820</v>
      </c>
      <c r="J311" s="157" t="s">
        <v>6829</v>
      </c>
      <c r="K311" s="157" t="s">
        <v>10631</v>
      </c>
      <c r="L311" s="157" t="s">
        <v>10632</v>
      </c>
      <c r="M311" s="157" t="s">
        <v>10633</v>
      </c>
      <c r="N311" s="158">
        <v>44147</v>
      </c>
      <c r="O311" s="157" t="s">
        <v>7729</v>
      </c>
      <c r="P311" s="158">
        <v>44148</v>
      </c>
      <c r="Q311" s="158">
        <v>44148</v>
      </c>
      <c r="R311" s="159">
        <v>44158</v>
      </c>
      <c r="S311" s="160" t="s">
        <v>8254</v>
      </c>
      <c r="T311" s="161" t="s">
        <v>7729</v>
      </c>
      <c r="U311" s="162">
        <v>44161</v>
      </c>
      <c r="V311" s="161" t="s">
        <v>10634</v>
      </c>
      <c r="W311" s="161">
        <v>2</v>
      </c>
      <c r="X311" s="161" t="s">
        <v>5683</v>
      </c>
      <c r="Y311" s="161" t="s">
        <v>4999</v>
      </c>
      <c r="Z311" s="163">
        <v>44167</v>
      </c>
      <c r="AA311" s="164" t="s">
        <v>10154</v>
      </c>
      <c r="AB311" s="166">
        <v>44169</v>
      </c>
      <c r="AC311" s="166">
        <v>44169</v>
      </c>
      <c r="AD311" s="209"/>
      <c r="AE311" s="209"/>
      <c r="AF311" s="210"/>
    </row>
    <row r="312" spans="1:32" s="208" customFormat="1" ht="15" customHeight="1" thickBot="1" x14ac:dyDescent="0.3">
      <c r="A312" s="221" t="str">
        <f t="shared" si="12"/>
        <v>OK</v>
      </c>
      <c r="B312" s="222" t="str">
        <f t="shared" si="13"/>
        <v>OK</v>
      </c>
      <c r="C312" s="223" t="str">
        <f t="shared" si="14"/>
        <v>OK</v>
      </c>
      <c r="D312" s="155">
        <v>0</v>
      </c>
      <c r="E312" s="156" t="s">
        <v>10635</v>
      </c>
      <c r="F312" s="157" t="s">
        <v>9396</v>
      </c>
      <c r="G312" s="157">
        <v>181130</v>
      </c>
      <c r="H312" s="157" t="s">
        <v>10636</v>
      </c>
      <c r="I312" s="157" t="s">
        <v>6820</v>
      </c>
      <c r="J312" s="157" t="s">
        <v>6829</v>
      </c>
      <c r="K312" s="157" t="s">
        <v>8858</v>
      </c>
      <c r="L312" s="157" t="s">
        <v>10637</v>
      </c>
      <c r="M312" s="157" t="s">
        <v>10633</v>
      </c>
      <c r="N312" s="158">
        <v>44147</v>
      </c>
      <c r="O312" s="157" t="s">
        <v>7729</v>
      </c>
      <c r="P312" s="158">
        <v>44148</v>
      </c>
      <c r="Q312" s="158">
        <v>44148</v>
      </c>
      <c r="R312" s="159">
        <v>44158</v>
      </c>
      <c r="S312" s="160" t="s">
        <v>8254</v>
      </c>
      <c r="T312" s="161" t="s">
        <v>7729</v>
      </c>
      <c r="U312" s="162">
        <v>44161</v>
      </c>
      <c r="V312" s="161" t="s">
        <v>10638</v>
      </c>
      <c r="W312" s="161">
        <v>4</v>
      </c>
      <c r="X312" s="161" t="s">
        <v>5683</v>
      </c>
      <c r="Y312" s="161" t="s">
        <v>4999</v>
      </c>
      <c r="Z312" s="163">
        <v>44166</v>
      </c>
      <c r="AA312" s="164" t="s">
        <v>10154</v>
      </c>
      <c r="AB312" s="165">
        <v>44167</v>
      </c>
      <c r="AC312" s="165">
        <v>44167</v>
      </c>
      <c r="AD312" s="209"/>
      <c r="AE312" s="209"/>
      <c r="AF312" s="210"/>
    </row>
    <row r="313" spans="1:32" s="208" customFormat="1" ht="15" customHeight="1" thickBot="1" x14ac:dyDescent="0.3">
      <c r="A313" s="221" t="str">
        <f t="shared" si="12"/>
        <v>OK</v>
      </c>
      <c r="B313" s="222" t="str">
        <f t="shared" si="13"/>
        <v>OK</v>
      </c>
      <c r="C313" s="223" t="str">
        <f t="shared" si="14"/>
        <v>OK</v>
      </c>
      <c r="D313" s="155">
        <v>0</v>
      </c>
      <c r="E313" s="156" t="s">
        <v>10639</v>
      </c>
      <c r="F313" s="157" t="s">
        <v>9396</v>
      </c>
      <c r="G313" s="157">
        <v>181130</v>
      </c>
      <c r="H313" s="157" t="s">
        <v>10640</v>
      </c>
      <c r="I313" s="157" t="s">
        <v>6820</v>
      </c>
      <c r="J313" s="157" t="s">
        <v>6829</v>
      </c>
      <c r="K313" s="157" t="s">
        <v>10641</v>
      </c>
      <c r="L313" s="157" t="s">
        <v>8916</v>
      </c>
      <c r="M313" s="157" t="s">
        <v>10633</v>
      </c>
      <c r="N313" s="158">
        <v>44147</v>
      </c>
      <c r="O313" s="157" t="s">
        <v>7729</v>
      </c>
      <c r="P313" s="158">
        <v>44148</v>
      </c>
      <c r="Q313" s="158">
        <v>44148</v>
      </c>
      <c r="R313" s="159">
        <v>44158</v>
      </c>
      <c r="S313" s="160" t="s">
        <v>8254</v>
      </c>
      <c r="T313" s="161" t="s">
        <v>7729</v>
      </c>
      <c r="U313" s="162">
        <v>44161</v>
      </c>
      <c r="V313" s="161" t="s">
        <v>10642</v>
      </c>
      <c r="W313" s="161">
        <v>1</v>
      </c>
      <c r="X313" s="161" t="s">
        <v>5683</v>
      </c>
      <c r="Y313" s="161" t="s">
        <v>4999</v>
      </c>
      <c r="Z313" s="163">
        <v>44167</v>
      </c>
      <c r="AA313" s="164" t="s">
        <v>10154</v>
      </c>
      <c r="AB313" s="165">
        <v>44168</v>
      </c>
      <c r="AC313" s="166">
        <v>44168</v>
      </c>
      <c r="AD313" s="209"/>
      <c r="AE313" s="209"/>
      <c r="AF313" s="210"/>
    </row>
    <row r="314" spans="1:32" s="208" customFormat="1" ht="15" customHeight="1" thickBot="1" x14ac:dyDescent="0.3">
      <c r="A314" s="221" t="str">
        <f t="shared" si="12"/>
        <v>OK</v>
      </c>
      <c r="B314" s="222" t="str">
        <f t="shared" si="13"/>
        <v>OK</v>
      </c>
      <c r="C314" s="223" t="str">
        <f t="shared" si="14"/>
        <v>OK</v>
      </c>
      <c r="D314" s="155">
        <v>0</v>
      </c>
      <c r="E314" s="156" t="s">
        <v>10643</v>
      </c>
      <c r="F314" s="157" t="s">
        <v>6169</v>
      </c>
      <c r="G314" s="157">
        <v>181150</v>
      </c>
      <c r="H314" s="157" t="s">
        <v>10644</v>
      </c>
      <c r="I314" s="157" t="s">
        <v>6820</v>
      </c>
      <c r="J314" s="157" t="s">
        <v>6829</v>
      </c>
      <c r="K314" s="157" t="s">
        <v>7081</v>
      </c>
      <c r="L314" s="157" t="s">
        <v>7082</v>
      </c>
      <c r="M314" s="157" t="s">
        <v>8307</v>
      </c>
      <c r="N314" s="158">
        <v>44160</v>
      </c>
      <c r="O314" s="157" t="s">
        <v>7729</v>
      </c>
      <c r="P314" s="158">
        <v>44160</v>
      </c>
      <c r="Q314" s="158">
        <v>44160</v>
      </c>
      <c r="R314" s="159">
        <v>44160</v>
      </c>
      <c r="S314" s="160" t="s">
        <v>8248</v>
      </c>
      <c r="T314" s="161" t="s">
        <v>9145</v>
      </c>
      <c r="U314" s="162">
        <v>44161</v>
      </c>
      <c r="V314" s="161" t="s">
        <v>3384</v>
      </c>
      <c r="W314" s="161">
        <v>1</v>
      </c>
      <c r="X314" s="161" t="s">
        <v>5683</v>
      </c>
      <c r="Y314" s="161" t="s">
        <v>4999</v>
      </c>
      <c r="Z314" s="163">
        <v>44161</v>
      </c>
      <c r="AA314" s="164" t="s">
        <v>264</v>
      </c>
      <c r="AB314" s="165">
        <v>44162</v>
      </c>
      <c r="AC314" s="166">
        <v>44162</v>
      </c>
      <c r="AD314" s="209"/>
      <c r="AE314" s="209"/>
      <c r="AF314" s="210"/>
    </row>
    <row r="315" spans="1:32" s="208" customFormat="1" ht="15" customHeight="1" thickBot="1" x14ac:dyDescent="0.3">
      <c r="A315" s="221" t="str">
        <f t="shared" si="12"/>
        <v>OK</v>
      </c>
      <c r="B315" s="222" t="str">
        <f t="shared" si="13"/>
        <v>OK</v>
      </c>
      <c r="C315" s="223" t="str">
        <f t="shared" si="14"/>
        <v>OK</v>
      </c>
      <c r="D315" s="155">
        <v>0</v>
      </c>
      <c r="E315" s="156" t="s">
        <v>10645</v>
      </c>
      <c r="F315" s="157" t="s">
        <v>156</v>
      </c>
      <c r="G315" s="157">
        <v>181120</v>
      </c>
      <c r="H315" s="157" t="s">
        <v>10646</v>
      </c>
      <c r="I315" s="157" t="s">
        <v>6820</v>
      </c>
      <c r="J315" s="157" t="s">
        <v>6829</v>
      </c>
      <c r="K315" s="157" t="s">
        <v>10647</v>
      </c>
      <c r="L315" s="157" t="s">
        <v>10648</v>
      </c>
      <c r="M315" s="157" t="s">
        <v>160</v>
      </c>
      <c r="N315" s="158">
        <v>44141</v>
      </c>
      <c r="O315" s="157" t="s">
        <v>7729</v>
      </c>
      <c r="P315" s="158">
        <v>44144</v>
      </c>
      <c r="Q315" s="158">
        <v>44159</v>
      </c>
      <c r="R315" s="159">
        <v>44160</v>
      </c>
      <c r="S315" s="160" t="s">
        <v>8248</v>
      </c>
      <c r="T315" s="160" t="s">
        <v>9145</v>
      </c>
      <c r="U315" s="162">
        <v>44162</v>
      </c>
      <c r="V315" s="161" t="s">
        <v>274</v>
      </c>
      <c r="W315" s="161">
        <v>20</v>
      </c>
      <c r="X315" s="161" t="s">
        <v>5683</v>
      </c>
      <c r="Y315" s="161" t="s">
        <v>4999</v>
      </c>
      <c r="Z315" s="163">
        <v>44172</v>
      </c>
      <c r="AA315" s="164" t="s">
        <v>10154</v>
      </c>
      <c r="AB315" s="165">
        <v>44172</v>
      </c>
      <c r="AC315" s="166">
        <v>44172</v>
      </c>
      <c r="AD315" s="209"/>
      <c r="AE315" s="209"/>
      <c r="AF315" s="210"/>
    </row>
    <row r="316" spans="1:32" s="208" customFormat="1" ht="15" customHeight="1" thickBot="1" x14ac:dyDescent="0.3">
      <c r="A316" s="221" t="str">
        <f t="shared" si="12"/>
        <v>OK</v>
      </c>
      <c r="B316" s="222" t="str">
        <f t="shared" si="13"/>
        <v>OK</v>
      </c>
      <c r="C316" s="223" t="str">
        <f t="shared" si="14"/>
        <v>OK</v>
      </c>
      <c r="D316" s="155">
        <v>0</v>
      </c>
      <c r="E316" s="156" t="s">
        <v>10649</v>
      </c>
      <c r="F316" s="157" t="s">
        <v>10650</v>
      </c>
      <c r="G316" s="157">
        <v>181120</v>
      </c>
      <c r="H316" s="157" t="s">
        <v>10651</v>
      </c>
      <c r="I316" s="157" t="s">
        <v>6820</v>
      </c>
      <c r="J316" s="157" t="s">
        <v>6829</v>
      </c>
      <c r="K316" s="157" t="s">
        <v>10652</v>
      </c>
      <c r="L316" s="157" t="s">
        <v>273</v>
      </c>
      <c r="M316" s="157" t="s">
        <v>160</v>
      </c>
      <c r="N316" s="158">
        <v>44141</v>
      </c>
      <c r="O316" s="157" t="s">
        <v>7729</v>
      </c>
      <c r="P316" s="158">
        <v>44144</v>
      </c>
      <c r="Q316" s="158">
        <v>44159</v>
      </c>
      <c r="R316" s="159">
        <v>44160</v>
      </c>
      <c r="S316" s="160" t="s">
        <v>8248</v>
      </c>
      <c r="T316" s="160" t="s">
        <v>9145</v>
      </c>
      <c r="U316" s="162">
        <v>44162</v>
      </c>
      <c r="V316" s="161" t="s">
        <v>274</v>
      </c>
      <c r="W316" s="161">
        <v>1</v>
      </c>
      <c r="X316" s="161" t="s">
        <v>5683</v>
      </c>
      <c r="Y316" s="161" t="s">
        <v>4999</v>
      </c>
      <c r="Z316" s="163">
        <v>44169</v>
      </c>
      <c r="AA316" s="164" t="s">
        <v>10154</v>
      </c>
      <c r="AB316" s="165">
        <v>44172</v>
      </c>
      <c r="AC316" s="166">
        <v>44172</v>
      </c>
      <c r="AD316" s="209"/>
      <c r="AE316" s="209"/>
      <c r="AF316" s="210"/>
    </row>
    <row r="317" spans="1:32" s="208" customFormat="1" ht="15" customHeight="1" thickBot="1" x14ac:dyDescent="0.3">
      <c r="A317" s="221" t="str">
        <f t="shared" si="12"/>
        <v>OK</v>
      </c>
      <c r="B317" s="222" t="str">
        <f t="shared" si="13"/>
        <v>OK</v>
      </c>
      <c r="C317" s="223" t="str">
        <f t="shared" si="14"/>
        <v>OK</v>
      </c>
      <c r="D317" s="155">
        <v>0</v>
      </c>
      <c r="E317" s="156" t="s">
        <v>10653</v>
      </c>
      <c r="F317" s="157" t="s">
        <v>156</v>
      </c>
      <c r="G317" s="157">
        <v>181120</v>
      </c>
      <c r="H317" s="157" t="s">
        <v>10654</v>
      </c>
      <c r="I317" s="157" t="s">
        <v>6820</v>
      </c>
      <c r="J317" s="157" t="s">
        <v>6829</v>
      </c>
      <c r="K317" s="157" t="s">
        <v>10655</v>
      </c>
      <c r="L317" s="157" t="s">
        <v>10656</v>
      </c>
      <c r="M317" s="157" t="s">
        <v>160</v>
      </c>
      <c r="N317" s="158">
        <v>44141</v>
      </c>
      <c r="O317" s="157" t="s">
        <v>7729</v>
      </c>
      <c r="P317" s="158">
        <v>44144</v>
      </c>
      <c r="Q317" s="158">
        <v>44159</v>
      </c>
      <c r="R317" s="159">
        <v>44160</v>
      </c>
      <c r="S317" s="160" t="s">
        <v>8248</v>
      </c>
      <c r="T317" s="160" t="s">
        <v>9145</v>
      </c>
      <c r="U317" s="162">
        <v>44162</v>
      </c>
      <c r="V317" s="161" t="s">
        <v>10657</v>
      </c>
      <c r="W317" s="161">
        <v>2</v>
      </c>
      <c r="X317" s="161" t="s">
        <v>5683</v>
      </c>
      <c r="Y317" s="161" t="s">
        <v>4999</v>
      </c>
      <c r="Z317" s="163">
        <v>44169</v>
      </c>
      <c r="AA317" s="164" t="s">
        <v>10154</v>
      </c>
      <c r="AB317" s="165">
        <v>44172</v>
      </c>
      <c r="AC317" s="166">
        <v>44172</v>
      </c>
      <c r="AD317" s="209"/>
      <c r="AE317" s="209"/>
      <c r="AF317" s="210"/>
    </row>
    <row r="318" spans="1:32" s="208" customFormat="1" ht="15" customHeight="1" thickBot="1" x14ac:dyDescent="0.3">
      <c r="A318" s="221" t="str">
        <f t="shared" si="12"/>
        <v>OK</v>
      </c>
      <c r="B318" s="222" t="str">
        <f t="shared" si="13"/>
        <v>OK</v>
      </c>
      <c r="C318" s="223" t="str">
        <f t="shared" si="14"/>
        <v>OK</v>
      </c>
      <c r="D318" s="155">
        <v>0</v>
      </c>
      <c r="E318" s="156" t="s">
        <v>10658</v>
      </c>
      <c r="F318" s="157" t="s">
        <v>9414</v>
      </c>
      <c r="G318" s="157">
        <v>181151</v>
      </c>
      <c r="H318" s="157" t="s">
        <v>10659</v>
      </c>
      <c r="I318" s="157" t="s">
        <v>6820</v>
      </c>
      <c r="J318" s="157" t="s">
        <v>6829</v>
      </c>
      <c r="K318" s="157" t="s">
        <v>1104</v>
      </c>
      <c r="L318" s="157" t="s">
        <v>10536</v>
      </c>
      <c r="M318" s="157" t="s">
        <v>1106</v>
      </c>
      <c r="N318" s="158">
        <v>44161</v>
      </c>
      <c r="O318" s="157" t="s">
        <v>7729</v>
      </c>
      <c r="P318" s="158">
        <v>44161</v>
      </c>
      <c r="Q318" s="158">
        <v>44166</v>
      </c>
      <c r="R318" s="186" t="s">
        <v>10660</v>
      </c>
      <c r="S318" s="160" t="s">
        <v>8248</v>
      </c>
      <c r="T318" s="161" t="s">
        <v>7729</v>
      </c>
      <c r="U318" s="162">
        <v>44160</v>
      </c>
      <c r="V318" s="161" t="s">
        <v>9769</v>
      </c>
      <c r="W318" s="161">
        <v>2</v>
      </c>
      <c r="X318" s="161" t="s">
        <v>5683</v>
      </c>
      <c r="Y318" s="161" t="s">
        <v>4999</v>
      </c>
      <c r="Z318" s="163">
        <v>44168</v>
      </c>
      <c r="AA318" s="164" t="s">
        <v>10154</v>
      </c>
      <c r="AB318" s="165">
        <v>44172</v>
      </c>
      <c r="AC318" s="166">
        <v>44172</v>
      </c>
      <c r="AD318" s="209"/>
      <c r="AE318" s="209"/>
      <c r="AF318" s="210"/>
    </row>
    <row r="319" spans="1:32" s="208" customFormat="1" ht="15" customHeight="1" thickBot="1" x14ac:dyDescent="0.3">
      <c r="A319" s="221" t="str">
        <f t="shared" si="12"/>
        <v>OK</v>
      </c>
      <c r="B319" s="222" t="str">
        <f t="shared" si="13"/>
        <v>OK</v>
      </c>
      <c r="C319" s="223" t="str">
        <f t="shared" si="14"/>
        <v>OK</v>
      </c>
      <c r="D319" s="155">
        <v>0</v>
      </c>
      <c r="E319" s="156" t="s">
        <v>10661</v>
      </c>
      <c r="F319" s="157" t="s">
        <v>9414</v>
      </c>
      <c r="G319" s="157">
        <v>181145</v>
      </c>
      <c r="H319" s="157" t="s">
        <v>10662</v>
      </c>
      <c r="I319" s="157" t="s">
        <v>6820</v>
      </c>
      <c r="J319" s="157" t="s">
        <v>6829</v>
      </c>
      <c r="K319" s="157" t="s">
        <v>1874</v>
      </c>
      <c r="L319" s="157" t="s">
        <v>10663</v>
      </c>
      <c r="M319" s="157" t="s">
        <v>1106</v>
      </c>
      <c r="N319" s="158">
        <v>44159</v>
      </c>
      <c r="O319" s="157" t="s">
        <v>7729</v>
      </c>
      <c r="P319" s="158">
        <v>44159</v>
      </c>
      <c r="Q319" s="158">
        <v>44159</v>
      </c>
      <c r="R319" s="159">
        <v>44159</v>
      </c>
      <c r="S319" s="160" t="s">
        <v>8248</v>
      </c>
      <c r="T319" s="161" t="s">
        <v>7729</v>
      </c>
      <c r="U319" s="162">
        <v>44160</v>
      </c>
      <c r="V319" s="161" t="s">
        <v>1149</v>
      </c>
      <c r="W319" s="161">
        <v>1</v>
      </c>
      <c r="X319" s="161" t="s">
        <v>5683</v>
      </c>
      <c r="Y319" s="161" t="s">
        <v>4999</v>
      </c>
      <c r="Z319" s="163">
        <v>44160</v>
      </c>
      <c r="AA319" s="164" t="s">
        <v>264</v>
      </c>
      <c r="AB319" s="165">
        <v>44167</v>
      </c>
      <c r="AC319" s="166">
        <v>44167</v>
      </c>
      <c r="AD319" s="209"/>
      <c r="AE319" s="209"/>
      <c r="AF319" s="210"/>
    </row>
    <row r="320" spans="1:32" s="208" customFormat="1" ht="15" customHeight="1" thickBot="1" x14ac:dyDescent="0.3">
      <c r="A320" s="221" t="str">
        <f t="shared" si="12"/>
        <v>OK</v>
      </c>
      <c r="B320" s="222" t="str">
        <f t="shared" si="13"/>
        <v>OK</v>
      </c>
      <c r="C320" s="223" t="str">
        <f t="shared" si="14"/>
        <v>OK</v>
      </c>
      <c r="D320" s="155">
        <v>0</v>
      </c>
      <c r="E320" s="156" t="s">
        <v>10664</v>
      </c>
      <c r="F320" s="157" t="s">
        <v>9414</v>
      </c>
      <c r="G320" s="157">
        <v>181145</v>
      </c>
      <c r="H320" s="157" t="s">
        <v>10665</v>
      </c>
      <c r="I320" s="157" t="s">
        <v>6820</v>
      </c>
      <c r="J320" s="157" t="s">
        <v>6829</v>
      </c>
      <c r="K320" s="157" t="s">
        <v>1125</v>
      </c>
      <c r="L320" s="157" t="s">
        <v>10593</v>
      </c>
      <c r="M320" s="157" t="s">
        <v>1106</v>
      </c>
      <c r="N320" s="158">
        <v>44159</v>
      </c>
      <c r="O320" s="157" t="s">
        <v>7729</v>
      </c>
      <c r="P320" s="158">
        <v>44159</v>
      </c>
      <c r="Q320" s="178">
        <v>44159</v>
      </c>
      <c r="R320" s="178">
        <v>44159</v>
      </c>
      <c r="S320" s="160" t="s">
        <v>8248</v>
      </c>
      <c r="T320" s="160" t="s">
        <v>7729</v>
      </c>
      <c r="U320" s="173">
        <v>44160</v>
      </c>
      <c r="V320" s="161" t="s">
        <v>10594</v>
      </c>
      <c r="W320" s="161">
        <v>1</v>
      </c>
      <c r="X320" s="161" t="s">
        <v>5683</v>
      </c>
      <c r="Y320" s="161" t="s">
        <v>4999</v>
      </c>
      <c r="Z320" s="174">
        <v>44160</v>
      </c>
      <c r="AA320" s="164" t="s">
        <v>10154</v>
      </c>
      <c r="AB320" s="165">
        <v>44168</v>
      </c>
      <c r="AC320" s="166">
        <v>44168</v>
      </c>
      <c r="AD320" s="209"/>
      <c r="AE320" s="209"/>
      <c r="AF320" s="210"/>
    </row>
    <row r="321" spans="1:32" s="208" customFormat="1" ht="15" customHeight="1" thickBot="1" x14ac:dyDescent="0.3">
      <c r="A321" s="221" t="str">
        <f t="shared" ref="A321:A331" si="15">IF(OR(ISBLANK(D321),ISBLANK(E321),ISBLANK(F321),ISBLANK(G321),ISBLANK(H321),ISBLANK(I321),ISBLANK(J321),ISBLANK(K321),ISBLANK(L321),ISBLANK(M321),ISBLANK(N321),ISBLANK(O321),ISBLANK(P321),ISBLANK(Q321),ISBLANK(R321))=TRUE,"P","OK")</f>
        <v>OK</v>
      </c>
      <c r="B321" s="222" t="str">
        <f t="shared" ref="B321:B331" si="16">IF(OR(ISBLANK(S321),ISBLANK(T321),ISBLANK(U321),ISBLANK(V321),ISBLANK(W321),ISBLANK(X321),ISBLANK(Y321),ISBLANK(Z321))=TRUE,"P","OK")</f>
        <v>OK</v>
      </c>
      <c r="C321" s="223" t="str">
        <f t="shared" ref="C321:C380" si="17">IF(OR(ISBLANK(AA321),ISBLANK(AB321),ISBLANK(AC321))=TRUE,"P","OK")</f>
        <v>OK</v>
      </c>
      <c r="D321" s="155">
        <v>1</v>
      </c>
      <c r="E321" s="156" t="s">
        <v>10666</v>
      </c>
      <c r="F321" s="157" t="s">
        <v>10667</v>
      </c>
      <c r="G321" s="157">
        <v>181154</v>
      </c>
      <c r="H321" s="157" t="s">
        <v>10668</v>
      </c>
      <c r="I321" s="157" t="s">
        <v>6820</v>
      </c>
      <c r="J321" s="157" t="s">
        <v>6829</v>
      </c>
      <c r="K321" s="157" t="s">
        <v>10669</v>
      </c>
      <c r="L321" s="157" t="s">
        <v>10670</v>
      </c>
      <c r="M321" s="157" t="s">
        <v>10671</v>
      </c>
      <c r="N321" s="158">
        <v>44160</v>
      </c>
      <c r="O321" s="157" t="s">
        <v>10672</v>
      </c>
      <c r="P321" s="158">
        <v>44160</v>
      </c>
      <c r="Q321" s="158">
        <v>44160</v>
      </c>
      <c r="R321" s="158">
        <v>44161</v>
      </c>
      <c r="S321" s="160" t="s">
        <v>8254</v>
      </c>
      <c r="T321" s="161" t="s">
        <v>9145</v>
      </c>
      <c r="U321" s="162">
        <v>44162</v>
      </c>
      <c r="V321" s="161" t="s">
        <v>10673</v>
      </c>
      <c r="W321" s="161">
        <v>1</v>
      </c>
      <c r="X321" s="161" t="s">
        <v>5683</v>
      </c>
      <c r="Y321" s="161" t="s">
        <v>4999</v>
      </c>
      <c r="Z321" s="163">
        <v>44168</v>
      </c>
      <c r="AA321" s="164" t="s">
        <v>10154</v>
      </c>
      <c r="AB321" s="165">
        <v>44169</v>
      </c>
      <c r="AC321" s="165">
        <v>44169</v>
      </c>
      <c r="AD321" s="209"/>
      <c r="AE321" s="209"/>
      <c r="AF321" s="210"/>
    </row>
    <row r="322" spans="1:32" s="208" customFormat="1" ht="15" customHeight="1" thickBot="1" x14ac:dyDescent="0.3">
      <c r="A322" s="221" t="str">
        <f t="shared" si="15"/>
        <v>OK</v>
      </c>
      <c r="B322" s="222" t="str">
        <f t="shared" si="16"/>
        <v>OK</v>
      </c>
      <c r="C322" s="223" t="str">
        <f t="shared" si="17"/>
        <v>OK</v>
      </c>
      <c r="D322" s="155">
        <v>0</v>
      </c>
      <c r="E322" s="156" t="s">
        <v>10666</v>
      </c>
      <c r="F322" s="157" t="s">
        <v>10667</v>
      </c>
      <c r="G322" s="157">
        <v>181154</v>
      </c>
      <c r="H322" s="157" t="s">
        <v>10674</v>
      </c>
      <c r="I322" s="157" t="s">
        <v>6820</v>
      </c>
      <c r="J322" s="157" t="s">
        <v>6829</v>
      </c>
      <c r="K322" s="157" t="s">
        <v>10669</v>
      </c>
      <c r="L322" s="157" t="s">
        <v>10670</v>
      </c>
      <c r="M322" s="157" t="s">
        <v>10671</v>
      </c>
      <c r="N322" s="158">
        <v>44160</v>
      </c>
      <c r="O322" s="157" t="s">
        <v>10672</v>
      </c>
      <c r="P322" s="158">
        <v>44160</v>
      </c>
      <c r="Q322" s="158">
        <v>44160</v>
      </c>
      <c r="R322" s="158">
        <v>44161</v>
      </c>
      <c r="S322" s="160" t="s">
        <v>8254</v>
      </c>
      <c r="T322" s="161" t="s">
        <v>9145</v>
      </c>
      <c r="U322" s="162">
        <v>44162</v>
      </c>
      <c r="V322" s="161" t="s">
        <v>10673</v>
      </c>
      <c r="W322" s="161">
        <v>1</v>
      </c>
      <c r="X322" s="161" t="s">
        <v>5683</v>
      </c>
      <c r="Y322" s="161" t="s">
        <v>4999</v>
      </c>
      <c r="Z322" s="163">
        <v>44168</v>
      </c>
      <c r="AA322" s="164" t="s">
        <v>10154</v>
      </c>
      <c r="AB322" s="165">
        <v>44168</v>
      </c>
      <c r="AC322" s="165">
        <v>44168</v>
      </c>
      <c r="AD322" s="209"/>
      <c r="AE322" s="209"/>
      <c r="AF322" s="210"/>
    </row>
    <row r="323" spans="1:32" s="208" customFormat="1" ht="15" customHeight="1" thickBot="1" x14ac:dyDescent="0.3">
      <c r="A323" s="221" t="str">
        <f t="shared" si="15"/>
        <v>OK</v>
      </c>
      <c r="B323" s="222" t="str">
        <f t="shared" si="16"/>
        <v>OK</v>
      </c>
      <c r="C323" s="223" t="str">
        <f t="shared" si="17"/>
        <v>OK</v>
      </c>
      <c r="D323" s="155">
        <v>0</v>
      </c>
      <c r="E323" s="156" t="s">
        <v>10675</v>
      </c>
      <c r="F323" s="157" t="s">
        <v>10676</v>
      </c>
      <c r="G323" s="157">
        <v>181090</v>
      </c>
      <c r="H323" s="157" t="s">
        <v>10677</v>
      </c>
      <c r="I323" s="157" t="s">
        <v>6820</v>
      </c>
      <c r="J323" s="157" t="s">
        <v>6829</v>
      </c>
      <c r="K323" s="157" t="s">
        <v>10678</v>
      </c>
      <c r="L323" s="157" t="s">
        <v>10679</v>
      </c>
      <c r="M323" s="157" t="s">
        <v>10680</v>
      </c>
      <c r="N323" s="158">
        <v>44124</v>
      </c>
      <c r="O323" s="157" t="s">
        <v>7729</v>
      </c>
      <c r="P323" s="158">
        <v>44124</v>
      </c>
      <c r="Q323" s="158">
        <v>44146</v>
      </c>
      <c r="R323" s="159">
        <v>44158</v>
      </c>
      <c r="S323" s="160" t="s">
        <v>8253</v>
      </c>
      <c r="T323" s="161" t="s">
        <v>7729</v>
      </c>
      <c r="U323" s="161" t="s">
        <v>10681</v>
      </c>
      <c r="V323" s="161" t="s">
        <v>10682</v>
      </c>
      <c r="W323" s="161">
        <v>20</v>
      </c>
      <c r="X323" s="161" t="s">
        <v>5683</v>
      </c>
      <c r="Y323" s="161" t="s">
        <v>4999</v>
      </c>
      <c r="Z323" s="163">
        <v>43852</v>
      </c>
      <c r="AA323" s="164" t="s">
        <v>10154</v>
      </c>
      <c r="AB323" s="165">
        <v>44187</v>
      </c>
      <c r="AC323" s="166">
        <v>44187</v>
      </c>
      <c r="AD323" s="209"/>
      <c r="AE323" s="209"/>
      <c r="AF323" s="210"/>
    </row>
    <row r="324" spans="1:32" s="208" customFormat="1" ht="15" customHeight="1" thickBot="1" x14ac:dyDescent="0.3">
      <c r="A324" s="221" t="str">
        <f t="shared" si="15"/>
        <v>OK</v>
      </c>
      <c r="B324" s="222" t="str">
        <f t="shared" si="16"/>
        <v>OK</v>
      </c>
      <c r="C324" s="223" t="str">
        <f t="shared" si="17"/>
        <v>OK</v>
      </c>
      <c r="D324" s="155">
        <v>0</v>
      </c>
      <c r="E324" s="156" t="s">
        <v>10683</v>
      </c>
      <c r="F324" s="157" t="s">
        <v>10650</v>
      </c>
      <c r="G324" s="157">
        <v>181152</v>
      </c>
      <c r="H324" s="157" t="s">
        <v>10684</v>
      </c>
      <c r="I324" s="157" t="s">
        <v>6820</v>
      </c>
      <c r="J324" s="157" t="s">
        <v>6829</v>
      </c>
      <c r="K324" s="157" t="s">
        <v>10685</v>
      </c>
      <c r="L324" s="157" t="s">
        <v>10686</v>
      </c>
      <c r="M324" s="157" t="s">
        <v>160</v>
      </c>
      <c r="N324" s="158">
        <v>44160</v>
      </c>
      <c r="O324" s="157" t="s">
        <v>7729</v>
      </c>
      <c r="P324" s="158">
        <v>44160</v>
      </c>
      <c r="Q324" s="158">
        <v>44160</v>
      </c>
      <c r="R324" s="159">
        <v>44160</v>
      </c>
      <c r="S324" s="160" t="s">
        <v>8248</v>
      </c>
      <c r="T324" s="161" t="s">
        <v>9145</v>
      </c>
      <c r="U324" s="162">
        <v>44162</v>
      </c>
      <c r="V324" s="161" t="s">
        <v>274</v>
      </c>
      <c r="W324" s="161">
        <v>7</v>
      </c>
      <c r="X324" s="161" t="s">
        <v>5683</v>
      </c>
      <c r="Y324" s="161" t="s">
        <v>4999</v>
      </c>
      <c r="Z324" s="163">
        <v>44169</v>
      </c>
      <c r="AA324" s="164" t="s">
        <v>10154</v>
      </c>
      <c r="AB324" s="165">
        <v>44172</v>
      </c>
      <c r="AC324" s="166">
        <v>44172</v>
      </c>
      <c r="AD324" s="209"/>
      <c r="AE324" s="209"/>
      <c r="AF324" s="210"/>
    </row>
    <row r="325" spans="1:32" s="208" customFormat="1" ht="15" customHeight="1" thickBot="1" x14ac:dyDescent="0.3">
      <c r="A325" s="221" t="str">
        <f t="shared" si="15"/>
        <v>OK</v>
      </c>
      <c r="B325" s="222" t="str">
        <f t="shared" si="16"/>
        <v>OK</v>
      </c>
      <c r="C325" s="223" t="str">
        <f t="shared" si="17"/>
        <v>OK</v>
      </c>
      <c r="D325" s="155">
        <v>0</v>
      </c>
      <c r="E325" s="156" t="s">
        <v>10687</v>
      </c>
      <c r="F325" s="157" t="s">
        <v>8272</v>
      </c>
      <c r="G325" s="157">
        <v>181138</v>
      </c>
      <c r="H325" s="157" t="s">
        <v>10688</v>
      </c>
      <c r="I325" s="157" t="s">
        <v>6820</v>
      </c>
      <c r="J325" s="157" t="s">
        <v>6829</v>
      </c>
      <c r="K325" s="157" t="s">
        <v>10689</v>
      </c>
      <c r="L325" s="157" t="s">
        <v>10690</v>
      </c>
      <c r="M325" s="157" t="s">
        <v>3423</v>
      </c>
      <c r="N325" s="158">
        <v>44153</v>
      </c>
      <c r="O325" s="157" t="s">
        <v>7729</v>
      </c>
      <c r="P325" s="158">
        <v>44154</v>
      </c>
      <c r="Q325" s="158">
        <v>44154</v>
      </c>
      <c r="R325" s="159">
        <v>44154</v>
      </c>
      <c r="S325" s="160" t="s">
        <v>8248</v>
      </c>
      <c r="T325" s="161" t="s">
        <v>7729</v>
      </c>
      <c r="U325" s="162">
        <v>44167</v>
      </c>
      <c r="V325" s="161" t="s">
        <v>505</v>
      </c>
      <c r="W325" s="161">
        <v>3</v>
      </c>
      <c r="X325" s="161" t="s">
        <v>5683</v>
      </c>
      <c r="Y325" s="161" t="s">
        <v>4999</v>
      </c>
      <c r="Z325" s="163">
        <v>44169</v>
      </c>
      <c r="AA325" s="164" t="s">
        <v>10154</v>
      </c>
      <c r="AB325" s="165">
        <v>44172</v>
      </c>
      <c r="AC325" s="166">
        <v>44172</v>
      </c>
      <c r="AD325" s="209"/>
      <c r="AE325" s="209"/>
      <c r="AF325" s="210"/>
    </row>
    <row r="326" spans="1:32" s="208" customFormat="1" ht="15" customHeight="1" thickBot="1" x14ac:dyDescent="0.3">
      <c r="A326" s="221" t="str">
        <f t="shared" si="15"/>
        <v>OK</v>
      </c>
      <c r="B326" s="222" t="str">
        <f t="shared" si="16"/>
        <v>OK</v>
      </c>
      <c r="C326" s="223" t="str">
        <f t="shared" si="17"/>
        <v>OK</v>
      </c>
      <c r="D326" s="155">
        <v>0</v>
      </c>
      <c r="E326" s="156" t="s">
        <v>10691</v>
      </c>
      <c r="F326" s="157" t="s">
        <v>8326</v>
      </c>
      <c r="G326" s="157">
        <v>181159</v>
      </c>
      <c r="H326" s="157" t="s">
        <v>10692</v>
      </c>
      <c r="I326" s="157" t="s">
        <v>6820</v>
      </c>
      <c r="J326" s="157" t="s">
        <v>6829</v>
      </c>
      <c r="K326" s="157" t="s">
        <v>10693</v>
      </c>
      <c r="L326" s="157" t="s">
        <v>10694</v>
      </c>
      <c r="M326" s="157" t="s">
        <v>10556</v>
      </c>
      <c r="N326" s="158">
        <v>44165</v>
      </c>
      <c r="O326" s="157" t="s">
        <v>7729</v>
      </c>
      <c r="P326" s="158">
        <v>44165</v>
      </c>
      <c r="Q326" s="158">
        <v>44165</v>
      </c>
      <c r="R326" s="159">
        <v>44166</v>
      </c>
      <c r="S326" s="160" t="s">
        <v>8248</v>
      </c>
      <c r="T326" s="161" t="s">
        <v>9145</v>
      </c>
      <c r="U326" s="162">
        <v>44169</v>
      </c>
      <c r="V326" s="161" t="s">
        <v>10695</v>
      </c>
      <c r="W326" s="161">
        <v>6</v>
      </c>
      <c r="X326" s="161" t="s">
        <v>5683</v>
      </c>
      <c r="Y326" s="161" t="s">
        <v>4999</v>
      </c>
      <c r="Z326" s="163">
        <v>44174</v>
      </c>
      <c r="AA326" s="164" t="s">
        <v>264</v>
      </c>
      <c r="AB326" s="165">
        <v>44174</v>
      </c>
      <c r="AC326" s="165">
        <v>44174</v>
      </c>
      <c r="AD326" s="209"/>
      <c r="AE326" s="209"/>
      <c r="AF326" s="210"/>
    </row>
    <row r="327" spans="1:32" s="208" customFormat="1" ht="14.25" customHeight="1" thickBot="1" x14ac:dyDescent="0.3">
      <c r="A327" s="221" t="str">
        <f t="shared" si="15"/>
        <v>OK</v>
      </c>
      <c r="B327" s="222" t="str">
        <f t="shared" si="16"/>
        <v>OK</v>
      </c>
      <c r="C327" s="223" t="str">
        <f t="shared" si="17"/>
        <v>OK</v>
      </c>
      <c r="D327" s="155">
        <v>0</v>
      </c>
      <c r="E327" s="156" t="s">
        <v>10696</v>
      </c>
      <c r="F327" s="157" t="s">
        <v>8326</v>
      </c>
      <c r="G327" s="157">
        <v>181162</v>
      </c>
      <c r="H327" s="157" t="s">
        <v>10697</v>
      </c>
      <c r="I327" s="157" t="s">
        <v>6820</v>
      </c>
      <c r="J327" s="157" t="s">
        <v>6829</v>
      </c>
      <c r="K327" s="157" t="s">
        <v>10698</v>
      </c>
      <c r="L327" s="157">
        <v>805</v>
      </c>
      <c r="M327" s="157" t="s">
        <v>5083</v>
      </c>
      <c r="N327" s="158">
        <v>44166</v>
      </c>
      <c r="O327" s="157" t="s">
        <v>7729</v>
      </c>
      <c r="P327" s="158">
        <v>44166</v>
      </c>
      <c r="Q327" s="158">
        <v>44166</v>
      </c>
      <c r="R327" s="159">
        <v>44166</v>
      </c>
      <c r="S327" s="160" t="s">
        <v>8248</v>
      </c>
      <c r="T327" s="161" t="s">
        <v>9145</v>
      </c>
      <c r="U327" s="162">
        <v>44169</v>
      </c>
      <c r="V327" s="161" t="s">
        <v>10699</v>
      </c>
      <c r="W327" s="161">
        <v>1</v>
      </c>
      <c r="X327" s="161" t="s">
        <v>5683</v>
      </c>
      <c r="Y327" s="161" t="s">
        <v>4999</v>
      </c>
      <c r="Z327" s="163">
        <v>44174</v>
      </c>
      <c r="AA327" s="164" t="s">
        <v>264</v>
      </c>
      <c r="AB327" s="165">
        <v>44174</v>
      </c>
      <c r="AC327" s="165">
        <v>44174</v>
      </c>
      <c r="AD327" s="209"/>
      <c r="AE327" s="209"/>
      <c r="AF327" s="210"/>
    </row>
    <row r="328" spans="1:32" s="208" customFormat="1" ht="15" customHeight="1" thickBot="1" x14ac:dyDescent="0.3">
      <c r="A328" s="221" t="str">
        <f t="shared" si="15"/>
        <v>OK</v>
      </c>
      <c r="B328" s="222" t="str">
        <f t="shared" si="16"/>
        <v>OK</v>
      </c>
      <c r="C328" s="223" t="str">
        <f t="shared" si="17"/>
        <v>OK</v>
      </c>
      <c r="D328" s="155">
        <v>0</v>
      </c>
      <c r="E328" s="156" t="s">
        <v>10700</v>
      </c>
      <c r="F328" s="157" t="s">
        <v>5889</v>
      </c>
      <c r="G328" s="157">
        <v>181158</v>
      </c>
      <c r="H328" s="157">
        <v>181158.1</v>
      </c>
      <c r="I328" s="157" t="s">
        <v>6820</v>
      </c>
      <c r="J328" s="157" t="s">
        <v>6829</v>
      </c>
      <c r="K328" s="157" t="s">
        <v>3101</v>
      </c>
      <c r="L328" s="157" t="s">
        <v>1996</v>
      </c>
      <c r="M328" s="157" t="s">
        <v>1805</v>
      </c>
      <c r="N328" s="158">
        <v>44165</v>
      </c>
      <c r="O328" s="157" t="s">
        <v>7729</v>
      </c>
      <c r="P328" s="158">
        <v>44165</v>
      </c>
      <c r="Q328" s="158">
        <v>44165</v>
      </c>
      <c r="R328" s="159">
        <v>44167</v>
      </c>
      <c r="S328" s="160" t="s">
        <v>8254</v>
      </c>
      <c r="T328" s="161" t="s">
        <v>9145</v>
      </c>
      <c r="U328" s="162">
        <v>44172</v>
      </c>
      <c r="V328" s="161" t="s">
        <v>10701</v>
      </c>
      <c r="W328" s="161">
        <v>1</v>
      </c>
      <c r="X328" s="161" t="s">
        <v>5683</v>
      </c>
      <c r="Y328" s="161" t="s">
        <v>4999</v>
      </c>
      <c r="Z328" s="162">
        <v>44174</v>
      </c>
      <c r="AA328" s="164" t="s">
        <v>264</v>
      </c>
      <c r="AB328" s="166">
        <v>44174</v>
      </c>
      <c r="AC328" s="166">
        <v>44174</v>
      </c>
      <c r="AD328" s="209"/>
      <c r="AE328" s="209"/>
      <c r="AF328" s="210"/>
    </row>
    <row r="329" spans="1:32" s="208" customFormat="1" ht="15" customHeight="1" thickBot="1" x14ac:dyDescent="0.3">
      <c r="A329" s="221" t="str">
        <f t="shared" si="15"/>
        <v>OK</v>
      </c>
      <c r="B329" s="222" t="str">
        <f t="shared" si="16"/>
        <v>OK</v>
      </c>
      <c r="C329" s="223" t="str">
        <f t="shared" si="17"/>
        <v>OK</v>
      </c>
      <c r="D329" s="155">
        <v>0</v>
      </c>
      <c r="E329" s="156" t="s">
        <v>10702</v>
      </c>
      <c r="F329" s="157" t="s">
        <v>5889</v>
      </c>
      <c r="G329" s="157">
        <v>181158</v>
      </c>
      <c r="H329" s="157" t="s">
        <v>10703</v>
      </c>
      <c r="I329" s="157" t="s">
        <v>6820</v>
      </c>
      <c r="J329" s="157" t="s">
        <v>6829</v>
      </c>
      <c r="K329" s="157" t="s">
        <v>10704</v>
      </c>
      <c r="L329" s="157" t="s">
        <v>10705</v>
      </c>
      <c r="M329" s="157" t="s">
        <v>10706</v>
      </c>
      <c r="N329" s="158">
        <v>44165</v>
      </c>
      <c r="O329" s="157" t="s">
        <v>7729</v>
      </c>
      <c r="P329" s="158">
        <v>44165</v>
      </c>
      <c r="Q329" s="158">
        <v>44165</v>
      </c>
      <c r="R329" s="159">
        <v>44167</v>
      </c>
      <c r="S329" s="160" t="s">
        <v>8254</v>
      </c>
      <c r="T329" s="161" t="s">
        <v>9145</v>
      </c>
      <c r="U329" s="162">
        <v>44175</v>
      </c>
      <c r="V329" s="161" t="s">
        <v>10707</v>
      </c>
      <c r="W329" s="161">
        <v>1</v>
      </c>
      <c r="X329" s="161" t="s">
        <v>5683</v>
      </c>
      <c r="Y329" s="161" t="s">
        <v>4999</v>
      </c>
      <c r="Z329" s="162">
        <v>44175</v>
      </c>
      <c r="AA329" s="164" t="s">
        <v>264</v>
      </c>
      <c r="AB329" s="166">
        <v>44175</v>
      </c>
      <c r="AC329" s="166">
        <v>44175</v>
      </c>
      <c r="AD329" s="209"/>
      <c r="AE329" s="209"/>
      <c r="AF329" s="210"/>
    </row>
    <row r="330" spans="1:32" s="208" customFormat="1" ht="15" customHeight="1" thickBot="1" x14ac:dyDescent="0.3">
      <c r="A330" s="221" t="str">
        <f t="shared" si="15"/>
        <v>OK</v>
      </c>
      <c r="B330" s="222" t="str">
        <f t="shared" si="16"/>
        <v>OK</v>
      </c>
      <c r="C330" s="223" t="str">
        <f t="shared" si="17"/>
        <v>OK</v>
      </c>
      <c r="D330" s="155">
        <v>0</v>
      </c>
      <c r="E330" s="156" t="s">
        <v>10708</v>
      </c>
      <c r="F330" s="157" t="s">
        <v>8326</v>
      </c>
      <c r="G330" s="157">
        <v>181165</v>
      </c>
      <c r="H330" s="157" t="s">
        <v>10709</v>
      </c>
      <c r="I330" s="157" t="s">
        <v>6820</v>
      </c>
      <c r="J330" s="157" t="s">
        <v>6829</v>
      </c>
      <c r="K330" s="157" t="s">
        <v>10710</v>
      </c>
      <c r="L330" s="157" t="s">
        <v>10711</v>
      </c>
      <c r="M330" s="157" t="s">
        <v>5083</v>
      </c>
      <c r="N330" s="158">
        <v>44167</v>
      </c>
      <c r="O330" s="157" t="s">
        <v>7729</v>
      </c>
      <c r="P330" s="158">
        <v>44167</v>
      </c>
      <c r="Q330" s="158">
        <v>44167</v>
      </c>
      <c r="R330" s="159">
        <v>44167</v>
      </c>
      <c r="S330" s="160" t="s">
        <v>8248</v>
      </c>
      <c r="T330" s="161" t="s">
        <v>9145</v>
      </c>
      <c r="U330" s="162">
        <v>44169</v>
      </c>
      <c r="V330" s="161" t="s">
        <v>10712</v>
      </c>
      <c r="W330" s="161">
        <v>1</v>
      </c>
      <c r="X330" s="161" t="s">
        <v>5683</v>
      </c>
      <c r="Y330" s="161" t="s">
        <v>4999</v>
      </c>
      <c r="Z330" s="163">
        <v>44174</v>
      </c>
      <c r="AA330" s="164" t="s">
        <v>264</v>
      </c>
      <c r="AB330" s="166">
        <v>44175</v>
      </c>
      <c r="AC330" s="166">
        <v>44175</v>
      </c>
      <c r="AD330" s="209"/>
      <c r="AE330" s="209"/>
      <c r="AF330" s="210"/>
    </row>
    <row r="331" spans="1:32" s="208" customFormat="1" ht="15" customHeight="1" thickBot="1" x14ac:dyDescent="0.3">
      <c r="A331" s="221" t="str">
        <f t="shared" si="15"/>
        <v>OK</v>
      </c>
      <c r="B331" s="222" t="str">
        <f t="shared" si="16"/>
        <v>OK</v>
      </c>
      <c r="C331" s="223" t="str">
        <f t="shared" si="17"/>
        <v>OK</v>
      </c>
      <c r="D331" s="155">
        <v>0</v>
      </c>
      <c r="E331" s="156" t="s">
        <v>10713</v>
      </c>
      <c r="F331" s="157" t="s">
        <v>10714</v>
      </c>
      <c r="G331" s="157">
        <v>181168</v>
      </c>
      <c r="H331" s="157" t="s">
        <v>10715</v>
      </c>
      <c r="I331" s="157" t="s">
        <v>6820</v>
      </c>
      <c r="J331" s="157" t="s">
        <v>6829</v>
      </c>
      <c r="K331" s="157" t="s">
        <v>10716</v>
      </c>
      <c r="L331" s="157" t="s">
        <v>10717</v>
      </c>
      <c r="M331" s="157" t="s">
        <v>10718</v>
      </c>
      <c r="N331" s="158">
        <v>44169</v>
      </c>
      <c r="O331" s="157" t="s">
        <v>7729</v>
      </c>
      <c r="P331" s="158">
        <v>44169</v>
      </c>
      <c r="Q331" s="158">
        <v>44169</v>
      </c>
      <c r="R331" s="159">
        <v>44169</v>
      </c>
      <c r="S331" s="160" t="s">
        <v>8254</v>
      </c>
      <c r="T331" s="161" t="s">
        <v>7729</v>
      </c>
      <c r="U331" s="162">
        <v>44172</v>
      </c>
      <c r="V331" s="161" t="s">
        <v>10719</v>
      </c>
      <c r="W331" s="161">
        <v>1</v>
      </c>
      <c r="X331" s="161" t="s">
        <v>5683</v>
      </c>
      <c r="Y331" s="161" t="s">
        <v>4999</v>
      </c>
      <c r="Z331" s="163">
        <v>44179</v>
      </c>
      <c r="AA331" s="164" t="s">
        <v>8250</v>
      </c>
      <c r="AB331" s="165">
        <v>44179</v>
      </c>
      <c r="AC331" s="166">
        <v>44179</v>
      </c>
      <c r="AD331" s="209"/>
      <c r="AE331" s="209"/>
      <c r="AF331" s="210"/>
    </row>
    <row r="332" spans="1:32" ht="16.5" thickBot="1" x14ac:dyDescent="0.3">
      <c r="A332" s="221" t="str">
        <f t="shared" ref="A332:A349" si="18">IF(OR(ISBLANK(D332),ISBLANK(E332),ISBLANK(F332),ISBLANK(G332),ISBLANK(H332),ISBLANK(I332),ISBLANK(J332),ISBLANK(K332),ISBLANK(L332),ISBLANK(M332),ISBLANK(N332),ISBLANK(O332),ISBLANK(P332),ISBLANK(Q332),ISBLANK(R332))=TRUE,"P","OK")</f>
        <v>OK</v>
      </c>
      <c r="B332" s="222" t="str">
        <f t="shared" ref="B332:B349" si="19">IF(OR(ISBLANK(S332),ISBLANK(T332),ISBLANK(U332),ISBLANK(V332),ISBLANK(W332),ISBLANK(X332),ISBLANK(Y332),ISBLANK(Z332))=TRUE,"P","OK")</f>
        <v>OK</v>
      </c>
      <c r="C332" s="223" t="str">
        <f t="shared" si="17"/>
        <v>OK</v>
      </c>
      <c r="D332" s="155">
        <v>0</v>
      </c>
      <c r="E332" s="156" t="s">
        <v>10720</v>
      </c>
      <c r="F332" s="157" t="s">
        <v>10714</v>
      </c>
      <c r="G332" s="157">
        <v>181172</v>
      </c>
      <c r="H332" s="157">
        <v>181172</v>
      </c>
      <c r="I332" s="157" t="s">
        <v>6820</v>
      </c>
      <c r="J332" s="157" t="s">
        <v>6829</v>
      </c>
      <c r="K332" s="157" t="s">
        <v>10721</v>
      </c>
      <c r="L332" s="157" t="s">
        <v>10722</v>
      </c>
      <c r="M332" s="157" t="s">
        <v>10723</v>
      </c>
      <c r="N332" s="158">
        <v>44172</v>
      </c>
      <c r="O332" s="157" t="s">
        <v>7729</v>
      </c>
      <c r="P332" s="158">
        <v>44172</v>
      </c>
      <c r="Q332" s="158">
        <v>44172</v>
      </c>
      <c r="R332" s="159">
        <v>44172</v>
      </c>
      <c r="S332" s="160" t="s">
        <v>10724</v>
      </c>
      <c r="T332" s="161" t="s">
        <v>7729</v>
      </c>
      <c r="U332" s="162">
        <v>44172</v>
      </c>
      <c r="V332" s="161" t="s">
        <v>8374</v>
      </c>
      <c r="W332" s="161">
        <v>4</v>
      </c>
      <c r="X332" s="161" t="s">
        <v>5683</v>
      </c>
      <c r="Y332" s="161" t="s">
        <v>4999</v>
      </c>
      <c r="Z332" s="163">
        <v>44179</v>
      </c>
      <c r="AA332" s="164" t="s">
        <v>10154</v>
      </c>
      <c r="AB332" s="165">
        <v>44179</v>
      </c>
      <c r="AC332" s="165">
        <v>44179</v>
      </c>
      <c r="AD332" s="209"/>
      <c r="AE332" s="209"/>
      <c r="AF332" s="210"/>
    </row>
    <row r="333" spans="1:32" ht="16.5" thickBot="1" x14ac:dyDescent="0.3">
      <c r="A333" s="221" t="str">
        <f t="shared" si="18"/>
        <v>OK</v>
      </c>
      <c r="B333" s="222" t="str">
        <f t="shared" si="19"/>
        <v>OK</v>
      </c>
      <c r="C333" s="223" t="str">
        <f t="shared" si="17"/>
        <v>OK</v>
      </c>
      <c r="D333" s="155">
        <v>0</v>
      </c>
      <c r="E333" s="156" t="s">
        <v>10725</v>
      </c>
      <c r="F333" s="157" t="s">
        <v>10714</v>
      </c>
      <c r="G333" s="157">
        <v>181178</v>
      </c>
      <c r="H333" s="157" t="s">
        <v>10726</v>
      </c>
      <c r="I333" s="157" t="s">
        <v>6820</v>
      </c>
      <c r="J333" s="157" t="s">
        <v>6829</v>
      </c>
      <c r="K333" s="157" t="s">
        <v>10727</v>
      </c>
      <c r="L333" s="157" t="s">
        <v>10728</v>
      </c>
      <c r="M333" s="157" t="s">
        <v>10729</v>
      </c>
      <c r="N333" s="158">
        <v>44174</v>
      </c>
      <c r="O333" s="158" t="s">
        <v>7729</v>
      </c>
      <c r="P333" s="158">
        <v>44184</v>
      </c>
      <c r="Q333" s="158">
        <v>44184</v>
      </c>
      <c r="R333" s="159">
        <v>44184</v>
      </c>
      <c r="S333" s="160" t="s">
        <v>10730</v>
      </c>
      <c r="T333" s="161" t="s">
        <v>7729</v>
      </c>
      <c r="U333" s="162">
        <v>44175</v>
      </c>
      <c r="V333" s="161" t="s">
        <v>10731</v>
      </c>
      <c r="W333" s="161">
        <v>1</v>
      </c>
      <c r="X333" s="161" t="s">
        <v>5683</v>
      </c>
      <c r="Y333" s="161" t="s">
        <v>4999</v>
      </c>
      <c r="Z333" s="163">
        <v>44176</v>
      </c>
      <c r="AA333" s="164" t="s">
        <v>10154</v>
      </c>
      <c r="AB333" s="165">
        <v>44180</v>
      </c>
      <c r="AC333" s="166">
        <v>44180</v>
      </c>
      <c r="AD333" s="209"/>
      <c r="AE333" s="209"/>
      <c r="AF333" s="210"/>
    </row>
    <row r="334" spans="1:32" ht="16.5" thickBot="1" x14ac:dyDescent="0.3">
      <c r="A334" s="221" t="str">
        <f t="shared" si="18"/>
        <v>OK</v>
      </c>
      <c r="B334" s="222" t="str">
        <f t="shared" si="19"/>
        <v>OK</v>
      </c>
      <c r="C334" s="223" t="str">
        <f t="shared" si="17"/>
        <v>OK</v>
      </c>
      <c r="D334" s="155">
        <v>0</v>
      </c>
      <c r="E334" s="156" t="s">
        <v>10732</v>
      </c>
      <c r="F334" s="157" t="s">
        <v>9172</v>
      </c>
      <c r="G334" s="157">
        <v>181174</v>
      </c>
      <c r="H334" s="157" t="s">
        <v>10733</v>
      </c>
      <c r="I334" s="157" t="s">
        <v>6820</v>
      </c>
      <c r="J334" s="157" t="s">
        <v>6829</v>
      </c>
      <c r="K334" s="157" t="s">
        <v>1147</v>
      </c>
      <c r="L334" s="157" t="s">
        <v>10734</v>
      </c>
      <c r="M334" s="157" t="s">
        <v>8944</v>
      </c>
      <c r="N334" s="158">
        <v>44173</v>
      </c>
      <c r="O334" s="157" t="s">
        <v>7729</v>
      </c>
      <c r="P334" s="158">
        <v>44174</v>
      </c>
      <c r="Q334" s="158">
        <v>44174</v>
      </c>
      <c r="R334" s="159">
        <v>44174</v>
      </c>
      <c r="S334" s="160" t="s">
        <v>8248</v>
      </c>
      <c r="T334" s="161" t="s">
        <v>7729</v>
      </c>
      <c r="U334" s="162">
        <v>44175</v>
      </c>
      <c r="V334" s="161" t="s">
        <v>1876</v>
      </c>
      <c r="W334" s="161">
        <v>1</v>
      </c>
      <c r="X334" s="161" t="s">
        <v>5683</v>
      </c>
      <c r="Y334" s="161" t="s">
        <v>4999</v>
      </c>
      <c r="Z334" s="163">
        <v>44179</v>
      </c>
      <c r="AA334" s="164" t="s">
        <v>10154</v>
      </c>
      <c r="AB334" s="165">
        <v>44181</v>
      </c>
      <c r="AC334" s="166">
        <v>44181</v>
      </c>
      <c r="AD334" s="209"/>
      <c r="AE334" s="209"/>
      <c r="AF334" s="210"/>
    </row>
    <row r="335" spans="1:32" ht="16.5" thickBot="1" x14ac:dyDescent="0.3">
      <c r="A335" s="221" t="str">
        <f t="shared" si="18"/>
        <v>OK</v>
      </c>
      <c r="B335" s="222" t="str">
        <f t="shared" si="19"/>
        <v>OK</v>
      </c>
      <c r="C335" s="223" t="str">
        <f t="shared" si="17"/>
        <v>OK</v>
      </c>
      <c r="D335" s="155">
        <v>0</v>
      </c>
      <c r="E335" s="156" t="s">
        <v>10735</v>
      </c>
      <c r="F335" s="157" t="s">
        <v>9396</v>
      </c>
      <c r="G335" s="157">
        <v>181175</v>
      </c>
      <c r="H335" s="157" t="s">
        <v>10736</v>
      </c>
      <c r="I335" s="157" t="s">
        <v>6820</v>
      </c>
      <c r="J335" s="157" t="s">
        <v>6829</v>
      </c>
      <c r="K335" s="157" t="s">
        <v>10737</v>
      </c>
      <c r="L335" s="157" t="s">
        <v>10738</v>
      </c>
      <c r="M335" s="157" t="s">
        <v>73</v>
      </c>
      <c r="N335" s="158">
        <v>44173</v>
      </c>
      <c r="O335" s="157" t="s">
        <v>7729</v>
      </c>
      <c r="P335" s="158">
        <v>44174</v>
      </c>
      <c r="Q335" s="158">
        <v>44174</v>
      </c>
      <c r="R335" s="159">
        <v>44174</v>
      </c>
      <c r="S335" s="160" t="s">
        <v>8248</v>
      </c>
      <c r="T335" s="161" t="s">
        <v>9145</v>
      </c>
      <c r="U335" s="162">
        <v>44176</v>
      </c>
      <c r="V335" s="161" t="s">
        <v>84</v>
      </c>
      <c r="W335" s="161">
        <v>6</v>
      </c>
      <c r="X335" s="161" t="s">
        <v>5683</v>
      </c>
      <c r="Y335" s="161" t="s">
        <v>4999</v>
      </c>
      <c r="Z335" s="163">
        <v>44179</v>
      </c>
      <c r="AA335" s="164" t="s">
        <v>10154</v>
      </c>
      <c r="AB335" s="165">
        <v>44181</v>
      </c>
      <c r="AC335" s="166">
        <v>44181</v>
      </c>
      <c r="AD335" s="209"/>
      <c r="AE335" s="209"/>
      <c r="AF335" s="210"/>
    </row>
    <row r="336" spans="1:32" ht="16.5" thickBot="1" x14ac:dyDescent="0.3">
      <c r="A336" s="221" t="str">
        <f t="shared" si="18"/>
        <v>OK</v>
      </c>
      <c r="B336" s="222" t="str">
        <f t="shared" si="19"/>
        <v>OK</v>
      </c>
      <c r="C336" s="223" t="str">
        <f t="shared" si="17"/>
        <v>OK</v>
      </c>
      <c r="D336" s="155">
        <v>0</v>
      </c>
      <c r="E336" s="156" t="s">
        <v>10739</v>
      </c>
      <c r="F336" s="157" t="s">
        <v>9396</v>
      </c>
      <c r="G336" s="157">
        <v>181175</v>
      </c>
      <c r="H336" s="157" t="s">
        <v>10740</v>
      </c>
      <c r="I336" s="157" t="s">
        <v>6820</v>
      </c>
      <c r="J336" s="157" t="s">
        <v>6829</v>
      </c>
      <c r="K336" s="157" t="s">
        <v>10741</v>
      </c>
      <c r="L336" s="157" t="s">
        <v>10742</v>
      </c>
      <c r="M336" s="157" t="s">
        <v>73</v>
      </c>
      <c r="N336" s="158">
        <v>44173</v>
      </c>
      <c r="O336" s="157" t="s">
        <v>7729</v>
      </c>
      <c r="P336" s="158">
        <v>44174</v>
      </c>
      <c r="Q336" s="158">
        <v>44174</v>
      </c>
      <c r="R336" s="159">
        <v>44174</v>
      </c>
      <c r="S336" s="160" t="s">
        <v>8248</v>
      </c>
      <c r="T336" s="161" t="s">
        <v>9145</v>
      </c>
      <c r="U336" s="162">
        <v>44176</v>
      </c>
      <c r="V336" s="161" t="s">
        <v>10707</v>
      </c>
      <c r="W336" s="161">
        <v>1</v>
      </c>
      <c r="X336" s="161" t="s">
        <v>5683</v>
      </c>
      <c r="Y336" s="161" t="s">
        <v>4999</v>
      </c>
      <c r="Z336" s="163">
        <v>44179</v>
      </c>
      <c r="AA336" s="164" t="s">
        <v>10154</v>
      </c>
      <c r="AB336" s="165">
        <v>44181</v>
      </c>
      <c r="AC336" s="166">
        <v>44181</v>
      </c>
      <c r="AD336" s="209"/>
      <c r="AE336" s="209"/>
      <c r="AF336" s="210"/>
    </row>
    <row r="337" spans="1:32" ht="16.5" thickBot="1" x14ac:dyDescent="0.3">
      <c r="A337" s="221" t="str">
        <f t="shared" si="18"/>
        <v>OK</v>
      </c>
      <c r="B337" s="222" t="str">
        <f t="shared" si="19"/>
        <v>OK</v>
      </c>
      <c r="C337" s="223" t="str">
        <f t="shared" si="17"/>
        <v>OK</v>
      </c>
      <c r="D337" s="155">
        <v>0</v>
      </c>
      <c r="E337" s="156" t="s">
        <v>10743</v>
      </c>
      <c r="F337" s="157" t="s">
        <v>8729</v>
      </c>
      <c r="G337" s="157">
        <v>181092</v>
      </c>
      <c r="H337" s="157" t="s">
        <v>10744</v>
      </c>
      <c r="I337" s="157" t="s">
        <v>6820</v>
      </c>
      <c r="J337" s="157" t="s">
        <v>6829</v>
      </c>
      <c r="K337" s="157" t="s">
        <v>8731</v>
      </c>
      <c r="L337" s="157" t="s">
        <v>8732</v>
      </c>
      <c r="M337" s="157" t="s">
        <v>8733</v>
      </c>
      <c r="N337" s="158">
        <v>44125</v>
      </c>
      <c r="O337" s="157" t="s">
        <v>7729</v>
      </c>
      <c r="P337" s="158">
        <v>44125</v>
      </c>
      <c r="Q337" s="158">
        <v>44125</v>
      </c>
      <c r="R337" s="159">
        <v>44174</v>
      </c>
      <c r="S337" s="160" t="s">
        <v>8248</v>
      </c>
      <c r="T337" s="161" t="s">
        <v>7729</v>
      </c>
      <c r="U337" s="162">
        <v>44172</v>
      </c>
      <c r="V337" s="161" t="s">
        <v>10745</v>
      </c>
      <c r="W337" s="161">
        <v>1</v>
      </c>
      <c r="X337" s="161" t="s">
        <v>5683</v>
      </c>
      <c r="Y337" s="161" t="s">
        <v>4999</v>
      </c>
      <c r="Z337" s="163">
        <v>44201</v>
      </c>
      <c r="AA337" s="164" t="s">
        <v>264</v>
      </c>
      <c r="AB337" s="165">
        <v>44202</v>
      </c>
      <c r="AC337" s="166">
        <v>44202</v>
      </c>
      <c r="AD337" s="209"/>
      <c r="AE337" s="209"/>
      <c r="AF337" s="210"/>
    </row>
    <row r="338" spans="1:32" ht="16.5" thickBot="1" x14ac:dyDescent="0.3">
      <c r="A338" s="221" t="str">
        <f t="shared" si="18"/>
        <v>OK</v>
      </c>
      <c r="B338" s="222" t="str">
        <f t="shared" si="19"/>
        <v>OK</v>
      </c>
      <c r="C338" s="223" t="str">
        <f t="shared" si="17"/>
        <v>OK</v>
      </c>
      <c r="D338" s="155">
        <v>0</v>
      </c>
      <c r="E338" s="156" t="s">
        <v>10746</v>
      </c>
      <c r="F338" s="157" t="s">
        <v>8272</v>
      </c>
      <c r="G338" s="157">
        <v>181176</v>
      </c>
      <c r="H338" s="157" t="s">
        <v>10747</v>
      </c>
      <c r="I338" s="157" t="s">
        <v>6820</v>
      </c>
      <c r="J338" s="157" t="s">
        <v>6829</v>
      </c>
      <c r="K338" s="157" t="s">
        <v>10748</v>
      </c>
      <c r="L338" s="157" t="s">
        <v>10749</v>
      </c>
      <c r="M338" s="157" t="s">
        <v>10750</v>
      </c>
      <c r="N338" s="158">
        <v>44172</v>
      </c>
      <c r="O338" s="157" t="s">
        <v>7729</v>
      </c>
      <c r="P338" s="158">
        <v>44174</v>
      </c>
      <c r="Q338" s="158">
        <v>44174</v>
      </c>
      <c r="R338" s="159">
        <v>44181</v>
      </c>
      <c r="S338" s="160" t="s">
        <v>10724</v>
      </c>
      <c r="T338" s="161" t="s">
        <v>7729</v>
      </c>
      <c r="U338" s="162">
        <v>44181</v>
      </c>
      <c r="V338" s="161" t="s">
        <v>505</v>
      </c>
      <c r="W338" s="161">
        <v>3</v>
      </c>
      <c r="X338" s="161" t="s">
        <v>5683</v>
      </c>
      <c r="Y338" s="161" t="s">
        <v>4999</v>
      </c>
      <c r="Z338" s="163">
        <v>44181</v>
      </c>
      <c r="AA338" s="164" t="s">
        <v>264</v>
      </c>
      <c r="AB338" s="165">
        <v>44182</v>
      </c>
      <c r="AC338" s="166">
        <v>44182</v>
      </c>
      <c r="AD338" s="209"/>
      <c r="AE338" s="209"/>
      <c r="AF338" s="210"/>
    </row>
    <row r="339" spans="1:32" ht="30.75" thickBot="1" x14ac:dyDescent="0.3">
      <c r="A339" s="221" t="str">
        <f t="shared" si="18"/>
        <v>OK</v>
      </c>
      <c r="B339" s="222" t="str">
        <f t="shared" si="19"/>
        <v>OK</v>
      </c>
      <c r="C339" s="223" t="str">
        <f t="shared" si="17"/>
        <v>OK</v>
      </c>
      <c r="D339" s="155">
        <v>0</v>
      </c>
      <c r="E339" s="156" t="s">
        <v>10751</v>
      </c>
      <c r="F339" s="157" t="s">
        <v>10752</v>
      </c>
      <c r="G339" s="157">
        <v>181177</v>
      </c>
      <c r="H339" s="157" t="s">
        <v>10753</v>
      </c>
      <c r="I339" s="157" t="s">
        <v>6820</v>
      </c>
      <c r="J339" s="157" t="s">
        <v>6829</v>
      </c>
      <c r="K339" s="157" t="s">
        <v>10754</v>
      </c>
      <c r="L339" s="157" t="s">
        <v>10755</v>
      </c>
      <c r="M339" s="157" t="s">
        <v>5083</v>
      </c>
      <c r="N339" s="158">
        <v>44174</v>
      </c>
      <c r="O339" s="157" t="s">
        <v>7729</v>
      </c>
      <c r="P339" s="158">
        <v>44174</v>
      </c>
      <c r="Q339" s="158">
        <v>44174</v>
      </c>
      <c r="R339" s="159">
        <v>44175</v>
      </c>
      <c r="S339" s="160" t="s">
        <v>8248</v>
      </c>
      <c r="T339" s="161" t="s">
        <v>9145</v>
      </c>
      <c r="U339" s="162">
        <v>44176</v>
      </c>
      <c r="V339" s="161" t="s">
        <v>10756</v>
      </c>
      <c r="W339" s="161">
        <v>1</v>
      </c>
      <c r="X339" s="161" t="s">
        <v>5683</v>
      </c>
      <c r="Y339" s="161" t="s">
        <v>4999</v>
      </c>
      <c r="Z339" s="163">
        <v>44178</v>
      </c>
      <c r="AA339" s="164" t="s">
        <v>264</v>
      </c>
      <c r="AB339" s="165">
        <v>44181</v>
      </c>
      <c r="AC339" s="166">
        <v>44181</v>
      </c>
      <c r="AD339" s="209"/>
      <c r="AE339" s="209"/>
      <c r="AF339" s="210"/>
    </row>
    <row r="340" spans="1:32" ht="16.5" thickBot="1" x14ac:dyDescent="0.3">
      <c r="A340" s="221" t="str">
        <f t="shared" si="18"/>
        <v>OK</v>
      </c>
      <c r="B340" s="222" t="str">
        <f t="shared" si="19"/>
        <v>OK</v>
      </c>
      <c r="C340" s="223" t="str">
        <f t="shared" si="17"/>
        <v>OK</v>
      </c>
      <c r="D340" s="155">
        <v>0</v>
      </c>
      <c r="E340" s="156" t="s">
        <v>10757</v>
      </c>
      <c r="F340" s="157" t="s">
        <v>10650</v>
      </c>
      <c r="G340" s="157">
        <v>181173</v>
      </c>
      <c r="H340" s="157" t="s">
        <v>10758</v>
      </c>
      <c r="I340" s="157" t="s">
        <v>6820</v>
      </c>
      <c r="J340" s="157" t="s">
        <v>6829</v>
      </c>
      <c r="K340" s="157" t="s">
        <v>10685</v>
      </c>
      <c r="L340" s="157" t="s">
        <v>10759</v>
      </c>
      <c r="M340" s="157" t="s">
        <v>10760</v>
      </c>
      <c r="N340" s="158">
        <v>44172</v>
      </c>
      <c r="O340" s="157" t="s">
        <v>7729</v>
      </c>
      <c r="P340" s="158">
        <v>44174</v>
      </c>
      <c r="Q340" s="158">
        <v>44174</v>
      </c>
      <c r="R340" s="159">
        <v>44174</v>
      </c>
      <c r="S340" s="160" t="s">
        <v>8248</v>
      </c>
      <c r="T340" s="161" t="s">
        <v>464</v>
      </c>
      <c r="U340" s="162">
        <v>44201</v>
      </c>
      <c r="V340" s="161" t="s">
        <v>274</v>
      </c>
      <c r="W340" s="161">
        <v>9</v>
      </c>
      <c r="X340" s="161" t="s">
        <v>5683</v>
      </c>
      <c r="Y340" s="161" t="s">
        <v>4999</v>
      </c>
      <c r="Z340" s="163">
        <v>44202</v>
      </c>
      <c r="AA340" s="164" t="s">
        <v>264</v>
      </c>
      <c r="AB340" s="165">
        <v>44203</v>
      </c>
      <c r="AC340" s="166">
        <v>44203</v>
      </c>
      <c r="AD340" s="209"/>
      <c r="AE340" s="209"/>
      <c r="AF340" s="210"/>
    </row>
    <row r="341" spans="1:32" ht="16.5" thickBot="1" x14ac:dyDescent="0.3">
      <c r="A341" s="221" t="str">
        <f t="shared" si="18"/>
        <v>OK</v>
      </c>
      <c r="B341" s="222" t="str">
        <f t="shared" si="19"/>
        <v>OK</v>
      </c>
      <c r="C341" s="223" t="str">
        <f t="shared" si="17"/>
        <v>OK</v>
      </c>
      <c r="D341" s="155">
        <v>0</v>
      </c>
      <c r="E341" s="156" t="s">
        <v>10761</v>
      </c>
      <c r="F341" s="157" t="s">
        <v>10650</v>
      </c>
      <c r="G341" s="157">
        <v>181173</v>
      </c>
      <c r="H341" s="157" t="s">
        <v>10762</v>
      </c>
      <c r="I341" s="157" t="s">
        <v>6820</v>
      </c>
      <c r="J341" s="157" t="s">
        <v>6829</v>
      </c>
      <c r="K341" s="157" t="s">
        <v>10763</v>
      </c>
      <c r="L341" s="157" t="s">
        <v>2547</v>
      </c>
      <c r="M341" s="157" t="s">
        <v>10760</v>
      </c>
      <c r="N341" s="158">
        <v>44172</v>
      </c>
      <c r="O341" s="157" t="s">
        <v>7729</v>
      </c>
      <c r="P341" s="158">
        <v>44174</v>
      </c>
      <c r="Q341" s="158">
        <v>44174</v>
      </c>
      <c r="R341" s="159">
        <v>44174</v>
      </c>
      <c r="S341" s="160" t="s">
        <v>8248</v>
      </c>
      <c r="T341" s="161" t="s">
        <v>464</v>
      </c>
      <c r="U341" s="162">
        <v>44201</v>
      </c>
      <c r="V341" s="161" t="s">
        <v>274</v>
      </c>
      <c r="W341" s="161">
        <v>12</v>
      </c>
      <c r="X341" s="161" t="s">
        <v>5683</v>
      </c>
      <c r="Y341" s="161" t="s">
        <v>4999</v>
      </c>
      <c r="Z341" s="163">
        <v>44202</v>
      </c>
      <c r="AA341" s="164" t="s">
        <v>264</v>
      </c>
      <c r="AB341" s="165">
        <v>44203</v>
      </c>
      <c r="AC341" s="166">
        <v>44203</v>
      </c>
      <c r="AD341" s="209"/>
      <c r="AE341" s="209"/>
      <c r="AF341" s="210"/>
    </row>
    <row r="342" spans="1:32" ht="16.5" thickBot="1" x14ac:dyDescent="0.3">
      <c r="A342" s="221" t="str">
        <f t="shared" si="18"/>
        <v>OK</v>
      </c>
      <c r="B342" s="222" t="str">
        <f t="shared" si="19"/>
        <v>OK</v>
      </c>
      <c r="C342" s="223" t="str">
        <f t="shared" si="17"/>
        <v>OK</v>
      </c>
      <c r="D342" s="155">
        <v>0</v>
      </c>
      <c r="E342" s="156" t="s">
        <v>10764</v>
      </c>
      <c r="F342" s="157" t="s">
        <v>10650</v>
      </c>
      <c r="G342" s="157">
        <v>181173</v>
      </c>
      <c r="H342" s="157" t="s">
        <v>10765</v>
      </c>
      <c r="I342" s="157" t="s">
        <v>6820</v>
      </c>
      <c r="J342" s="157" t="s">
        <v>6829</v>
      </c>
      <c r="K342" s="157" t="s">
        <v>10766</v>
      </c>
      <c r="L342" s="157" t="s">
        <v>159</v>
      </c>
      <c r="M342" s="157" t="s">
        <v>10760</v>
      </c>
      <c r="N342" s="158">
        <v>44172</v>
      </c>
      <c r="O342" s="157" t="s">
        <v>7729</v>
      </c>
      <c r="P342" s="158">
        <v>44174</v>
      </c>
      <c r="Q342" s="158">
        <v>44174</v>
      </c>
      <c r="R342" s="159">
        <v>44174</v>
      </c>
      <c r="S342" s="160" t="s">
        <v>8248</v>
      </c>
      <c r="T342" s="161" t="s">
        <v>464</v>
      </c>
      <c r="U342" s="162">
        <v>44201</v>
      </c>
      <c r="V342" s="161" t="s">
        <v>10767</v>
      </c>
      <c r="W342" s="161">
        <v>9</v>
      </c>
      <c r="X342" s="161" t="s">
        <v>5683</v>
      </c>
      <c r="Y342" s="161" t="s">
        <v>4999</v>
      </c>
      <c r="Z342" s="163">
        <v>44202</v>
      </c>
      <c r="AA342" s="164" t="s">
        <v>264</v>
      </c>
      <c r="AB342" s="165">
        <v>44203</v>
      </c>
      <c r="AC342" s="166">
        <v>44203</v>
      </c>
      <c r="AD342" s="209"/>
      <c r="AE342" s="209"/>
      <c r="AF342" s="210"/>
    </row>
    <row r="343" spans="1:32" ht="16.5" thickBot="1" x14ac:dyDescent="0.3">
      <c r="A343" s="221" t="str">
        <f t="shared" si="18"/>
        <v>OK</v>
      </c>
      <c r="B343" s="222" t="str">
        <f t="shared" si="19"/>
        <v>OK</v>
      </c>
      <c r="C343" s="223" t="str">
        <f t="shared" si="17"/>
        <v>OK</v>
      </c>
      <c r="D343" s="155">
        <v>0</v>
      </c>
      <c r="E343" s="156" t="s">
        <v>10768</v>
      </c>
      <c r="F343" s="157" t="s">
        <v>8272</v>
      </c>
      <c r="G343" s="157">
        <v>181184</v>
      </c>
      <c r="H343" s="157" t="s">
        <v>10769</v>
      </c>
      <c r="I343" s="157" t="s">
        <v>6820</v>
      </c>
      <c r="J343" s="157" t="s">
        <v>6829</v>
      </c>
      <c r="K343" s="157" t="s">
        <v>10770</v>
      </c>
      <c r="L343" s="157" t="s">
        <v>10771</v>
      </c>
      <c r="M343" s="157" t="s">
        <v>2618</v>
      </c>
      <c r="N343" s="158">
        <v>44175</v>
      </c>
      <c r="O343" s="157" t="s">
        <v>7729</v>
      </c>
      <c r="P343" s="158">
        <v>44175</v>
      </c>
      <c r="Q343" s="158">
        <v>44175</v>
      </c>
      <c r="R343" s="159">
        <v>44179</v>
      </c>
      <c r="S343" s="160" t="s">
        <v>8254</v>
      </c>
      <c r="T343" s="161" t="s">
        <v>8254</v>
      </c>
      <c r="U343" s="162">
        <v>44183</v>
      </c>
      <c r="V343" s="161" t="s">
        <v>8406</v>
      </c>
      <c r="W343" s="161">
        <v>7</v>
      </c>
      <c r="X343" s="161" t="s">
        <v>5683</v>
      </c>
      <c r="Y343" s="161" t="s">
        <v>4999</v>
      </c>
      <c r="Z343" s="163">
        <v>44187</v>
      </c>
      <c r="AA343" s="164" t="s">
        <v>264</v>
      </c>
      <c r="AB343" s="165">
        <v>44188</v>
      </c>
      <c r="AC343" s="166">
        <v>44188</v>
      </c>
      <c r="AD343" s="209"/>
      <c r="AE343" s="209"/>
      <c r="AF343" s="210"/>
    </row>
    <row r="344" spans="1:32" s="289" customFormat="1" ht="16.5" thickBot="1" x14ac:dyDescent="0.3">
      <c r="A344" s="284" t="str">
        <f t="shared" si="18"/>
        <v>OK</v>
      </c>
      <c r="B344" s="285" t="str">
        <f t="shared" si="19"/>
        <v>P</v>
      </c>
      <c r="C344" s="286" t="str">
        <f t="shared" si="17"/>
        <v>P</v>
      </c>
      <c r="D344" s="254">
        <v>0</v>
      </c>
      <c r="E344" s="255" t="s">
        <v>10772</v>
      </c>
      <c r="F344" s="224" t="s">
        <v>8272</v>
      </c>
      <c r="G344" s="224">
        <v>181188</v>
      </c>
      <c r="H344" s="224" t="s">
        <v>10773</v>
      </c>
      <c r="I344" s="224" t="s">
        <v>6820</v>
      </c>
      <c r="J344" s="224" t="s">
        <v>6829</v>
      </c>
      <c r="K344" s="224" t="s">
        <v>8471</v>
      </c>
      <c r="L344" s="224" t="s">
        <v>10774</v>
      </c>
      <c r="M344" s="224" t="s">
        <v>2618</v>
      </c>
      <c r="N344" s="205">
        <v>44179</v>
      </c>
      <c r="O344" s="224" t="s">
        <v>7729</v>
      </c>
      <c r="P344" s="205">
        <v>44179</v>
      </c>
      <c r="Q344" s="205">
        <v>44179</v>
      </c>
      <c r="R344" s="205">
        <v>44179</v>
      </c>
      <c r="S344" s="257" t="s">
        <v>8254</v>
      </c>
      <c r="T344" s="258" t="s">
        <v>8254</v>
      </c>
      <c r="U344" s="261">
        <v>44183</v>
      </c>
      <c r="V344" s="258" t="s">
        <v>10775</v>
      </c>
      <c r="W344" s="258">
        <v>2</v>
      </c>
      <c r="X344" s="258" t="s">
        <v>5683</v>
      </c>
      <c r="Y344" s="258" t="s">
        <v>4999</v>
      </c>
      <c r="Z344" s="259"/>
      <c r="AA344" s="260"/>
      <c r="AB344" s="261"/>
      <c r="AC344" s="262"/>
      <c r="AD344" s="263"/>
      <c r="AE344" s="263"/>
      <c r="AF344" s="257"/>
    </row>
    <row r="345" spans="1:32" ht="16.5" thickBot="1" x14ac:dyDescent="0.3">
      <c r="A345" s="221" t="str">
        <f t="shared" si="18"/>
        <v>OK</v>
      </c>
      <c r="B345" s="222" t="str">
        <f t="shared" si="19"/>
        <v>OK</v>
      </c>
      <c r="C345" s="223" t="str">
        <f t="shared" si="17"/>
        <v>OK</v>
      </c>
      <c r="D345" s="155">
        <v>0</v>
      </c>
      <c r="E345" s="156" t="s">
        <v>10776</v>
      </c>
      <c r="F345" s="157" t="s">
        <v>8257</v>
      </c>
      <c r="G345" s="157">
        <v>181189</v>
      </c>
      <c r="H345" s="157" t="s">
        <v>10777</v>
      </c>
      <c r="I345" s="157" t="s">
        <v>6820</v>
      </c>
      <c r="J345" s="157" t="s">
        <v>6829</v>
      </c>
      <c r="K345" s="157" t="s">
        <v>10778</v>
      </c>
      <c r="L345" s="157" t="s">
        <v>10779</v>
      </c>
      <c r="M345" s="157" t="s">
        <v>8261</v>
      </c>
      <c r="N345" s="158">
        <v>44180</v>
      </c>
      <c r="O345" s="157" t="s">
        <v>7729</v>
      </c>
      <c r="P345" s="158">
        <v>44180</v>
      </c>
      <c r="Q345" s="158">
        <v>44180</v>
      </c>
      <c r="R345" s="159">
        <v>44181</v>
      </c>
      <c r="S345" s="160" t="s">
        <v>8254</v>
      </c>
      <c r="T345" s="161" t="s">
        <v>7729</v>
      </c>
      <c r="U345" s="162">
        <v>44181</v>
      </c>
      <c r="V345" s="161" t="s">
        <v>8262</v>
      </c>
      <c r="W345" s="161">
        <v>1</v>
      </c>
      <c r="X345" s="161" t="s">
        <v>5683</v>
      </c>
      <c r="Y345" s="161" t="s">
        <v>4999</v>
      </c>
      <c r="Z345" s="163">
        <v>44183</v>
      </c>
      <c r="AA345" s="164" t="s">
        <v>264</v>
      </c>
      <c r="AB345" s="165">
        <v>44183</v>
      </c>
      <c r="AC345" s="165">
        <v>44183</v>
      </c>
      <c r="AD345" s="209"/>
      <c r="AE345" s="209"/>
      <c r="AF345" s="210"/>
    </row>
    <row r="346" spans="1:32" ht="16.5" thickBot="1" x14ac:dyDescent="0.3">
      <c r="A346" s="221" t="str">
        <f t="shared" si="18"/>
        <v>P</v>
      </c>
      <c r="B346" s="222" t="str">
        <f t="shared" si="19"/>
        <v>OK</v>
      </c>
      <c r="C346" s="223" t="str">
        <f t="shared" si="17"/>
        <v>OK</v>
      </c>
      <c r="D346" s="155">
        <v>0</v>
      </c>
      <c r="E346" s="156" t="s">
        <v>10780</v>
      </c>
      <c r="F346" s="157" t="s">
        <v>7841</v>
      </c>
      <c r="G346" s="157">
        <v>180936</v>
      </c>
      <c r="H346" s="157" t="s">
        <v>10781</v>
      </c>
      <c r="I346" s="157" t="s">
        <v>6820</v>
      </c>
      <c r="J346" s="157" t="s">
        <v>6829</v>
      </c>
      <c r="K346" s="157" t="s">
        <v>10782</v>
      </c>
      <c r="L346" s="157" t="s">
        <v>10783</v>
      </c>
      <c r="M346" s="157" t="s">
        <v>10784</v>
      </c>
      <c r="N346" s="158">
        <v>44179</v>
      </c>
      <c r="O346" s="157" t="s">
        <v>264</v>
      </c>
      <c r="P346" s="157"/>
      <c r="Q346" s="158">
        <v>44180</v>
      </c>
      <c r="R346" s="159">
        <v>44180</v>
      </c>
      <c r="S346" s="160" t="s">
        <v>8248</v>
      </c>
      <c r="T346" s="161" t="s">
        <v>10785</v>
      </c>
      <c r="U346" s="162">
        <v>44182</v>
      </c>
      <c r="V346" s="161" t="s">
        <v>6802</v>
      </c>
      <c r="W346" s="161">
        <v>12</v>
      </c>
      <c r="X346" s="161" t="s">
        <v>5683</v>
      </c>
      <c r="Y346" s="161" t="s">
        <v>4999</v>
      </c>
      <c r="Z346" s="163">
        <v>44183</v>
      </c>
      <c r="AA346" s="164" t="s">
        <v>264</v>
      </c>
      <c r="AB346" s="165">
        <v>44186</v>
      </c>
      <c r="AC346" s="166">
        <v>44186</v>
      </c>
      <c r="AD346" s="209"/>
      <c r="AE346" s="209"/>
      <c r="AF346" s="210"/>
    </row>
    <row r="347" spans="1:32" ht="16.5" thickBot="1" x14ac:dyDescent="0.3">
      <c r="A347" s="221" t="str">
        <f t="shared" si="18"/>
        <v>P</v>
      </c>
      <c r="B347" s="222" t="str">
        <f t="shared" si="19"/>
        <v>P</v>
      </c>
      <c r="C347" s="223" t="str">
        <f t="shared" si="17"/>
        <v>P</v>
      </c>
      <c r="D347" s="155">
        <v>0</v>
      </c>
      <c r="E347" s="156" t="s">
        <v>10786</v>
      </c>
      <c r="F347" s="157" t="s">
        <v>10752</v>
      </c>
      <c r="G347" s="157">
        <v>181195</v>
      </c>
      <c r="H347" s="157" t="s">
        <v>10787</v>
      </c>
      <c r="I347" s="157" t="s">
        <v>6820</v>
      </c>
      <c r="J347" s="157" t="s">
        <v>6829</v>
      </c>
      <c r="K347" s="157" t="s">
        <v>10788</v>
      </c>
      <c r="L347" s="157" t="s">
        <v>10789</v>
      </c>
      <c r="M347" s="157" t="s">
        <v>5083</v>
      </c>
      <c r="N347" s="157"/>
      <c r="O347" s="157"/>
      <c r="P347" s="157"/>
      <c r="Q347" s="157"/>
      <c r="R347" s="186"/>
      <c r="S347" s="160" t="s">
        <v>8248</v>
      </c>
      <c r="T347" s="161"/>
      <c r="U347" s="161"/>
      <c r="V347" s="161"/>
      <c r="W347" s="161">
        <v>4</v>
      </c>
      <c r="X347" s="161" t="s">
        <v>5683</v>
      </c>
      <c r="Y347" s="161" t="s">
        <v>4999</v>
      </c>
      <c r="Z347" s="187"/>
      <c r="AA347" s="164"/>
      <c r="AB347" s="165"/>
      <c r="AC347" s="166"/>
      <c r="AD347" s="209"/>
      <c r="AE347" s="209"/>
      <c r="AF347" s="210"/>
    </row>
    <row r="348" spans="1:32" ht="16.5" thickBot="1" x14ac:dyDescent="0.3">
      <c r="A348" s="221" t="str">
        <f t="shared" si="18"/>
        <v>OK</v>
      </c>
      <c r="B348" s="222" t="str">
        <f t="shared" si="19"/>
        <v>OK</v>
      </c>
      <c r="C348" s="223" t="str">
        <f t="shared" si="17"/>
        <v>OK</v>
      </c>
      <c r="D348" s="155">
        <v>0</v>
      </c>
      <c r="E348" s="156" t="s">
        <v>10790</v>
      </c>
      <c r="F348" s="157" t="s">
        <v>10752</v>
      </c>
      <c r="G348" s="157">
        <v>181196</v>
      </c>
      <c r="H348" s="157" t="s">
        <v>10791</v>
      </c>
      <c r="I348" s="157" t="s">
        <v>6820</v>
      </c>
      <c r="J348" s="157" t="s">
        <v>6829</v>
      </c>
      <c r="K348" s="157" t="s">
        <v>10792</v>
      </c>
      <c r="L348" s="157" t="s">
        <v>10793</v>
      </c>
      <c r="M348" s="157" t="s">
        <v>5083</v>
      </c>
      <c r="N348" s="158">
        <v>44186</v>
      </c>
      <c r="O348" s="157" t="s">
        <v>7729</v>
      </c>
      <c r="P348" s="158">
        <v>44186</v>
      </c>
      <c r="Q348" s="158">
        <v>44186</v>
      </c>
      <c r="R348" s="159">
        <v>44186</v>
      </c>
      <c r="S348" s="160" t="s">
        <v>8248</v>
      </c>
      <c r="T348" s="161" t="s">
        <v>9145</v>
      </c>
      <c r="U348" s="162">
        <v>44186</v>
      </c>
      <c r="V348" s="161" t="s">
        <v>8333</v>
      </c>
      <c r="W348" s="161">
        <v>1</v>
      </c>
      <c r="X348" s="161" t="s">
        <v>5683</v>
      </c>
      <c r="Y348" s="161" t="s">
        <v>4999</v>
      </c>
      <c r="Z348" s="163">
        <v>44187</v>
      </c>
      <c r="AA348" s="164" t="s">
        <v>8250</v>
      </c>
      <c r="AB348" s="165">
        <v>44187</v>
      </c>
      <c r="AC348" s="166">
        <v>44187</v>
      </c>
      <c r="AD348" s="209"/>
      <c r="AE348" s="209"/>
      <c r="AF348" s="210"/>
    </row>
    <row r="349" spans="1:32" ht="16.5" thickBot="1" x14ac:dyDescent="0.3">
      <c r="A349" s="221" t="str">
        <f t="shared" si="18"/>
        <v>OK</v>
      </c>
      <c r="B349" s="222" t="str">
        <f t="shared" si="19"/>
        <v>OK</v>
      </c>
      <c r="C349" s="223" t="str">
        <f t="shared" si="17"/>
        <v>P</v>
      </c>
      <c r="D349" s="155">
        <v>0</v>
      </c>
      <c r="E349" s="156" t="s">
        <v>10794</v>
      </c>
      <c r="F349" s="157" t="s">
        <v>10752</v>
      </c>
      <c r="G349" s="157">
        <v>181204</v>
      </c>
      <c r="H349" s="157" t="s">
        <v>10795</v>
      </c>
      <c r="I349" s="157" t="s">
        <v>6820</v>
      </c>
      <c r="J349" s="157" t="s">
        <v>6829</v>
      </c>
      <c r="K349" s="157" t="s">
        <v>10796</v>
      </c>
      <c r="L349" s="157" t="s">
        <v>10797</v>
      </c>
      <c r="M349" s="157" t="s">
        <v>10798</v>
      </c>
      <c r="N349" s="158">
        <v>44193</v>
      </c>
      <c r="O349" s="157" t="s">
        <v>7729</v>
      </c>
      <c r="P349" s="158">
        <v>44558</v>
      </c>
      <c r="Q349" s="158">
        <v>44193</v>
      </c>
      <c r="R349" s="159">
        <v>44194</v>
      </c>
      <c r="S349" s="160" t="s">
        <v>8248</v>
      </c>
      <c r="T349" s="161" t="s">
        <v>7729</v>
      </c>
      <c r="U349" s="162">
        <v>44193</v>
      </c>
      <c r="V349" s="161" t="s">
        <v>10799</v>
      </c>
      <c r="W349" s="161">
        <v>1</v>
      </c>
      <c r="X349" s="161" t="s">
        <v>5683</v>
      </c>
      <c r="Y349" s="161" t="s">
        <v>4999</v>
      </c>
      <c r="Z349" s="163">
        <v>44194</v>
      </c>
      <c r="AA349" s="164" t="s">
        <v>264</v>
      </c>
      <c r="AB349" s="165"/>
      <c r="AC349" s="166"/>
      <c r="AD349" s="209"/>
      <c r="AE349" s="209"/>
      <c r="AF349" s="210"/>
    </row>
    <row r="350" spans="1:32" ht="16.5" thickBot="1" x14ac:dyDescent="0.3">
      <c r="A350" s="221" t="str">
        <f>IF(OR(ISBLANK(D350),ISBLANK(E350),ISBLANK(F350),ISBLANK(G350),ISBLANK(H350),ISBLANK(I350),ISBLANK(J350),ISBLANK(K352),ISBLANK(L352),ISBLANK(M352),ISBLANK(N352),ISBLANK(O352),ISBLANK(P352),ISBLANK(Q352),ISBLANK(R352))=TRUE,"P","OK")</f>
        <v>OK</v>
      </c>
      <c r="B350" s="222" t="str">
        <f>IF(OR(ISBLANK(S352),ISBLANK(T352),ISBLANK(U352),ISBLANK(V352),ISBLANK(W352),ISBLANK(X352),ISBLANK(Y352),ISBLANK(Z352))=TRUE,"P","OK")</f>
        <v>OK</v>
      </c>
      <c r="C350" s="223" t="str">
        <f>IF(OR(ISBLANK(AA352),ISBLANK(AB350),ISBLANK(AC350))=TRUE,"P","OK")</f>
        <v>OK</v>
      </c>
      <c r="D350" s="155">
        <v>0</v>
      </c>
      <c r="E350" s="156" t="s">
        <v>10800</v>
      </c>
      <c r="F350" s="157" t="s">
        <v>10752</v>
      </c>
      <c r="G350" s="157">
        <v>181204</v>
      </c>
      <c r="H350" s="157" t="s">
        <v>10801</v>
      </c>
      <c r="I350" s="157" t="s">
        <v>6820</v>
      </c>
      <c r="J350" s="157" t="s">
        <v>6829</v>
      </c>
      <c r="K350" s="157" t="s">
        <v>10698</v>
      </c>
      <c r="L350" s="157" t="s">
        <v>10802</v>
      </c>
      <c r="M350" s="157" t="s">
        <v>10798</v>
      </c>
      <c r="N350" s="158">
        <v>44193</v>
      </c>
      <c r="O350" s="157" t="s">
        <v>7729</v>
      </c>
      <c r="P350" s="158">
        <v>44558</v>
      </c>
      <c r="Q350" s="158">
        <v>44193</v>
      </c>
      <c r="R350" s="159">
        <v>44194</v>
      </c>
      <c r="S350" s="160" t="s">
        <v>8248</v>
      </c>
      <c r="T350" s="161" t="s">
        <v>7729</v>
      </c>
      <c r="U350" s="162">
        <v>44193</v>
      </c>
      <c r="V350" s="161" t="s">
        <v>10803</v>
      </c>
      <c r="W350" s="161">
        <v>5</v>
      </c>
      <c r="X350" s="161" t="s">
        <v>5683</v>
      </c>
      <c r="Y350" s="161" t="s">
        <v>4999</v>
      </c>
      <c r="Z350" s="163">
        <v>44194</v>
      </c>
      <c r="AA350" s="164" t="s">
        <v>264</v>
      </c>
      <c r="AB350" s="165">
        <v>44195</v>
      </c>
      <c r="AC350" s="166">
        <v>44195</v>
      </c>
      <c r="AD350" s="209"/>
      <c r="AE350" s="209"/>
      <c r="AF350" s="210"/>
    </row>
    <row r="351" spans="1:32" ht="16.5" thickBot="1" x14ac:dyDescent="0.3">
      <c r="A351" s="221" t="str">
        <f>IF(OR(ISBLANK(D351),ISBLANK(E351),ISBLANK(F351),ISBLANK(G351),ISBLANK(H351),ISBLANK(I351),ISBLANK(J351),ISBLANK(K351),ISBLANK(L351),ISBLANK(M351),ISBLANK(N351),ISBLANK(O351),ISBLANK(P351),ISBLANK(Q351),ISBLANK(R351))=TRUE,"P","OK")</f>
        <v>OK</v>
      </c>
      <c r="B351" s="222" t="str">
        <f>IF(OR(ISBLANK(S351),ISBLANK(T351),ISBLANK(U351),ISBLANK(V351),ISBLANK(W351),ISBLANK(X351),ISBLANK(Y351),ISBLANK(Z351))=TRUE,"P","OK")</f>
        <v>OK</v>
      </c>
      <c r="C351" s="223" t="str">
        <f t="shared" si="17"/>
        <v>OK</v>
      </c>
      <c r="D351" s="155">
        <v>0</v>
      </c>
      <c r="E351" s="156" t="s">
        <v>10804</v>
      </c>
      <c r="F351" s="157" t="s">
        <v>10752</v>
      </c>
      <c r="G351" s="157">
        <v>181204</v>
      </c>
      <c r="H351" s="157" t="s">
        <v>10805</v>
      </c>
      <c r="I351" s="157" t="s">
        <v>6820</v>
      </c>
      <c r="J351" s="157" t="s">
        <v>6829</v>
      </c>
      <c r="K351" s="157" t="s">
        <v>5242</v>
      </c>
      <c r="L351" s="157" t="s">
        <v>10806</v>
      </c>
      <c r="M351" s="157" t="s">
        <v>5083</v>
      </c>
      <c r="N351" s="158">
        <v>44193</v>
      </c>
      <c r="O351" s="157" t="s">
        <v>7729</v>
      </c>
      <c r="P351" s="158">
        <v>44558</v>
      </c>
      <c r="Q351" s="158">
        <v>44193</v>
      </c>
      <c r="R351" s="159">
        <v>44194</v>
      </c>
      <c r="S351" s="160" t="s">
        <v>8248</v>
      </c>
      <c r="T351" s="161" t="s">
        <v>7729</v>
      </c>
      <c r="U351" s="162">
        <v>44193</v>
      </c>
      <c r="V351" s="161" t="s">
        <v>10807</v>
      </c>
      <c r="W351" s="161">
        <v>1</v>
      </c>
      <c r="X351" s="161" t="s">
        <v>5683</v>
      </c>
      <c r="Y351" s="161" t="s">
        <v>4999</v>
      </c>
      <c r="Z351" s="163">
        <v>44194</v>
      </c>
      <c r="AA351" s="164" t="s">
        <v>264</v>
      </c>
      <c r="AB351" s="165">
        <v>44195</v>
      </c>
      <c r="AC351" s="165">
        <v>44195</v>
      </c>
      <c r="AD351" s="209"/>
      <c r="AE351" s="209"/>
      <c r="AF351" s="210"/>
    </row>
    <row r="352" spans="1:32" ht="16.5" thickBot="1" x14ac:dyDescent="0.3">
      <c r="A352" s="221" t="str">
        <f>IF(OR(ISBLANK(D352),ISBLANK(E352),ISBLANK(F352),ISBLANK(G352),ISBLANK(H352),ISBLANK(I352),ISBLANK(J352),ISBLANK(K350),ISBLANK(L350),ISBLANK(M350),ISBLANK(N350),ISBLANK(O350),ISBLANK(P350),ISBLANK(Q350),ISBLANK(R350))=TRUE,"P","OK")</f>
        <v>OK</v>
      </c>
      <c r="B352" s="222" t="str">
        <f>IF(OR(ISBLANK(S350),ISBLANK(T350),ISBLANK(U350),ISBLANK(V350),ISBLANK(W350),ISBLANK(X350),ISBLANK(Y350),ISBLANK(Z350))=TRUE,"P","OK")</f>
        <v>OK</v>
      </c>
      <c r="C352" s="223" t="str">
        <f>IF(OR(ISBLANK(AA350),ISBLANK(AB352),ISBLANK(AC352))=TRUE,"P","OK")</f>
        <v>OK</v>
      </c>
      <c r="D352" s="155">
        <v>0</v>
      </c>
      <c r="E352" s="156" t="s">
        <v>10808</v>
      </c>
      <c r="F352" s="157" t="s">
        <v>10752</v>
      </c>
      <c r="G352" s="157">
        <v>181204</v>
      </c>
      <c r="H352" s="157" t="s">
        <v>10809</v>
      </c>
      <c r="I352" s="157" t="s">
        <v>6820</v>
      </c>
      <c r="J352" s="157" t="s">
        <v>6829</v>
      </c>
      <c r="K352" s="157" t="s">
        <v>10810</v>
      </c>
      <c r="L352" s="157" t="s">
        <v>10811</v>
      </c>
      <c r="M352" s="157" t="s">
        <v>5083</v>
      </c>
      <c r="N352" s="158">
        <v>44193</v>
      </c>
      <c r="O352" s="157" t="s">
        <v>7729</v>
      </c>
      <c r="P352" s="158">
        <v>44558</v>
      </c>
      <c r="Q352" s="158">
        <v>44193</v>
      </c>
      <c r="R352" s="159">
        <v>44194</v>
      </c>
      <c r="S352" s="160" t="s">
        <v>8248</v>
      </c>
      <c r="T352" s="161" t="s">
        <v>7729</v>
      </c>
      <c r="U352" s="162">
        <v>44193</v>
      </c>
      <c r="V352" s="161" t="s">
        <v>1466</v>
      </c>
      <c r="W352" s="161">
        <v>1</v>
      </c>
      <c r="X352" s="161" t="s">
        <v>5683</v>
      </c>
      <c r="Y352" s="161" t="s">
        <v>4999</v>
      </c>
      <c r="Z352" s="163">
        <v>44194</v>
      </c>
      <c r="AA352" s="164" t="s">
        <v>264</v>
      </c>
      <c r="AB352" s="165">
        <v>44195</v>
      </c>
      <c r="AC352" s="165">
        <v>44195</v>
      </c>
      <c r="AD352" s="209"/>
      <c r="AE352" s="209"/>
      <c r="AF352" s="210"/>
    </row>
    <row r="353" spans="1:32" ht="16.5" thickBot="1" x14ac:dyDescent="0.3">
      <c r="A353" s="221" t="str">
        <f>IF(OR(ISBLANK(D353),ISBLANK(E353),ISBLANK(F353),ISBLANK(G353),ISBLANK(H353),ISBLANK(I353),ISBLANK(J353),ISBLANK(K353),ISBLANK(L353),ISBLANK(M353),ISBLANK(N353),ISBLANK(O353),ISBLANK(P353),ISBLANK(Q353),ISBLANK(R353))=TRUE,"P","OK")</f>
        <v>OK</v>
      </c>
      <c r="B353" s="222" t="str">
        <f>IF(OR(ISBLANK(S353),ISBLANK(T353),ISBLANK(U353),ISBLANK(V353),ISBLANK(W353),ISBLANK(X353),ISBLANK(Y353),ISBLANK(Z353))=TRUE,"P","OK")</f>
        <v>OK</v>
      </c>
      <c r="C353" s="223" t="str">
        <f t="shared" si="17"/>
        <v>OK</v>
      </c>
      <c r="D353" s="155">
        <v>0</v>
      </c>
      <c r="E353" s="156" t="s">
        <v>10812</v>
      </c>
      <c r="F353" s="157" t="s">
        <v>10752</v>
      </c>
      <c r="G353" s="157">
        <v>181204</v>
      </c>
      <c r="H353" s="157" t="s">
        <v>10813</v>
      </c>
      <c r="I353" s="157" t="s">
        <v>6820</v>
      </c>
      <c r="J353" s="157" t="s">
        <v>6829</v>
      </c>
      <c r="K353" s="157" t="s">
        <v>10814</v>
      </c>
      <c r="L353" s="157" t="s">
        <v>10815</v>
      </c>
      <c r="M353" s="157" t="s">
        <v>5083</v>
      </c>
      <c r="N353" s="158">
        <v>44193</v>
      </c>
      <c r="O353" s="157" t="s">
        <v>7729</v>
      </c>
      <c r="P353" s="158">
        <v>44558</v>
      </c>
      <c r="Q353" s="158">
        <v>44193</v>
      </c>
      <c r="R353" s="159">
        <v>44194</v>
      </c>
      <c r="S353" s="160" t="s">
        <v>8248</v>
      </c>
      <c r="T353" s="161" t="s">
        <v>7729</v>
      </c>
      <c r="U353" s="162">
        <v>44193</v>
      </c>
      <c r="V353" s="161" t="s">
        <v>10816</v>
      </c>
      <c r="W353" s="161">
        <v>2</v>
      </c>
      <c r="X353" s="161" t="s">
        <v>5683</v>
      </c>
      <c r="Y353" s="161" t="s">
        <v>4999</v>
      </c>
      <c r="Z353" s="163">
        <v>44194</v>
      </c>
      <c r="AA353" s="164" t="s">
        <v>264</v>
      </c>
      <c r="AB353" s="165">
        <v>44195</v>
      </c>
      <c r="AC353" s="165">
        <v>44195</v>
      </c>
      <c r="AD353" s="209"/>
      <c r="AE353" s="209"/>
      <c r="AF353" s="210"/>
    </row>
    <row r="354" spans="1:32" ht="16.5" thickBot="1" x14ac:dyDescent="0.3">
      <c r="A354" s="221" t="str">
        <f>IF(OR(ISBLANK(D354),ISBLANK(E354),ISBLANK(F354),ISBLANK(G354),ISBLANK(H354),ISBLANK(I354),ISBLANK(J354),ISBLANK(K354),ISBLANK(L354),ISBLANK(M354),ISBLANK(N354),ISBLANK(O354),ISBLANK(P354),ISBLANK(Q354),ISBLANK(R354))=TRUE,"P","OK")</f>
        <v>P</v>
      </c>
      <c r="B354" s="222" t="str">
        <f>IF(OR(ISBLANK(S354),ISBLANK(T354),ISBLANK(U354),ISBLANK(V354),ISBLANK(W354),ISBLANK(X354),ISBLANK(Y354),ISBLANK(Z354))=TRUE,"P","OK")</f>
        <v>P</v>
      </c>
      <c r="C354" s="223" t="str">
        <f t="shared" si="17"/>
        <v>P</v>
      </c>
      <c r="D354" s="155"/>
      <c r="E354" s="156" t="s">
        <v>10817</v>
      </c>
      <c r="F354" s="157"/>
      <c r="G354" s="157"/>
      <c r="H354" s="157"/>
      <c r="I354" s="157"/>
      <c r="J354" s="157"/>
      <c r="K354" s="157"/>
      <c r="L354" s="157"/>
      <c r="M354" s="157"/>
      <c r="N354" s="158"/>
      <c r="O354" s="157"/>
      <c r="P354" s="158"/>
      <c r="Q354" s="158"/>
      <c r="R354" s="159"/>
      <c r="S354" s="160"/>
      <c r="T354" s="161"/>
      <c r="U354" s="161"/>
      <c r="V354" s="161"/>
      <c r="W354" s="161"/>
      <c r="X354" s="161"/>
      <c r="Y354" s="161"/>
      <c r="Z354" s="187"/>
      <c r="AA354" s="164"/>
      <c r="AB354" s="165"/>
      <c r="AC354" s="166"/>
      <c r="AD354" s="209"/>
      <c r="AE354" s="209"/>
      <c r="AF354" s="210"/>
    </row>
    <row r="355" spans="1:32" ht="16.5" thickBot="1" x14ac:dyDescent="0.3">
      <c r="A355" s="221" t="str">
        <f>IF(OR(ISBLANK(D355),ISBLANK(E355),ISBLANK(F355),ISBLANK(G355),ISBLANK(H355),ISBLANK(I355),ISBLANK(J355),ISBLANK(K355),ISBLANK(L355),ISBLANK(M355),ISBLANK(N355),ISBLANK(O355),ISBLANK(P355),ISBLANK(Q355),ISBLANK(R355))=TRUE,"P","OK")</f>
        <v>P</v>
      </c>
      <c r="B355" s="222" t="str">
        <f>IF(OR(ISBLANK(S355),ISBLANK(T355),ISBLANK(U355),ISBLANK(V355),ISBLANK(W355),ISBLANK(X355),ISBLANK(Y355),ISBLANK(Z355))=TRUE,"P","OK")</f>
        <v>P</v>
      </c>
      <c r="C355" s="223" t="str">
        <f t="shared" si="17"/>
        <v>P</v>
      </c>
      <c r="D355" s="155"/>
      <c r="E355" s="156" t="s">
        <v>10818</v>
      </c>
      <c r="F355" s="157"/>
      <c r="G355" s="157"/>
      <c r="H355" s="157"/>
      <c r="I355" s="157"/>
      <c r="J355" s="157"/>
      <c r="K355" s="157"/>
      <c r="L355" s="157"/>
      <c r="M355" s="157"/>
      <c r="N355" s="157"/>
      <c r="O355" s="157"/>
      <c r="P355" s="157"/>
      <c r="Q355" s="157"/>
      <c r="R355" s="186"/>
      <c r="S355" s="160"/>
      <c r="T355" s="161"/>
      <c r="U355" s="161"/>
      <c r="V355" s="161"/>
      <c r="W355" s="161"/>
      <c r="X355" s="161"/>
      <c r="Y355" s="161"/>
      <c r="Z355" s="187"/>
      <c r="AA355" s="164"/>
      <c r="AB355" s="165"/>
      <c r="AC355" s="166"/>
      <c r="AD355" s="209"/>
      <c r="AE355" s="209"/>
      <c r="AF355" s="210"/>
    </row>
    <row r="356" spans="1:32" ht="16.5" thickBot="1" x14ac:dyDescent="0.3">
      <c r="A356" s="221" t="str">
        <f>IF(OR(ISBLANK(D356),ISBLANK(E356),ISBLANK(#REF!),ISBLANK(#REF!),ISBLANK(#REF!),ISBLANK(#REF!),ISBLANK(#REF!),ISBLANK(#REF!),ISBLANK(#REF!),ISBLANK(#REF!),ISBLANK(#REF!),ISBLANK(#REF!),ISBLANK(#REF!),ISBLANK(#REF!),ISBLANK(#REF!))=TRUE,"P","OK")</f>
        <v>P</v>
      </c>
      <c r="B356" s="222" t="str">
        <f>IF(OR(ISBLANK(#REF!),ISBLANK(#REF!),ISBLANK(#REF!),ISBLANK(#REF!),ISBLANK(W356),ISBLANK(X356),ISBLANK(Y356),ISBLANK(Z356))=TRUE,"P","OK")</f>
        <v>P</v>
      </c>
      <c r="C356" s="223" t="str">
        <f t="shared" si="17"/>
        <v>P</v>
      </c>
      <c r="D356" s="155"/>
      <c r="E356" s="156" t="s">
        <v>10819</v>
      </c>
      <c r="F356" s="157"/>
      <c r="G356" s="157"/>
      <c r="H356" s="157"/>
      <c r="I356" s="157"/>
      <c r="J356" s="157"/>
      <c r="K356" s="157"/>
      <c r="L356" s="157"/>
      <c r="M356" s="157"/>
      <c r="N356" s="157"/>
      <c r="O356" s="157"/>
      <c r="P356" s="157"/>
      <c r="Q356" s="157"/>
      <c r="R356" s="157"/>
      <c r="S356" s="160"/>
      <c r="T356" s="160"/>
      <c r="U356" s="160"/>
      <c r="V356" s="160"/>
      <c r="W356" s="161"/>
      <c r="X356" s="161"/>
      <c r="Y356" s="161"/>
      <c r="Z356" s="187"/>
      <c r="AA356" s="164"/>
      <c r="AB356" s="165"/>
      <c r="AC356" s="166"/>
      <c r="AD356" s="209"/>
      <c r="AE356" s="209"/>
      <c r="AF356" s="210"/>
    </row>
    <row r="357" spans="1:32" ht="16.5" thickBot="1" x14ac:dyDescent="0.3">
      <c r="A357" s="221" t="str">
        <f t="shared" ref="A357:A384" si="20">IF(OR(ISBLANK(D357),ISBLANK(E357),ISBLANK(F357),ISBLANK(G357),ISBLANK(H357),ISBLANK(I357),ISBLANK(J357),ISBLANK(K357),ISBLANK(L357),ISBLANK(M357),ISBLANK(N357),ISBLANK(O357),ISBLANK(P357),ISBLANK(Q357),ISBLANK(R357))=TRUE,"P","OK")</f>
        <v>P</v>
      </c>
      <c r="B357" s="222" t="str">
        <f t="shared" ref="B357:B380" si="21">IF(OR(ISBLANK(S357),ISBLANK(T357),ISBLANK(U357),ISBLANK(V357),ISBLANK(W357),ISBLANK(X357),ISBLANK(Y357),ISBLANK(Z357))=TRUE,"P","OK")</f>
        <v>P</v>
      </c>
      <c r="C357" s="223" t="str">
        <f t="shared" si="17"/>
        <v>P</v>
      </c>
      <c r="D357" s="155"/>
      <c r="E357" s="156" t="s">
        <v>10820</v>
      </c>
      <c r="F357" s="157"/>
      <c r="G357" s="157"/>
      <c r="H357" s="157"/>
      <c r="I357" s="157"/>
      <c r="J357" s="157"/>
      <c r="K357" s="157"/>
      <c r="L357" s="157"/>
      <c r="M357" s="157"/>
      <c r="N357" s="157"/>
      <c r="O357" s="157"/>
      <c r="P357" s="157"/>
      <c r="Q357" s="157"/>
      <c r="R357" s="186"/>
      <c r="S357" s="160"/>
      <c r="T357" s="161"/>
      <c r="U357" s="161"/>
      <c r="V357" s="161"/>
      <c r="W357" s="161"/>
      <c r="X357" s="161"/>
      <c r="Y357" s="161"/>
      <c r="Z357" s="187"/>
      <c r="AA357" s="164"/>
      <c r="AB357" s="165"/>
      <c r="AC357" s="166"/>
      <c r="AD357" s="209"/>
      <c r="AE357" s="209"/>
      <c r="AF357" s="210"/>
    </row>
    <row r="358" spans="1:32" ht="16.5" thickBot="1" x14ac:dyDescent="0.3">
      <c r="A358" s="221" t="str">
        <f t="shared" si="20"/>
        <v>P</v>
      </c>
      <c r="B358" s="222" t="str">
        <f t="shared" si="21"/>
        <v>P</v>
      </c>
      <c r="C358" s="223" t="str">
        <f t="shared" si="17"/>
        <v>P</v>
      </c>
      <c r="D358" s="155"/>
      <c r="E358" s="156" t="s">
        <v>10821</v>
      </c>
      <c r="F358" s="157"/>
      <c r="G358" s="157"/>
      <c r="H358" s="157"/>
      <c r="I358" s="157"/>
      <c r="J358" s="157"/>
      <c r="K358" s="157"/>
      <c r="L358" s="157"/>
      <c r="M358" s="157"/>
      <c r="N358" s="157"/>
      <c r="O358" s="157"/>
      <c r="P358" s="157"/>
      <c r="Q358" s="157"/>
      <c r="R358" s="186"/>
      <c r="S358" s="160"/>
      <c r="T358" s="161"/>
      <c r="U358" s="161"/>
      <c r="V358" s="161"/>
      <c r="W358" s="161"/>
      <c r="X358" s="161"/>
      <c r="Y358" s="161"/>
      <c r="Z358" s="187"/>
      <c r="AA358" s="164"/>
      <c r="AB358" s="165"/>
      <c r="AC358" s="166"/>
      <c r="AD358" s="209"/>
      <c r="AE358" s="209"/>
      <c r="AF358" s="210"/>
    </row>
    <row r="359" spans="1:32" ht="16.5" thickBot="1" x14ac:dyDescent="0.3">
      <c r="A359" s="221" t="str">
        <f t="shared" si="20"/>
        <v>P</v>
      </c>
      <c r="B359" s="222" t="str">
        <f t="shared" si="21"/>
        <v>P</v>
      </c>
      <c r="C359" s="223" t="str">
        <f t="shared" si="17"/>
        <v>P</v>
      </c>
      <c r="D359" s="155"/>
      <c r="E359" s="156" t="s">
        <v>10822</v>
      </c>
      <c r="F359" s="157"/>
      <c r="G359" s="157"/>
      <c r="H359" s="157"/>
      <c r="I359" s="157"/>
      <c r="J359" s="157"/>
      <c r="K359" s="157"/>
      <c r="L359" s="157"/>
      <c r="M359" s="157"/>
      <c r="N359" s="157"/>
      <c r="O359" s="157"/>
      <c r="P359" s="157"/>
      <c r="Q359" s="157"/>
      <c r="R359" s="186"/>
      <c r="S359" s="160"/>
      <c r="T359" s="161"/>
      <c r="U359" s="161"/>
      <c r="V359" s="161"/>
      <c r="W359" s="161"/>
      <c r="X359" s="161"/>
      <c r="Y359" s="161"/>
      <c r="Z359" s="187"/>
      <c r="AA359" s="164"/>
      <c r="AB359" s="165"/>
      <c r="AC359" s="166"/>
      <c r="AD359" s="209"/>
      <c r="AE359" s="209"/>
      <c r="AF359" s="210"/>
    </row>
    <row r="360" spans="1:32" ht="16.5" thickBot="1" x14ac:dyDescent="0.3">
      <c r="A360" s="221" t="str">
        <f t="shared" si="20"/>
        <v>P</v>
      </c>
      <c r="B360" s="222" t="str">
        <f t="shared" si="21"/>
        <v>P</v>
      </c>
      <c r="C360" s="223" t="str">
        <f t="shared" si="17"/>
        <v>P</v>
      </c>
      <c r="D360" s="155"/>
      <c r="E360" s="156" t="s">
        <v>10823</v>
      </c>
      <c r="F360" s="157"/>
      <c r="G360" s="157"/>
      <c r="H360" s="157"/>
      <c r="I360" s="157"/>
      <c r="J360" s="157"/>
      <c r="K360" s="157"/>
      <c r="L360" s="157"/>
      <c r="M360" s="157"/>
      <c r="N360" s="157"/>
      <c r="O360" s="157"/>
      <c r="P360" s="157"/>
      <c r="Q360" s="157"/>
      <c r="R360" s="186"/>
      <c r="S360" s="160"/>
      <c r="T360" s="161"/>
      <c r="U360" s="161"/>
      <c r="V360" s="161"/>
      <c r="W360" s="161"/>
      <c r="X360" s="161"/>
      <c r="Y360" s="161"/>
      <c r="Z360" s="187"/>
      <c r="AA360" s="164"/>
      <c r="AB360" s="165"/>
      <c r="AC360" s="166"/>
      <c r="AD360" s="209"/>
      <c r="AE360" s="209"/>
      <c r="AF360" s="210"/>
    </row>
    <row r="361" spans="1:32" ht="16.5" thickBot="1" x14ac:dyDescent="0.3">
      <c r="A361" s="221" t="str">
        <f t="shared" si="20"/>
        <v>P</v>
      </c>
      <c r="B361" s="222" t="str">
        <f t="shared" si="21"/>
        <v>P</v>
      </c>
      <c r="C361" s="223" t="str">
        <f t="shared" si="17"/>
        <v>P</v>
      </c>
      <c r="D361" s="155"/>
      <c r="E361" s="156" t="s">
        <v>10824</v>
      </c>
      <c r="F361" s="157"/>
      <c r="G361" s="157"/>
      <c r="H361" s="157"/>
      <c r="I361" s="157"/>
      <c r="J361" s="157"/>
      <c r="K361" s="157"/>
      <c r="L361" s="157"/>
      <c r="M361" s="157"/>
      <c r="N361" s="157"/>
      <c r="O361" s="157"/>
      <c r="P361" s="157"/>
      <c r="Q361" s="157"/>
      <c r="R361" s="186"/>
      <c r="S361" s="160"/>
      <c r="T361" s="161"/>
      <c r="U361" s="161"/>
      <c r="V361" s="161"/>
      <c r="W361" s="161"/>
      <c r="X361" s="161"/>
      <c r="Y361" s="161"/>
      <c r="Z361" s="187"/>
      <c r="AA361" s="164"/>
      <c r="AB361" s="165"/>
      <c r="AC361" s="166"/>
      <c r="AD361" s="209"/>
      <c r="AE361" s="209"/>
      <c r="AF361" s="210"/>
    </row>
    <row r="362" spans="1:32" ht="16.5" thickBot="1" x14ac:dyDescent="0.3">
      <c r="A362" s="221" t="str">
        <f t="shared" si="20"/>
        <v>P</v>
      </c>
      <c r="B362" s="222" t="str">
        <f t="shared" si="21"/>
        <v>P</v>
      </c>
      <c r="C362" s="223" t="str">
        <f t="shared" si="17"/>
        <v>P</v>
      </c>
      <c r="D362" s="155"/>
      <c r="E362" s="156" t="s">
        <v>10825</v>
      </c>
      <c r="F362" s="157"/>
      <c r="G362" s="157"/>
      <c r="H362" s="157"/>
      <c r="I362" s="157"/>
      <c r="J362" s="157"/>
      <c r="K362" s="157"/>
      <c r="L362" s="157"/>
      <c r="M362" s="157"/>
      <c r="N362" s="157"/>
      <c r="O362" s="157"/>
      <c r="P362" s="157"/>
      <c r="Q362" s="157"/>
      <c r="R362" s="186"/>
      <c r="S362" s="160"/>
      <c r="T362" s="161"/>
      <c r="U362" s="161"/>
      <c r="V362" s="161"/>
      <c r="W362" s="161"/>
      <c r="X362" s="161"/>
      <c r="Y362" s="161"/>
      <c r="Z362" s="187"/>
      <c r="AA362" s="164"/>
      <c r="AB362" s="165"/>
      <c r="AC362" s="166"/>
      <c r="AD362" s="209"/>
      <c r="AE362" s="209"/>
      <c r="AF362" s="210"/>
    </row>
    <row r="363" spans="1:32" ht="16.5" thickBot="1" x14ac:dyDescent="0.3">
      <c r="A363" s="221" t="str">
        <f t="shared" si="20"/>
        <v>P</v>
      </c>
      <c r="B363" s="222" t="str">
        <f t="shared" si="21"/>
        <v>P</v>
      </c>
      <c r="C363" s="223" t="str">
        <f t="shared" si="17"/>
        <v>P</v>
      </c>
      <c r="D363" s="155"/>
      <c r="E363" s="156" t="s">
        <v>10826</v>
      </c>
      <c r="F363" s="157"/>
      <c r="G363" s="157"/>
      <c r="H363" s="157"/>
      <c r="I363" s="157"/>
      <c r="J363" s="157"/>
      <c r="K363" s="157"/>
      <c r="L363" s="157"/>
      <c r="M363" s="157"/>
      <c r="N363" s="157"/>
      <c r="O363" s="157"/>
      <c r="P363" s="157"/>
      <c r="Q363" s="157"/>
      <c r="R363" s="186"/>
      <c r="S363" s="160"/>
      <c r="T363" s="161"/>
      <c r="U363" s="161"/>
      <c r="V363" s="161"/>
      <c r="W363" s="161"/>
      <c r="X363" s="161"/>
      <c r="Y363" s="161"/>
      <c r="Z363" s="187"/>
      <c r="AA363" s="164"/>
      <c r="AB363" s="165"/>
      <c r="AC363" s="166"/>
      <c r="AD363" s="209"/>
      <c r="AE363" s="209"/>
      <c r="AF363" s="210"/>
    </row>
    <row r="364" spans="1:32" ht="16.5" thickBot="1" x14ac:dyDescent="0.3">
      <c r="A364" s="221" t="str">
        <f t="shared" si="20"/>
        <v>P</v>
      </c>
      <c r="B364" s="222" t="str">
        <f t="shared" si="21"/>
        <v>P</v>
      </c>
      <c r="C364" s="223" t="str">
        <f t="shared" si="17"/>
        <v>P</v>
      </c>
      <c r="D364" s="155"/>
      <c r="E364" s="156" t="s">
        <v>10827</v>
      </c>
      <c r="F364" s="157"/>
      <c r="G364" s="157"/>
      <c r="H364" s="157"/>
      <c r="I364" s="157"/>
      <c r="J364" s="157"/>
      <c r="K364" s="157"/>
      <c r="L364" s="157"/>
      <c r="M364" s="157"/>
      <c r="N364" s="157"/>
      <c r="O364" s="157"/>
      <c r="P364" s="157"/>
      <c r="Q364" s="157"/>
      <c r="R364" s="186"/>
      <c r="S364" s="160"/>
      <c r="T364" s="161"/>
      <c r="U364" s="161"/>
      <c r="V364" s="161"/>
      <c r="W364" s="161"/>
      <c r="X364" s="161"/>
      <c r="Y364" s="161"/>
      <c r="Z364" s="187"/>
      <c r="AA364" s="164"/>
      <c r="AB364" s="165"/>
      <c r="AC364" s="166"/>
      <c r="AD364" s="209"/>
      <c r="AE364" s="209"/>
      <c r="AF364" s="210"/>
    </row>
    <row r="365" spans="1:32" ht="16.5" thickBot="1" x14ac:dyDescent="0.3">
      <c r="A365" s="221" t="str">
        <f t="shared" si="20"/>
        <v>P</v>
      </c>
      <c r="B365" s="222" t="str">
        <f t="shared" si="21"/>
        <v>P</v>
      </c>
      <c r="C365" s="223" t="str">
        <f t="shared" si="17"/>
        <v>P</v>
      </c>
      <c r="D365" s="155"/>
      <c r="E365" s="156" t="s">
        <v>10828</v>
      </c>
      <c r="F365" s="157"/>
      <c r="G365" s="157"/>
      <c r="H365" s="157"/>
      <c r="I365" s="157"/>
      <c r="J365" s="157"/>
      <c r="K365" s="157"/>
      <c r="L365" s="157"/>
      <c r="M365" s="157"/>
      <c r="N365" s="157"/>
      <c r="O365" s="157"/>
      <c r="P365" s="157"/>
      <c r="Q365" s="157"/>
      <c r="R365" s="186"/>
      <c r="S365" s="160"/>
      <c r="T365" s="161"/>
      <c r="U365" s="161"/>
      <c r="V365" s="161"/>
      <c r="W365" s="161"/>
      <c r="X365" s="161"/>
      <c r="Y365" s="161"/>
      <c r="Z365" s="187"/>
      <c r="AA365" s="164"/>
      <c r="AB365" s="165"/>
      <c r="AC365" s="166"/>
      <c r="AD365" s="209"/>
      <c r="AE365" s="209"/>
      <c r="AF365" s="210"/>
    </row>
    <row r="366" spans="1:32" ht="16.5" thickBot="1" x14ac:dyDescent="0.3">
      <c r="A366" s="221" t="str">
        <f t="shared" si="20"/>
        <v>P</v>
      </c>
      <c r="B366" s="222" t="str">
        <f t="shared" si="21"/>
        <v>P</v>
      </c>
      <c r="C366" s="223" t="str">
        <f t="shared" si="17"/>
        <v>P</v>
      </c>
      <c r="D366" s="155"/>
      <c r="E366" s="156" t="s">
        <v>10829</v>
      </c>
      <c r="F366" s="157"/>
      <c r="G366" s="157"/>
      <c r="H366" s="157"/>
      <c r="I366" s="157"/>
      <c r="J366" s="157"/>
      <c r="K366" s="157"/>
      <c r="L366" s="157"/>
      <c r="M366" s="157"/>
      <c r="N366" s="157"/>
      <c r="O366" s="157"/>
      <c r="P366" s="157"/>
      <c r="Q366" s="157"/>
      <c r="R366" s="186"/>
      <c r="S366" s="160"/>
      <c r="T366" s="161"/>
      <c r="U366" s="161"/>
      <c r="V366" s="161"/>
      <c r="W366" s="161"/>
      <c r="X366" s="161"/>
      <c r="Y366" s="161"/>
      <c r="Z366" s="187"/>
      <c r="AA366" s="164"/>
      <c r="AB366" s="165"/>
      <c r="AC366" s="166"/>
      <c r="AD366" s="209"/>
      <c r="AE366" s="209"/>
      <c r="AF366" s="210"/>
    </row>
    <row r="367" spans="1:32" ht="16.5" thickBot="1" x14ac:dyDescent="0.3">
      <c r="A367" s="221" t="str">
        <f t="shared" si="20"/>
        <v>P</v>
      </c>
      <c r="B367" s="222" t="str">
        <f t="shared" si="21"/>
        <v>P</v>
      </c>
      <c r="C367" s="223" t="str">
        <f t="shared" si="17"/>
        <v>P</v>
      </c>
      <c r="D367" s="155"/>
      <c r="E367" s="156" t="s">
        <v>10830</v>
      </c>
      <c r="F367" s="157"/>
      <c r="G367" s="157"/>
      <c r="H367" s="157"/>
      <c r="I367" s="157"/>
      <c r="J367" s="157"/>
      <c r="K367" s="157"/>
      <c r="L367" s="157"/>
      <c r="M367" s="157"/>
      <c r="N367" s="157"/>
      <c r="O367" s="157"/>
      <c r="P367" s="157"/>
      <c r="Q367" s="157"/>
      <c r="R367" s="186"/>
      <c r="S367" s="160"/>
      <c r="T367" s="161"/>
      <c r="U367" s="161"/>
      <c r="V367" s="161"/>
      <c r="W367" s="161"/>
      <c r="X367" s="161"/>
      <c r="Y367" s="161"/>
      <c r="Z367" s="187"/>
      <c r="AA367" s="164"/>
      <c r="AB367" s="165"/>
      <c r="AC367" s="166"/>
      <c r="AD367" s="209"/>
      <c r="AE367" s="209"/>
      <c r="AF367" s="210"/>
    </row>
    <row r="368" spans="1:32" ht="16.5" thickBot="1" x14ac:dyDescent="0.3">
      <c r="A368" s="221" t="str">
        <f t="shared" si="20"/>
        <v>P</v>
      </c>
      <c r="B368" s="222" t="str">
        <f t="shared" si="21"/>
        <v>P</v>
      </c>
      <c r="C368" s="223" t="str">
        <f t="shared" si="17"/>
        <v>P</v>
      </c>
      <c r="D368" s="155"/>
      <c r="E368" s="156" t="s">
        <v>10831</v>
      </c>
      <c r="F368" s="157"/>
      <c r="G368" s="157"/>
      <c r="H368" s="157"/>
      <c r="I368" s="157"/>
      <c r="J368" s="157"/>
      <c r="K368" s="157"/>
      <c r="L368" s="157"/>
      <c r="M368" s="157"/>
      <c r="N368" s="157"/>
      <c r="O368" s="157"/>
      <c r="P368" s="157"/>
      <c r="Q368" s="157"/>
      <c r="R368" s="186"/>
      <c r="S368" s="160"/>
      <c r="T368" s="161"/>
      <c r="U368" s="161"/>
      <c r="V368" s="161"/>
      <c r="W368" s="161"/>
      <c r="X368" s="161"/>
      <c r="Y368" s="161"/>
      <c r="Z368" s="187"/>
      <c r="AA368" s="164"/>
      <c r="AB368" s="165"/>
      <c r="AC368" s="166"/>
      <c r="AD368" s="209"/>
      <c r="AE368" s="209"/>
      <c r="AF368" s="210"/>
    </row>
    <row r="369" spans="1:32" ht="16.5" thickBot="1" x14ac:dyDescent="0.3">
      <c r="A369" s="221" t="str">
        <f t="shared" si="20"/>
        <v>P</v>
      </c>
      <c r="B369" s="222" t="str">
        <f t="shared" si="21"/>
        <v>P</v>
      </c>
      <c r="C369" s="223" t="str">
        <f t="shared" si="17"/>
        <v>P</v>
      </c>
      <c r="D369" s="155"/>
      <c r="E369" s="156" t="s">
        <v>10832</v>
      </c>
      <c r="F369" s="157"/>
      <c r="G369" s="157"/>
      <c r="H369" s="157"/>
      <c r="I369" s="157"/>
      <c r="J369" s="157"/>
      <c r="K369" s="157"/>
      <c r="L369" s="157"/>
      <c r="M369" s="157"/>
      <c r="N369" s="157"/>
      <c r="O369" s="157"/>
      <c r="P369" s="157"/>
      <c r="Q369" s="157"/>
      <c r="R369" s="186"/>
      <c r="S369" s="160"/>
      <c r="T369" s="161"/>
      <c r="U369" s="161"/>
      <c r="V369" s="161"/>
      <c r="W369" s="161"/>
      <c r="X369" s="161"/>
      <c r="Y369" s="161"/>
      <c r="Z369" s="187"/>
      <c r="AA369" s="164"/>
      <c r="AB369" s="165"/>
      <c r="AC369" s="166"/>
      <c r="AD369" s="209"/>
      <c r="AE369" s="209"/>
      <c r="AF369" s="210"/>
    </row>
    <row r="370" spans="1:32" ht="16.5" thickBot="1" x14ac:dyDescent="0.3">
      <c r="A370" s="221" t="str">
        <f t="shared" si="20"/>
        <v>P</v>
      </c>
      <c r="B370" s="222" t="str">
        <f t="shared" si="21"/>
        <v>P</v>
      </c>
      <c r="C370" s="223" t="str">
        <f t="shared" si="17"/>
        <v>P</v>
      </c>
      <c r="D370" s="155"/>
      <c r="E370" s="156" t="s">
        <v>10833</v>
      </c>
      <c r="F370" s="157"/>
      <c r="G370" s="157"/>
      <c r="H370" s="157"/>
      <c r="I370" s="157"/>
      <c r="J370" s="157"/>
      <c r="K370" s="157"/>
      <c r="L370" s="157"/>
      <c r="M370" s="157"/>
      <c r="N370" s="157"/>
      <c r="O370" s="157"/>
      <c r="P370" s="157"/>
      <c r="Q370" s="157"/>
      <c r="R370" s="186"/>
      <c r="S370" s="160"/>
      <c r="T370" s="161"/>
      <c r="U370" s="161"/>
      <c r="V370" s="161"/>
      <c r="W370" s="161"/>
      <c r="X370" s="161"/>
      <c r="Y370" s="161"/>
      <c r="Z370" s="187"/>
      <c r="AA370" s="164"/>
      <c r="AB370" s="165"/>
      <c r="AC370" s="166"/>
      <c r="AD370" s="209"/>
      <c r="AE370" s="209"/>
      <c r="AF370" s="210"/>
    </row>
    <row r="371" spans="1:32" ht="16.5" thickBot="1" x14ac:dyDescent="0.3">
      <c r="A371" s="221" t="str">
        <f t="shared" si="20"/>
        <v>P</v>
      </c>
      <c r="B371" s="222" t="str">
        <f t="shared" si="21"/>
        <v>P</v>
      </c>
      <c r="C371" s="223" t="str">
        <f t="shared" si="17"/>
        <v>P</v>
      </c>
      <c r="D371" s="155"/>
      <c r="E371" s="156" t="s">
        <v>10834</v>
      </c>
      <c r="F371" s="157"/>
      <c r="G371" s="157"/>
      <c r="H371" s="157"/>
      <c r="I371" s="157"/>
      <c r="J371" s="157"/>
      <c r="K371" s="157"/>
      <c r="L371" s="157"/>
      <c r="M371" s="157"/>
      <c r="N371" s="157"/>
      <c r="O371" s="157"/>
      <c r="P371" s="157"/>
      <c r="Q371" s="157"/>
      <c r="R371" s="186"/>
      <c r="S371" s="160"/>
      <c r="T371" s="161"/>
      <c r="U371" s="161"/>
      <c r="V371" s="161"/>
      <c r="W371" s="161"/>
      <c r="X371" s="161"/>
      <c r="Y371" s="161"/>
      <c r="Z371" s="187"/>
      <c r="AA371" s="164"/>
      <c r="AB371" s="165"/>
      <c r="AC371" s="166"/>
      <c r="AD371" s="209"/>
      <c r="AE371" s="209"/>
      <c r="AF371" s="210"/>
    </row>
    <row r="372" spans="1:32" ht="16.5" thickBot="1" x14ac:dyDescent="0.3">
      <c r="A372" s="221" t="str">
        <f t="shared" si="20"/>
        <v>P</v>
      </c>
      <c r="B372" s="222" t="str">
        <f t="shared" si="21"/>
        <v>P</v>
      </c>
      <c r="C372" s="223" t="str">
        <f t="shared" si="17"/>
        <v>P</v>
      </c>
      <c r="D372" s="155"/>
      <c r="E372" s="156" t="s">
        <v>10835</v>
      </c>
      <c r="F372" s="157"/>
      <c r="G372" s="157"/>
      <c r="H372" s="157"/>
      <c r="I372" s="157"/>
      <c r="J372" s="157"/>
      <c r="K372" s="157"/>
      <c r="L372" s="157"/>
      <c r="M372" s="157"/>
      <c r="N372" s="157"/>
      <c r="O372" s="157"/>
      <c r="P372" s="157"/>
      <c r="Q372" s="157"/>
      <c r="R372" s="186"/>
      <c r="S372" s="160"/>
      <c r="T372" s="161"/>
      <c r="U372" s="161"/>
      <c r="V372" s="161"/>
      <c r="W372" s="161"/>
      <c r="X372" s="161"/>
      <c r="Y372" s="161"/>
      <c r="Z372" s="187"/>
      <c r="AA372" s="164"/>
      <c r="AB372" s="165"/>
      <c r="AC372" s="166"/>
      <c r="AD372" s="209"/>
      <c r="AE372" s="209"/>
      <c r="AF372" s="210"/>
    </row>
    <row r="373" spans="1:32" ht="16.5" thickBot="1" x14ac:dyDescent="0.3">
      <c r="A373" s="221" t="str">
        <f t="shared" si="20"/>
        <v>P</v>
      </c>
      <c r="B373" s="222" t="str">
        <f t="shared" si="21"/>
        <v>P</v>
      </c>
      <c r="C373" s="223" t="str">
        <f t="shared" si="17"/>
        <v>P</v>
      </c>
      <c r="D373" s="155"/>
      <c r="E373" s="156" t="s">
        <v>10836</v>
      </c>
      <c r="F373" s="157"/>
      <c r="G373" s="157"/>
      <c r="H373" s="157"/>
      <c r="I373" s="157"/>
      <c r="J373" s="157"/>
      <c r="K373" s="157"/>
      <c r="L373" s="157"/>
      <c r="M373" s="157"/>
      <c r="N373" s="157"/>
      <c r="O373" s="157"/>
      <c r="P373" s="157"/>
      <c r="Q373" s="157"/>
      <c r="R373" s="186"/>
      <c r="S373" s="160"/>
      <c r="T373" s="161"/>
      <c r="U373" s="161"/>
      <c r="V373" s="161"/>
      <c r="W373" s="161"/>
      <c r="X373" s="161"/>
      <c r="Y373" s="161"/>
      <c r="Z373" s="187"/>
      <c r="AA373" s="164"/>
      <c r="AB373" s="165"/>
      <c r="AC373" s="166"/>
      <c r="AD373" s="209"/>
      <c r="AE373" s="209"/>
      <c r="AF373" s="210"/>
    </row>
    <row r="374" spans="1:32" ht="16.5" thickBot="1" x14ac:dyDescent="0.3">
      <c r="A374" s="221" t="str">
        <f t="shared" si="20"/>
        <v>P</v>
      </c>
      <c r="B374" s="222" t="str">
        <f t="shared" si="21"/>
        <v>P</v>
      </c>
      <c r="C374" s="223" t="str">
        <f t="shared" si="17"/>
        <v>P</v>
      </c>
      <c r="D374" s="155"/>
      <c r="E374" s="156" t="s">
        <v>10837</v>
      </c>
      <c r="F374" s="157"/>
      <c r="G374" s="157"/>
      <c r="H374" s="157"/>
      <c r="I374" s="157"/>
      <c r="J374" s="157"/>
      <c r="K374" s="157"/>
      <c r="L374" s="157"/>
      <c r="M374" s="157"/>
      <c r="N374" s="157"/>
      <c r="O374" s="157"/>
      <c r="P374" s="157"/>
      <c r="Q374" s="157"/>
      <c r="R374" s="186"/>
      <c r="S374" s="160"/>
      <c r="T374" s="161"/>
      <c r="U374" s="161"/>
      <c r="V374" s="161"/>
      <c r="W374" s="161"/>
      <c r="X374" s="161"/>
      <c r="Y374" s="161"/>
      <c r="Z374" s="187"/>
      <c r="AA374" s="164"/>
      <c r="AB374" s="165"/>
      <c r="AC374" s="166"/>
      <c r="AD374" s="209"/>
      <c r="AE374" s="209"/>
      <c r="AF374" s="210"/>
    </row>
    <row r="375" spans="1:32" ht="16.5" thickBot="1" x14ac:dyDescent="0.3">
      <c r="A375" s="221" t="str">
        <f t="shared" si="20"/>
        <v>P</v>
      </c>
      <c r="B375" s="222" t="str">
        <f t="shared" si="21"/>
        <v>P</v>
      </c>
      <c r="C375" s="223" t="str">
        <f t="shared" si="17"/>
        <v>P</v>
      </c>
      <c r="D375" s="155"/>
      <c r="E375" s="156" t="s">
        <v>10838</v>
      </c>
      <c r="F375" s="157"/>
      <c r="G375" s="157"/>
      <c r="H375" s="157"/>
      <c r="I375" s="157"/>
      <c r="J375" s="157"/>
      <c r="K375" s="157"/>
      <c r="L375" s="157"/>
      <c r="M375" s="157"/>
      <c r="N375" s="157"/>
      <c r="O375" s="157"/>
      <c r="P375" s="157"/>
      <c r="Q375" s="157"/>
      <c r="R375" s="186"/>
      <c r="S375" s="160"/>
      <c r="T375" s="161"/>
      <c r="U375" s="161"/>
      <c r="V375" s="161"/>
      <c r="W375" s="161"/>
      <c r="X375" s="161"/>
      <c r="Y375" s="161"/>
      <c r="Z375" s="187"/>
      <c r="AA375" s="164"/>
      <c r="AB375" s="165"/>
      <c r="AC375" s="166"/>
      <c r="AD375" s="209"/>
      <c r="AE375" s="209"/>
      <c r="AF375" s="210"/>
    </row>
    <row r="376" spans="1:32" ht="16.5" thickBot="1" x14ac:dyDescent="0.3">
      <c r="A376" s="221" t="str">
        <f t="shared" si="20"/>
        <v>P</v>
      </c>
      <c r="B376" s="222" t="str">
        <f t="shared" si="21"/>
        <v>P</v>
      </c>
      <c r="C376" s="223" t="str">
        <f t="shared" si="17"/>
        <v>P</v>
      </c>
      <c r="D376" s="155"/>
      <c r="E376" s="156" t="s">
        <v>10839</v>
      </c>
      <c r="F376" s="157"/>
      <c r="G376" s="157"/>
      <c r="H376" s="157"/>
      <c r="I376" s="157"/>
      <c r="J376" s="157"/>
      <c r="K376" s="157"/>
      <c r="L376" s="157"/>
      <c r="M376" s="157"/>
      <c r="N376" s="157"/>
      <c r="O376" s="157"/>
      <c r="P376" s="157"/>
      <c r="Q376" s="157"/>
      <c r="R376" s="186"/>
      <c r="S376" s="160"/>
      <c r="T376" s="161"/>
      <c r="U376" s="161"/>
      <c r="V376" s="161"/>
      <c r="W376" s="161"/>
      <c r="X376" s="161"/>
      <c r="Y376" s="161"/>
      <c r="Z376" s="187"/>
      <c r="AA376" s="164"/>
      <c r="AB376" s="165"/>
      <c r="AC376" s="166"/>
      <c r="AD376" s="209"/>
      <c r="AE376" s="209"/>
      <c r="AF376" s="210"/>
    </row>
    <row r="377" spans="1:32" ht="16.5" thickBot="1" x14ac:dyDescent="0.3">
      <c r="A377" s="221" t="str">
        <f t="shared" si="20"/>
        <v>P</v>
      </c>
      <c r="B377" s="222" t="str">
        <f t="shared" si="21"/>
        <v>P</v>
      </c>
      <c r="C377" s="223" t="str">
        <f t="shared" si="17"/>
        <v>P</v>
      </c>
      <c r="D377" s="155"/>
      <c r="E377" s="156" t="s">
        <v>10840</v>
      </c>
      <c r="F377" s="157"/>
      <c r="G377" s="157"/>
      <c r="H377" s="157"/>
      <c r="I377" s="157"/>
      <c r="J377" s="157"/>
      <c r="K377" s="157"/>
      <c r="L377" s="157"/>
      <c r="M377" s="157"/>
      <c r="N377" s="157"/>
      <c r="O377" s="157"/>
      <c r="P377" s="157"/>
      <c r="Q377" s="157"/>
      <c r="R377" s="186"/>
      <c r="S377" s="160"/>
      <c r="T377" s="161"/>
      <c r="U377" s="161"/>
      <c r="V377" s="161"/>
      <c r="W377" s="161"/>
      <c r="X377" s="161"/>
      <c r="Y377" s="161"/>
      <c r="Z377" s="187"/>
      <c r="AA377" s="164"/>
      <c r="AB377" s="165"/>
      <c r="AC377" s="166"/>
      <c r="AD377" s="209"/>
      <c r="AE377" s="209"/>
      <c r="AF377" s="210"/>
    </row>
    <row r="378" spans="1:32" ht="16.5" thickBot="1" x14ac:dyDescent="0.3">
      <c r="A378" s="221" t="str">
        <f t="shared" si="20"/>
        <v>P</v>
      </c>
      <c r="B378" s="222" t="str">
        <f t="shared" si="21"/>
        <v>P</v>
      </c>
      <c r="C378" s="223" t="str">
        <f t="shared" si="17"/>
        <v>P</v>
      </c>
      <c r="D378" s="155"/>
      <c r="E378" s="156" t="s">
        <v>10841</v>
      </c>
      <c r="F378" s="157"/>
      <c r="G378" s="157"/>
      <c r="H378" s="157"/>
      <c r="I378" s="157"/>
      <c r="J378" s="157"/>
      <c r="K378" s="157"/>
      <c r="L378" s="157"/>
      <c r="M378" s="157"/>
      <c r="N378" s="157"/>
      <c r="O378" s="157"/>
      <c r="P378" s="157"/>
      <c r="Q378" s="157"/>
      <c r="R378" s="186"/>
      <c r="S378" s="160"/>
      <c r="T378" s="161"/>
      <c r="U378" s="161"/>
      <c r="V378" s="161"/>
      <c r="W378" s="161"/>
      <c r="X378" s="161"/>
      <c r="Y378" s="161"/>
      <c r="Z378" s="187"/>
      <c r="AA378" s="164"/>
      <c r="AB378" s="165"/>
      <c r="AC378" s="166"/>
      <c r="AD378" s="209"/>
      <c r="AE378" s="209"/>
      <c r="AF378" s="210"/>
    </row>
    <row r="379" spans="1:32" ht="16.5" thickBot="1" x14ac:dyDescent="0.3">
      <c r="A379" s="221" t="str">
        <f t="shared" si="20"/>
        <v>P</v>
      </c>
      <c r="B379" s="222" t="str">
        <f t="shared" si="21"/>
        <v>P</v>
      </c>
      <c r="C379" s="223" t="str">
        <f t="shared" si="17"/>
        <v>P</v>
      </c>
      <c r="D379" s="155"/>
      <c r="E379" s="156" t="s">
        <v>10842</v>
      </c>
      <c r="F379" s="157"/>
      <c r="G379" s="157"/>
      <c r="H379" s="157"/>
      <c r="I379" s="157"/>
      <c r="J379" s="157"/>
      <c r="K379" s="157"/>
      <c r="L379" s="157"/>
      <c r="M379" s="157"/>
      <c r="N379" s="157"/>
      <c r="O379" s="157"/>
      <c r="P379" s="157"/>
      <c r="Q379" s="157"/>
      <c r="R379" s="186"/>
      <c r="S379" s="160"/>
      <c r="T379" s="161"/>
      <c r="U379" s="161"/>
      <c r="V379" s="161"/>
      <c r="W379" s="161"/>
      <c r="X379" s="161"/>
      <c r="Y379" s="161"/>
      <c r="Z379" s="187"/>
      <c r="AA379" s="164"/>
      <c r="AB379" s="165"/>
      <c r="AC379" s="166"/>
      <c r="AD379" s="209"/>
      <c r="AE379" s="209"/>
      <c r="AF379" s="210"/>
    </row>
    <row r="380" spans="1:32" ht="16.5" thickBot="1" x14ac:dyDescent="0.3">
      <c r="A380" s="221" t="str">
        <f t="shared" si="20"/>
        <v>P</v>
      </c>
      <c r="B380" s="222" t="str">
        <f t="shared" si="21"/>
        <v>P</v>
      </c>
      <c r="C380" s="223" t="str">
        <f t="shared" si="17"/>
        <v>P</v>
      </c>
      <c r="D380" s="155"/>
      <c r="E380" s="156" t="s">
        <v>10843</v>
      </c>
      <c r="F380" s="157"/>
      <c r="G380" s="157"/>
      <c r="H380" s="157"/>
      <c r="I380" s="157"/>
      <c r="J380" s="157"/>
      <c r="K380" s="157"/>
      <c r="L380" s="157"/>
      <c r="M380" s="157"/>
      <c r="N380" s="157"/>
      <c r="O380" s="157"/>
      <c r="P380" s="157"/>
      <c r="Q380" s="157"/>
      <c r="R380" s="186"/>
      <c r="S380" s="160"/>
      <c r="T380" s="161"/>
      <c r="U380" s="161"/>
      <c r="V380" s="161"/>
      <c r="W380" s="161"/>
      <c r="X380" s="161"/>
      <c r="Y380" s="161"/>
      <c r="Z380" s="187"/>
      <c r="AA380" s="164"/>
      <c r="AB380" s="165"/>
      <c r="AC380" s="166"/>
      <c r="AD380" s="209"/>
      <c r="AE380" s="209"/>
      <c r="AF380" s="210"/>
    </row>
    <row r="381" spans="1:32" ht="16.5" thickBot="1" x14ac:dyDescent="0.3">
      <c r="A381" s="221" t="str">
        <f t="shared" si="20"/>
        <v>P</v>
      </c>
      <c r="B381" s="222" t="str">
        <f>IF(OR(ISBLANK(S381),ISBLANK(T381),ISBLANK(U381),ISBLANK(V381),ISBLANK(W381),ISBLANK(X381),ISBLANK(Y381),ISBLANK(Z381))=TRUE,"P","OK")</f>
        <v>P</v>
      </c>
      <c r="C381" s="223" t="str">
        <f>IF(OR(ISBLANK(AA381),ISBLANK(AB381),ISBLANK(AC381))=TRUE,"P","OK")</f>
        <v>P</v>
      </c>
      <c r="D381" s="155"/>
      <c r="E381" s="156" t="s">
        <v>10844</v>
      </c>
      <c r="F381" s="157"/>
      <c r="G381" s="157"/>
      <c r="H381" s="157"/>
      <c r="I381" s="157"/>
      <c r="J381" s="157"/>
      <c r="K381" s="157"/>
      <c r="L381" s="157"/>
      <c r="M381" s="157"/>
      <c r="N381" s="157"/>
      <c r="O381" s="157"/>
      <c r="P381" s="157"/>
      <c r="Q381" s="157"/>
      <c r="R381" s="186"/>
      <c r="S381" s="160"/>
      <c r="T381" s="161"/>
      <c r="U381" s="161"/>
      <c r="V381" s="161"/>
      <c r="W381" s="161"/>
      <c r="X381" s="161"/>
      <c r="Y381" s="161"/>
      <c r="Z381" s="187"/>
      <c r="AA381" s="164"/>
      <c r="AB381" s="165"/>
      <c r="AC381" s="166"/>
      <c r="AD381" s="209"/>
      <c r="AE381" s="209"/>
      <c r="AF381" s="210"/>
    </row>
    <row r="382" spans="1:32" ht="16.5" thickBot="1" x14ac:dyDescent="0.3">
      <c r="A382" s="221" t="str">
        <f t="shared" si="20"/>
        <v>P</v>
      </c>
      <c r="B382" s="222" t="str">
        <f>IF(OR(ISBLANK(S382),ISBLANK(T382),ISBLANK(U382),ISBLANK(V382),ISBLANK(W382),ISBLANK(X382),ISBLANK(Y382),ISBLANK(Z382))=TRUE,"P","OK")</f>
        <v>P</v>
      </c>
      <c r="C382" s="223" t="str">
        <f>IF(OR(ISBLANK(AA382),ISBLANK(AB382),ISBLANK(AC382))=TRUE,"P","OK")</f>
        <v>P</v>
      </c>
      <c r="D382" s="155"/>
      <c r="E382" s="156" t="s">
        <v>10845</v>
      </c>
      <c r="F382" s="157"/>
      <c r="G382" s="157"/>
      <c r="H382" s="157"/>
      <c r="I382" s="157"/>
      <c r="J382" s="157"/>
      <c r="K382" s="157"/>
      <c r="L382" s="157"/>
      <c r="M382" s="157"/>
      <c r="N382" s="157"/>
      <c r="O382" s="157"/>
      <c r="P382" s="157"/>
      <c r="Q382" s="157"/>
      <c r="R382" s="186"/>
      <c r="S382" s="160"/>
      <c r="T382" s="161"/>
      <c r="U382" s="161"/>
      <c r="V382" s="161"/>
      <c r="W382" s="161"/>
      <c r="X382" s="161"/>
      <c r="Y382" s="161"/>
      <c r="Z382" s="187"/>
      <c r="AA382" s="164"/>
      <c r="AB382" s="165"/>
      <c r="AC382" s="166"/>
      <c r="AD382" s="209"/>
      <c r="AE382" s="209"/>
      <c r="AF382" s="210"/>
    </row>
    <row r="383" spans="1:32" ht="16.5" thickBot="1" x14ac:dyDescent="0.3">
      <c r="A383" s="221" t="str">
        <f t="shared" si="20"/>
        <v>P</v>
      </c>
      <c r="B383" s="222" t="str">
        <f>IF(OR(ISBLANK(S383),ISBLANK(T383),ISBLANK(U383),ISBLANK(V383),ISBLANK(W383),ISBLANK(X383),ISBLANK(Y383),ISBLANK(Z383))=TRUE,"P","OK")</f>
        <v>P</v>
      </c>
      <c r="C383" s="223" t="str">
        <f>IF(OR(ISBLANK(AA383),ISBLANK(AB383),ISBLANK(AC383))=TRUE,"P","OK")</f>
        <v>P</v>
      </c>
      <c r="D383" s="155"/>
      <c r="E383" s="156" t="s">
        <v>10846</v>
      </c>
      <c r="F383" s="157"/>
      <c r="G383" s="157"/>
      <c r="H383" s="157"/>
      <c r="I383" s="157"/>
      <c r="J383" s="157"/>
      <c r="K383" s="157"/>
      <c r="L383" s="157"/>
      <c r="M383" s="157"/>
      <c r="N383" s="157"/>
      <c r="O383" s="157"/>
      <c r="P383" s="157"/>
      <c r="Q383" s="157"/>
      <c r="R383" s="186"/>
      <c r="S383" s="160"/>
      <c r="T383" s="161"/>
      <c r="U383" s="161"/>
      <c r="V383" s="161"/>
      <c r="W383" s="161"/>
      <c r="X383" s="161"/>
      <c r="Y383" s="161"/>
      <c r="Z383" s="187"/>
      <c r="AA383" s="164"/>
      <c r="AB383" s="165"/>
      <c r="AC383" s="166"/>
      <c r="AD383" s="209"/>
      <c r="AE383" s="209"/>
      <c r="AF383" s="210"/>
    </row>
    <row r="384" spans="1:32" x14ac:dyDescent="0.25">
      <c r="A384" s="221" t="str">
        <f t="shared" si="20"/>
        <v>P</v>
      </c>
      <c r="B384" s="222" t="str">
        <f>IF(OR(ISBLANK(S384),ISBLANK(T384),ISBLANK(U384),ISBLANK(V384),ISBLANK(W384),ISBLANK(X384),ISBLANK(Y384),ISBLANK(Z384))=TRUE,"P","OK")</f>
        <v>P</v>
      </c>
      <c r="C384" s="223" t="str">
        <f>IF(OR(ISBLANK(AA384),ISBLANK(AB384),ISBLANK(AC384))=TRUE,"P","OK")</f>
        <v>P</v>
      </c>
      <c r="D384" s="155"/>
      <c r="E384" s="156" t="s">
        <v>10847</v>
      </c>
      <c r="F384" s="157"/>
      <c r="G384" s="207"/>
      <c r="H384" s="207"/>
      <c r="I384" s="157"/>
      <c r="J384" s="157"/>
      <c r="K384" s="157"/>
      <c r="L384" s="157"/>
      <c r="M384" s="157"/>
      <c r="N384" s="157"/>
      <c r="O384" s="157"/>
      <c r="P384" s="157"/>
      <c r="Q384" s="157"/>
      <c r="R384" s="186"/>
      <c r="S384" s="160"/>
      <c r="T384" s="161"/>
      <c r="U384" s="161"/>
      <c r="V384" s="161"/>
      <c r="W384" s="161"/>
      <c r="X384" s="161"/>
      <c r="Y384" s="161"/>
      <c r="Z384" s="187"/>
      <c r="AA384" s="164"/>
      <c r="AB384" s="165"/>
      <c r="AC384" s="166"/>
      <c r="AD384" s="209"/>
      <c r="AE384" s="209"/>
      <c r="AF384" s="210"/>
    </row>
  </sheetData>
  <autoFilter ref="A5:AI384" xr:uid="{4C07D05E-E7B9-46BD-844B-708DCA0BB695}"/>
  <mergeCells count="12">
    <mergeCell ref="D4:R4"/>
    <mergeCell ref="S4:Z4"/>
    <mergeCell ref="AA4:AE4"/>
    <mergeCell ref="A1:AG3"/>
    <mergeCell ref="A4:C4"/>
    <mergeCell ref="A299:C299"/>
    <mergeCell ref="A233:C233"/>
    <mergeCell ref="A137:C137"/>
    <mergeCell ref="A90:C90"/>
    <mergeCell ref="A38:C38"/>
    <mergeCell ref="A286:C286"/>
    <mergeCell ref="A288:C288"/>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370D9-3265-4311-B1C7-A0C2BD751C3D}">
  <sheetPr codeName="Planilha3"/>
  <dimension ref="A1:AI394"/>
  <sheetViews>
    <sheetView workbookViewId="0">
      <pane xSplit="3" ySplit="5" topLeftCell="D263" activePane="bottomRight" state="frozen"/>
      <selection pane="topRight" activeCell="D1" sqref="D1"/>
      <selection pane="bottomLeft" activeCell="A6" sqref="A6"/>
      <selection pane="bottomRight" activeCell="F5" sqref="F5"/>
    </sheetView>
  </sheetViews>
  <sheetFormatPr defaultRowHeight="15" x14ac:dyDescent="0.25"/>
  <cols>
    <col min="1" max="3" width="4.5703125" customWidth="1"/>
    <col min="4" max="4" width="7.5703125" bestFit="1" customWidth="1"/>
    <col min="5" max="5" width="13.5703125" bestFit="1" customWidth="1"/>
    <col min="6" max="6" width="39.42578125" bestFit="1" customWidth="1"/>
    <col min="7" max="7" width="8.5703125" bestFit="1" customWidth="1"/>
    <col min="8" max="8" width="11.42578125" bestFit="1" customWidth="1"/>
    <col min="9" max="9" width="7.5703125" bestFit="1" customWidth="1"/>
    <col min="10" max="10" width="11" bestFit="1" customWidth="1"/>
    <col min="11" max="11" width="79.5703125" bestFit="1" customWidth="1"/>
    <col min="12" max="12" width="59.42578125" bestFit="1" customWidth="1"/>
    <col min="13" max="13" width="46.42578125" bestFit="1" customWidth="1"/>
    <col min="14" max="14" width="12.42578125" bestFit="1" customWidth="1"/>
    <col min="15" max="15" width="19.5703125" bestFit="1" customWidth="1"/>
    <col min="16" max="16" width="18.42578125" bestFit="1" customWidth="1"/>
    <col min="17" max="19" width="12.42578125" bestFit="1" customWidth="1"/>
    <col min="20" max="20" width="14.42578125" bestFit="1" customWidth="1"/>
    <col min="21" max="21" width="16.42578125" bestFit="1" customWidth="1"/>
    <col min="22" max="22" width="79.42578125" bestFit="1" customWidth="1"/>
    <col min="23" max="25" width="12.42578125" bestFit="1" customWidth="1"/>
    <col min="26" max="26" width="15.42578125" bestFit="1" customWidth="1"/>
    <col min="27" max="28" width="12.42578125" bestFit="1" customWidth="1"/>
    <col min="29" max="29" width="12.5703125" bestFit="1" customWidth="1"/>
    <col min="30" max="31" width="9" bestFit="1" customWidth="1"/>
    <col min="32" max="32" width="36.42578125" bestFit="1" customWidth="1"/>
    <col min="33" max="33" width="7.42578125" bestFit="1" customWidth="1"/>
    <col min="34" max="34" width="80.42578125" bestFit="1" customWidth="1"/>
  </cols>
  <sheetData>
    <row r="1" spans="1:35" s="6" customFormat="1" ht="15" customHeight="1" x14ac:dyDescent="0.2">
      <c r="D1" s="482" t="s">
        <v>9340</v>
      </c>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c r="AF1" s="455"/>
      <c r="AG1" s="455"/>
      <c r="AH1" s="455"/>
    </row>
    <row r="2" spans="1:35" s="6" customFormat="1" ht="15" customHeight="1" x14ac:dyDescent="0.2">
      <c r="D2" s="482"/>
      <c r="E2" s="455"/>
      <c r="F2" s="455"/>
      <c r="G2" s="455"/>
      <c r="H2" s="455"/>
      <c r="I2" s="455"/>
      <c r="J2" s="455"/>
      <c r="K2" s="455"/>
      <c r="L2" s="455"/>
      <c r="M2" s="455"/>
      <c r="N2" s="455"/>
      <c r="O2" s="455"/>
      <c r="P2" s="455"/>
      <c r="Q2" s="455"/>
      <c r="R2" s="455"/>
      <c r="S2" s="455"/>
      <c r="T2" s="455"/>
      <c r="U2" s="455"/>
      <c r="V2" s="455"/>
      <c r="W2" s="455"/>
      <c r="X2" s="455"/>
      <c r="Y2" s="455"/>
      <c r="Z2" s="455"/>
      <c r="AA2" s="455"/>
      <c r="AB2" s="455"/>
      <c r="AC2" s="455"/>
      <c r="AD2" s="455"/>
      <c r="AE2" s="455"/>
      <c r="AF2" s="455"/>
      <c r="AG2" s="455"/>
      <c r="AH2" s="455"/>
    </row>
    <row r="3" spans="1:35" s="6" customFormat="1" ht="15" customHeight="1" thickBot="1" x14ac:dyDescent="0.25">
      <c r="D3" s="482"/>
      <c r="E3" s="455"/>
      <c r="F3" s="455"/>
      <c r="G3" s="455"/>
      <c r="H3" s="455"/>
      <c r="I3" s="455"/>
      <c r="J3" s="455"/>
      <c r="K3" s="455"/>
      <c r="L3" s="455"/>
      <c r="M3" s="455"/>
      <c r="N3" s="455"/>
      <c r="O3" s="455"/>
      <c r="P3" s="455"/>
      <c r="Q3" s="455"/>
      <c r="R3" s="455"/>
      <c r="S3" s="455"/>
      <c r="T3" s="455"/>
      <c r="U3" s="455"/>
      <c r="V3" s="455"/>
      <c r="W3" s="455"/>
      <c r="X3" s="455"/>
      <c r="Y3" s="455"/>
      <c r="Z3" s="455"/>
      <c r="AA3" s="455"/>
      <c r="AB3" s="455"/>
      <c r="AC3" s="455"/>
      <c r="AD3" s="455"/>
      <c r="AE3" s="455"/>
      <c r="AF3" s="455"/>
      <c r="AG3" s="455"/>
      <c r="AH3" s="455"/>
    </row>
    <row r="4" spans="1:35" s="6" customFormat="1" ht="17.25" thickTop="1" thickBot="1" x14ac:dyDescent="0.25">
      <c r="A4" s="466" t="s">
        <v>6806</v>
      </c>
      <c r="B4" s="466"/>
      <c r="C4" s="467"/>
      <c r="D4" s="457" t="s">
        <v>0</v>
      </c>
      <c r="E4" s="458"/>
      <c r="F4" s="458"/>
      <c r="G4" s="458"/>
      <c r="H4" s="458"/>
      <c r="I4" s="458"/>
      <c r="J4" s="458"/>
      <c r="K4" s="458"/>
      <c r="L4" s="458"/>
      <c r="M4" s="458"/>
      <c r="N4" s="458"/>
      <c r="O4" s="458"/>
      <c r="P4" s="458"/>
      <c r="Q4" s="458"/>
      <c r="R4" s="459"/>
      <c r="S4" s="460" t="s">
        <v>1</v>
      </c>
      <c r="T4" s="461"/>
      <c r="U4" s="461"/>
      <c r="V4" s="461"/>
      <c r="W4" s="461"/>
      <c r="X4" s="461"/>
      <c r="Y4" s="461"/>
      <c r="Z4" s="462"/>
      <c r="AA4" s="463" t="s">
        <v>2</v>
      </c>
      <c r="AB4" s="464"/>
      <c r="AC4" s="464"/>
      <c r="AD4" s="464"/>
      <c r="AE4" s="465"/>
      <c r="AH4" s="7"/>
    </row>
    <row r="5" spans="1:35" s="6" customFormat="1" ht="37.15" customHeight="1" thickTop="1" thickBot="1" x14ac:dyDescent="0.25">
      <c r="A5" s="10" t="s">
        <v>8236</v>
      </c>
      <c r="B5" s="266" t="s">
        <v>6808</v>
      </c>
      <c r="C5" s="267" t="s">
        <v>6809</v>
      </c>
      <c r="D5" s="10" t="s">
        <v>6810</v>
      </c>
      <c r="E5" s="11" t="s">
        <v>4</v>
      </c>
      <c r="F5" s="12" t="s">
        <v>5</v>
      </c>
      <c r="G5" s="12" t="s">
        <v>7</v>
      </c>
      <c r="H5" s="12" t="s">
        <v>8</v>
      </c>
      <c r="I5" s="12" t="s">
        <v>6811</v>
      </c>
      <c r="J5" s="12" t="s">
        <v>4992</v>
      </c>
      <c r="K5" s="13" t="s">
        <v>9</v>
      </c>
      <c r="L5" s="12" t="s">
        <v>4993</v>
      </c>
      <c r="M5" s="12" t="s">
        <v>11</v>
      </c>
      <c r="N5" s="14" t="s">
        <v>12</v>
      </c>
      <c r="O5" s="14" t="s">
        <v>6812</v>
      </c>
      <c r="P5" s="14" t="s">
        <v>6813</v>
      </c>
      <c r="Q5" s="14" t="s">
        <v>6814</v>
      </c>
      <c r="R5" s="15" t="s">
        <v>13</v>
      </c>
      <c r="S5" s="16" t="s">
        <v>14</v>
      </c>
      <c r="T5" s="17" t="s">
        <v>8237</v>
      </c>
      <c r="U5" s="18" t="s">
        <v>8238</v>
      </c>
      <c r="V5" s="17" t="s">
        <v>6815</v>
      </c>
      <c r="W5" s="17" t="s">
        <v>8239</v>
      </c>
      <c r="X5" s="19" t="s">
        <v>8240</v>
      </c>
      <c r="Y5" s="17" t="s">
        <v>6816</v>
      </c>
      <c r="Z5" s="20" t="s">
        <v>17</v>
      </c>
      <c r="AA5" s="21" t="s">
        <v>18</v>
      </c>
      <c r="AB5" s="22" t="s">
        <v>19</v>
      </c>
      <c r="AC5" s="22" t="s">
        <v>20</v>
      </c>
      <c r="AD5" s="23" t="s">
        <v>8241</v>
      </c>
      <c r="AE5" s="24" t="s">
        <v>8242</v>
      </c>
      <c r="AF5" s="120" t="s">
        <v>8243</v>
      </c>
      <c r="AG5" s="120" t="s">
        <v>21</v>
      </c>
      <c r="AH5" s="7"/>
    </row>
    <row r="6" spans="1:35" s="2" customFormat="1" ht="15.75" thickBot="1" x14ac:dyDescent="0.25">
      <c r="A6" s="221" t="str">
        <f t="shared" ref="A6:A69" si="0">IF(OR(ISBLANK(D6),ISBLANK(E6),ISBLANK(F6),ISBLANK(G6),ISBLANK(H6),ISBLANK(I6),ISBLANK(J6),ISBLANK(K6),ISBLANK(L6),ISBLANK(M6),ISBLANK(N6),ISBLANK(O6),ISBLANK(P6),ISBLANK(Q6),ISBLANK(R6))=TRUE,"P","OK")</f>
        <v>OK</v>
      </c>
      <c r="B6" s="222" t="str">
        <f>IF(OR(ISBLANK(S6),ISBLANK(T6),ISBLANK(U6),ISBLANK(V6),ISBLANK(W6),ISBLANK(X6),ISBLANK(Y6),ISBLANK(Z6))=TRUE,"P","OK")</f>
        <v>OK</v>
      </c>
      <c r="C6" s="223" t="str">
        <f>IF(OR(ISBLANK(AA6),ISBLANK(AB6),ISBLANK(AC6))=TRUE,"P","OK")</f>
        <v>OK</v>
      </c>
      <c r="D6" s="28">
        <v>0</v>
      </c>
      <c r="E6" s="29" t="s">
        <v>10848</v>
      </c>
      <c r="F6" s="30" t="s">
        <v>3483</v>
      </c>
      <c r="G6" s="30">
        <v>180233</v>
      </c>
      <c r="H6" s="30" t="s">
        <v>10849</v>
      </c>
      <c r="I6" s="30" t="s">
        <v>6820</v>
      </c>
      <c r="J6" s="30" t="s">
        <v>6829</v>
      </c>
      <c r="K6" s="30" t="s">
        <v>10850</v>
      </c>
      <c r="L6" s="30" t="s">
        <v>10851</v>
      </c>
      <c r="M6" s="30" t="s">
        <v>8016</v>
      </c>
      <c r="N6" s="31">
        <v>43452</v>
      </c>
      <c r="O6" s="30" t="s">
        <v>9350</v>
      </c>
      <c r="P6" s="31">
        <v>43452</v>
      </c>
      <c r="Q6" s="31">
        <v>43452</v>
      </c>
      <c r="R6" s="32">
        <v>43453</v>
      </c>
      <c r="S6" s="33" t="s">
        <v>10852</v>
      </c>
      <c r="T6" s="34" t="s">
        <v>10853</v>
      </c>
      <c r="U6" s="35">
        <v>43462</v>
      </c>
      <c r="V6" s="34" t="s">
        <v>10854</v>
      </c>
      <c r="W6" s="34">
        <v>10</v>
      </c>
      <c r="X6" s="34" t="s">
        <v>5683</v>
      </c>
      <c r="Y6" s="34" t="s">
        <v>4999</v>
      </c>
      <c r="Z6" s="36">
        <v>43474</v>
      </c>
      <c r="AA6" s="44" t="s">
        <v>264</v>
      </c>
      <c r="AB6" s="38">
        <v>43474</v>
      </c>
      <c r="AC6" s="39">
        <v>43474</v>
      </c>
      <c r="AD6" s="45" t="e">
        <v>#VALUE!</v>
      </c>
      <c r="AE6" s="46" t="e">
        <v>#VALUE!</v>
      </c>
      <c r="AF6" s="25" t="s">
        <v>10855</v>
      </c>
      <c r="AG6" s="42" t="s">
        <v>4999</v>
      </c>
      <c r="AH6" s="43"/>
      <c r="AI6" s="27"/>
    </row>
    <row r="7" spans="1:35" s="2" customFormat="1" ht="15.75" thickBot="1" x14ac:dyDescent="0.25">
      <c r="A7" s="221" t="str">
        <f t="shared" si="0"/>
        <v>OK</v>
      </c>
      <c r="B7" s="222" t="str">
        <f t="shared" ref="B7:B70" si="1">IF(OR(ISBLANK(S7),ISBLANK(T7),ISBLANK(U7),ISBLANK(V7),ISBLANK(W7),ISBLANK(X7),ISBLANK(Y7),ISBLANK(Z7))=TRUE,"P","OK")</f>
        <v>OK</v>
      </c>
      <c r="C7" s="223" t="str">
        <f t="shared" ref="C7:C70" si="2">IF(OR(ISBLANK(AA7),ISBLANK(AB7),ISBLANK(AC7))=TRUE,"P","OK")</f>
        <v>OK</v>
      </c>
      <c r="D7" s="28">
        <v>0</v>
      </c>
      <c r="E7" s="29" t="s">
        <v>10856</v>
      </c>
      <c r="F7" s="30" t="s">
        <v>10857</v>
      </c>
      <c r="G7" s="30">
        <v>180203</v>
      </c>
      <c r="H7" s="30" t="s">
        <v>10858</v>
      </c>
      <c r="I7" s="30" t="s">
        <v>6820</v>
      </c>
      <c r="J7" s="30" t="s">
        <v>6829</v>
      </c>
      <c r="K7" s="30" t="s">
        <v>10859</v>
      </c>
      <c r="L7" s="30" t="s">
        <v>10860</v>
      </c>
      <c r="M7" s="30" t="s">
        <v>10861</v>
      </c>
      <c r="N7" s="31">
        <v>43425</v>
      </c>
      <c r="O7" s="57" t="s">
        <v>9350</v>
      </c>
      <c r="P7" s="31">
        <v>43425</v>
      </c>
      <c r="Q7" s="31">
        <v>43468</v>
      </c>
      <c r="R7" s="32">
        <v>43469</v>
      </c>
      <c r="S7" s="33" t="s">
        <v>10852</v>
      </c>
      <c r="T7" s="34" t="s">
        <v>10852</v>
      </c>
      <c r="U7" s="35">
        <v>43503</v>
      </c>
      <c r="V7" s="34" t="s">
        <v>10862</v>
      </c>
      <c r="W7" s="34">
        <v>11</v>
      </c>
      <c r="X7" s="34" t="s">
        <v>5683</v>
      </c>
      <c r="Y7" s="34" t="s">
        <v>4999</v>
      </c>
      <c r="Z7" s="36">
        <v>43507</v>
      </c>
      <c r="AA7" s="44" t="s">
        <v>264</v>
      </c>
      <c r="AB7" s="38">
        <v>43509</v>
      </c>
      <c r="AC7" s="39">
        <v>43509</v>
      </c>
      <c r="AD7" s="45" t="e">
        <v>#VALUE!</v>
      </c>
      <c r="AE7" s="46" t="e">
        <v>#VALUE!</v>
      </c>
      <c r="AF7" s="25" t="s">
        <v>10855</v>
      </c>
      <c r="AG7" s="42" t="s">
        <v>4999</v>
      </c>
      <c r="AH7" s="43"/>
      <c r="AI7" s="27"/>
    </row>
    <row r="8" spans="1:35" s="2" customFormat="1" ht="15.75" thickBot="1" x14ac:dyDescent="0.25">
      <c r="A8" s="221" t="str">
        <f t="shared" si="0"/>
        <v>OK</v>
      </c>
      <c r="B8" s="222" t="str">
        <f t="shared" si="1"/>
        <v>OK</v>
      </c>
      <c r="C8" s="223" t="str">
        <f t="shared" si="2"/>
        <v>OK</v>
      </c>
      <c r="D8" s="28">
        <v>0</v>
      </c>
      <c r="E8" s="29" t="s">
        <v>10863</v>
      </c>
      <c r="F8" s="30" t="s">
        <v>9024</v>
      </c>
      <c r="G8" s="30">
        <v>180141</v>
      </c>
      <c r="H8" s="30" t="s">
        <v>10864</v>
      </c>
      <c r="I8" s="30" t="s">
        <v>6820</v>
      </c>
      <c r="J8" s="30" t="s">
        <v>6829</v>
      </c>
      <c r="K8" s="30" t="s">
        <v>9907</v>
      </c>
      <c r="L8" s="30" t="s">
        <v>10865</v>
      </c>
      <c r="M8" s="30" t="s">
        <v>10866</v>
      </c>
      <c r="N8" s="31">
        <v>43339</v>
      </c>
      <c r="O8" s="30" t="s">
        <v>9350</v>
      </c>
      <c r="P8" s="31">
        <v>43339</v>
      </c>
      <c r="Q8" s="31">
        <v>43339</v>
      </c>
      <c r="R8" s="32">
        <v>43472</v>
      </c>
      <c r="S8" s="33" t="s">
        <v>10852</v>
      </c>
      <c r="T8" s="34" t="s">
        <v>10867</v>
      </c>
      <c r="U8" s="35">
        <v>43473</v>
      </c>
      <c r="V8" s="34" t="s">
        <v>10868</v>
      </c>
      <c r="W8" s="34">
        <v>1</v>
      </c>
      <c r="X8" s="34" t="s">
        <v>5683</v>
      </c>
      <c r="Y8" s="34" t="s">
        <v>4999</v>
      </c>
      <c r="Z8" s="36">
        <v>43489</v>
      </c>
      <c r="AA8" s="44" t="s">
        <v>264</v>
      </c>
      <c r="AB8" s="38">
        <v>43490</v>
      </c>
      <c r="AC8" s="39">
        <v>43490</v>
      </c>
      <c r="AD8" s="45" t="e">
        <v>#VALUE!</v>
      </c>
      <c r="AE8" s="46" t="e">
        <v>#VALUE!</v>
      </c>
      <c r="AF8" s="25" t="s">
        <v>10869</v>
      </c>
      <c r="AG8" s="42" t="s">
        <v>4999</v>
      </c>
      <c r="AH8" s="43"/>
      <c r="AI8" s="27"/>
    </row>
    <row r="9" spans="1:35" s="2" customFormat="1" ht="15.75" thickBot="1" x14ac:dyDescent="0.25">
      <c r="A9" s="221" t="str">
        <f t="shared" si="0"/>
        <v>OK</v>
      </c>
      <c r="B9" s="222" t="str">
        <f t="shared" si="1"/>
        <v>OK</v>
      </c>
      <c r="C9" s="223" t="str">
        <f t="shared" si="2"/>
        <v>OK</v>
      </c>
      <c r="D9" s="28">
        <v>0</v>
      </c>
      <c r="E9" s="29" t="s">
        <v>10870</v>
      </c>
      <c r="F9" s="30" t="s">
        <v>9377</v>
      </c>
      <c r="G9" s="30">
        <v>180240</v>
      </c>
      <c r="H9" s="30" t="s">
        <v>10871</v>
      </c>
      <c r="I9" s="30" t="s">
        <v>6820</v>
      </c>
      <c r="J9" s="30" t="s">
        <v>6829</v>
      </c>
      <c r="K9" s="30" t="s">
        <v>10872</v>
      </c>
      <c r="L9" s="30" t="s">
        <v>10873</v>
      </c>
      <c r="M9" s="30" t="s">
        <v>10874</v>
      </c>
      <c r="N9" s="31">
        <v>43472</v>
      </c>
      <c r="O9" s="57" t="s">
        <v>10875</v>
      </c>
      <c r="P9" s="31">
        <v>43472</v>
      </c>
      <c r="Q9" s="31">
        <v>43472</v>
      </c>
      <c r="R9" s="32">
        <v>43473</v>
      </c>
      <c r="S9" s="33" t="s">
        <v>10852</v>
      </c>
      <c r="T9" s="34" t="s">
        <v>10852</v>
      </c>
      <c r="U9" s="35">
        <v>43476</v>
      </c>
      <c r="V9" s="34" t="s">
        <v>9915</v>
      </c>
      <c r="W9" s="34">
        <v>15</v>
      </c>
      <c r="X9" s="34" t="s">
        <v>5683</v>
      </c>
      <c r="Y9" s="34" t="s">
        <v>4999</v>
      </c>
      <c r="Z9" s="36">
        <v>43480</v>
      </c>
      <c r="AA9" s="44" t="s">
        <v>264</v>
      </c>
      <c r="AB9" s="38">
        <v>43482</v>
      </c>
      <c r="AC9" s="39">
        <v>43482</v>
      </c>
      <c r="AD9" s="45" t="e">
        <v>#VALUE!</v>
      </c>
      <c r="AE9" s="46" t="e">
        <v>#VALUE!</v>
      </c>
      <c r="AF9" s="25" t="s">
        <v>10869</v>
      </c>
      <c r="AG9" s="42" t="s">
        <v>4999</v>
      </c>
      <c r="AH9" s="43"/>
      <c r="AI9" s="27"/>
    </row>
    <row r="10" spans="1:35" s="2" customFormat="1" ht="15.75" thickBot="1" x14ac:dyDescent="0.25">
      <c r="A10" s="221" t="str">
        <f t="shared" si="0"/>
        <v>OK</v>
      </c>
      <c r="B10" s="222" t="str">
        <f t="shared" si="1"/>
        <v>OK</v>
      </c>
      <c r="C10" s="223" t="str">
        <f t="shared" si="2"/>
        <v>OK</v>
      </c>
      <c r="D10" s="28">
        <v>0</v>
      </c>
      <c r="E10" s="29" t="s">
        <v>10876</v>
      </c>
      <c r="F10" s="30" t="s">
        <v>8322</v>
      </c>
      <c r="G10" s="30">
        <v>180249</v>
      </c>
      <c r="H10" s="30" t="s">
        <v>10877</v>
      </c>
      <c r="I10" s="30" t="s">
        <v>6820</v>
      </c>
      <c r="J10" s="30" t="s">
        <v>6829</v>
      </c>
      <c r="K10" s="30" t="s">
        <v>10878</v>
      </c>
      <c r="L10" s="30" t="s">
        <v>10879</v>
      </c>
      <c r="M10" s="30" t="s">
        <v>5529</v>
      </c>
      <c r="N10" s="31">
        <v>43476</v>
      </c>
      <c r="O10" s="30" t="s">
        <v>9350</v>
      </c>
      <c r="P10" s="31">
        <v>43480</v>
      </c>
      <c r="Q10" s="31">
        <v>43480</v>
      </c>
      <c r="R10" s="32">
        <v>43481</v>
      </c>
      <c r="S10" s="33" t="s">
        <v>10852</v>
      </c>
      <c r="T10" s="34" t="s">
        <v>9350</v>
      </c>
      <c r="U10" s="35">
        <v>43480</v>
      </c>
      <c r="V10" s="34" t="s">
        <v>10880</v>
      </c>
      <c r="W10" s="34">
        <v>17</v>
      </c>
      <c r="X10" s="34" t="s">
        <v>5683</v>
      </c>
      <c r="Y10" s="34" t="s">
        <v>4999</v>
      </c>
      <c r="Z10" s="36">
        <v>43489</v>
      </c>
      <c r="AA10" s="44" t="s">
        <v>264</v>
      </c>
      <c r="AB10" s="38">
        <v>43489</v>
      </c>
      <c r="AC10" s="39">
        <v>43489</v>
      </c>
      <c r="AD10" s="45" t="e">
        <v>#VALUE!</v>
      </c>
      <c r="AE10" s="46" t="e">
        <v>#VALUE!</v>
      </c>
      <c r="AF10" s="25" t="s">
        <v>10869</v>
      </c>
      <c r="AG10" s="42" t="s">
        <v>4999</v>
      </c>
      <c r="AH10" s="56"/>
      <c r="AI10" s="27"/>
    </row>
    <row r="11" spans="1:35" s="2" customFormat="1" ht="15.75" thickBot="1" x14ac:dyDescent="0.25">
      <c r="A11" s="221" t="str">
        <f t="shared" si="0"/>
        <v>OK</v>
      </c>
      <c r="B11" s="222" t="str">
        <f t="shared" si="1"/>
        <v>OK</v>
      </c>
      <c r="C11" s="223" t="str">
        <f t="shared" si="2"/>
        <v>OK</v>
      </c>
      <c r="D11" s="28">
        <v>0</v>
      </c>
      <c r="E11" s="29" t="s">
        <v>10881</v>
      </c>
      <c r="F11" s="30" t="s">
        <v>8322</v>
      </c>
      <c r="G11" s="30">
        <v>180249</v>
      </c>
      <c r="H11" s="30" t="s">
        <v>10882</v>
      </c>
      <c r="I11" s="30" t="s">
        <v>6820</v>
      </c>
      <c r="J11" s="30" t="s">
        <v>6829</v>
      </c>
      <c r="K11" s="30" t="s">
        <v>10883</v>
      </c>
      <c r="L11" s="30" t="s">
        <v>10884</v>
      </c>
      <c r="M11" s="30" t="s">
        <v>10885</v>
      </c>
      <c r="N11" s="31">
        <v>43476</v>
      </c>
      <c r="O11" s="30" t="s">
        <v>9350</v>
      </c>
      <c r="P11" s="31">
        <v>43476</v>
      </c>
      <c r="Q11" s="31">
        <v>43480</v>
      </c>
      <c r="R11" s="32">
        <v>43481</v>
      </c>
      <c r="S11" s="33" t="s">
        <v>10852</v>
      </c>
      <c r="T11" s="34" t="s">
        <v>9350</v>
      </c>
      <c r="U11" s="35">
        <v>43480</v>
      </c>
      <c r="V11" s="34" t="s">
        <v>10886</v>
      </c>
      <c r="W11" s="34">
        <v>4</v>
      </c>
      <c r="X11" s="34" t="s">
        <v>5683</v>
      </c>
      <c r="Y11" s="34" t="s">
        <v>4999</v>
      </c>
      <c r="Z11" s="36">
        <v>43494</v>
      </c>
      <c r="AA11" s="44" t="s">
        <v>264</v>
      </c>
      <c r="AB11" s="38">
        <v>43494</v>
      </c>
      <c r="AC11" s="39">
        <v>43494</v>
      </c>
      <c r="AD11" s="45" t="e">
        <v>#VALUE!</v>
      </c>
      <c r="AE11" s="46" t="e">
        <v>#VALUE!</v>
      </c>
      <c r="AF11" s="25" t="s">
        <v>10869</v>
      </c>
      <c r="AG11" s="42" t="s">
        <v>4999</v>
      </c>
      <c r="AH11" s="56"/>
      <c r="AI11" s="27"/>
    </row>
    <row r="12" spans="1:35" s="2" customFormat="1" ht="15.75" thickBot="1" x14ac:dyDescent="0.25">
      <c r="A12" s="221" t="str">
        <f t="shared" si="0"/>
        <v>OK</v>
      </c>
      <c r="B12" s="222" t="str">
        <f t="shared" si="1"/>
        <v>OK</v>
      </c>
      <c r="C12" s="223" t="str">
        <f t="shared" si="2"/>
        <v>OK</v>
      </c>
      <c r="D12" s="28">
        <v>0</v>
      </c>
      <c r="E12" s="29" t="s">
        <v>10887</v>
      </c>
      <c r="F12" s="30" t="s">
        <v>8322</v>
      </c>
      <c r="G12" s="30">
        <v>180249</v>
      </c>
      <c r="H12" s="30" t="s">
        <v>10888</v>
      </c>
      <c r="I12" s="30" t="s">
        <v>6820</v>
      </c>
      <c r="J12" s="30" t="s">
        <v>6829</v>
      </c>
      <c r="K12" s="30" t="s">
        <v>10889</v>
      </c>
      <c r="L12" s="30" t="s">
        <v>10884</v>
      </c>
      <c r="M12" s="30" t="s">
        <v>10885</v>
      </c>
      <c r="N12" s="31">
        <v>43476</v>
      </c>
      <c r="O12" s="57" t="s">
        <v>9350</v>
      </c>
      <c r="P12" s="31">
        <v>43476</v>
      </c>
      <c r="Q12" s="31">
        <v>43480</v>
      </c>
      <c r="R12" s="32">
        <v>43481</v>
      </c>
      <c r="S12" s="33" t="s">
        <v>10852</v>
      </c>
      <c r="T12" s="34" t="s">
        <v>9350</v>
      </c>
      <c r="U12" s="35">
        <v>43480</v>
      </c>
      <c r="V12" s="34" t="s">
        <v>10890</v>
      </c>
      <c r="W12" s="34">
        <v>4</v>
      </c>
      <c r="X12" s="34" t="s">
        <v>5683</v>
      </c>
      <c r="Y12" s="34" t="s">
        <v>4999</v>
      </c>
      <c r="Z12" s="36">
        <v>43494</v>
      </c>
      <c r="AA12" s="44" t="s">
        <v>264</v>
      </c>
      <c r="AB12" s="38">
        <v>43494</v>
      </c>
      <c r="AC12" s="39">
        <v>43494</v>
      </c>
      <c r="AD12" s="45" t="e">
        <v>#VALUE!</v>
      </c>
      <c r="AE12" s="46" t="e">
        <v>#VALUE!</v>
      </c>
      <c r="AF12" s="25" t="s">
        <v>10869</v>
      </c>
      <c r="AG12" s="42" t="s">
        <v>4999</v>
      </c>
      <c r="AH12" s="43"/>
      <c r="AI12" s="27"/>
    </row>
    <row r="13" spans="1:35" s="2" customFormat="1" ht="15.75" thickBot="1" x14ac:dyDescent="0.25">
      <c r="A13" s="221" t="str">
        <f t="shared" si="0"/>
        <v>OK</v>
      </c>
      <c r="B13" s="222" t="str">
        <f t="shared" si="1"/>
        <v>OK</v>
      </c>
      <c r="C13" s="223" t="str">
        <f t="shared" si="2"/>
        <v>OK</v>
      </c>
      <c r="D13" s="28">
        <v>0</v>
      </c>
      <c r="E13" s="29" t="s">
        <v>10891</v>
      </c>
      <c r="F13" s="30" t="s">
        <v>8322</v>
      </c>
      <c r="G13" s="30">
        <v>180198</v>
      </c>
      <c r="H13" s="30" t="s">
        <v>10892</v>
      </c>
      <c r="I13" s="30" t="s">
        <v>6820</v>
      </c>
      <c r="J13" s="30" t="s">
        <v>6829</v>
      </c>
      <c r="K13" s="30" t="s">
        <v>10893</v>
      </c>
      <c r="L13" s="30" t="s">
        <v>10894</v>
      </c>
      <c r="M13" s="30" t="s">
        <v>5529</v>
      </c>
      <c r="N13" s="31">
        <v>43413</v>
      </c>
      <c r="O13" s="30" t="s">
        <v>9350</v>
      </c>
      <c r="P13" s="31">
        <v>43413</v>
      </c>
      <c r="Q13" s="31">
        <v>43413</v>
      </c>
      <c r="R13" s="32">
        <v>43416</v>
      </c>
      <c r="S13" s="33" t="s">
        <v>10852</v>
      </c>
      <c r="T13" s="34" t="s">
        <v>10852</v>
      </c>
      <c r="U13" s="35">
        <v>43488</v>
      </c>
      <c r="V13" s="34" t="s">
        <v>2743</v>
      </c>
      <c r="W13" s="34">
        <v>4</v>
      </c>
      <c r="X13" s="34" t="s">
        <v>5683</v>
      </c>
      <c r="Y13" s="34" t="s">
        <v>4999</v>
      </c>
      <c r="Z13" s="36">
        <v>43489</v>
      </c>
      <c r="AA13" s="44" t="s">
        <v>264</v>
      </c>
      <c r="AB13" s="38">
        <v>43489</v>
      </c>
      <c r="AC13" s="39">
        <v>43489</v>
      </c>
      <c r="AD13" s="45" t="e">
        <v>#VALUE!</v>
      </c>
      <c r="AE13" s="46" t="e">
        <v>#VALUE!</v>
      </c>
      <c r="AF13" s="25" t="s">
        <v>10869</v>
      </c>
      <c r="AG13" s="42" t="s">
        <v>4999</v>
      </c>
      <c r="AH13" s="43"/>
      <c r="AI13" s="27"/>
    </row>
    <row r="14" spans="1:35" s="2" customFormat="1" ht="15.75" thickBot="1" x14ac:dyDescent="0.25">
      <c r="A14" s="221" t="str">
        <f t="shared" si="0"/>
        <v>OK</v>
      </c>
      <c r="B14" s="222" t="str">
        <f t="shared" si="1"/>
        <v>OK</v>
      </c>
      <c r="C14" s="223" t="str">
        <f t="shared" si="2"/>
        <v>OK</v>
      </c>
      <c r="D14" s="28">
        <v>0</v>
      </c>
      <c r="E14" s="29" t="s">
        <v>10895</v>
      </c>
      <c r="F14" s="30" t="s">
        <v>8322</v>
      </c>
      <c r="G14" s="30">
        <v>180253</v>
      </c>
      <c r="H14" s="30" t="s">
        <v>10896</v>
      </c>
      <c r="I14" s="30" t="s">
        <v>6820</v>
      </c>
      <c r="J14" s="30" t="s">
        <v>6829</v>
      </c>
      <c r="K14" s="30" t="s">
        <v>10897</v>
      </c>
      <c r="L14" s="30" t="s">
        <v>10898</v>
      </c>
      <c r="M14" s="30" t="s">
        <v>10899</v>
      </c>
      <c r="N14" s="31">
        <v>43486</v>
      </c>
      <c r="O14" s="30" t="s">
        <v>9350</v>
      </c>
      <c r="P14" s="31">
        <v>43486</v>
      </c>
      <c r="Q14" s="31">
        <v>43486</v>
      </c>
      <c r="R14" s="32">
        <v>43487</v>
      </c>
      <c r="S14" s="33" t="s">
        <v>10852</v>
      </c>
      <c r="T14" s="34" t="s">
        <v>10852</v>
      </c>
      <c r="U14" s="35">
        <v>43488</v>
      </c>
      <c r="V14" s="34" t="s">
        <v>10900</v>
      </c>
      <c r="W14" s="34">
        <v>2</v>
      </c>
      <c r="X14" s="34" t="s">
        <v>5683</v>
      </c>
      <c r="Y14" s="34" t="s">
        <v>4999</v>
      </c>
      <c r="Z14" s="36">
        <v>43490</v>
      </c>
      <c r="AA14" s="44" t="s">
        <v>264</v>
      </c>
      <c r="AB14" s="38">
        <v>43490</v>
      </c>
      <c r="AC14" s="39">
        <v>43490</v>
      </c>
      <c r="AD14" s="45" t="e">
        <v>#VALUE!</v>
      </c>
      <c r="AE14" s="46" t="e">
        <v>#VALUE!</v>
      </c>
      <c r="AF14" s="25" t="s">
        <v>10869</v>
      </c>
      <c r="AG14" s="42" t="s">
        <v>4999</v>
      </c>
      <c r="AH14" s="43"/>
      <c r="AI14" s="27"/>
    </row>
    <row r="15" spans="1:35" s="2" customFormat="1" ht="15.75" thickBot="1" x14ac:dyDescent="0.25">
      <c r="A15" s="221" t="str">
        <f t="shared" si="0"/>
        <v>OK</v>
      </c>
      <c r="B15" s="222" t="str">
        <f t="shared" si="1"/>
        <v>OK</v>
      </c>
      <c r="C15" s="223" t="str">
        <f t="shared" si="2"/>
        <v>OK</v>
      </c>
      <c r="D15" s="28">
        <v>0</v>
      </c>
      <c r="E15" s="29" t="s">
        <v>10901</v>
      </c>
      <c r="F15" s="30" t="s">
        <v>8322</v>
      </c>
      <c r="G15" s="30">
        <v>180253</v>
      </c>
      <c r="H15" s="30" t="s">
        <v>10902</v>
      </c>
      <c r="I15" s="30" t="s">
        <v>6820</v>
      </c>
      <c r="J15" s="30" t="s">
        <v>6829</v>
      </c>
      <c r="K15" s="30" t="s">
        <v>10903</v>
      </c>
      <c r="L15" s="30" t="s">
        <v>10904</v>
      </c>
      <c r="M15" s="30" t="s">
        <v>10905</v>
      </c>
      <c r="N15" s="31">
        <v>43486</v>
      </c>
      <c r="O15" s="30" t="s">
        <v>9350</v>
      </c>
      <c r="P15" s="31">
        <v>43486</v>
      </c>
      <c r="Q15" s="31">
        <v>43486</v>
      </c>
      <c r="R15" s="32">
        <v>43487</v>
      </c>
      <c r="S15" s="33" t="s">
        <v>10852</v>
      </c>
      <c r="T15" s="34" t="s">
        <v>9350</v>
      </c>
      <c r="U15" s="35">
        <v>43543</v>
      </c>
      <c r="V15" s="34" t="s">
        <v>10906</v>
      </c>
      <c r="W15" s="34">
        <v>3</v>
      </c>
      <c r="X15" s="34" t="s">
        <v>5683</v>
      </c>
      <c r="Y15" s="34" t="s">
        <v>4999</v>
      </c>
      <c r="Z15" s="36">
        <v>43549</v>
      </c>
      <c r="AA15" s="44" t="s">
        <v>264</v>
      </c>
      <c r="AB15" s="38">
        <v>43549</v>
      </c>
      <c r="AC15" s="39">
        <v>43549</v>
      </c>
      <c r="AD15" s="45" t="e">
        <v>#VALUE!</v>
      </c>
      <c r="AE15" s="46" t="e">
        <v>#VALUE!</v>
      </c>
      <c r="AF15" s="25" t="s">
        <v>10855</v>
      </c>
      <c r="AG15" s="42" t="s">
        <v>4999</v>
      </c>
      <c r="AH15" s="43"/>
      <c r="AI15" s="27"/>
    </row>
    <row r="16" spans="1:35" s="2" customFormat="1" ht="15.75" thickBot="1" x14ac:dyDescent="0.25">
      <c r="A16" s="221" t="str">
        <f t="shared" si="0"/>
        <v>OK</v>
      </c>
      <c r="B16" s="222" t="str">
        <f t="shared" si="1"/>
        <v>OK</v>
      </c>
      <c r="C16" s="223" t="str">
        <f t="shared" si="2"/>
        <v>OK</v>
      </c>
      <c r="D16" s="28">
        <v>0</v>
      </c>
      <c r="E16" s="29" t="s">
        <v>10907</v>
      </c>
      <c r="F16" s="30" t="s">
        <v>8326</v>
      </c>
      <c r="G16" s="30">
        <v>180255</v>
      </c>
      <c r="H16" s="30" t="s">
        <v>10908</v>
      </c>
      <c r="I16" s="30" t="s">
        <v>6820</v>
      </c>
      <c r="J16" s="30" t="s">
        <v>6829</v>
      </c>
      <c r="K16" s="30" t="s">
        <v>3312</v>
      </c>
      <c r="L16" s="30">
        <v>3110</v>
      </c>
      <c r="M16" s="30" t="s">
        <v>2504</v>
      </c>
      <c r="N16" s="31">
        <v>43487</v>
      </c>
      <c r="O16" s="30" t="s">
        <v>9350</v>
      </c>
      <c r="P16" s="31">
        <v>43487</v>
      </c>
      <c r="Q16" s="31">
        <v>43487</v>
      </c>
      <c r="R16" s="32">
        <v>43488</v>
      </c>
      <c r="S16" s="33" t="s">
        <v>10852</v>
      </c>
      <c r="T16" s="34" t="s">
        <v>10852</v>
      </c>
      <c r="U16" s="35">
        <v>43488</v>
      </c>
      <c r="V16" s="34" t="s">
        <v>10909</v>
      </c>
      <c r="W16" s="34">
        <v>2</v>
      </c>
      <c r="X16" s="34" t="s">
        <v>5683</v>
      </c>
      <c r="Y16" s="34" t="s">
        <v>4999</v>
      </c>
      <c r="Z16" s="36">
        <v>43495</v>
      </c>
      <c r="AA16" s="44" t="s">
        <v>264</v>
      </c>
      <c r="AB16" s="38">
        <v>43495</v>
      </c>
      <c r="AC16" s="39">
        <v>43495</v>
      </c>
      <c r="AD16" s="45" t="e">
        <v>#VALUE!</v>
      </c>
      <c r="AE16" s="46" t="e">
        <v>#VALUE!</v>
      </c>
      <c r="AF16" s="25" t="s">
        <v>10869</v>
      </c>
      <c r="AG16" s="42" t="s">
        <v>4999</v>
      </c>
      <c r="AH16" s="43"/>
      <c r="AI16" s="27"/>
    </row>
    <row r="17" spans="1:35" s="2" customFormat="1" ht="15.75" thickBot="1" x14ac:dyDescent="0.25">
      <c r="A17" s="221" t="str">
        <f t="shared" si="0"/>
        <v>OK</v>
      </c>
      <c r="B17" s="222" t="str">
        <f t="shared" si="1"/>
        <v>OK</v>
      </c>
      <c r="C17" s="223" t="str">
        <f t="shared" si="2"/>
        <v>OK</v>
      </c>
      <c r="D17" s="28">
        <v>0</v>
      </c>
      <c r="E17" s="29" t="s">
        <v>10910</v>
      </c>
      <c r="F17" s="30" t="s">
        <v>10911</v>
      </c>
      <c r="G17" s="30">
        <v>180250</v>
      </c>
      <c r="H17" s="30" t="s">
        <v>10912</v>
      </c>
      <c r="I17" s="30" t="s">
        <v>6820</v>
      </c>
      <c r="J17" s="30" t="s">
        <v>6829</v>
      </c>
      <c r="K17" s="30" t="s">
        <v>10913</v>
      </c>
      <c r="L17" s="30" t="s">
        <v>9743</v>
      </c>
      <c r="M17" s="30" t="s">
        <v>1106</v>
      </c>
      <c r="N17" s="31">
        <v>43479</v>
      </c>
      <c r="O17" s="30" t="s">
        <v>9350</v>
      </c>
      <c r="P17" s="31">
        <v>43479</v>
      </c>
      <c r="Q17" s="31">
        <v>43479</v>
      </c>
      <c r="R17" s="32">
        <v>43480</v>
      </c>
      <c r="S17" s="33" t="s">
        <v>10852</v>
      </c>
      <c r="T17" s="34" t="s">
        <v>10852</v>
      </c>
      <c r="U17" s="35">
        <v>43488</v>
      </c>
      <c r="V17" s="34" t="s">
        <v>9769</v>
      </c>
      <c r="W17" s="34">
        <v>1</v>
      </c>
      <c r="X17" s="34" t="s">
        <v>5683</v>
      </c>
      <c r="Y17" s="34" t="s">
        <v>4999</v>
      </c>
      <c r="Z17" s="36">
        <v>43494</v>
      </c>
      <c r="AA17" s="44" t="s">
        <v>264</v>
      </c>
      <c r="AB17" s="38">
        <v>43495</v>
      </c>
      <c r="AC17" s="39">
        <v>43495</v>
      </c>
      <c r="AD17" s="45" t="e">
        <v>#VALUE!</v>
      </c>
      <c r="AE17" s="46" t="e">
        <v>#VALUE!</v>
      </c>
      <c r="AF17" s="25" t="s">
        <v>10869</v>
      </c>
      <c r="AG17" s="42" t="s">
        <v>4999</v>
      </c>
      <c r="AH17" s="43"/>
      <c r="AI17" s="27"/>
    </row>
    <row r="18" spans="1:35" s="2" customFormat="1" ht="15.75" thickBot="1" x14ac:dyDescent="0.25">
      <c r="A18" s="221" t="str">
        <f t="shared" si="0"/>
        <v>OK</v>
      </c>
      <c r="B18" s="222" t="str">
        <f t="shared" si="1"/>
        <v>OK</v>
      </c>
      <c r="C18" s="223" t="str">
        <f t="shared" si="2"/>
        <v>OK</v>
      </c>
      <c r="D18" s="28">
        <v>0</v>
      </c>
      <c r="E18" s="29" t="s">
        <v>10914</v>
      </c>
      <c r="F18" s="30" t="s">
        <v>9377</v>
      </c>
      <c r="G18" s="30">
        <v>180256</v>
      </c>
      <c r="H18" s="30" t="s">
        <v>10915</v>
      </c>
      <c r="I18" s="30" t="s">
        <v>6820</v>
      </c>
      <c r="J18" s="30" t="s">
        <v>6829</v>
      </c>
      <c r="K18" s="30" t="s">
        <v>10916</v>
      </c>
      <c r="L18" s="30" t="s">
        <v>10917</v>
      </c>
      <c r="M18" s="30" t="s">
        <v>10918</v>
      </c>
      <c r="N18" s="31">
        <v>43487</v>
      </c>
      <c r="O18" s="30" t="s">
        <v>9350</v>
      </c>
      <c r="P18" s="31">
        <v>43487</v>
      </c>
      <c r="Q18" s="31">
        <v>43487</v>
      </c>
      <c r="R18" s="32">
        <v>43488</v>
      </c>
      <c r="S18" s="33" t="s">
        <v>10852</v>
      </c>
      <c r="T18" s="34" t="s">
        <v>10852</v>
      </c>
      <c r="U18" s="35">
        <v>43488</v>
      </c>
      <c r="V18" s="34" t="s">
        <v>10919</v>
      </c>
      <c r="W18" s="34">
        <v>3</v>
      </c>
      <c r="X18" s="34" t="s">
        <v>5683</v>
      </c>
      <c r="Y18" s="34" t="s">
        <v>4999</v>
      </c>
      <c r="Z18" s="36">
        <v>43489</v>
      </c>
      <c r="AA18" s="44" t="s">
        <v>264</v>
      </c>
      <c r="AB18" s="38">
        <v>43489</v>
      </c>
      <c r="AC18" s="39">
        <v>43489</v>
      </c>
      <c r="AD18" s="45" t="e">
        <v>#VALUE!</v>
      </c>
      <c r="AE18" s="46" t="e">
        <v>#VALUE!</v>
      </c>
      <c r="AF18" s="25" t="s">
        <v>10869</v>
      </c>
      <c r="AG18" s="42" t="s">
        <v>4999</v>
      </c>
      <c r="AH18" s="56"/>
      <c r="AI18" s="27"/>
    </row>
    <row r="19" spans="1:35" s="2" customFormat="1" ht="15.75" thickBot="1" x14ac:dyDescent="0.25">
      <c r="A19" s="221" t="str">
        <f t="shared" si="0"/>
        <v>OK</v>
      </c>
      <c r="B19" s="222" t="str">
        <f t="shared" si="1"/>
        <v>OK</v>
      </c>
      <c r="C19" s="223" t="str">
        <f t="shared" si="2"/>
        <v>OK</v>
      </c>
      <c r="D19" s="28">
        <v>0</v>
      </c>
      <c r="E19" s="29" t="s">
        <v>10920</v>
      </c>
      <c r="F19" s="30" t="s">
        <v>8322</v>
      </c>
      <c r="G19" s="30">
        <v>180253</v>
      </c>
      <c r="H19" s="30" t="s">
        <v>10921</v>
      </c>
      <c r="I19" s="30" t="s">
        <v>6820</v>
      </c>
      <c r="J19" s="30" t="s">
        <v>6829</v>
      </c>
      <c r="K19" s="30" t="s">
        <v>10922</v>
      </c>
      <c r="L19" s="30" t="s">
        <v>10923</v>
      </c>
      <c r="M19" s="30" t="s">
        <v>9489</v>
      </c>
      <c r="N19" s="31">
        <v>43486</v>
      </c>
      <c r="O19" s="30" t="s">
        <v>9350</v>
      </c>
      <c r="P19" s="31">
        <v>43486</v>
      </c>
      <c r="Q19" s="31">
        <v>43486</v>
      </c>
      <c r="R19" s="32">
        <v>43487</v>
      </c>
      <c r="S19" s="33" t="s">
        <v>10852</v>
      </c>
      <c r="T19" s="34" t="s">
        <v>9350</v>
      </c>
      <c r="U19" s="35">
        <v>43543</v>
      </c>
      <c r="V19" s="34" t="s">
        <v>10924</v>
      </c>
      <c r="W19" s="34">
        <v>1</v>
      </c>
      <c r="X19" s="34" t="s">
        <v>5683</v>
      </c>
      <c r="Y19" s="34" t="s">
        <v>4999</v>
      </c>
      <c r="Z19" s="36">
        <v>43549</v>
      </c>
      <c r="AA19" s="44" t="s">
        <v>264</v>
      </c>
      <c r="AB19" s="38">
        <v>43549</v>
      </c>
      <c r="AC19" s="39">
        <v>43549</v>
      </c>
      <c r="AD19" s="45" t="e">
        <v>#VALUE!</v>
      </c>
      <c r="AE19" s="46" t="e">
        <v>#VALUE!</v>
      </c>
      <c r="AF19" s="25" t="s">
        <v>10855</v>
      </c>
      <c r="AG19" s="42" t="s">
        <v>4999</v>
      </c>
      <c r="AH19" s="43"/>
      <c r="AI19" s="27"/>
    </row>
    <row r="20" spans="1:35" s="2" customFormat="1" ht="15.75" thickBot="1" x14ac:dyDescent="0.25">
      <c r="A20" s="221" t="str">
        <f t="shared" si="0"/>
        <v>OK</v>
      </c>
      <c r="B20" s="222" t="str">
        <f t="shared" si="1"/>
        <v>OK</v>
      </c>
      <c r="C20" s="223" t="str">
        <f t="shared" si="2"/>
        <v>OK</v>
      </c>
      <c r="D20" s="28">
        <v>0</v>
      </c>
      <c r="E20" s="29" t="s">
        <v>10925</v>
      </c>
      <c r="F20" s="30" t="s">
        <v>8443</v>
      </c>
      <c r="G20" s="30">
        <v>180251</v>
      </c>
      <c r="H20" s="30" t="s">
        <v>10926</v>
      </c>
      <c r="I20" s="30" t="s">
        <v>6820</v>
      </c>
      <c r="J20" s="30" t="s">
        <v>6829</v>
      </c>
      <c r="K20" s="30" t="s">
        <v>8445</v>
      </c>
      <c r="L20" s="30" t="s">
        <v>10927</v>
      </c>
      <c r="M20" s="30" t="s">
        <v>10928</v>
      </c>
      <c r="N20" s="31">
        <v>43481</v>
      </c>
      <c r="O20" s="30" t="s">
        <v>9350</v>
      </c>
      <c r="P20" s="31">
        <v>43481</v>
      </c>
      <c r="Q20" s="31">
        <v>43488</v>
      </c>
      <c r="R20" s="32">
        <v>43490</v>
      </c>
      <c r="S20" s="33" t="s">
        <v>10852</v>
      </c>
      <c r="T20" s="34" t="s">
        <v>10852</v>
      </c>
      <c r="U20" s="35">
        <v>43525</v>
      </c>
      <c r="V20" s="34" t="s">
        <v>8448</v>
      </c>
      <c r="W20" s="34">
        <v>5</v>
      </c>
      <c r="X20" s="34" t="s">
        <v>5683</v>
      </c>
      <c r="Y20" s="34" t="s">
        <v>4999</v>
      </c>
      <c r="Z20" s="36">
        <v>43530</v>
      </c>
      <c r="AA20" s="44" t="s">
        <v>264</v>
      </c>
      <c r="AB20" s="38">
        <v>43531</v>
      </c>
      <c r="AC20" s="39">
        <v>43531</v>
      </c>
      <c r="AD20" s="45" t="e">
        <v>#VALUE!</v>
      </c>
      <c r="AE20" s="46" t="e">
        <v>#VALUE!</v>
      </c>
      <c r="AF20" s="25" t="s">
        <v>10855</v>
      </c>
      <c r="AG20" s="42" t="s">
        <v>4999</v>
      </c>
      <c r="AH20" s="56"/>
      <c r="AI20" s="27"/>
    </row>
    <row r="21" spans="1:35" s="2" customFormat="1" ht="15.75" thickBot="1" x14ac:dyDescent="0.25">
      <c r="A21" s="221" t="str">
        <f t="shared" si="0"/>
        <v>OK</v>
      </c>
      <c r="B21" s="222" t="str">
        <f t="shared" si="1"/>
        <v>OK</v>
      </c>
      <c r="C21" s="223" t="str">
        <f t="shared" si="2"/>
        <v>OK</v>
      </c>
      <c r="D21" s="28">
        <v>0</v>
      </c>
      <c r="E21" s="29" t="s">
        <v>10929</v>
      </c>
      <c r="F21" s="30" t="s">
        <v>8443</v>
      </c>
      <c r="G21" s="30">
        <v>180251</v>
      </c>
      <c r="H21" s="30" t="s">
        <v>10930</v>
      </c>
      <c r="I21" s="30" t="s">
        <v>6820</v>
      </c>
      <c r="J21" s="30" t="s">
        <v>6829</v>
      </c>
      <c r="K21" s="30" t="s">
        <v>1502</v>
      </c>
      <c r="L21" s="30" t="s">
        <v>10931</v>
      </c>
      <c r="M21" s="30" t="s">
        <v>10932</v>
      </c>
      <c r="N21" s="31">
        <v>43481</v>
      </c>
      <c r="O21" s="30" t="s">
        <v>9350</v>
      </c>
      <c r="P21" s="31">
        <v>43481</v>
      </c>
      <c r="Q21" s="31">
        <v>43488</v>
      </c>
      <c r="R21" s="32">
        <v>43490</v>
      </c>
      <c r="S21" s="33" t="s">
        <v>10852</v>
      </c>
      <c r="T21" s="34" t="s">
        <v>10852</v>
      </c>
      <c r="U21" s="35">
        <v>43525</v>
      </c>
      <c r="V21" s="34" t="s">
        <v>10933</v>
      </c>
      <c r="W21" s="34">
        <v>2</v>
      </c>
      <c r="X21" s="34" t="s">
        <v>5683</v>
      </c>
      <c r="Y21" s="34" t="s">
        <v>4999</v>
      </c>
      <c r="Z21" s="36">
        <v>43525</v>
      </c>
      <c r="AA21" s="44" t="s">
        <v>264</v>
      </c>
      <c r="AB21" s="38">
        <v>43525</v>
      </c>
      <c r="AC21" s="39">
        <v>43525</v>
      </c>
      <c r="AD21" s="45" t="e">
        <v>#VALUE!</v>
      </c>
      <c r="AE21" s="46" t="e">
        <v>#VALUE!</v>
      </c>
      <c r="AF21" s="25" t="s">
        <v>10855</v>
      </c>
      <c r="AG21" s="42" t="s">
        <v>4999</v>
      </c>
      <c r="AH21" s="43"/>
      <c r="AI21" s="27"/>
    </row>
    <row r="22" spans="1:35" s="2" customFormat="1" ht="26.25" thickBot="1" x14ac:dyDescent="0.25">
      <c r="A22" s="221" t="str">
        <f t="shared" si="0"/>
        <v>OK</v>
      </c>
      <c r="B22" s="222" t="str">
        <f t="shared" si="1"/>
        <v>OK</v>
      </c>
      <c r="C22" s="223" t="str">
        <f t="shared" si="2"/>
        <v>OK</v>
      </c>
      <c r="D22" s="28">
        <v>0</v>
      </c>
      <c r="E22" s="49" t="s">
        <v>10934</v>
      </c>
      <c r="F22" s="50" t="s">
        <v>7421</v>
      </c>
      <c r="G22" s="50">
        <v>180232</v>
      </c>
      <c r="H22" s="50" t="s">
        <v>10935</v>
      </c>
      <c r="I22" s="50" t="s">
        <v>6820</v>
      </c>
      <c r="J22" s="50" t="s">
        <v>6829</v>
      </c>
      <c r="K22" s="50" t="s">
        <v>10936</v>
      </c>
      <c r="L22" s="50" t="s">
        <v>10937</v>
      </c>
      <c r="M22" s="50" t="s">
        <v>10938</v>
      </c>
      <c r="N22" s="51">
        <v>43452</v>
      </c>
      <c r="O22" s="50" t="s">
        <v>9350</v>
      </c>
      <c r="P22" s="51">
        <v>43452</v>
      </c>
      <c r="Q22" s="51">
        <v>43452</v>
      </c>
      <c r="R22" s="52">
        <v>43489</v>
      </c>
      <c r="S22" s="33" t="s">
        <v>10852</v>
      </c>
      <c r="T22" s="34" t="s">
        <v>10852</v>
      </c>
      <c r="U22" s="35">
        <v>43495</v>
      </c>
      <c r="V22" s="34" t="s">
        <v>10939</v>
      </c>
      <c r="W22" s="34">
        <v>1</v>
      </c>
      <c r="X22" s="34" t="s">
        <v>5683</v>
      </c>
      <c r="Y22" s="34" t="s">
        <v>4999</v>
      </c>
      <c r="Z22" s="36">
        <v>43507</v>
      </c>
      <c r="AA22" s="44" t="s">
        <v>264</v>
      </c>
      <c r="AB22" s="38">
        <v>43509</v>
      </c>
      <c r="AC22" s="39">
        <v>43509</v>
      </c>
      <c r="AD22" s="45" t="e">
        <v>#VALUE!</v>
      </c>
      <c r="AE22" s="46" t="e">
        <v>#VALUE!</v>
      </c>
      <c r="AF22" s="53" t="s">
        <v>10855</v>
      </c>
      <c r="AG22" s="54" t="s">
        <v>4999</v>
      </c>
      <c r="AH22" s="55"/>
    </row>
    <row r="23" spans="1:35" s="2" customFormat="1" ht="15.75" thickBot="1" x14ac:dyDescent="0.25">
      <c r="A23" s="221" t="str">
        <f t="shared" si="0"/>
        <v>OK</v>
      </c>
      <c r="B23" s="222" t="str">
        <f t="shared" si="1"/>
        <v>OK</v>
      </c>
      <c r="C23" s="223" t="str">
        <f t="shared" si="2"/>
        <v>OK</v>
      </c>
      <c r="D23" s="28">
        <v>0</v>
      </c>
      <c r="E23" s="29" t="s">
        <v>10940</v>
      </c>
      <c r="F23" s="30" t="s">
        <v>3386</v>
      </c>
      <c r="G23" s="30">
        <v>180264</v>
      </c>
      <c r="H23" s="30" t="s">
        <v>10941</v>
      </c>
      <c r="I23" s="30" t="s">
        <v>6820</v>
      </c>
      <c r="J23" s="30" t="s">
        <v>6829</v>
      </c>
      <c r="K23" s="30" t="s">
        <v>10942</v>
      </c>
      <c r="L23" s="30" t="s">
        <v>10943</v>
      </c>
      <c r="M23" s="30" t="s">
        <v>5638</v>
      </c>
      <c r="N23" s="31">
        <v>43496</v>
      </c>
      <c r="O23" s="30" t="s">
        <v>9350</v>
      </c>
      <c r="P23" s="31">
        <v>43500</v>
      </c>
      <c r="Q23" s="31">
        <v>43496</v>
      </c>
      <c r="R23" s="32">
        <v>43503</v>
      </c>
      <c r="S23" s="33" t="s">
        <v>10852</v>
      </c>
      <c r="T23" s="34" t="s">
        <v>10944</v>
      </c>
      <c r="U23" s="35">
        <v>43504</v>
      </c>
      <c r="V23" s="34" t="s">
        <v>10945</v>
      </c>
      <c r="W23" s="34">
        <v>5</v>
      </c>
      <c r="X23" s="34" t="s">
        <v>5683</v>
      </c>
      <c r="Y23" s="34" t="s">
        <v>4999</v>
      </c>
      <c r="Z23" s="36">
        <v>43517</v>
      </c>
      <c r="AA23" s="44" t="s">
        <v>264</v>
      </c>
      <c r="AB23" s="38">
        <v>43517</v>
      </c>
      <c r="AC23" s="39">
        <v>43517</v>
      </c>
      <c r="AD23" s="45" t="e">
        <v>#VALUE!</v>
      </c>
      <c r="AE23" s="46" t="e">
        <v>#VALUE!</v>
      </c>
      <c r="AF23" s="25" t="s">
        <v>10855</v>
      </c>
      <c r="AG23" s="42" t="s">
        <v>4999</v>
      </c>
      <c r="AH23" s="56"/>
      <c r="AI23" s="27"/>
    </row>
    <row r="24" spans="1:35" s="2" customFormat="1" ht="15.75" thickBot="1" x14ac:dyDescent="0.25">
      <c r="A24" s="221" t="str">
        <f t="shared" si="0"/>
        <v>OK</v>
      </c>
      <c r="B24" s="222" t="str">
        <f t="shared" si="1"/>
        <v>OK</v>
      </c>
      <c r="C24" s="223" t="str">
        <f t="shared" si="2"/>
        <v>OK</v>
      </c>
      <c r="D24" s="28">
        <v>0</v>
      </c>
      <c r="E24" s="29" t="s">
        <v>10946</v>
      </c>
      <c r="F24" s="30" t="s">
        <v>9377</v>
      </c>
      <c r="G24" s="30">
        <v>180274</v>
      </c>
      <c r="H24" s="30" t="s">
        <v>10947</v>
      </c>
      <c r="I24" s="30" t="s">
        <v>6820</v>
      </c>
      <c r="J24" s="30" t="s">
        <v>6829</v>
      </c>
      <c r="K24" s="30" t="s">
        <v>10948</v>
      </c>
      <c r="L24" s="30" t="s">
        <v>10949</v>
      </c>
      <c r="M24" s="30" t="s">
        <v>10950</v>
      </c>
      <c r="N24" s="31">
        <v>43679</v>
      </c>
      <c r="O24" s="30" t="s">
        <v>9350</v>
      </c>
      <c r="P24" s="31">
        <v>43500</v>
      </c>
      <c r="Q24" s="31">
        <v>43679</v>
      </c>
      <c r="R24" s="32">
        <v>43518</v>
      </c>
      <c r="S24" s="33" t="s">
        <v>10852</v>
      </c>
      <c r="T24" s="34" t="s">
        <v>10944</v>
      </c>
      <c r="U24" s="35">
        <v>43516</v>
      </c>
      <c r="V24" s="34" t="s">
        <v>10951</v>
      </c>
      <c r="W24" s="34">
        <v>8</v>
      </c>
      <c r="X24" s="34" t="s">
        <v>5683</v>
      </c>
      <c r="Y24" s="34" t="s">
        <v>4999</v>
      </c>
      <c r="Z24" s="36">
        <v>43523</v>
      </c>
      <c r="AA24" s="44" t="s">
        <v>264</v>
      </c>
      <c r="AB24" s="38">
        <v>43523</v>
      </c>
      <c r="AC24" s="39">
        <v>43523</v>
      </c>
      <c r="AD24" s="45" t="e">
        <v>#VALUE!</v>
      </c>
      <c r="AE24" s="46" t="e">
        <v>#VALUE!</v>
      </c>
      <c r="AF24" s="25" t="s">
        <v>10855</v>
      </c>
      <c r="AG24" s="42" t="s">
        <v>4999</v>
      </c>
      <c r="AH24" s="43"/>
      <c r="AI24" s="27"/>
    </row>
    <row r="25" spans="1:35" s="2" customFormat="1" ht="15.75" thickBot="1" x14ac:dyDescent="0.25">
      <c r="A25" s="221" t="str">
        <f t="shared" si="0"/>
        <v>OK</v>
      </c>
      <c r="B25" s="222" t="str">
        <f t="shared" si="1"/>
        <v>OK</v>
      </c>
      <c r="C25" s="223" t="str">
        <f t="shared" si="2"/>
        <v>OK</v>
      </c>
      <c r="D25" s="28">
        <v>0</v>
      </c>
      <c r="E25" s="29" t="s">
        <v>10952</v>
      </c>
      <c r="F25" s="30" t="s">
        <v>8369</v>
      </c>
      <c r="G25" s="30">
        <v>180278</v>
      </c>
      <c r="H25" s="30" t="s">
        <v>10953</v>
      </c>
      <c r="I25" s="30" t="s">
        <v>6820</v>
      </c>
      <c r="J25" s="30" t="s">
        <v>6829</v>
      </c>
      <c r="K25" s="30" t="s">
        <v>3701</v>
      </c>
      <c r="L25" s="30" t="s">
        <v>10954</v>
      </c>
      <c r="M25" s="30" t="s">
        <v>5550</v>
      </c>
      <c r="N25" s="31">
        <v>43508</v>
      </c>
      <c r="O25" s="30" t="s">
        <v>9350</v>
      </c>
      <c r="P25" s="31">
        <v>43500</v>
      </c>
      <c r="Q25" s="31">
        <v>43509</v>
      </c>
      <c r="R25" s="32">
        <v>43509</v>
      </c>
      <c r="S25" s="33" t="s">
        <v>10852</v>
      </c>
      <c r="T25" s="34" t="s">
        <v>10852</v>
      </c>
      <c r="U25" s="35">
        <v>43512</v>
      </c>
      <c r="V25" s="34" t="s">
        <v>6677</v>
      </c>
      <c r="W25" s="34">
        <v>3</v>
      </c>
      <c r="X25" s="34" t="s">
        <v>5683</v>
      </c>
      <c r="Y25" s="34" t="s">
        <v>4999</v>
      </c>
      <c r="Z25" s="36">
        <v>43516</v>
      </c>
      <c r="AA25" s="44" t="s">
        <v>264</v>
      </c>
      <c r="AB25" s="38">
        <v>43517</v>
      </c>
      <c r="AC25" s="39">
        <v>43517</v>
      </c>
      <c r="AD25" s="45" t="e">
        <v>#VALUE!</v>
      </c>
      <c r="AE25" s="46" t="e">
        <v>#VALUE!</v>
      </c>
      <c r="AF25" s="25" t="s">
        <v>10855</v>
      </c>
      <c r="AG25" s="42" t="s">
        <v>4999</v>
      </c>
      <c r="AH25" s="56"/>
      <c r="AI25" s="27"/>
    </row>
    <row r="26" spans="1:35" s="2" customFormat="1" ht="15.75" thickBot="1" x14ac:dyDescent="0.25">
      <c r="A26" s="221" t="str">
        <f t="shared" si="0"/>
        <v>OK</v>
      </c>
      <c r="B26" s="222" t="str">
        <f t="shared" si="1"/>
        <v>OK</v>
      </c>
      <c r="C26" s="223" t="str">
        <f t="shared" si="2"/>
        <v>OK</v>
      </c>
      <c r="D26" s="28">
        <v>0</v>
      </c>
      <c r="E26" s="29" t="s">
        <v>10955</v>
      </c>
      <c r="F26" s="30" t="s">
        <v>9024</v>
      </c>
      <c r="G26" s="30">
        <v>180272</v>
      </c>
      <c r="H26" s="30" t="s">
        <v>10956</v>
      </c>
      <c r="I26" s="30" t="s">
        <v>6820</v>
      </c>
      <c r="J26" s="30" t="s">
        <v>6829</v>
      </c>
      <c r="K26" s="30" t="s">
        <v>10957</v>
      </c>
      <c r="L26" s="30">
        <v>3110</v>
      </c>
      <c r="M26" s="30" t="s">
        <v>10958</v>
      </c>
      <c r="N26" s="31">
        <v>43502</v>
      </c>
      <c r="O26" s="30" t="s">
        <v>10875</v>
      </c>
      <c r="P26" s="31">
        <v>43514</v>
      </c>
      <c r="Q26" s="31">
        <v>43503</v>
      </c>
      <c r="R26" s="32">
        <v>43510</v>
      </c>
      <c r="S26" s="33" t="s">
        <v>10852</v>
      </c>
      <c r="T26" s="34" t="s">
        <v>10852</v>
      </c>
      <c r="U26" s="35">
        <v>43514</v>
      </c>
      <c r="V26" s="34" t="s">
        <v>9029</v>
      </c>
      <c r="W26" s="34">
        <v>1</v>
      </c>
      <c r="X26" s="34" t="s">
        <v>5683</v>
      </c>
      <c r="Y26" s="34" t="s">
        <v>4999</v>
      </c>
      <c r="Z26" s="36">
        <v>43523</v>
      </c>
      <c r="AA26" s="44" t="s">
        <v>264</v>
      </c>
      <c r="AB26" s="38">
        <v>43523</v>
      </c>
      <c r="AC26" s="39">
        <v>43523</v>
      </c>
      <c r="AD26" s="45" t="e">
        <v>#VALUE!</v>
      </c>
      <c r="AE26" s="46" t="e">
        <v>#VALUE!</v>
      </c>
      <c r="AF26" s="25" t="s">
        <v>10855</v>
      </c>
      <c r="AG26" s="42" t="s">
        <v>4999</v>
      </c>
      <c r="AH26" s="56"/>
      <c r="AI26" s="27"/>
    </row>
    <row r="27" spans="1:35" s="2" customFormat="1" ht="15.75" thickBot="1" x14ac:dyDescent="0.25">
      <c r="A27" s="221" t="str">
        <f t="shared" si="0"/>
        <v>OK</v>
      </c>
      <c r="B27" s="222" t="str">
        <f t="shared" si="1"/>
        <v>OK</v>
      </c>
      <c r="C27" s="223" t="str">
        <f t="shared" si="2"/>
        <v>OK</v>
      </c>
      <c r="D27" s="28">
        <v>0</v>
      </c>
      <c r="E27" s="29" t="s">
        <v>10959</v>
      </c>
      <c r="F27" s="30" t="s">
        <v>9024</v>
      </c>
      <c r="G27" s="30">
        <v>180272</v>
      </c>
      <c r="H27" s="30" t="s">
        <v>10960</v>
      </c>
      <c r="I27" s="30" t="s">
        <v>6820</v>
      </c>
      <c r="J27" s="30" t="s">
        <v>6829</v>
      </c>
      <c r="K27" s="30" t="s">
        <v>10961</v>
      </c>
      <c r="L27" s="30" t="s">
        <v>10962</v>
      </c>
      <c r="M27" s="30" t="s">
        <v>2504</v>
      </c>
      <c r="N27" s="31">
        <v>43502</v>
      </c>
      <c r="O27" s="30" t="s">
        <v>10875</v>
      </c>
      <c r="P27" s="31">
        <v>43514</v>
      </c>
      <c r="Q27" s="31">
        <v>43503</v>
      </c>
      <c r="R27" s="32">
        <v>43510</v>
      </c>
      <c r="S27" s="33" t="s">
        <v>10852</v>
      </c>
      <c r="T27" s="34" t="s">
        <v>10852</v>
      </c>
      <c r="U27" s="35">
        <v>43522</v>
      </c>
      <c r="V27" s="34" t="s">
        <v>3315</v>
      </c>
      <c r="W27" s="34">
        <v>4</v>
      </c>
      <c r="X27" s="34" t="s">
        <v>5683</v>
      </c>
      <c r="Y27" s="34" t="s">
        <v>4999</v>
      </c>
      <c r="Z27" s="36">
        <v>43523</v>
      </c>
      <c r="AA27" s="44" t="s">
        <v>264</v>
      </c>
      <c r="AB27" s="38">
        <v>43523</v>
      </c>
      <c r="AC27" s="39">
        <v>43523</v>
      </c>
      <c r="AD27" s="45" t="e">
        <v>#VALUE!</v>
      </c>
      <c r="AE27" s="46" t="e">
        <v>#VALUE!</v>
      </c>
      <c r="AF27" s="25" t="s">
        <v>10855</v>
      </c>
      <c r="AG27" s="42" t="s">
        <v>4999</v>
      </c>
      <c r="AH27" s="56"/>
      <c r="AI27" s="27"/>
    </row>
    <row r="28" spans="1:35" s="2" customFormat="1" ht="15.75" thickBot="1" x14ac:dyDescent="0.25">
      <c r="A28" s="221" t="str">
        <f t="shared" si="0"/>
        <v>OK</v>
      </c>
      <c r="B28" s="222" t="str">
        <f t="shared" si="1"/>
        <v>OK</v>
      </c>
      <c r="C28" s="223" t="str">
        <f t="shared" si="2"/>
        <v>OK</v>
      </c>
      <c r="D28" s="28">
        <v>0</v>
      </c>
      <c r="E28" s="29" t="s">
        <v>10963</v>
      </c>
      <c r="F28" s="30" t="s">
        <v>10964</v>
      </c>
      <c r="G28" s="30">
        <v>180270</v>
      </c>
      <c r="H28" s="30" t="s">
        <v>10965</v>
      </c>
      <c r="I28" s="30" t="s">
        <v>6820</v>
      </c>
      <c r="J28" s="30" t="s">
        <v>6829</v>
      </c>
      <c r="K28" s="30" t="s">
        <v>10966</v>
      </c>
      <c r="L28" s="30" t="s">
        <v>10967</v>
      </c>
      <c r="M28" s="30" t="s">
        <v>5893</v>
      </c>
      <c r="N28" s="31">
        <v>43500</v>
      </c>
      <c r="O28" s="30" t="s">
        <v>9350</v>
      </c>
      <c r="P28" s="31">
        <v>43500</v>
      </c>
      <c r="Q28" s="31">
        <v>43509</v>
      </c>
      <c r="R28" s="32">
        <v>43515</v>
      </c>
      <c r="S28" s="33" t="s">
        <v>10852</v>
      </c>
      <c r="T28" s="34" t="s">
        <v>9350</v>
      </c>
      <c r="U28" s="35">
        <v>43550</v>
      </c>
      <c r="V28" s="34" t="s">
        <v>10701</v>
      </c>
      <c r="W28" s="34">
        <v>2</v>
      </c>
      <c r="X28" s="34" t="s">
        <v>5683</v>
      </c>
      <c r="Y28" s="34" t="s">
        <v>4999</v>
      </c>
      <c r="Z28" s="36">
        <v>43551</v>
      </c>
      <c r="AA28" s="44" t="s">
        <v>264</v>
      </c>
      <c r="AB28" s="38">
        <v>43552</v>
      </c>
      <c r="AC28" s="39">
        <v>43552</v>
      </c>
      <c r="AD28" s="45" t="e">
        <v>#VALUE!</v>
      </c>
      <c r="AE28" s="46" t="e">
        <v>#VALUE!</v>
      </c>
      <c r="AF28" s="25" t="s">
        <v>10855</v>
      </c>
      <c r="AG28" s="42" t="s">
        <v>4999</v>
      </c>
      <c r="AH28" s="43"/>
      <c r="AI28" s="27"/>
    </row>
    <row r="29" spans="1:35" s="2" customFormat="1" ht="15.75" thickBot="1" x14ac:dyDescent="0.25">
      <c r="A29" s="221" t="str">
        <f t="shared" si="0"/>
        <v>OK</v>
      </c>
      <c r="B29" s="222" t="str">
        <f t="shared" si="1"/>
        <v>OK</v>
      </c>
      <c r="C29" s="223" t="str">
        <f t="shared" si="2"/>
        <v>OK</v>
      </c>
      <c r="D29" s="28">
        <v>0</v>
      </c>
      <c r="E29" s="29" t="s">
        <v>10968</v>
      </c>
      <c r="F29" s="30" t="s">
        <v>10964</v>
      </c>
      <c r="G29" s="30">
        <v>180270</v>
      </c>
      <c r="H29" s="30" t="s">
        <v>10969</v>
      </c>
      <c r="I29" s="30" t="s">
        <v>6820</v>
      </c>
      <c r="J29" s="30" t="s">
        <v>6829</v>
      </c>
      <c r="K29" s="30" t="s">
        <v>10970</v>
      </c>
      <c r="L29" s="30" t="s">
        <v>10971</v>
      </c>
      <c r="M29" s="30" t="s">
        <v>10972</v>
      </c>
      <c r="N29" s="31">
        <v>43500</v>
      </c>
      <c r="O29" s="30" t="s">
        <v>9350</v>
      </c>
      <c r="P29" s="31">
        <v>43500</v>
      </c>
      <c r="Q29" s="31">
        <v>43509</v>
      </c>
      <c r="R29" s="32">
        <v>43515</v>
      </c>
      <c r="S29" s="33" t="s">
        <v>10852</v>
      </c>
      <c r="T29" s="34" t="s">
        <v>9350</v>
      </c>
      <c r="U29" s="35">
        <v>43550</v>
      </c>
      <c r="V29" s="34" t="s">
        <v>10707</v>
      </c>
      <c r="W29" s="34">
        <v>2</v>
      </c>
      <c r="X29" s="34" t="s">
        <v>5683</v>
      </c>
      <c r="Y29" s="34" t="s">
        <v>4999</v>
      </c>
      <c r="Z29" s="36">
        <v>43551</v>
      </c>
      <c r="AA29" s="44" t="s">
        <v>264</v>
      </c>
      <c r="AB29" s="38">
        <v>43552</v>
      </c>
      <c r="AC29" s="39">
        <v>43552</v>
      </c>
      <c r="AD29" s="45" t="e">
        <v>#VALUE!</v>
      </c>
      <c r="AE29" s="46" t="e">
        <v>#VALUE!</v>
      </c>
      <c r="AF29" s="25" t="s">
        <v>10855</v>
      </c>
      <c r="AG29" s="42" t="s">
        <v>4999</v>
      </c>
      <c r="AH29" s="43"/>
      <c r="AI29" s="27"/>
    </row>
    <row r="30" spans="1:35" s="2" customFormat="1" ht="15.75" thickBot="1" x14ac:dyDescent="0.25">
      <c r="A30" s="221" t="str">
        <f t="shared" si="0"/>
        <v>OK</v>
      </c>
      <c r="B30" s="222" t="str">
        <f t="shared" si="1"/>
        <v>OK</v>
      </c>
      <c r="C30" s="223" t="str">
        <f t="shared" si="2"/>
        <v>OK</v>
      </c>
      <c r="D30" s="28">
        <v>0</v>
      </c>
      <c r="E30" s="29" t="s">
        <v>10973</v>
      </c>
      <c r="F30" s="30" t="s">
        <v>10964</v>
      </c>
      <c r="G30" s="30">
        <v>180270</v>
      </c>
      <c r="H30" s="30" t="s">
        <v>10974</v>
      </c>
      <c r="I30" s="30" t="s">
        <v>6820</v>
      </c>
      <c r="J30" s="30" t="s">
        <v>6829</v>
      </c>
      <c r="K30" s="30" t="s">
        <v>10975</v>
      </c>
      <c r="L30" s="30" t="s">
        <v>10976</v>
      </c>
      <c r="M30" s="30" t="s">
        <v>10977</v>
      </c>
      <c r="N30" s="31">
        <v>43500</v>
      </c>
      <c r="O30" s="30" t="s">
        <v>9350</v>
      </c>
      <c r="P30" s="31">
        <v>43500</v>
      </c>
      <c r="Q30" s="31">
        <v>43509</v>
      </c>
      <c r="R30" s="32">
        <v>43515</v>
      </c>
      <c r="S30" s="33" t="s">
        <v>10852</v>
      </c>
      <c r="T30" s="34" t="s">
        <v>9350</v>
      </c>
      <c r="U30" s="35">
        <v>43550</v>
      </c>
      <c r="V30" s="34" t="s">
        <v>10978</v>
      </c>
      <c r="W30" s="34">
        <v>1</v>
      </c>
      <c r="X30" s="34" t="s">
        <v>5683</v>
      </c>
      <c r="Y30" s="34" t="s">
        <v>4999</v>
      </c>
      <c r="Z30" s="36">
        <v>43552</v>
      </c>
      <c r="AA30" s="44" t="s">
        <v>264</v>
      </c>
      <c r="AB30" s="38">
        <v>43552</v>
      </c>
      <c r="AC30" s="39">
        <v>43552</v>
      </c>
      <c r="AD30" s="45" t="e">
        <v>#VALUE!</v>
      </c>
      <c r="AE30" s="46" t="e">
        <v>#VALUE!</v>
      </c>
      <c r="AF30" s="25" t="s">
        <v>10855</v>
      </c>
      <c r="AG30" s="42" t="s">
        <v>4999</v>
      </c>
      <c r="AH30" s="43"/>
      <c r="AI30" s="27"/>
    </row>
    <row r="31" spans="1:35" s="2" customFormat="1" ht="15.75" thickBot="1" x14ac:dyDescent="0.25">
      <c r="A31" s="221" t="str">
        <f t="shared" si="0"/>
        <v>OK</v>
      </c>
      <c r="B31" s="222" t="str">
        <f t="shared" si="1"/>
        <v>OK</v>
      </c>
      <c r="C31" s="223" t="str">
        <f t="shared" si="2"/>
        <v>OK</v>
      </c>
      <c r="D31" s="28">
        <v>0</v>
      </c>
      <c r="E31" s="29" t="s">
        <v>10979</v>
      </c>
      <c r="F31" s="30" t="s">
        <v>8322</v>
      </c>
      <c r="G31" s="30">
        <v>180281</v>
      </c>
      <c r="H31" s="30" t="s">
        <v>10980</v>
      </c>
      <c r="I31" s="30" t="s">
        <v>6820</v>
      </c>
      <c r="J31" s="30" t="s">
        <v>6829</v>
      </c>
      <c r="K31" s="30" t="s">
        <v>10981</v>
      </c>
      <c r="L31" s="30" t="s">
        <v>10982</v>
      </c>
      <c r="M31" s="30" t="s">
        <v>5529</v>
      </c>
      <c r="N31" s="31">
        <v>43514</v>
      </c>
      <c r="O31" s="30" t="s">
        <v>9350</v>
      </c>
      <c r="P31" s="31">
        <v>43514</v>
      </c>
      <c r="Q31" s="31">
        <v>43514</v>
      </c>
      <c r="R31" s="32">
        <v>43514</v>
      </c>
      <c r="S31" s="33" t="s">
        <v>10852</v>
      </c>
      <c r="T31" s="34" t="s">
        <v>10852</v>
      </c>
      <c r="U31" s="35">
        <v>43587</v>
      </c>
      <c r="V31" s="34" t="s">
        <v>10983</v>
      </c>
      <c r="W31" s="34">
        <v>6</v>
      </c>
      <c r="X31" s="34" t="s">
        <v>5683</v>
      </c>
      <c r="Y31" s="34" t="s">
        <v>4999</v>
      </c>
      <c r="Z31" s="36">
        <v>43594</v>
      </c>
      <c r="AA31" s="44" t="s">
        <v>264</v>
      </c>
      <c r="AB31" s="38">
        <v>43594</v>
      </c>
      <c r="AC31" s="39">
        <v>43594</v>
      </c>
      <c r="AD31" s="45" t="e">
        <v>#VALUE!</v>
      </c>
      <c r="AE31" s="46" t="e">
        <v>#VALUE!</v>
      </c>
      <c r="AF31" s="25" t="s">
        <v>10984</v>
      </c>
      <c r="AG31" s="42" t="s">
        <v>4999</v>
      </c>
      <c r="AH31" s="43"/>
      <c r="AI31" s="27"/>
    </row>
    <row r="32" spans="1:35" s="2" customFormat="1" ht="15.75" thickBot="1" x14ac:dyDescent="0.25">
      <c r="A32" s="221" t="str">
        <f t="shared" si="0"/>
        <v>OK</v>
      </c>
      <c r="B32" s="222" t="str">
        <f t="shared" si="1"/>
        <v>OK</v>
      </c>
      <c r="C32" s="223" t="str">
        <f t="shared" si="2"/>
        <v>OK</v>
      </c>
      <c r="D32" s="28">
        <v>0</v>
      </c>
      <c r="E32" s="29" t="s">
        <v>10985</v>
      </c>
      <c r="F32" s="30" t="s">
        <v>8322</v>
      </c>
      <c r="G32" s="30">
        <v>180281</v>
      </c>
      <c r="H32" s="30" t="s">
        <v>10986</v>
      </c>
      <c r="I32" s="30" t="s">
        <v>6820</v>
      </c>
      <c r="J32" s="30" t="s">
        <v>6829</v>
      </c>
      <c r="K32" s="30" t="s">
        <v>10987</v>
      </c>
      <c r="L32" s="30" t="s">
        <v>10988</v>
      </c>
      <c r="M32" s="30" t="s">
        <v>5529</v>
      </c>
      <c r="N32" s="31">
        <v>43514</v>
      </c>
      <c r="O32" s="30" t="s">
        <v>9350</v>
      </c>
      <c r="P32" s="31">
        <v>43514</v>
      </c>
      <c r="Q32" s="31">
        <v>43514</v>
      </c>
      <c r="R32" s="32">
        <v>43514</v>
      </c>
      <c r="S32" s="33" t="s">
        <v>10852</v>
      </c>
      <c r="T32" s="34" t="s">
        <v>10852</v>
      </c>
      <c r="U32" s="35">
        <v>43587</v>
      </c>
      <c r="V32" s="34" t="s">
        <v>10989</v>
      </c>
      <c r="W32" s="34">
        <v>6</v>
      </c>
      <c r="X32" s="34" t="s">
        <v>5683</v>
      </c>
      <c r="Y32" s="34" t="s">
        <v>4999</v>
      </c>
      <c r="Z32" s="36">
        <v>43594</v>
      </c>
      <c r="AA32" s="44" t="s">
        <v>264</v>
      </c>
      <c r="AB32" s="38">
        <v>43594</v>
      </c>
      <c r="AC32" s="39">
        <v>43594</v>
      </c>
      <c r="AD32" s="45" t="e">
        <v>#VALUE!</v>
      </c>
      <c r="AE32" s="46" t="e">
        <v>#VALUE!</v>
      </c>
      <c r="AF32" s="25" t="s">
        <v>10984</v>
      </c>
      <c r="AG32" s="42" t="s">
        <v>4999</v>
      </c>
      <c r="AH32" s="43"/>
      <c r="AI32" s="27"/>
    </row>
    <row r="33" spans="1:35" s="2" customFormat="1" ht="15.75" thickBot="1" x14ac:dyDescent="0.25">
      <c r="A33" s="221" t="str">
        <f t="shared" si="0"/>
        <v>OK</v>
      </c>
      <c r="B33" s="222" t="str">
        <f t="shared" si="1"/>
        <v>OK</v>
      </c>
      <c r="C33" s="223" t="str">
        <f t="shared" si="2"/>
        <v>OK</v>
      </c>
      <c r="D33" s="28">
        <v>0</v>
      </c>
      <c r="E33" s="29" t="s">
        <v>10990</v>
      </c>
      <c r="F33" s="30" t="s">
        <v>9024</v>
      </c>
      <c r="G33" s="30">
        <v>180288</v>
      </c>
      <c r="H33" s="30" t="s">
        <v>10991</v>
      </c>
      <c r="I33" s="30" t="s">
        <v>6820</v>
      </c>
      <c r="J33" s="30" t="s">
        <v>6829</v>
      </c>
      <c r="K33" s="30" t="s">
        <v>10992</v>
      </c>
      <c r="L33" s="30" t="s">
        <v>10993</v>
      </c>
      <c r="M33" s="30" t="s">
        <v>8080</v>
      </c>
      <c r="N33" s="31">
        <v>43515</v>
      </c>
      <c r="O33" s="30" t="s">
        <v>9350</v>
      </c>
      <c r="P33" s="31">
        <v>43525</v>
      </c>
      <c r="Q33" s="31">
        <v>43515</v>
      </c>
      <c r="R33" s="32">
        <v>43517</v>
      </c>
      <c r="S33" s="33" t="s">
        <v>10852</v>
      </c>
      <c r="T33" s="34" t="s">
        <v>10852</v>
      </c>
      <c r="U33" s="35">
        <v>43158</v>
      </c>
      <c r="V33" s="34" t="s">
        <v>8082</v>
      </c>
      <c r="W33" s="34">
        <v>8</v>
      </c>
      <c r="X33" s="34" t="s">
        <v>5683</v>
      </c>
      <c r="Y33" s="34" t="s">
        <v>4999</v>
      </c>
      <c r="Z33" s="36">
        <v>43523</v>
      </c>
      <c r="AA33" s="44" t="s">
        <v>264</v>
      </c>
      <c r="AB33" s="38">
        <v>43524</v>
      </c>
      <c r="AC33" s="39">
        <v>43524</v>
      </c>
      <c r="AD33" s="45" t="e">
        <v>#VALUE!</v>
      </c>
      <c r="AE33" s="46" t="e">
        <v>#VALUE!</v>
      </c>
      <c r="AF33" s="25" t="s">
        <v>10994</v>
      </c>
      <c r="AG33" s="42" t="s">
        <v>4999</v>
      </c>
      <c r="AH33" s="56"/>
      <c r="AI33" s="27"/>
    </row>
    <row r="34" spans="1:35" s="2" customFormat="1" ht="15.75" thickBot="1" x14ac:dyDescent="0.25">
      <c r="A34" s="221" t="str">
        <f t="shared" si="0"/>
        <v>OK</v>
      </c>
      <c r="B34" s="222" t="str">
        <f t="shared" si="1"/>
        <v>OK</v>
      </c>
      <c r="C34" s="223" t="str">
        <f t="shared" si="2"/>
        <v>OK</v>
      </c>
      <c r="D34" s="28">
        <v>0</v>
      </c>
      <c r="E34" s="29" t="s">
        <v>10995</v>
      </c>
      <c r="F34" s="30" t="s">
        <v>9377</v>
      </c>
      <c r="G34" s="30">
        <v>180291</v>
      </c>
      <c r="H34" s="30" t="s">
        <v>10996</v>
      </c>
      <c r="I34" s="30" t="s">
        <v>6820</v>
      </c>
      <c r="J34" s="30" t="s">
        <v>6829</v>
      </c>
      <c r="K34" s="30" t="s">
        <v>10997</v>
      </c>
      <c r="L34" s="30" t="s">
        <v>10998</v>
      </c>
      <c r="M34" s="30" t="s">
        <v>10950</v>
      </c>
      <c r="N34" s="31">
        <v>43679</v>
      </c>
      <c r="O34" s="30" t="s">
        <v>9350</v>
      </c>
      <c r="P34" s="31">
        <v>43504</v>
      </c>
      <c r="Q34" s="31">
        <v>43518</v>
      </c>
      <c r="R34" s="32">
        <v>43518</v>
      </c>
      <c r="S34" s="33" t="s">
        <v>10852</v>
      </c>
      <c r="T34" s="34" t="s">
        <v>10944</v>
      </c>
      <c r="U34" s="35">
        <v>43516</v>
      </c>
      <c r="V34" s="34" t="s">
        <v>10999</v>
      </c>
      <c r="W34" s="34">
        <v>7</v>
      </c>
      <c r="X34" s="34" t="s">
        <v>5683</v>
      </c>
      <c r="Y34" s="34" t="s">
        <v>4999</v>
      </c>
      <c r="Z34" s="36">
        <v>43523</v>
      </c>
      <c r="AA34" s="44" t="s">
        <v>264</v>
      </c>
      <c r="AB34" s="38">
        <v>43523</v>
      </c>
      <c r="AC34" s="39">
        <v>43523</v>
      </c>
      <c r="AD34" s="45" t="e">
        <v>#VALUE!</v>
      </c>
      <c r="AE34" s="46" t="e">
        <v>#VALUE!</v>
      </c>
      <c r="AF34" s="25" t="s">
        <v>10855</v>
      </c>
      <c r="AG34" s="42" t="s">
        <v>4999</v>
      </c>
      <c r="AH34" s="43"/>
      <c r="AI34" s="27"/>
    </row>
    <row r="35" spans="1:35" s="2" customFormat="1" ht="15.75" thickBot="1" x14ac:dyDescent="0.25">
      <c r="A35" s="221" t="str">
        <f t="shared" si="0"/>
        <v>OK</v>
      </c>
      <c r="B35" s="222" t="str">
        <f t="shared" si="1"/>
        <v>OK</v>
      </c>
      <c r="C35" s="223" t="str">
        <f t="shared" si="2"/>
        <v>OK</v>
      </c>
      <c r="D35" s="28">
        <v>0</v>
      </c>
      <c r="E35" s="29" t="s">
        <v>11000</v>
      </c>
      <c r="F35" s="30" t="s">
        <v>156</v>
      </c>
      <c r="G35" s="30">
        <v>180286</v>
      </c>
      <c r="H35" s="30" t="s">
        <v>11001</v>
      </c>
      <c r="I35" s="30" t="s">
        <v>6820</v>
      </c>
      <c r="J35" s="30" t="s">
        <v>6829</v>
      </c>
      <c r="K35" s="30" t="s">
        <v>11002</v>
      </c>
      <c r="L35" s="30" t="s">
        <v>11003</v>
      </c>
      <c r="M35" s="30" t="s">
        <v>160</v>
      </c>
      <c r="N35" s="31">
        <v>43515</v>
      </c>
      <c r="O35" s="30" t="s">
        <v>9350</v>
      </c>
      <c r="P35" s="31">
        <v>43515</v>
      </c>
      <c r="Q35" s="31">
        <v>43515</v>
      </c>
      <c r="R35" s="32">
        <v>43516</v>
      </c>
      <c r="S35" s="33" t="s">
        <v>10852</v>
      </c>
      <c r="T35" s="34" t="s">
        <v>10853</v>
      </c>
      <c r="U35" s="35">
        <v>43523</v>
      </c>
      <c r="V35" s="34" t="s">
        <v>274</v>
      </c>
      <c r="W35" s="34">
        <v>9</v>
      </c>
      <c r="X35" s="34" t="s">
        <v>5683</v>
      </c>
      <c r="Y35" s="34" t="s">
        <v>4999</v>
      </c>
      <c r="Z35" s="36">
        <v>43539</v>
      </c>
      <c r="AA35" s="44" t="s">
        <v>264</v>
      </c>
      <c r="AB35" s="38">
        <v>43544</v>
      </c>
      <c r="AC35" s="39">
        <v>43544</v>
      </c>
      <c r="AD35" s="45" t="e">
        <v>#VALUE!</v>
      </c>
      <c r="AE35" s="46" t="e">
        <v>#VALUE!</v>
      </c>
      <c r="AF35" s="25" t="s">
        <v>10855</v>
      </c>
      <c r="AG35" s="42" t="s">
        <v>4999</v>
      </c>
      <c r="AH35" s="56"/>
      <c r="AI35" s="27"/>
    </row>
    <row r="36" spans="1:35" s="2" customFormat="1" ht="15.75" thickBot="1" x14ac:dyDescent="0.25">
      <c r="A36" s="221" t="str">
        <f t="shared" si="0"/>
        <v>OK</v>
      </c>
      <c r="B36" s="222" t="str">
        <f t="shared" si="1"/>
        <v>OK</v>
      </c>
      <c r="C36" s="223" t="str">
        <f t="shared" si="2"/>
        <v>OK</v>
      </c>
      <c r="D36" s="28">
        <v>0</v>
      </c>
      <c r="E36" s="29" t="s">
        <v>11004</v>
      </c>
      <c r="F36" s="30" t="s">
        <v>9377</v>
      </c>
      <c r="G36" s="30">
        <v>180293</v>
      </c>
      <c r="H36" s="30" t="s">
        <v>11005</v>
      </c>
      <c r="I36" s="30" t="s">
        <v>6820</v>
      </c>
      <c r="J36" s="30" t="s">
        <v>6829</v>
      </c>
      <c r="K36" s="30" t="s">
        <v>9784</v>
      </c>
      <c r="L36" s="30" t="s">
        <v>11006</v>
      </c>
      <c r="M36" s="30" t="s">
        <v>9712</v>
      </c>
      <c r="N36" s="31">
        <v>43523</v>
      </c>
      <c r="O36" s="30" t="s">
        <v>9350</v>
      </c>
      <c r="P36" s="31">
        <v>43523</v>
      </c>
      <c r="Q36" s="31">
        <v>43523</v>
      </c>
      <c r="R36" s="32">
        <v>43523</v>
      </c>
      <c r="S36" s="33" t="s">
        <v>10852</v>
      </c>
      <c r="T36" s="34" t="s">
        <v>10852</v>
      </c>
      <c r="U36" s="35">
        <v>43525</v>
      </c>
      <c r="V36" s="34" t="s">
        <v>11007</v>
      </c>
      <c r="W36" s="34">
        <v>6</v>
      </c>
      <c r="X36" s="34" t="s">
        <v>5683</v>
      </c>
      <c r="Y36" s="34" t="s">
        <v>4999</v>
      </c>
      <c r="Z36" s="36">
        <v>43530</v>
      </c>
      <c r="AA36" s="44" t="s">
        <v>264</v>
      </c>
      <c r="AB36" s="38">
        <v>43530</v>
      </c>
      <c r="AC36" s="39">
        <v>43530</v>
      </c>
      <c r="AD36" s="45" t="e">
        <v>#VALUE!</v>
      </c>
      <c r="AE36" s="46" t="e">
        <v>#VALUE!</v>
      </c>
      <c r="AF36" s="25" t="s">
        <v>10855</v>
      </c>
      <c r="AG36" s="42" t="s">
        <v>4999</v>
      </c>
      <c r="AH36" s="56"/>
      <c r="AI36" s="27"/>
    </row>
    <row r="37" spans="1:35" s="2" customFormat="1" ht="15.75" thickBot="1" x14ac:dyDescent="0.25">
      <c r="A37" s="221" t="str">
        <f t="shared" si="0"/>
        <v>OK</v>
      </c>
      <c r="B37" s="222" t="str">
        <f t="shared" si="1"/>
        <v>OK</v>
      </c>
      <c r="C37" s="223" t="str">
        <f t="shared" si="2"/>
        <v>OK</v>
      </c>
      <c r="D37" s="28">
        <v>0</v>
      </c>
      <c r="E37" s="29" t="s">
        <v>11008</v>
      </c>
      <c r="F37" s="30" t="s">
        <v>11009</v>
      </c>
      <c r="G37" s="30">
        <v>180280</v>
      </c>
      <c r="H37" s="30" t="s">
        <v>11010</v>
      </c>
      <c r="I37" s="30" t="s">
        <v>6820</v>
      </c>
      <c r="J37" s="30" t="s">
        <v>6829</v>
      </c>
      <c r="K37" s="30" t="s">
        <v>11011</v>
      </c>
      <c r="L37" s="30" t="s">
        <v>11012</v>
      </c>
      <c r="M37" s="30" t="s">
        <v>6795</v>
      </c>
      <c r="N37" s="31">
        <v>43511</v>
      </c>
      <c r="O37" s="30" t="s">
        <v>9350</v>
      </c>
      <c r="P37" s="31">
        <v>43511</v>
      </c>
      <c r="Q37" s="31">
        <v>43511</v>
      </c>
      <c r="R37" s="32">
        <v>43519</v>
      </c>
      <c r="S37" s="33" t="s">
        <v>10852</v>
      </c>
      <c r="T37" s="34" t="s">
        <v>10852</v>
      </c>
      <c r="U37" s="35">
        <v>43321</v>
      </c>
      <c r="V37" s="34" t="s">
        <v>11013</v>
      </c>
      <c r="W37" s="34">
        <v>2</v>
      </c>
      <c r="X37" s="34" t="s">
        <v>5683</v>
      </c>
      <c r="Y37" s="34" t="s">
        <v>4999</v>
      </c>
      <c r="Z37" s="36">
        <v>43591</v>
      </c>
      <c r="AA37" s="44" t="s">
        <v>264</v>
      </c>
      <c r="AB37" s="38">
        <v>43592</v>
      </c>
      <c r="AC37" s="39">
        <v>43592</v>
      </c>
      <c r="AD37" s="45" t="e">
        <v>#VALUE!</v>
      </c>
      <c r="AE37" s="46" t="e">
        <v>#VALUE!</v>
      </c>
      <c r="AF37" s="25" t="s">
        <v>10984</v>
      </c>
      <c r="AG37" s="42" t="s">
        <v>4999</v>
      </c>
      <c r="AH37" s="43"/>
      <c r="AI37" s="27"/>
    </row>
    <row r="38" spans="1:35" s="2" customFormat="1" ht="15.75" customHeight="1" thickBot="1" x14ac:dyDescent="0.25">
      <c r="A38" s="221" t="str">
        <f t="shared" si="0"/>
        <v>OK</v>
      </c>
      <c r="B38" s="222" t="str">
        <f t="shared" si="1"/>
        <v>OK</v>
      </c>
      <c r="C38" s="223" t="str">
        <f t="shared" si="2"/>
        <v>OK</v>
      </c>
      <c r="D38" s="28">
        <v>0</v>
      </c>
      <c r="E38" s="29" t="s">
        <v>11014</v>
      </c>
      <c r="F38" s="30" t="s">
        <v>9377</v>
      </c>
      <c r="G38" s="30">
        <v>180300</v>
      </c>
      <c r="H38" s="30" t="s">
        <v>11015</v>
      </c>
      <c r="I38" s="30" t="s">
        <v>6820</v>
      </c>
      <c r="J38" s="30" t="s">
        <v>6829</v>
      </c>
      <c r="K38" s="30" t="s">
        <v>11016</v>
      </c>
      <c r="L38" s="30" t="s">
        <v>11017</v>
      </c>
      <c r="M38" s="30" t="s">
        <v>10950</v>
      </c>
      <c r="N38" s="31">
        <v>43530</v>
      </c>
      <c r="O38" s="30" t="s">
        <v>9350</v>
      </c>
      <c r="P38" s="31">
        <v>43530</v>
      </c>
      <c r="Q38" s="31">
        <v>43530</v>
      </c>
      <c r="R38" s="32">
        <v>43531</v>
      </c>
      <c r="S38" s="33" t="s">
        <v>10852</v>
      </c>
      <c r="T38" s="34" t="s">
        <v>10944</v>
      </c>
      <c r="U38" s="35">
        <v>43532</v>
      </c>
      <c r="V38" s="34" t="s">
        <v>11018</v>
      </c>
      <c r="W38" s="34">
        <v>1</v>
      </c>
      <c r="X38" s="34" t="s">
        <v>5683</v>
      </c>
      <c r="Y38" s="34" t="s">
        <v>4999</v>
      </c>
      <c r="Z38" s="36">
        <v>43535</v>
      </c>
      <c r="AA38" s="44" t="s">
        <v>264</v>
      </c>
      <c r="AB38" s="38">
        <v>43536</v>
      </c>
      <c r="AC38" s="39">
        <v>43536</v>
      </c>
      <c r="AD38" s="45" t="e">
        <v>#VALUE!</v>
      </c>
      <c r="AE38" s="46" t="e">
        <v>#VALUE!</v>
      </c>
      <c r="AF38" s="25" t="s">
        <v>10855</v>
      </c>
      <c r="AG38" s="42" t="s">
        <v>4999</v>
      </c>
      <c r="AH38" s="56"/>
      <c r="AI38" s="27"/>
    </row>
    <row r="39" spans="1:35" s="2" customFormat="1" ht="15.75" thickBot="1" x14ac:dyDescent="0.25">
      <c r="A39" s="221" t="str">
        <f t="shared" si="0"/>
        <v>OK</v>
      </c>
      <c r="B39" s="222" t="str">
        <f t="shared" si="1"/>
        <v>OK</v>
      </c>
      <c r="C39" s="223" t="str">
        <f t="shared" si="2"/>
        <v>OK</v>
      </c>
      <c r="D39" s="28">
        <v>0</v>
      </c>
      <c r="E39" s="29" t="s">
        <v>11019</v>
      </c>
      <c r="F39" s="30" t="s">
        <v>11020</v>
      </c>
      <c r="G39" s="30">
        <v>180299</v>
      </c>
      <c r="H39" s="30" t="s">
        <v>11021</v>
      </c>
      <c r="I39" s="30" t="s">
        <v>6820</v>
      </c>
      <c r="J39" s="30" t="s">
        <v>6829</v>
      </c>
      <c r="K39" s="30" t="s">
        <v>4249</v>
      </c>
      <c r="L39" s="30" t="s">
        <v>11022</v>
      </c>
      <c r="M39" s="30" t="s">
        <v>11023</v>
      </c>
      <c r="N39" s="31">
        <v>43525</v>
      </c>
      <c r="O39" s="30" t="s">
        <v>9350</v>
      </c>
      <c r="P39" s="31">
        <v>43525</v>
      </c>
      <c r="Q39" s="31">
        <v>43530</v>
      </c>
      <c r="R39" s="32">
        <v>43532</v>
      </c>
      <c r="S39" s="33" t="s">
        <v>10852</v>
      </c>
      <c r="T39" s="34" t="s">
        <v>10944</v>
      </c>
      <c r="U39" s="35">
        <v>43532</v>
      </c>
      <c r="V39" s="34" t="s">
        <v>248</v>
      </c>
      <c r="W39" s="34">
        <v>1</v>
      </c>
      <c r="X39" s="34" t="s">
        <v>5683</v>
      </c>
      <c r="Y39" s="34" t="s">
        <v>4999</v>
      </c>
      <c r="Z39" s="36">
        <v>43535</v>
      </c>
      <c r="AA39" s="44" t="s">
        <v>264</v>
      </c>
      <c r="AB39" s="38">
        <v>43538</v>
      </c>
      <c r="AC39" s="39">
        <v>43538</v>
      </c>
      <c r="AD39" s="45" t="e">
        <v>#VALUE!</v>
      </c>
      <c r="AE39" s="46" t="e">
        <v>#VALUE!</v>
      </c>
      <c r="AF39" s="25" t="s">
        <v>10855</v>
      </c>
      <c r="AG39" s="42" t="s">
        <v>4999</v>
      </c>
      <c r="AH39" s="56"/>
      <c r="AI39" s="27"/>
    </row>
    <row r="40" spans="1:35" s="2" customFormat="1" ht="15.75" thickBot="1" x14ac:dyDescent="0.25">
      <c r="A40" s="221" t="str">
        <f t="shared" si="0"/>
        <v>OK</v>
      </c>
      <c r="B40" s="222" t="str">
        <f t="shared" si="1"/>
        <v>OK</v>
      </c>
      <c r="C40" s="223" t="str">
        <f t="shared" si="2"/>
        <v>OK</v>
      </c>
      <c r="D40" s="28">
        <v>0</v>
      </c>
      <c r="E40" s="29" t="s">
        <v>11024</v>
      </c>
      <c r="F40" s="30" t="s">
        <v>8322</v>
      </c>
      <c r="G40" s="30">
        <v>180305</v>
      </c>
      <c r="H40" s="30" t="s">
        <v>11025</v>
      </c>
      <c r="I40" s="30" t="s">
        <v>6820</v>
      </c>
      <c r="J40" s="30" t="s">
        <v>6829</v>
      </c>
      <c r="K40" s="30" t="s">
        <v>11026</v>
      </c>
      <c r="L40" s="30" t="s">
        <v>11027</v>
      </c>
      <c r="M40" s="30" t="s">
        <v>11028</v>
      </c>
      <c r="N40" s="31">
        <v>43525</v>
      </c>
      <c r="O40" s="30" t="s">
        <v>9350</v>
      </c>
      <c r="P40" s="31">
        <v>43532</v>
      </c>
      <c r="Q40" s="31">
        <v>43530</v>
      </c>
      <c r="R40" s="32">
        <v>43532</v>
      </c>
      <c r="S40" s="33" t="s">
        <v>10852</v>
      </c>
      <c r="T40" s="34" t="s">
        <v>9350</v>
      </c>
      <c r="U40" s="35">
        <v>31847</v>
      </c>
      <c r="V40" s="34" t="s">
        <v>11029</v>
      </c>
      <c r="W40" s="34">
        <v>10</v>
      </c>
      <c r="X40" s="34" t="s">
        <v>5683</v>
      </c>
      <c r="Y40" s="34" t="s">
        <v>4999</v>
      </c>
      <c r="Z40" s="36">
        <v>43536</v>
      </c>
      <c r="AA40" s="44" t="s">
        <v>264</v>
      </c>
      <c r="AB40" s="38">
        <v>43536</v>
      </c>
      <c r="AC40" s="39">
        <v>43536</v>
      </c>
      <c r="AD40" s="45" t="e">
        <v>#VALUE!</v>
      </c>
      <c r="AE40" s="46" t="e">
        <v>#VALUE!</v>
      </c>
      <c r="AF40" s="25" t="s">
        <v>10855</v>
      </c>
      <c r="AG40" s="42" t="s">
        <v>4999</v>
      </c>
      <c r="AH40" s="43"/>
      <c r="AI40" s="27"/>
    </row>
    <row r="41" spans="1:35" s="2" customFormat="1" ht="15.75" thickBot="1" x14ac:dyDescent="0.25">
      <c r="A41" s="221" t="str">
        <f t="shared" si="0"/>
        <v>OK</v>
      </c>
      <c r="B41" s="222" t="str">
        <f t="shared" si="1"/>
        <v>OK</v>
      </c>
      <c r="C41" s="223" t="str">
        <f t="shared" si="2"/>
        <v>OK</v>
      </c>
      <c r="D41" s="28">
        <v>0</v>
      </c>
      <c r="E41" s="29" t="s">
        <v>11030</v>
      </c>
      <c r="F41" s="30" t="s">
        <v>6169</v>
      </c>
      <c r="G41" s="30">
        <v>180284</v>
      </c>
      <c r="H41" s="30" t="s">
        <v>11031</v>
      </c>
      <c r="I41" s="30" t="s">
        <v>6820</v>
      </c>
      <c r="J41" s="30" t="s">
        <v>6829</v>
      </c>
      <c r="K41" s="30" t="s">
        <v>519</v>
      </c>
      <c r="L41" s="30" t="s">
        <v>11032</v>
      </c>
      <c r="M41" s="30" t="s">
        <v>3190</v>
      </c>
      <c r="N41" s="31">
        <v>43514</v>
      </c>
      <c r="O41" s="31" t="s">
        <v>9350</v>
      </c>
      <c r="P41" s="31">
        <v>43514</v>
      </c>
      <c r="Q41" s="31">
        <v>43514</v>
      </c>
      <c r="R41" s="32">
        <v>43538</v>
      </c>
      <c r="S41" s="33" t="s">
        <v>10852</v>
      </c>
      <c r="T41" s="34" t="s">
        <v>10852</v>
      </c>
      <c r="U41" s="35">
        <v>43550</v>
      </c>
      <c r="V41" s="34" t="s">
        <v>11033</v>
      </c>
      <c r="W41" s="34">
        <v>1</v>
      </c>
      <c r="X41" s="34" t="s">
        <v>5683</v>
      </c>
      <c r="Y41" s="34" t="s">
        <v>4999</v>
      </c>
      <c r="Z41" s="36">
        <v>43550</v>
      </c>
      <c r="AA41" s="44" t="s">
        <v>264</v>
      </c>
      <c r="AB41" s="38">
        <v>43550</v>
      </c>
      <c r="AC41" s="39">
        <v>43550</v>
      </c>
      <c r="AD41" s="45" t="e">
        <v>#VALUE!</v>
      </c>
      <c r="AE41" s="46" t="e">
        <v>#VALUE!</v>
      </c>
      <c r="AF41" s="25" t="s">
        <v>10855</v>
      </c>
      <c r="AG41" s="42" t="s">
        <v>4999</v>
      </c>
      <c r="AH41" s="43"/>
      <c r="AI41" s="27"/>
    </row>
    <row r="42" spans="1:35" s="2" customFormat="1" ht="15.75" thickBot="1" x14ac:dyDescent="0.25">
      <c r="A42" s="221" t="str">
        <f t="shared" si="0"/>
        <v>OK</v>
      </c>
      <c r="B42" s="222" t="str">
        <f t="shared" si="1"/>
        <v>OK</v>
      </c>
      <c r="C42" s="223" t="str">
        <f t="shared" si="2"/>
        <v>OK</v>
      </c>
      <c r="D42" s="28">
        <v>0</v>
      </c>
      <c r="E42" s="29" t="s">
        <v>11034</v>
      </c>
      <c r="F42" s="30" t="s">
        <v>9024</v>
      </c>
      <c r="G42" s="30">
        <v>180315</v>
      </c>
      <c r="H42" s="30" t="s">
        <v>11035</v>
      </c>
      <c r="I42" s="30" t="s">
        <v>6820</v>
      </c>
      <c r="J42" s="30" t="s">
        <v>6829</v>
      </c>
      <c r="K42" s="30" t="s">
        <v>11036</v>
      </c>
      <c r="L42" s="30" t="s">
        <v>11037</v>
      </c>
      <c r="M42" s="30" t="s">
        <v>11038</v>
      </c>
      <c r="N42" s="31">
        <v>43542</v>
      </c>
      <c r="O42" s="30" t="s">
        <v>9350</v>
      </c>
      <c r="P42" s="31">
        <v>43542</v>
      </c>
      <c r="Q42" s="31">
        <v>43542</v>
      </c>
      <c r="R42" s="32">
        <v>43542</v>
      </c>
      <c r="S42" s="33" t="s">
        <v>10852</v>
      </c>
      <c r="T42" s="34" t="s">
        <v>9350</v>
      </c>
      <c r="U42" s="35">
        <v>43543</v>
      </c>
      <c r="V42" s="34" t="s">
        <v>11039</v>
      </c>
      <c r="W42" s="34">
        <v>1</v>
      </c>
      <c r="X42" s="34" t="s">
        <v>5683</v>
      </c>
      <c r="Y42" s="34" t="s">
        <v>4999</v>
      </c>
      <c r="Z42" s="36">
        <v>43549</v>
      </c>
      <c r="AA42" s="44" t="s">
        <v>264</v>
      </c>
      <c r="AB42" s="38">
        <v>43550</v>
      </c>
      <c r="AC42" s="39">
        <v>43550</v>
      </c>
      <c r="AD42" s="45" t="e">
        <v>#VALUE!</v>
      </c>
      <c r="AE42" s="46" t="e">
        <v>#VALUE!</v>
      </c>
      <c r="AF42" s="25" t="s">
        <v>10855</v>
      </c>
      <c r="AG42" s="42" t="s">
        <v>4999</v>
      </c>
      <c r="AH42" s="43"/>
      <c r="AI42" s="27"/>
    </row>
    <row r="43" spans="1:35" s="2" customFormat="1" ht="15.75" thickBot="1" x14ac:dyDescent="0.25">
      <c r="A43" s="221" t="str">
        <f t="shared" si="0"/>
        <v>OK</v>
      </c>
      <c r="B43" s="222" t="str">
        <f t="shared" si="1"/>
        <v>OK</v>
      </c>
      <c r="C43" s="223" t="str">
        <f t="shared" si="2"/>
        <v>OK</v>
      </c>
      <c r="D43" s="28">
        <v>0</v>
      </c>
      <c r="E43" s="29" t="s">
        <v>11040</v>
      </c>
      <c r="F43" s="30" t="s">
        <v>8369</v>
      </c>
      <c r="G43" s="30">
        <v>180319</v>
      </c>
      <c r="H43" s="30" t="s">
        <v>11041</v>
      </c>
      <c r="I43" s="30" t="s">
        <v>6820</v>
      </c>
      <c r="J43" s="30" t="s">
        <v>6829</v>
      </c>
      <c r="K43" s="30" t="s">
        <v>3074</v>
      </c>
      <c r="L43" s="30" t="s">
        <v>11042</v>
      </c>
      <c r="M43" s="30" t="s">
        <v>4074</v>
      </c>
      <c r="N43" s="31">
        <v>43543</v>
      </c>
      <c r="O43" s="30" t="s">
        <v>10875</v>
      </c>
      <c r="P43" s="31">
        <v>43542</v>
      </c>
      <c r="Q43" s="31">
        <v>43544</v>
      </c>
      <c r="R43" s="32">
        <v>43544</v>
      </c>
      <c r="S43" s="33" t="s">
        <v>10852</v>
      </c>
      <c r="T43" s="34" t="s">
        <v>10852</v>
      </c>
      <c r="U43" s="35">
        <v>43546</v>
      </c>
      <c r="V43" s="34" t="s">
        <v>11043</v>
      </c>
      <c r="W43" s="34">
        <v>2</v>
      </c>
      <c r="X43" s="34" t="s">
        <v>5683</v>
      </c>
      <c r="Y43" s="34" t="s">
        <v>4999</v>
      </c>
      <c r="Z43" s="36">
        <v>43552</v>
      </c>
      <c r="AA43" s="44" t="s">
        <v>264</v>
      </c>
      <c r="AB43" s="38">
        <v>43552</v>
      </c>
      <c r="AC43" s="39">
        <v>43552</v>
      </c>
      <c r="AD43" s="45" t="e">
        <v>#VALUE!</v>
      </c>
      <c r="AE43" s="46" t="e">
        <v>#VALUE!</v>
      </c>
      <c r="AF43" s="25" t="s">
        <v>10855</v>
      </c>
      <c r="AG43" s="42" t="s">
        <v>4999</v>
      </c>
      <c r="AH43" s="43"/>
      <c r="AI43" s="27"/>
    </row>
    <row r="44" spans="1:35" s="2" customFormat="1" ht="15.75" thickBot="1" x14ac:dyDescent="0.25">
      <c r="A44" s="221" t="str">
        <f t="shared" si="0"/>
        <v>OK</v>
      </c>
      <c r="B44" s="222" t="str">
        <f t="shared" si="1"/>
        <v>OK</v>
      </c>
      <c r="C44" s="223" t="str">
        <f t="shared" si="2"/>
        <v>OK</v>
      </c>
      <c r="D44" s="28">
        <v>0</v>
      </c>
      <c r="E44" s="29" t="s">
        <v>11044</v>
      </c>
      <c r="F44" s="30" t="s">
        <v>11045</v>
      </c>
      <c r="G44" s="30">
        <v>180310</v>
      </c>
      <c r="H44" s="30" t="s">
        <v>11046</v>
      </c>
      <c r="I44" s="30" t="s">
        <v>7152</v>
      </c>
      <c r="J44" s="30" t="s">
        <v>6829</v>
      </c>
      <c r="K44" s="30" t="s">
        <v>2717</v>
      </c>
      <c r="L44" s="30" t="s">
        <v>11047</v>
      </c>
      <c r="M44" s="30" t="s">
        <v>11048</v>
      </c>
      <c r="N44" s="31">
        <v>43538</v>
      </c>
      <c r="O44" s="57" t="s">
        <v>10875</v>
      </c>
      <c r="P44" s="31">
        <v>43542</v>
      </c>
      <c r="Q44" s="31">
        <v>43538</v>
      </c>
      <c r="R44" s="32">
        <v>43539</v>
      </c>
      <c r="S44" s="33" t="s">
        <v>10852</v>
      </c>
      <c r="T44" s="34" t="s">
        <v>10852</v>
      </c>
      <c r="U44" s="35">
        <v>43546</v>
      </c>
      <c r="V44" s="34" t="s">
        <v>11049</v>
      </c>
      <c r="W44" s="34">
        <v>20</v>
      </c>
      <c r="X44" s="34" t="s">
        <v>5683</v>
      </c>
      <c r="Y44" s="34" t="s">
        <v>4999</v>
      </c>
      <c r="Z44" s="36">
        <v>43546</v>
      </c>
      <c r="AA44" s="44" t="s">
        <v>264</v>
      </c>
      <c r="AB44" s="38">
        <v>43547</v>
      </c>
      <c r="AC44" s="39">
        <v>43547</v>
      </c>
      <c r="AD44" s="45" t="e">
        <v>#VALUE!</v>
      </c>
      <c r="AE44" s="46" t="e">
        <v>#VALUE!</v>
      </c>
      <c r="AF44" s="25" t="s">
        <v>10855</v>
      </c>
      <c r="AG44" s="42" t="s">
        <v>4999</v>
      </c>
      <c r="AH44" s="43"/>
      <c r="AI44" s="27"/>
    </row>
    <row r="45" spans="1:35" s="2" customFormat="1" ht="15.75" thickBot="1" x14ac:dyDescent="0.25">
      <c r="A45" s="221" t="str">
        <f t="shared" si="0"/>
        <v>OK</v>
      </c>
      <c r="B45" s="222" t="str">
        <f t="shared" si="1"/>
        <v>OK</v>
      </c>
      <c r="C45" s="223" t="str">
        <f t="shared" si="2"/>
        <v>OK</v>
      </c>
      <c r="D45" s="28">
        <v>0</v>
      </c>
      <c r="E45" s="29" t="s">
        <v>11050</v>
      </c>
      <c r="F45" s="30" t="s">
        <v>8322</v>
      </c>
      <c r="G45" s="30">
        <v>180314</v>
      </c>
      <c r="H45" s="30" t="s">
        <v>11051</v>
      </c>
      <c r="I45" s="30" t="s">
        <v>6820</v>
      </c>
      <c r="J45" s="30" t="s">
        <v>6829</v>
      </c>
      <c r="K45" s="30" t="s">
        <v>11052</v>
      </c>
      <c r="L45" s="30" t="s">
        <v>11053</v>
      </c>
      <c r="M45" s="30" t="s">
        <v>11054</v>
      </c>
      <c r="N45" s="31">
        <v>43542</v>
      </c>
      <c r="O45" s="30" t="s">
        <v>9350</v>
      </c>
      <c r="P45" s="31">
        <v>43542</v>
      </c>
      <c r="Q45" s="31">
        <v>43542</v>
      </c>
      <c r="R45" s="32">
        <v>43544</v>
      </c>
      <c r="S45" s="33" t="s">
        <v>10852</v>
      </c>
      <c r="T45" s="34" t="s">
        <v>9350</v>
      </c>
      <c r="U45" s="35">
        <v>43543</v>
      </c>
      <c r="V45" s="34" t="s">
        <v>11055</v>
      </c>
      <c r="W45" s="34">
        <v>6</v>
      </c>
      <c r="X45" s="34" t="s">
        <v>5683</v>
      </c>
      <c r="Y45" s="34" t="s">
        <v>4999</v>
      </c>
      <c r="Z45" s="36">
        <v>43549</v>
      </c>
      <c r="AA45" s="44" t="s">
        <v>264</v>
      </c>
      <c r="AB45" s="38">
        <v>43549</v>
      </c>
      <c r="AC45" s="39">
        <v>43549</v>
      </c>
      <c r="AD45" s="45" t="e">
        <v>#VALUE!</v>
      </c>
      <c r="AE45" s="46" t="e">
        <v>#VALUE!</v>
      </c>
      <c r="AF45" s="25" t="s">
        <v>10855</v>
      </c>
      <c r="AG45" s="42" t="s">
        <v>4999</v>
      </c>
      <c r="AH45" s="43"/>
      <c r="AI45" s="27"/>
    </row>
    <row r="46" spans="1:35" s="2" customFormat="1" ht="26.25" thickBot="1" x14ac:dyDescent="0.25">
      <c r="A46" s="221" t="str">
        <f t="shared" si="0"/>
        <v>OK</v>
      </c>
      <c r="B46" s="222" t="str">
        <f t="shared" si="1"/>
        <v>OK</v>
      </c>
      <c r="C46" s="223" t="str">
        <f t="shared" si="2"/>
        <v>OK</v>
      </c>
      <c r="D46" s="28">
        <v>0</v>
      </c>
      <c r="E46" s="29" t="s">
        <v>11056</v>
      </c>
      <c r="F46" s="30" t="s">
        <v>11057</v>
      </c>
      <c r="G46" s="30">
        <v>180317</v>
      </c>
      <c r="H46" s="30" t="s">
        <v>11058</v>
      </c>
      <c r="I46" s="30" t="s">
        <v>6820</v>
      </c>
      <c r="J46" s="30" t="s">
        <v>6829</v>
      </c>
      <c r="K46" s="30" t="s">
        <v>2490</v>
      </c>
      <c r="L46" s="30" t="s">
        <v>11059</v>
      </c>
      <c r="M46" s="30" t="s">
        <v>8808</v>
      </c>
      <c r="N46" s="31">
        <v>43543</v>
      </c>
      <c r="O46" s="30" t="s">
        <v>9350</v>
      </c>
      <c r="P46" s="31">
        <v>43543</v>
      </c>
      <c r="Q46" s="31">
        <v>43543</v>
      </c>
      <c r="R46" s="32">
        <v>43549</v>
      </c>
      <c r="S46" s="33" t="s">
        <v>10852</v>
      </c>
      <c r="T46" s="34" t="s">
        <v>10852</v>
      </c>
      <c r="U46" s="35">
        <v>43550</v>
      </c>
      <c r="V46" s="34" t="s">
        <v>11060</v>
      </c>
      <c r="W46" s="34">
        <v>10</v>
      </c>
      <c r="X46" s="34" t="s">
        <v>5683</v>
      </c>
      <c r="Y46" s="34" t="s">
        <v>4999</v>
      </c>
      <c r="Z46" s="36">
        <v>43571</v>
      </c>
      <c r="AA46" s="44" t="s">
        <v>264</v>
      </c>
      <c r="AB46" s="38">
        <v>43572</v>
      </c>
      <c r="AC46" s="39">
        <v>43572</v>
      </c>
      <c r="AD46" s="45" t="e">
        <v>#VALUE!</v>
      </c>
      <c r="AE46" s="46" t="e">
        <v>#VALUE!</v>
      </c>
      <c r="AF46" s="25" t="s">
        <v>11061</v>
      </c>
      <c r="AG46" s="42" t="s">
        <v>4999</v>
      </c>
      <c r="AH46" s="56" t="s">
        <v>11062</v>
      </c>
      <c r="AI46" s="27"/>
    </row>
    <row r="47" spans="1:35" s="2" customFormat="1" ht="26.25" thickBot="1" x14ac:dyDescent="0.25">
      <c r="A47" s="221" t="str">
        <f t="shared" si="0"/>
        <v>OK</v>
      </c>
      <c r="B47" s="222" t="str">
        <f t="shared" si="1"/>
        <v>OK</v>
      </c>
      <c r="C47" s="223" t="str">
        <f t="shared" si="2"/>
        <v>OK</v>
      </c>
      <c r="D47" s="28">
        <v>0</v>
      </c>
      <c r="E47" s="29" t="s">
        <v>11063</v>
      </c>
      <c r="F47" s="30" t="s">
        <v>11057</v>
      </c>
      <c r="G47" s="30">
        <v>180317</v>
      </c>
      <c r="H47" s="30" t="s">
        <v>11064</v>
      </c>
      <c r="I47" s="30" t="s">
        <v>6820</v>
      </c>
      <c r="J47" s="30" t="s">
        <v>6829</v>
      </c>
      <c r="K47" s="30" t="s">
        <v>2490</v>
      </c>
      <c r="L47" s="30" t="s">
        <v>11065</v>
      </c>
      <c r="M47" s="30" t="s">
        <v>8808</v>
      </c>
      <c r="N47" s="31">
        <v>43543</v>
      </c>
      <c r="O47" s="30" t="s">
        <v>9350</v>
      </c>
      <c r="P47" s="31">
        <v>43543</v>
      </c>
      <c r="Q47" s="31">
        <v>43543</v>
      </c>
      <c r="R47" s="32">
        <v>43549</v>
      </c>
      <c r="S47" s="33" t="s">
        <v>10852</v>
      </c>
      <c r="T47" s="34" t="s">
        <v>10852</v>
      </c>
      <c r="U47" s="35">
        <v>43550</v>
      </c>
      <c r="V47" s="34" t="s">
        <v>11060</v>
      </c>
      <c r="W47" s="34">
        <v>6</v>
      </c>
      <c r="X47" s="34" t="s">
        <v>5683</v>
      </c>
      <c r="Y47" s="34" t="s">
        <v>4999</v>
      </c>
      <c r="Z47" s="36">
        <v>43571</v>
      </c>
      <c r="AA47" s="44" t="s">
        <v>264</v>
      </c>
      <c r="AB47" s="38">
        <v>43572</v>
      </c>
      <c r="AC47" s="39">
        <v>43572</v>
      </c>
      <c r="AD47" s="45" t="e">
        <v>#VALUE!</v>
      </c>
      <c r="AE47" s="46" t="e">
        <v>#VALUE!</v>
      </c>
      <c r="AF47" s="25" t="s">
        <v>11061</v>
      </c>
      <c r="AG47" s="42" t="s">
        <v>4999</v>
      </c>
      <c r="AH47" s="56" t="s">
        <v>11062</v>
      </c>
      <c r="AI47" s="27"/>
    </row>
    <row r="48" spans="1:35" s="2" customFormat="1" ht="26.25" thickBot="1" x14ac:dyDescent="0.25">
      <c r="A48" s="221" t="str">
        <f t="shared" si="0"/>
        <v>OK</v>
      </c>
      <c r="B48" s="222" t="str">
        <f t="shared" si="1"/>
        <v>OK</v>
      </c>
      <c r="C48" s="223" t="str">
        <f t="shared" si="2"/>
        <v>OK</v>
      </c>
      <c r="D48" s="28">
        <v>0</v>
      </c>
      <c r="E48" s="29" t="s">
        <v>11066</v>
      </c>
      <c r="F48" s="30" t="s">
        <v>11067</v>
      </c>
      <c r="G48" s="30">
        <v>180316</v>
      </c>
      <c r="H48" s="30" t="s">
        <v>11068</v>
      </c>
      <c r="I48" s="30" t="s">
        <v>6820</v>
      </c>
      <c r="J48" s="30" t="s">
        <v>6829</v>
      </c>
      <c r="K48" s="30" t="s">
        <v>2490</v>
      </c>
      <c r="L48" s="30" t="s">
        <v>11059</v>
      </c>
      <c r="M48" s="30" t="s">
        <v>8808</v>
      </c>
      <c r="N48" s="31">
        <v>43543</v>
      </c>
      <c r="O48" s="30" t="s">
        <v>9350</v>
      </c>
      <c r="P48" s="31">
        <v>43543</v>
      </c>
      <c r="Q48" s="31">
        <v>43543</v>
      </c>
      <c r="R48" s="32">
        <v>43608</v>
      </c>
      <c r="S48" s="33" t="s">
        <v>10852</v>
      </c>
      <c r="T48" s="34" t="s">
        <v>10852</v>
      </c>
      <c r="U48" s="35">
        <v>43550</v>
      </c>
      <c r="V48" s="34" t="s">
        <v>11060</v>
      </c>
      <c r="W48" s="34">
        <v>6</v>
      </c>
      <c r="X48" s="34" t="s">
        <v>5683</v>
      </c>
      <c r="Y48" s="34" t="s">
        <v>4999</v>
      </c>
      <c r="Z48" s="36">
        <v>43571</v>
      </c>
      <c r="AA48" s="44" t="s">
        <v>264</v>
      </c>
      <c r="AB48" s="38">
        <v>43572</v>
      </c>
      <c r="AC48" s="39">
        <v>43572</v>
      </c>
      <c r="AD48" s="45" t="e">
        <v>#VALUE!</v>
      </c>
      <c r="AE48" s="46" t="e">
        <v>#VALUE!</v>
      </c>
      <c r="AF48" s="25" t="s">
        <v>11061</v>
      </c>
      <c r="AG48" s="42" t="s">
        <v>4999</v>
      </c>
      <c r="AH48" s="56" t="s">
        <v>11062</v>
      </c>
      <c r="AI48" s="27"/>
    </row>
    <row r="49" spans="1:35" s="2" customFormat="1" ht="26.25" thickBot="1" x14ac:dyDescent="0.25">
      <c r="A49" s="221" t="str">
        <f t="shared" si="0"/>
        <v>OK</v>
      </c>
      <c r="B49" s="222" t="str">
        <f t="shared" si="1"/>
        <v>OK</v>
      </c>
      <c r="C49" s="223" t="str">
        <f t="shared" si="2"/>
        <v>OK</v>
      </c>
      <c r="D49" s="28">
        <v>0</v>
      </c>
      <c r="E49" s="49" t="s">
        <v>11069</v>
      </c>
      <c r="F49" s="50" t="s">
        <v>9414</v>
      </c>
      <c r="G49" s="50">
        <v>180318</v>
      </c>
      <c r="H49" s="50" t="s">
        <v>11070</v>
      </c>
      <c r="I49" s="50" t="s">
        <v>6820</v>
      </c>
      <c r="J49" s="50" t="s">
        <v>6829</v>
      </c>
      <c r="K49" s="50" t="s">
        <v>11071</v>
      </c>
      <c r="L49" s="50" t="s">
        <v>11072</v>
      </c>
      <c r="M49" s="50" t="s">
        <v>9417</v>
      </c>
      <c r="N49" s="51">
        <v>43543</v>
      </c>
      <c r="O49" s="50" t="s">
        <v>9350</v>
      </c>
      <c r="P49" s="51">
        <v>43543</v>
      </c>
      <c r="Q49" s="51">
        <v>43543</v>
      </c>
      <c r="R49" s="52">
        <v>43546</v>
      </c>
      <c r="S49" s="33" t="s">
        <v>10852</v>
      </c>
      <c r="T49" s="34" t="s">
        <v>9350</v>
      </c>
      <c r="U49" s="35">
        <v>43567</v>
      </c>
      <c r="V49" s="34" t="s">
        <v>9418</v>
      </c>
      <c r="W49" s="34">
        <v>3</v>
      </c>
      <c r="X49" s="34" t="s">
        <v>5683</v>
      </c>
      <c r="Y49" s="34" t="s">
        <v>4999</v>
      </c>
      <c r="Z49" s="36">
        <v>43571</v>
      </c>
      <c r="AA49" s="44" t="s">
        <v>264</v>
      </c>
      <c r="AB49" s="38">
        <v>43571</v>
      </c>
      <c r="AC49" s="39">
        <v>43571</v>
      </c>
      <c r="AD49" s="45" t="e">
        <v>#VALUE!</v>
      </c>
      <c r="AE49" s="46" t="e">
        <v>#VALUE!</v>
      </c>
      <c r="AF49" s="53" t="s">
        <v>10984</v>
      </c>
      <c r="AG49" s="54" t="s">
        <v>4999</v>
      </c>
      <c r="AH49" s="55"/>
    </row>
    <row r="50" spans="1:35" s="2" customFormat="1" ht="26.25" thickBot="1" x14ac:dyDescent="0.25">
      <c r="A50" s="221" t="str">
        <f t="shared" si="0"/>
        <v>OK</v>
      </c>
      <c r="B50" s="222" t="str">
        <f t="shared" si="1"/>
        <v>OK</v>
      </c>
      <c r="C50" s="223" t="str">
        <f t="shared" si="2"/>
        <v>OK</v>
      </c>
      <c r="D50" s="28">
        <v>0</v>
      </c>
      <c r="E50" s="49" t="s">
        <v>11073</v>
      </c>
      <c r="F50" s="50" t="s">
        <v>9414</v>
      </c>
      <c r="G50" s="50">
        <v>180318</v>
      </c>
      <c r="H50" s="50" t="s">
        <v>11074</v>
      </c>
      <c r="I50" s="50" t="s">
        <v>6820</v>
      </c>
      <c r="J50" s="50" t="s">
        <v>6829</v>
      </c>
      <c r="K50" s="50" t="s">
        <v>11075</v>
      </c>
      <c r="L50" s="50" t="s">
        <v>11076</v>
      </c>
      <c r="M50" s="50" t="s">
        <v>9417</v>
      </c>
      <c r="N50" s="51">
        <v>43543</v>
      </c>
      <c r="O50" s="50" t="s">
        <v>9350</v>
      </c>
      <c r="P50" s="51">
        <v>43543</v>
      </c>
      <c r="Q50" s="51">
        <v>43543</v>
      </c>
      <c r="R50" s="52">
        <v>43546</v>
      </c>
      <c r="S50" s="33" t="s">
        <v>10852</v>
      </c>
      <c r="T50" s="34" t="s">
        <v>9350</v>
      </c>
      <c r="U50" s="35">
        <v>43567</v>
      </c>
      <c r="V50" s="34" t="s">
        <v>11077</v>
      </c>
      <c r="W50" s="34">
        <v>3</v>
      </c>
      <c r="X50" s="34" t="s">
        <v>5683</v>
      </c>
      <c r="Y50" s="34" t="s">
        <v>4999</v>
      </c>
      <c r="Z50" s="36">
        <v>43571</v>
      </c>
      <c r="AA50" s="44" t="s">
        <v>264</v>
      </c>
      <c r="AB50" s="38">
        <v>43571</v>
      </c>
      <c r="AC50" s="39">
        <v>43571</v>
      </c>
      <c r="AD50" s="45" t="e">
        <v>#VALUE!</v>
      </c>
      <c r="AE50" s="46" t="e">
        <v>#VALUE!</v>
      </c>
      <c r="AF50" s="53" t="s">
        <v>10984</v>
      </c>
      <c r="AG50" s="54" t="s">
        <v>4999</v>
      </c>
      <c r="AH50" s="55"/>
    </row>
    <row r="51" spans="1:35" s="2" customFormat="1" ht="26.25" thickBot="1" x14ac:dyDescent="0.25">
      <c r="A51" s="221" t="str">
        <f t="shared" si="0"/>
        <v>OK</v>
      </c>
      <c r="B51" s="222" t="str">
        <f t="shared" si="1"/>
        <v>OK</v>
      </c>
      <c r="C51" s="223" t="str">
        <f t="shared" si="2"/>
        <v>OK</v>
      </c>
      <c r="D51" s="28">
        <v>0</v>
      </c>
      <c r="E51" s="49" t="s">
        <v>11078</v>
      </c>
      <c r="F51" s="50" t="s">
        <v>9414</v>
      </c>
      <c r="G51" s="50">
        <v>180345</v>
      </c>
      <c r="H51" s="50" t="s">
        <v>11079</v>
      </c>
      <c r="I51" s="50" t="s">
        <v>6820</v>
      </c>
      <c r="J51" s="50" t="s">
        <v>6829</v>
      </c>
      <c r="K51" s="50" t="s">
        <v>11080</v>
      </c>
      <c r="L51" s="50" t="s">
        <v>11081</v>
      </c>
      <c r="M51" s="50" t="s">
        <v>11082</v>
      </c>
      <c r="N51" s="51">
        <v>43567</v>
      </c>
      <c r="O51" s="50" t="s">
        <v>9350</v>
      </c>
      <c r="P51" s="51">
        <v>43543</v>
      </c>
      <c r="Q51" s="51">
        <v>43543</v>
      </c>
      <c r="R51" s="52">
        <v>43571</v>
      </c>
      <c r="S51" s="33" t="s">
        <v>10852</v>
      </c>
      <c r="T51" s="34" t="s">
        <v>9350</v>
      </c>
      <c r="U51" s="35">
        <v>43567</v>
      </c>
      <c r="V51" s="34" t="s">
        <v>11083</v>
      </c>
      <c r="W51" s="34">
        <v>1</v>
      </c>
      <c r="X51" s="34" t="s">
        <v>5683</v>
      </c>
      <c r="Y51" s="34" t="s">
        <v>4999</v>
      </c>
      <c r="Z51" s="36">
        <v>43571</v>
      </c>
      <c r="AA51" s="44" t="s">
        <v>264</v>
      </c>
      <c r="AB51" s="38">
        <v>43571</v>
      </c>
      <c r="AC51" s="39">
        <v>43571</v>
      </c>
      <c r="AD51" s="45" t="e">
        <v>#VALUE!</v>
      </c>
      <c r="AE51" s="46" t="e">
        <v>#VALUE!</v>
      </c>
      <c r="AF51" s="53"/>
      <c r="AG51" s="54" t="s">
        <v>4999</v>
      </c>
      <c r="AH51" s="55"/>
    </row>
    <row r="52" spans="1:35" s="2" customFormat="1" ht="26.25" thickBot="1" x14ac:dyDescent="0.25">
      <c r="A52" s="221" t="str">
        <f t="shared" si="0"/>
        <v>OK</v>
      </c>
      <c r="B52" s="222" t="str">
        <f t="shared" si="1"/>
        <v>OK</v>
      </c>
      <c r="C52" s="223" t="str">
        <f t="shared" si="2"/>
        <v>OK</v>
      </c>
      <c r="D52" s="28">
        <v>0</v>
      </c>
      <c r="E52" s="49" t="s">
        <v>11084</v>
      </c>
      <c r="F52" s="50" t="s">
        <v>9414</v>
      </c>
      <c r="G52" s="50">
        <v>180309</v>
      </c>
      <c r="H52" s="50" t="s">
        <v>11085</v>
      </c>
      <c r="I52" s="50" t="s">
        <v>6820</v>
      </c>
      <c r="J52" s="50" t="s">
        <v>6829</v>
      </c>
      <c r="K52" s="50" t="s">
        <v>1147</v>
      </c>
      <c r="L52" s="50" t="s">
        <v>11086</v>
      </c>
      <c r="M52" s="50" t="s">
        <v>3584</v>
      </c>
      <c r="N52" s="51">
        <v>43538</v>
      </c>
      <c r="O52" s="50" t="s">
        <v>9350</v>
      </c>
      <c r="P52" s="51">
        <v>43538</v>
      </c>
      <c r="Q52" s="51">
        <v>43538</v>
      </c>
      <c r="R52" s="52">
        <v>43538</v>
      </c>
      <c r="S52" s="33" t="s">
        <v>10852</v>
      </c>
      <c r="T52" s="34" t="s">
        <v>10852</v>
      </c>
      <c r="U52" s="35">
        <v>43581</v>
      </c>
      <c r="V52" s="34" t="s">
        <v>1149</v>
      </c>
      <c r="W52" s="34">
        <v>4</v>
      </c>
      <c r="X52" s="34" t="s">
        <v>5683</v>
      </c>
      <c r="Y52" s="34" t="s">
        <v>4999</v>
      </c>
      <c r="Z52" s="36">
        <v>43585</v>
      </c>
      <c r="AA52" s="44" t="s">
        <v>264</v>
      </c>
      <c r="AB52" s="38">
        <v>43585</v>
      </c>
      <c r="AC52" s="39">
        <v>43585</v>
      </c>
      <c r="AD52" s="45" t="e">
        <v>#VALUE!</v>
      </c>
      <c r="AE52" s="46" t="e">
        <v>#VALUE!</v>
      </c>
      <c r="AF52" s="53"/>
      <c r="AG52" s="54" t="s">
        <v>4999</v>
      </c>
      <c r="AH52" s="55"/>
    </row>
    <row r="53" spans="1:35" s="2" customFormat="1" ht="15.75" thickBot="1" x14ac:dyDescent="0.25">
      <c r="A53" s="221" t="str">
        <f t="shared" si="0"/>
        <v>OK</v>
      </c>
      <c r="B53" s="222" t="str">
        <f t="shared" si="1"/>
        <v>OK</v>
      </c>
      <c r="C53" s="223" t="str">
        <f t="shared" si="2"/>
        <v>OK</v>
      </c>
      <c r="D53" s="28">
        <v>0</v>
      </c>
      <c r="E53" s="29" t="s">
        <v>11087</v>
      </c>
      <c r="F53" s="30" t="s">
        <v>9377</v>
      </c>
      <c r="G53" s="30">
        <v>180298</v>
      </c>
      <c r="H53" s="30" t="s">
        <v>11088</v>
      </c>
      <c r="I53" s="30" t="s">
        <v>6820</v>
      </c>
      <c r="J53" s="30" t="s">
        <v>6829</v>
      </c>
      <c r="K53" s="30" t="s">
        <v>9074</v>
      </c>
      <c r="L53" s="30" t="s">
        <v>11089</v>
      </c>
      <c r="M53" s="30" t="s">
        <v>5736</v>
      </c>
      <c r="N53" s="31">
        <v>43530</v>
      </c>
      <c r="O53" s="30" t="s">
        <v>9350</v>
      </c>
      <c r="P53" s="31">
        <v>43530</v>
      </c>
      <c r="Q53" s="31">
        <v>43530</v>
      </c>
      <c r="R53" s="32">
        <v>43544</v>
      </c>
      <c r="S53" s="33" t="s">
        <v>10852</v>
      </c>
      <c r="T53" s="34" t="s">
        <v>10852</v>
      </c>
      <c r="U53" s="35">
        <v>43549</v>
      </c>
      <c r="V53" s="34" t="s">
        <v>5737</v>
      </c>
      <c r="W53" s="34">
        <v>6</v>
      </c>
      <c r="X53" s="34" t="s">
        <v>5683</v>
      </c>
      <c r="Y53" s="34" t="s">
        <v>4999</v>
      </c>
      <c r="Z53" s="36">
        <v>43563</v>
      </c>
      <c r="AA53" s="44" t="s">
        <v>264</v>
      </c>
      <c r="AB53" s="38">
        <v>43563</v>
      </c>
      <c r="AC53" s="38">
        <v>43563</v>
      </c>
      <c r="AD53" s="45" t="e">
        <v>#VALUE!</v>
      </c>
      <c r="AE53" s="46" t="e">
        <v>#VALUE!</v>
      </c>
      <c r="AF53" s="25" t="s">
        <v>10984</v>
      </c>
      <c r="AG53" s="42" t="s">
        <v>4999</v>
      </c>
      <c r="AH53" s="56"/>
      <c r="AI53" s="27"/>
    </row>
    <row r="54" spans="1:35" s="2" customFormat="1" ht="15.75" thickBot="1" x14ac:dyDescent="0.25">
      <c r="A54" s="221" t="str">
        <f t="shared" si="0"/>
        <v>OK</v>
      </c>
      <c r="B54" s="222" t="str">
        <f t="shared" si="1"/>
        <v>OK</v>
      </c>
      <c r="C54" s="223" t="str">
        <f t="shared" si="2"/>
        <v>OK</v>
      </c>
      <c r="D54" s="28">
        <v>0</v>
      </c>
      <c r="E54" s="29" t="s">
        <v>11090</v>
      </c>
      <c r="F54" s="30" t="s">
        <v>9557</v>
      </c>
      <c r="G54" s="30">
        <v>180313</v>
      </c>
      <c r="H54" s="30" t="s">
        <v>11091</v>
      </c>
      <c r="I54" s="30" t="s">
        <v>6820</v>
      </c>
      <c r="J54" s="30" t="s">
        <v>6829</v>
      </c>
      <c r="K54" s="30" t="s">
        <v>11092</v>
      </c>
      <c r="L54" s="30" t="s">
        <v>11093</v>
      </c>
      <c r="M54" s="30" t="s">
        <v>2858</v>
      </c>
      <c r="N54" s="31">
        <v>43542</v>
      </c>
      <c r="O54" s="30" t="s">
        <v>9350</v>
      </c>
      <c r="P54" s="31">
        <v>43542</v>
      </c>
      <c r="Q54" s="31">
        <v>43545</v>
      </c>
      <c r="R54" s="32">
        <v>43545</v>
      </c>
      <c r="S54" s="33" t="s">
        <v>10852</v>
      </c>
      <c r="T54" s="34" t="s">
        <v>10853</v>
      </c>
      <c r="U54" s="35">
        <v>43549</v>
      </c>
      <c r="V54" s="34" t="s">
        <v>2859</v>
      </c>
      <c r="W54" s="34">
        <v>1</v>
      </c>
      <c r="X54" s="34" t="s">
        <v>5683</v>
      </c>
      <c r="Y54" s="34" t="s">
        <v>4999</v>
      </c>
      <c r="Z54" s="36">
        <v>43557</v>
      </c>
      <c r="AA54" s="44" t="s">
        <v>264</v>
      </c>
      <c r="AB54" s="38">
        <v>43558</v>
      </c>
      <c r="AC54" s="39">
        <v>43558</v>
      </c>
      <c r="AD54" s="45" t="e">
        <v>#VALUE!</v>
      </c>
      <c r="AE54" s="46" t="e">
        <v>#VALUE!</v>
      </c>
      <c r="AF54" s="25" t="s">
        <v>10984</v>
      </c>
      <c r="AG54" s="42" t="s">
        <v>4999</v>
      </c>
      <c r="AH54" s="56"/>
      <c r="AI54" s="27"/>
    </row>
    <row r="55" spans="1:35" s="2" customFormat="1" ht="15.75" thickBot="1" x14ac:dyDescent="0.25">
      <c r="A55" s="221" t="str">
        <f t="shared" si="0"/>
        <v>OK</v>
      </c>
      <c r="B55" s="222" t="str">
        <f t="shared" si="1"/>
        <v>OK</v>
      </c>
      <c r="C55" s="223" t="str">
        <f t="shared" si="2"/>
        <v>OK</v>
      </c>
      <c r="D55" s="28">
        <v>0</v>
      </c>
      <c r="E55" s="29" t="s">
        <v>11094</v>
      </c>
      <c r="F55" s="30" t="s">
        <v>8369</v>
      </c>
      <c r="G55" s="30">
        <v>180322</v>
      </c>
      <c r="H55" s="30" t="s">
        <v>11095</v>
      </c>
      <c r="I55" s="30" t="s">
        <v>6820</v>
      </c>
      <c r="J55" s="30" t="s">
        <v>6829</v>
      </c>
      <c r="K55" s="30" t="s">
        <v>11096</v>
      </c>
      <c r="L55" s="30" t="s">
        <v>11097</v>
      </c>
      <c r="M55" s="30" t="s">
        <v>11098</v>
      </c>
      <c r="N55" s="31">
        <v>43543</v>
      </c>
      <c r="O55" s="30" t="s">
        <v>9350</v>
      </c>
      <c r="P55" s="31">
        <v>43543</v>
      </c>
      <c r="Q55" s="31">
        <v>43544</v>
      </c>
      <c r="R55" s="32">
        <v>43544</v>
      </c>
      <c r="S55" s="33" t="s">
        <v>10852</v>
      </c>
      <c r="T55" s="34" t="s">
        <v>10852</v>
      </c>
      <c r="U55" s="35">
        <v>43546</v>
      </c>
      <c r="V55" s="34" t="s">
        <v>11099</v>
      </c>
      <c r="W55" s="34">
        <v>2</v>
      </c>
      <c r="X55" s="34" t="s">
        <v>5683</v>
      </c>
      <c r="Y55" s="34" t="s">
        <v>4999</v>
      </c>
      <c r="Z55" s="36">
        <v>43552</v>
      </c>
      <c r="AA55" s="44" t="s">
        <v>264</v>
      </c>
      <c r="AB55" s="38">
        <v>43552</v>
      </c>
      <c r="AC55" s="39">
        <v>43552</v>
      </c>
      <c r="AD55" s="45" t="e">
        <v>#VALUE!</v>
      </c>
      <c r="AE55" s="46" t="e">
        <v>#VALUE!</v>
      </c>
      <c r="AF55" s="25" t="s">
        <v>10855</v>
      </c>
      <c r="AG55" s="42" t="s">
        <v>4999</v>
      </c>
      <c r="AH55" s="56"/>
      <c r="AI55" s="27"/>
    </row>
    <row r="56" spans="1:35" s="2" customFormat="1" ht="15.75" thickBot="1" x14ac:dyDescent="0.25">
      <c r="A56" s="221" t="str">
        <f t="shared" si="0"/>
        <v>OK</v>
      </c>
      <c r="B56" s="222" t="str">
        <f t="shared" si="1"/>
        <v>OK</v>
      </c>
      <c r="C56" s="223" t="str">
        <f t="shared" si="2"/>
        <v>OK</v>
      </c>
      <c r="D56" s="28">
        <v>0</v>
      </c>
      <c r="E56" s="29" t="s">
        <v>11100</v>
      </c>
      <c r="F56" s="30" t="s">
        <v>8369</v>
      </c>
      <c r="G56" s="30">
        <v>180329</v>
      </c>
      <c r="H56" s="30" t="s">
        <v>11101</v>
      </c>
      <c r="I56" s="30" t="s">
        <v>6820</v>
      </c>
      <c r="J56" s="30" t="s">
        <v>6829</v>
      </c>
      <c r="K56" s="30" t="s">
        <v>11102</v>
      </c>
      <c r="L56" s="30" t="s">
        <v>11103</v>
      </c>
      <c r="M56" s="30" t="s">
        <v>10556</v>
      </c>
      <c r="N56" s="31">
        <v>43552</v>
      </c>
      <c r="O56" s="30" t="s">
        <v>9350</v>
      </c>
      <c r="P56" s="31">
        <v>43552</v>
      </c>
      <c r="Q56" s="31">
        <v>43552</v>
      </c>
      <c r="R56" s="32">
        <v>43524</v>
      </c>
      <c r="S56" s="33" t="s">
        <v>10852</v>
      </c>
      <c r="T56" s="34" t="s">
        <v>10852</v>
      </c>
      <c r="U56" s="35">
        <v>43552</v>
      </c>
      <c r="V56" s="34" t="s">
        <v>11104</v>
      </c>
      <c r="W56" s="34">
        <v>6</v>
      </c>
      <c r="X56" s="34" t="s">
        <v>5683</v>
      </c>
      <c r="Y56" s="34" t="s">
        <v>4999</v>
      </c>
      <c r="Z56" s="36">
        <v>43563</v>
      </c>
      <c r="AA56" s="44" t="s">
        <v>264</v>
      </c>
      <c r="AB56" s="38">
        <v>43563</v>
      </c>
      <c r="AC56" s="39">
        <v>43563</v>
      </c>
      <c r="AD56" s="45" t="e">
        <v>#VALUE!</v>
      </c>
      <c r="AE56" s="46" t="e">
        <v>#VALUE!</v>
      </c>
      <c r="AF56" s="25" t="s">
        <v>10984</v>
      </c>
      <c r="AG56" s="42" t="s">
        <v>4999</v>
      </c>
      <c r="AH56" s="56"/>
      <c r="AI56" s="27"/>
    </row>
    <row r="57" spans="1:35" s="2" customFormat="1" ht="15.75" thickBot="1" x14ac:dyDescent="0.25">
      <c r="A57" s="221" t="str">
        <f t="shared" si="0"/>
        <v>OK</v>
      </c>
      <c r="B57" s="222" t="str">
        <f t="shared" si="1"/>
        <v>OK</v>
      </c>
      <c r="C57" s="223" t="str">
        <f t="shared" si="2"/>
        <v>OK</v>
      </c>
      <c r="D57" s="28">
        <v>0</v>
      </c>
      <c r="E57" s="29" t="s">
        <v>11105</v>
      </c>
      <c r="F57" s="30" t="s">
        <v>8369</v>
      </c>
      <c r="G57" s="30">
        <v>180328</v>
      </c>
      <c r="H57" s="30" t="s">
        <v>11106</v>
      </c>
      <c r="I57" s="30" t="s">
        <v>6820</v>
      </c>
      <c r="J57" s="30" t="s">
        <v>6829</v>
      </c>
      <c r="K57" s="30" t="s">
        <v>5291</v>
      </c>
      <c r="L57" s="30" t="s">
        <v>10414</v>
      </c>
      <c r="M57" s="30" t="s">
        <v>11107</v>
      </c>
      <c r="N57" s="31">
        <v>43551</v>
      </c>
      <c r="O57" s="30" t="s">
        <v>9350</v>
      </c>
      <c r="P57" s="31">
        <v>43551</v>
      </c>
      <c r="Q57" s="31">
        <v>43551</v>
      </c>
      <c r="R57" s="32">
        <v>43552</v>
      </c>
      <c r="S57" s="33" t="s">
        <v>10852</v>
      </c>
      <c r="T57" s="34" t="s">
        <v>10852</v>
      </c>
      <c r="U57" s="35">
        <v>43552</v>
      </c>
      <c r="V57" s="34" t="s">
        <v>11108</v>
      </c>
      <c r="W57" s="34">
        <v>2</v>
      </c>
      <c r="X57" s="34" t="s">
        <v>5683</v>
      </c>
      <c r="Y57" s="34" t="s">
        <v>4999</v>
      </c>
      <c r="Z57" s="36">
        <v>43563</v>
      </c>
      <c r="AA57" s="44" t="s">
        <v>264</v>
      </c>
      <c r="AB57" s="38">
        <v>43563</v>
      </c>
      <c r="AC57" s="39">
        <v>43563</v>
      </c>
      <c r="AD57" s="45" t="e">
        <v>#VALUE!</v>
      </c>
      <c r="AE57" s="46" t="e">
        <v>#VALUE!</v>
      </c>
      <c r="AF57" s="25" t="s">
        <v>10984</v>
      </c>
      <c r="AG57" s="42" t="s">
        <v>4999</v>
      </c>
      <c r="AH57" s="56"/>
      <c r="AI57" s="27"/>
    </row>
    <row r="58" spans="1:35" s="2" customFormat="1" ht="15.75" thickBot="1" x14ac:dyDescent="0.25">
      <c r="A58" s="221" t="str">
        <f t="shared" si="0"/>
        <v>OK</v>
      </c>
      <c r="B58" s="222" t="str">
        <f t="shared" si="1"/>
        <v>OK</v>
      </c>
      <c r="C58" s="223" t="str">
        <f t="shared" si="2"/>
        <v>OK</v>
      </c>
      <c r="D58" s="28">
        <v>0</v>
      </c>
      <c r="E58" s="29" t="s">
        <v>11109</v>
      </c>
      <c r="F58" s="30" t="s">
        <v>11110</v>
      </c>
      <c r="G58" s="30">
        <v>180100</v>
      </c>
      <c r="H58" s="30" t="s">
        <v>11111</v>
      </c>
      <c r="I58" s="30" t="s">
        <v>6820</v>
      </c>
      <c r="J58" s="30" t="s">
        <v>6829</v>
      </c>
      <c r="K58" s="30" t="s">
        <v>11112</v>
      </c>
      <c r="L58" s="30" t="s">
        <v>11113</v>
      </c>
      <c r="M58" s="30" t="s">
        <v>9005</v>
      </c>
      <c r="N58" s="31">
        <v>43232</v>
      </c>
      <c r="O58" s="30" t="s">
        <v>9350</v>
      </c>
      <c r="P58" s="31">
        <v>43232</v>
      </c>
      <c r="Q58" s="31">
        <v>43277</v>
      </c>
      <c r="R58" s="32">
        <v>43545</v>
      </c>
      <c r="S58" s="33" t="s">
        <v>10852</v>
      </c>
      <c r="T58" s="34" t="s">
        <v>10852</v>
      </c>
      <c r="U58" s="35">
        <v>43587</v>
      </c>
      <c r="V58" s="34" t="s">
        <v>11114</v>
      </c>
      <c r="W58" s="34">
        <v>1</v>
      </c>
      <c r="X58" s="34" t="s">
        <v>5683</v>
      </c>
      <c r="Y58" s="34" t="s">
        <v>4999</v>
      </c>
      <c r="Z58" s="36">
        <v>43934</v>
      </c>
      <c r="AA58" s="44" t="s">
        <v>264</v>
      </c>
      <c r="AB58" s="38">
        <v>43956</v>
      </c>
      <c r="AC58" s="38">
        <v>43956</v>
      </c>
      <c r="AD58" s="45" t="e">
        <v>#VALUE!</v>
      </c>
      <c r="AE58" s="46" t="e">
        <v>#VALUE!</v>
      </c>
      <c r="AF58" s="25"/>
      <c r="AG58" s="42"/>
      <c r="AH58" s="56"/>
      <c r="AI58" s="27"/>
    </row>
    <row r="59" spans="1:35" s="2" customFormat="1" ht="26.25" thickBot="1" x14ac:dyDescent="0.25">
      <c r="A59" s="221" t="str">
        <f t="shared" si="0"/>
        <v>OK</v>
      </c>
      <c r="B59" s="222" t="str">
        <f t="shared" si="1"/>
        <v>OK</v>
      </c>
      <c r="C59" s="223" t="str">
        <f t="shared" si="2"/>
        <v>OK</v>
      </c>
      <c r="D59" s="28">
        <v>0</v>
      </c>
      <c r="E59" s="49" t="s">
        <v>11115</v>
      </c>
      <c r="F59" s="50" t="s">
        <v>6169</v>
      </c>
      <c r="G59" s="50">
        <v>180276</v>
      </c>
      <c r="H59" s="50" t="s">
        <v>11116</v>
      </c>
      <c r="I59" s="50" t="s">
        <v>6820</v>
      </c>
      <c r="J59" s="50" t="s">
        <v>6829</v>
      </c>
      <c r="K59" s="50" t="s">
        <v>6577</v>
      </c>
      <c r="L59" s="50" t="s">
        <v>11117</v>
      </c>
      <c r="M59" s="50" t="s">
        <v>11118</v>
      </c>
      <c r="N59" s="51">
        <v>43507</v>
      </c>
      <c r="O59" s="51" t="s">
        <v>9350</v>
      </c>
      <c r="P59" s="51">
        <v>43507</v>
      </c>
      <c r="Q59" s="51">
        <v>43566</v>
      </c>
      <c r="R59" s="52">
        <v>43500</v>
      </c>
      <c r="S59" s="33" t="s">
        <v>10852</v>
      </c>
      <c r="T59" s="34" t="s">
        <v>9350</v>
      </c>
      <c r="U59" s="35">
        <v>43560</v>
      </c>
      <c r="V59" s="34" t="s">
        <v>3416</v>
      </c>
      <c r="W59" s="34">
        <v>1</v>
      </c>
      <c r="X59" s="34" t="s">
        <v>5683</v>
      </c>
      <c r="Y59" s="34" t="s">
        <v>4999</v>
      </c>
      <c r="Z59" s="36">
        <v>43563</v>
      </c>
      <c r="AA59" s="44" t="s">
        <v>264</v>
      </c>
      <c r="AB59" s="38">
        <v>43563</v>
      </c>
      <c r="AC59" s="39">
        <v>43563</v>
      </c>
      <c r="AD59" s="45" t="e">
        <v>#VALUE!</v>
      </c>
      <c r="AE59" s="46" t="e">
        <v>#VALUE!</v>
      </c>
      <c r="AF59" s="53" t="s">
        <v>10984</v>
      </c>
      <c r="AG59" s="54" t="s">
        <v>4999</v>
      </c>
      <c r="AH59" s="55"/>
    </row>
    <row r="60" spans="1:35" s="2" customFormat="1" ht="26.25" thickBot="1" x14ac:dyDescent="0.25">
      <c r="A60" s="221" t="str">
        <f t="shared" si="0"/>
        <v>OK</v>
      </c>
      <c r="B60" s="222" t="str">
        <f t="shared" si="1"/>
        <v>OK</v>
      </c>
      <c r="C60" s="223" t="str">
        <f t="shared" si="2"/>
        <v>OK</v>
      </c>
      <c r="D60" s="28">
        <v>0</v>
      </c>
      <c r="E60" s="49" t="s">
        <v>11119</v>
      </c>
      <c r="F60" s="50" t="s">
        <v>6169</v>
      </c>
      <c r="G60" s="50">
        <v>180337</v>
      </c>
      <c r="H60" s="50" t="s">
        <v>11120</v>
      </c>
      <c r="I60" s="50" t="s">
        <v>6820</v>
      </c>
      <c r="J60" s="50" t="s">
        <v>6829</v>
      </c>
      <c r="K60" s="50" t="s">
        <v>11121</v>
      </c>
      <c r="L60" s="50" t="s">
        <v>11122</v>
      </c>
      <c r="M60" s="50" t="s">
        <v>5550</v>
      </c>
      <c r="N60" s="51">
        <v>43528</v>
      </c>
      <c r="O60" s="51" t="s">
        <v>9350</v>
      </c>
      <c r="P60" s="51">
        <v>43558</v>
      </c>
      <c r="Q60" s="51">
        <v>43528</v>
      </c>
      <c r="R60" s="52">
        <v>43528</v>
      </c>
      <c r="S60" s="33" t="s">
        <v>10852</v>
      </c>
      <c r="T60" s="34" t="s">
        <v>9350</v>
      </c>
      <c r="U60" s="35">
        <v>43578</v>
      </c>
      <c r="V60" s="34" t="s">
        <v>3191</v>
      </c>
      <c r="W60" s="34">
        <v>1</v>
      </c>
      <c r="X60" s="34" t="s">
        <v>5683</v>
      </c>
      <c r="Y60" s="34" t="s">
        <v>4999</v>
      </c>
      <c r="Z60" s="36">
        <v>43580</v>
      </c>
      <c r="AA60" s="44" t="s">
        <v>264</v>
      </c>
      <c r="AB60" s="38">
        <v>43580</v>
      </c>
      <c r="AC60" s="39">
        <v>43580</v>
      </c>
      <c r="AD60" s="45" t="e">
        <v>#VALUE!</v>
      </c>
      <c r="AE60" s="46" t="e">
        <v>#VALUE!</v>
      </c>
      <c r="AF60" s="53"/>
      <c r="AG60" s="54" t="s">
        <v>4999</v>
      </c>
      <c r="AH60" s="65"/>
    </row>
    <row r="61" spans="1:35" s="2" customFormat="1" ht="26.25" thickBot="1" x14ac:dyDescent="0.25">
      <c r="A61" s="221" t="str">
        <f t="shared" si="0"/>
        <v>OK</v>
      </c>
      <c r="B61" s="222" t="str">
        <f t="shared" si="1"/>
        <v>OK</v>
      </c>
      <c r="C61" s="223" t="str">
        <f t="shared" si="2"/>
        <v>OK</v>
      </c>
      <c r="D61" s="28">
        <v>0</v>
      </c>
      <c r="E61" s="49" t="s">
        <v>11123</v>
      </c>
      <c r="F61" s="50" t="s">
        <v>6169</v>
      </c>
      <c r="G61" s="50">
        <v>180337</v>
      </c>
      <c r="H61" s="50" t="s">
        <v>11124</v>
      </c>
      <c r="I61" s="50" t="s">
        <v>6820</v>
      </c>
      <c r="J61" s="50" t="s">
        <v>6829</v>
      </c>
      <c r="K61" s="50" t="s">
        <v>11125</v>
      </c>
      <c r="L61" s="50" t="s">
        <v>11126</v>
      </c>
      <c r="M61" s="50" t="s">
        <v>5550</v>
      </c>
      <c r="N61" s="51">
        <v>43528</v>
      </c>
      <c r="O61" s="51" t="s">
        <v>9350</v>
      </c>
      <c r="P61" s="51">
        <v>43558</v>
      </c>
      <c r="Q61" s="51">
        <v>43528</v>
      </c>
      <c r="R61" s="52">
        <v>43528</v>
      </c>
      <c r="S61" s="33" t="s">
        <v>10852</v>
      </c>
      <c r="T61" s="34" t="s">
        <v>9350</v>
      </c>
      <c r="U61" s="35">
        <v>43578</v>
      </c>
      <c r="V61" s="34" t="s">
        <v>11127</v>
      </c>
      <c r="W61" s="34">
        <v>2</v>
      </c>
      <c r="X61" s="34" t="s">
        <v>5683</v>
      </c>
      <c r="Y61" s="34" t="s">
        <v>4999</v>
      </c>
      <c r="Z61" s="36">
        <v>43580</v>
      </c>
      <c r="AA61" s="44" t="s">
        <v>264</v>
      </c>
      <c r="AB61" s="38">
        <v>43580</v>
      </c>
      <c r="AC61" s="39">
        <v>43580</v>
      </c>
      <c r="AD61" s="45" t="e">
        <v>#VALUE!</v>
      </c>
      <c r="AE61" s="46" t="e">
        <v>#VALUE!</v>
      </c>
      <c r="AF61" s="53"/>
      <c r="AG61" s="54" t="s">
        <v>4999</v>
      </c>
      <c r="AH61" s="65"/>
    </row>
    <row r="62" spans="1:35" s="2" customFormat="1" ht="26.25" thickBot="1" x14ac:dyDescent="0.25">
      <c r="A62" s="221" t="str">
        <f t="shared" si="0"/>
        <v>OK</v>
      </c>
      <c r="B62" s="222" t="str">
        <f t="shared" si="1"/>
        <v>OK</v>
      </c>
      <c r="C62" s="223" t="str">
        <f t="shared" si="2"/>
        <v>OK</v>
      </c>
      <c r="D62" s="28">
        <v>0</v>
      </c>
      <c r="E62" s="49" t="s">
        <v>11128</v>
      </c>
      <c r="F62" s="50" t="s">
        <v>6169</v>
      </c>
      <c r="G62" s="50">
        <v>180338</v>
      </c>
      <c r="H62" s="50" t="s">
        <v>11129</v>
      </c>
      <c r="I62" s="50" t="s">
        <v>7152</v>
      </c>
      <c r="J62" s="50" t="s">
        <v>6829</v>
      </c>
      <c r="K62" s="50" t="s">
        <v>11130</v>
      </c>
      <c r="L62" s="50" t="s">
        <v>11131</v>
      </c>
      <c r="M62" s="50" t="s">
        <v>127</v>
      </c>
      <c r="N62" s="51">
        <v>43559</v>
      </c>
      <c r="O62" s="51" t="s">
        <v>9350</v>
      </c>
      <c r="P62" s="51">
        <v>43559</v>
      </c>
      <c r="Q62" s="51">
        <v>43560</v>
      </c>
      <c r="R62" s="52">
        <v>43563</v>
      </c>
      <c r="S62" s="33" t="s">
        <v>10852</v>
      </c>
      <c r="T62" s="34" t="s">
        <v>10852</v>
      </c>
      <c r="U62" s="35">
        <v>43613</v>
      </c>
      <c r="V62" s="34" t="s">
        <v>10112</v>
      </c>
      <c r="W62" s="34">
        <v>5</v>
      </c>
      <c r="X62" s="34" t="s">
        <v>5683</v>
      </c>
      <c r="Y62" s="34" t="s">
        <v>4999</v>
      </c>
      <c r="Z62" s="36">
        <v>43614</v>
      </c>
      <c r="AA62" s="44" t="s">
        <v>264</v>
      </c>
      <c r="AB62" s="38">
        <v>43614</v>
      </c>
      <c r="AC62" s="39">
        <v>43614</v>
      </c>
      <c r="AD62" s="45" t="e">
        <v>#VALUE!</v>
      </c>
      <c r="AE62" s="46" t="e">
        <v>#VALUE!</v>
      </c>
      <c r="AF62" s="53"/>
      <c r="AG62" s="54" t="s">
        <v>4999</v>
      </c>
      <c r="AH62" s="65"/>
    </row>
    <row r="63" spans="1:35" s="2" customFormat="1" ht="26.25" thickBot="1" x14ac:dyDescent="0.25">
      <c r="A63" s="221" t="str">
        <f t="shared" si="0"/>
        <v>OK</v>
      </c>
      <c r="B63" s="222" t="str">
        <f t="shared" si="1"/>
        <v>OK</v>
      </c>
      <c r="C63" s="223" t="str">
        <f t="shared" si="2"/>
        <v>OK</v>
      </c>
      <c r="D63" s="28">
        <v>0</v>
      </c>
      <c r="E63" s="49" t="s">
        <v>11132</v>
      </c>
      <c r="F63" s="50" t="s">
        <v>6169</v>
      </c>
      <c r="G63" s="50">
        <v>180341</v>
      </c>
      <c r="H63" s="50" t="s">
        <v>11133</v>
      </c>
      <c r="I63" s="50" t="s">
        <v>6820</v>
      </c>
      <c r="J63" s="50" t="s">
        <v>6829</v>
      </c>
      <c r="K63" s="50" t="s">
        <v>2170</v>
      </c>
      <c r="L63" s="50" t="s">
        <v>11134</v>
      </c>
      <c r="M63" s="50" t="s">
        <v>1938</v>
      </c>
      <c r="N63" s="51">
        <v>43563</v>
      </c>
      <c r="O63" s="51" t="s">
        <v>9350</v>
      </c>
      <c r="P63" s="51">
        <v>43563</v>
      </c>
      <c r="Q63" s="51">
        <v>43563</v>
      </c>
      <c r="R63" s="52">
        <v>43563</v>
      </c>
      <c r="S63" s="33" t="s">
        <v>10852</v>
      </c>
      <c r="T63" s="34" t="s">
        <v>10852</v>
      </c>
      <c r="U63" s="35">
        <v>43629</v>
      </c>
      <c r="V63" s="34" t="s">
        <v>11135</v>
      </c>
      <c r="W63" s="34">
        <v>5</v>
      </c>
      <c r="X63" s="34" t="s">
        <v>5683</v>
      </c>
      <c r="Y63" s="34" t="s">
        <v>4999</v>
      </c>
      <c r="Z63" s="36">
        <v>43630</v>
      </c>
      <c r="AA63" s="44" t="s">
        <v>264</v>
      </c>
      <c r="AB63" s="38">
        <v>43633</v>
      </c>
      <c r="AC63" s="39">
        <v>43633</v>
      </c>
      <c r="AD63" s="45" t="e">
        <v>#VALUE!</v>
      </c>
      <c r="AE63" s="46" t="e">
        <v>#VALUE!</v>
      </c>
      <c r="AF63" s="53"/>
      <c r="AG63" s="54" t="s">
        <v>11136</v>
      </c>
      <c r="AH63" s="65"/>
    </row>
    <row r="64" spans="1:35" s="2" customFormat="1" ht="15.75" thickBot="1" x14ac:dyDescent="0.25">
      <c r="A64" s="221" t="str">
        <f t="shared" si="0"/>
        <v>OK</v>
      </c>
      <c r="B64" s="222" t="str">
        <f t="shared" si="1"/>
        <v>OK</v>
      </c>
      <c r="C64" s="223" t="str">
        <f t="shared" si="2"/>
        <v>OK</v>
      </c>
      <c r="D64" s="28">
        <v>0</v>
      </c>
      <c r="E64" s="29" t="s">
        <v>11137</v>
      </c>
      <c r="F64" s="30" t="s">
        <v>9377</v>
      </c>
      <c r="G64" s="30">
        <v>180326</v>
      </c>
      <c r="H64" s="30" t="s">
        <v>11138</v>
      </c>
      <c r="I64" s="30" t="s">
        <v>6820</v>
      </c>
      <c r="J64" s="30" t="s">
        <v>6829</v>
      </c>
      <c r="K64" s="30" t="s">
        <v>11139</v>
      </c>
      <c r="L64" s="30" t="s">
        <v>11140</v>
      </c>
      <c r="M64" s="30" t="s">
        <v>11141</v>
      </c>
      <c r="N64" s="31">
        <v>43571</v>
      </c>
      <c r="O64" s="30" t="s">
        <v>9350</v>
      </c>
      <c r="P64" s="31">
        <v>43507</v>
      </c>
      <c r="Q64" s="31">
        <v>43549</v>
      </c>
      <c r="R64" s="32">
        <v>43550</v>
      </c>
      <c r="S64" s="33" t="s">
        <v>10852</v>
      </c>
      <c r="T64" s="34" t="s">
        <v>10852</v>
      </c>
      <c r="U64" s="35">
        <v>43575</v>
      </c>
      <c r="V64" s="34" t="s">
        <v>11018</v>
      </c>
      <c r="W64" s="34">
        <v>2</v>
      </c>
      <c r="X64" s="34" t="s">
        <v>5683</v>
      </c>
      <c r="Y64" s="34" t="s">
        <v>4999</v>
      </c>
      <c r="Z64" s="36">
        <v>43580</v>
      </c>
      <c r="AA64" s="44" t="s">
        <v>264</v>
      </c>
      <c r="AB64" s="38">
        <v>43581</v>
      </c>
      <c r="AC64" s="39">
        <v>43581</v>
      </c>
      <c r="AD64" s="45" t="e">
        <v>#VALUE!</v>
      </c>
      <c r="AE64" s="46" t="e">
        <v>#VALUE!</v>
      </c>
      <c r="AF64" s="25"/>
      <c r="AG64" s="42" t="s">
        <v>4999</v>
      </c>
      <c r="AH64" s="66"/>
      <c r="AI64" s="27"/>
    </row>
    <row r="65" spans="1:35" s="2" customFormat="1" ht="26.25" thickBot="1" x14ac:dyDescent="0.25">
      <c r="A65" s="221" t="str">
        <f t="shared" si="0"/>
        <v>OK</v>
      </c>
      <c r="B65" s="222" t="str">
        <f t="shared" si="1"/>
        <v>OK</v>
      </c>
      <c r="C65" s="223" t="str">
        <f t="shared" si="2"/>
        <v>OK</v>
      </c>
      <c r="D65" s="28">
        <v>0</v>
      </c>
      <c r="E65" s="49" t="s">
        <v>11142</v>
      </c>
      <c r="F65" s="50" t="s">
        <v>6169</v>
      </c>
      <c r="G65" s="50">
        <v>180276</v>
      </c>
      <c r="H65" s="50" t="s">
        <v>11143</v>
      </c>
      <c r="I65" s="50" t="s">
        <v>6820</v>
      </c>
      <c r="J65" s="50" t="s">
        <v>6829</v>
      </c>
      <c r="K65" s="50" t="s">
        <v>10893</v>
      </c>
      <c r="L65" s="50" t="s">
        <v>11144</v>
      </c>
      <c r="M65" s="50" t="s">
        <v>11145</v>
      </c>
      <c r="N65" s="51">
        <v>43507</v>
      </c>
      <c r="O65" s="51" t="s">
        <v>9350</v>
      </c>
      <c r="P65" s="51">
        <v>43507</v>
      </c>
      <c r="Q65" s="51">
        <v>43566</v>
      </c>
      <c r="R65" s="52">
        <v>43566</v>
      </c>
      <c r="S65" s="33" t="s">
        <v>10852</v>
      </c>
      <c r="T65" s="34" t="s">
        <v>9350</v>
      </c>
      <c r="U65" s="35">
        <v>43560</v>
      </c>
      <c r="V65" s="34" t="s">
        <v>2743</v>
      </c>
      <c r="W65" s="34">
        <v>1</v>
      </c>
      <c r="X65" s="34" t="s">
        <v>5683</v>
      </c>
      <c r="Y65" s="34" t="s">
        <v>4999</v>
      </c>
      <c r="Z65" s="36">
        <v>43570</v>
      </c>
      <c r="AA65" s="44" t="s">
        <v>264</v>
      </c>
      <c r="AB65" s="38">
        <v>43570</v>
      </c>
      <c r="AC65" s="39">
        <v>43570</v>
      </c>
      <c r="AD65" s="45" t="e">
        <v>#VALUE!</v>
      </c>
      <c r="AE65" s="46" t="e">
        <v>#VALUE!</v>
      </c>
      <c r="AF65" s="53" t="s">
        <v>10984</v>
      </c>
      <c r="AG65" s="54" t="s">
        <v>4999</v>
      </c>
      <c r="AH65" s="65"/>
    </row>
    <row r="66" spans="1:35" s="2" customFormat="1" ht="15.75" thickBot="1" x14ac:dyDescent="0.25">
      <c r="A66" s="221" t="str">
        <f t="shared" si="0"/>
        <v>OK</v>
      </c>
      <c r="B66" s="222" t="str">
        <f t="shared" si="1"/>
        <v>OK</v>
      </c>
      <c r="C66" s="223" t="str">
        <f t="shared" si="2"/>
        <v>OK</v>
      </c>
      <c r="D66" s="28">
        <v>0</v>
      </c>
      <c r="E66" s="29" t="s">
        <v>11146</v>
      </c>
      <c r="F66" s="30" t="s">
        <v>9377</v>
      </c>
      <c r="G66" s="30">
        <v>180358</v>
      </c>
      <c r="H66" s="30" t="s">
        <v>11147</v>
      </c>
      <c r="I66" s="30" t="s">
        <v>6820</v>
      </c>
      <c r="J66" s="30" t="s">
        <v>6829</v>
      </c>
      <c r="K66" s="30" t="s">
        <v>10997</v>
      </c>
      <c r="L66" s="30" t="s">
        <v>10949</v>
      </c>
      <c r="M66" s="30" t="s">
        <v>11141</v>
      </c>
      <c r="N66" s="31">
        <v>43578</v>
      </c>
      <c r="O66" s="30" t="s">
        <v>10875</v>
      </c>
      <c r="P66" s="31">
        <v>43578</v>
      </c>
      <c r="Q66" s="31">
        <v>43578</v>
      </c>
      <c r="R66" s="32">
        <v>43578</v>
      </c>
      <c r="S66" s="33" t="s">
        <v>10852</v>
      </c>
      <c r="T66" s="34" t="s">
        <v>9350</v>
      </c>
      <c r="U66" s="35">
        <v>43579</v>
      </c>
      <c r="V66" s="34" t="s">
        <v>10951</v>
      </c>
      <c r="W66" s="34">
        <v>2</v>
      </c>
      <c r="X66" s="34" t="s">
        <v>5683</v>
      </c>
      <c r="Y66" s="34" t="s">
        <v>4999</v>
      </c>
      <c r="Z66" s="36">
        <v>43580</v>
      </c>
      <c r="AA66" s="44" t="s">
        <v>264</v>
      </c>
      <c r="AB66" s="38">
        <v>43581</v>
      </c>
      <c r="AC66" s="38">
        <v>43581</v>
      </c>
      <c r="AD66" s="45" t="e">
        <v>#VALUE!</v>
      </c>
      <c r="AE66" s="46" t="e">
        <v>#VALUE!</v>
      </c>
      <c r="AF66" s="25"/>
      <c r="AG66" s="42" t="s">
        <v>4999</v>
      </c>
      <c r="AH66" s="66"/>
      <c r="AI66" s="27"/>
    </row>
    <row r="67" spans="1:35" s="2" customFormat="1" ht="15.75" thickBot="1" x14ac:dyDescent="0.25">
      <c r="A67" s="221" t="str">
        <f t="shared" si="0"/>
        <v>OK</v>
      </c>
      <c r="B67" s="222" t="str">
        <f t="shared" si="1"/>
        <v>OK</v>
      </c>
      <c r="C67" s="223" t="str">
        <f t="shared" si="2"/>
        <v>OK</v>
      </c>
      <c r="D67" s="28">
        <v>0</v>
      </c>
      <c r="E67" s="29" t="s">
        <v>11148</v>
      </c>
      <c r="F67" s="30" t="s">
        <v>9377</v>
      </c>
      <c r="G67" s="30">
        <v>180359</v>
      </c>
      <c r="H67" s="30" t="s">
        <v>11149</v>
      </c>
      <c r="I67" s="30" t="s">
        <v>6820</v>
      </c>
      <c r="J67" s="30" t="s">
        <v>6829</v>
      </c>
      <c r="K67" s="30" t="s">
        <v>11150</v>
      </c>
      <c r="L67" s="30" t="s">
        <v>11151</v>
      </c>
      <c r="M67" s="30" t="s">
        <v>11152</v>
      </c>
      <c r="N67" s="31">
        <v>43578</v>
      </c>
      <c r="O67" s="30" t="s">
        <v>9350</v>
      </c>
      <c r="P67" s="31">
        <v>43578</v>
      </c>
      <c r="Q67" s="31">
        <v>43578</v>
      </c>
      <c r="R67" s="32">
        <v>43578</v>
      </c>
      <c r="S67" s="33" t="s">
        <v>10852</v>
      </c>
      <c r="T67" s="34" t="s">
        <v>9350</v>
      </c>
      <c r="U67" s="35">
        <v>43579</v>
      </c>
      <c r="V67" s="34" t="s">
        <v>11153</v>
      </c>
      <c r="W67" s="34">
        <v>12</v>
      </c>
      <c r="X67" s="34" t="s">
        <v>5683</v>
      </c>
      <c r="Y67" s="34" t="s">
        <v>4999</v>
      </c>
      <c r="Z67" s="36">
        <v>43588</v>
      </c>
      <c r="AA67" s="44" t="s">
        <v>264</v>
      </c>
      <c r="AB67" s="38">
        <v>43588</v>
      </c>
      <c r="AC67" s="39">
        <v>43588</v>
      </c>
      <c r="AD67" s="45" t="e">
        <v>#VALUE!</v>
      </c>
      <c r="AE67" s="46" t="e">
        <v>#VALUE!</v>
      </c>
      <c r="AF67" s="25" t="s">
        <v>10984</v>
      </c>
      <c r="AG67" s="42" t="s">
        <v>4999</v>
      </c>
      <c r="AH67" s="66"/>
      <c r="AI67" s="27"/>
    </row>
    <row r="68" spans="1:35" s="2" customFormat="1" ht="26.25" thickBot="1" x14ac:dyDescent="0.25">
      <c r="A68" s="221" t="str">
        <f t="shared" si="0"/>
        <v>OK</v>
      </c>
      <c r="B68" s="222" t="str">
        <f t="shared" si="1"/>
        <v>OK</v>
      </c>
      <c r="C68" s="223" t="str">
        <f t="shared" si="2"/>
        <v>OK</v>
      </c>
      <c r="D68" s="28">
        <v>0</v>
      </c>
      <c r="E68" s="49" t="s">
        <v>11154</v>
      </c>
      <c r="F68" s="50" t="s">
        <v>8369</v>
      </c>
      <c r="G68" s="50">
        <v>180361</v>
      </c>
      <c r="H68" s="50" t="s">
        <v>11155</v>
      </c>
      <c r="I68" s="50" t="s">
        <v>6820</v>
      </c>
      <c r="J68" s="50" t="s">
        <v>6829</v>
      </c>
      <c r="K68" s="50" t="s">
        <v>11156</v>
      </c>
      <c r="L68" s="50" t="s">
        <v>11157</v>
      </c>
      <c r="M68" s="50" t="s">
        <v>11158</v>
      </c>
      <c r="N68" s="51">
        <v>43579</v>
      </c>
      <c r="O68" s="50" t="s">
        <v>9350</v>
      </c>
      <c r="P68" s="51">
        <v>43579</v>
      </c>
      <c r="Q68" s="51">
        <v>43580</v>
      </c>
      <c r="R68" s="52">
        <v>43580</v>
      </c>
      <c r="S68" s="33" t="s">
        <v>10852</v>
      </c>
      <c r="T68" s="34" t="s">
        <v>10852</v>
      </c>
      <c r="U68" s="35">
        <v>43581</v>
      </c>
      <c r="V68" s="34" t="s">
        <v>11159</v>
      </c>
      <c r="W68" s="34">
        <v>1</v>
      </c>
      <c r="X68" s="34" t="s">
        <v>5683</v>
      </c>
      <c r="Y68" s="34" t="s">
        <v>4999</v>
      </c>
      <c r="Z68" s="36">
        <v>43588</v>
      </c>
      <c r="AA68" s="44" t="s">
        <v>264</v>
      </c>
      <c r="AB68" s="38">
        <v>43588</v>
      </c>
      <c r="AC68" s="39">
        <v>43588</v>
      </c>
      <c r="AD68" s="45" t="e">
        <v>#VALUE!</v>
      </c>
      <c r="AE68" s="46" t="e">
        <v>#VALUE!</v>
      </c>
      <c r="AF68" s="53" t="s">
        <v>10984</v>
      </c>
      <c r="AG68" s="54" t="s">
        <v>4999</v>
      </c>
      <c r="AH68" s="65"/>
    </row>
    <row r="69" spans="1:35" s="2" customFormat="1" ht="26.25" thickBot="1" x14ac:dyDescent="0.25">
      <c r="A69" s="221" t="str">
        <f t="shared" si="0"/>
        <v>OK</v>
      </c>
      <c r="B69" s="222" t="str">
        <f t="shared" si="1"/>
        <v>OK</v>
      </c>
      <c r="C69" s="223" t="str">
        <f t="shared" si="2"/>
        <v>OK</v>
      </c>
      <c r="D69" s="28">
        <v>0</v>
      </c>
      <c r="E69" s="49" t="s">
        <v>11160</v>
      </c>
      <c r="F69" s="50" t="s">
        <v>9414</v>
      </c>
      <c r="G69" s="50">
        <v>180362</v>
      </c>
      <c r="H69" s="50" t="s">
        <v>11161</v>
      </c>
      <c r="I69" s="50" t="s">
        <v>6820</v>
      </c>
      <c r="J69" s="50" t="s">
        <v>6829</v>
      </c>
      <c r="K69" s="50" t="s">
        <v>11162</v>
      </c>
      <c r="L69" s="50" t="s">
        <v>11163</v>
      </c>
      <c r="M69" s="50" t="s">
        <v>11164</v>
      </c>
      <c r="N69" s="51">
        <v>43580</v>
      </c>
      <c r="O69" s="50" t="s">
        <v>9350</v>
      </c>
      <c r="P69" s="51">
        <v>43580</v>
      </c>
      <c r="Q69" s="51">
        <v>43580</v>
      </c>
      <c r="R69" s="52">
        <v>43581</v>
      </c>
      <c r="S69" s="33" t="s">
        <v>10852</v>
      </c>
      <c r="T69" s="34" t="s">
        <v>9350</v>
      </c>
      <c r="U69" s="35">
        <v>43602</v>
      </c>
      <c r="V69" s="34" t="s">
        <v>11165</v>
      </c>
      <c r="W69" s="34">
        <v>2</v>
      </c>
      <c r="X69" s="34" t="s">
        <v>5683</v>
      </c>
      <c r="Y69" s="34" t="s">
        <v>4999</v>
      </c>
      <c r="Z69" s="36">
        <v>43605</v>
      </c>
      <c r="AA69" s="44" t="s">
        <v>264</v>
      </c>
      <c r="AB69" s="38">
        <v>43606</v>
      </c>
      <c r="AC69" s="39">
        <v>43606</v>
      </c>
      <c r="AD69" s="45" t="e">
        <v>#VALUE!</v>
      </c>
      <c r="AE69" s="46" t="e">
        <v>#VALUE!</v>
      </c>
      <c r="AF69" s="53" t="s">
        <v>10984</v>
      </c>
      <c r="AG69" s="54" t="s">
        <v>4999</v>
      </c>
      <c r="AH69" s="65"/>
    </row>
    <row r="70" spans="1:35" s="2" customFormat="1" ht="15.75" thickBot="1" x14ac:dyDescent="0.25">
      <c r="A70" s="221" t="str">
        <f t="shared" ref="A70:A132" si="3">IF(OR(ISBLANK(D70),ISBLANK(E70),ISBLANK(F70),ISBLANK(G70),ISBLANK(H70),ISBLANK(I70),ISBLANK(J70),ISBLANK(K70),ISBLANK(L70),ISBLANK(M70),ISBLANK(N70),ISBLANK(O70),ISBLANK(P70),ISBLANK(Q70),ISBLANK(R70))=TRUE,"P","OK")</f>
        <v>OK</v>
      </c>
      <c r="B70" s="222" t="str">
        <f t="shared" si="1"/>
        <v>OK</v>
      </c>
      <c r="C70" s="223" t="str">
        <f t="shared" si="2"/>
        <v>OK</v>
      </c>
      <c r="D70" s="28">
        <v>0</v>
      </c>
      <c r="E70" s="29" t="s">
        <v>11166</v>
      </c>
      <c r="F70" s="30" t="s">
        <v>9377</v>
      </c>
      <c r="G70" s="30">
        <v>180365</v>
      </c>
      <c r="H70" s="30" t="s">
        <v>11167</v>
      </c>
      <c r="I70" s="30" t="s">
        <v>6820</v>
      </c>
      <c r="J70" s="30" t="s">
        <v>6829</v>
      </c>
      <c r="K70" s="30" t="s">
        <v>1104</v>
      </c>
      <c r="L70" s="30" t="s">
        <v>11006</v>
      </c>
      <c r="M70" s="30" t="s">
        <v>9712</v>
      </c>
      <c r="N70" s="31">
        <v>43584</v>
      </c>
      <c r="O70" s="30" t="s">
        <v>9350</v>
      </c>
      <c r="P70" s="31">
        <v>43584</v>
      </c>
      <c r="Q70" s="31">
        <v>43584</v>
      </c>
      <c r="R70" s="32">
        <v>43584</v>
      </c>
      <c r="S70" s="33" t="s">
        <v>10852</v>
      </c>
      <c r="T70" s="34" t="s">
        <v>10852</v>
      </c>
      <c r="U70" s="35">
        <v>43586</v>
      </c>
      <c r="V70" s="34" t="s">
        <v>11007</v>
      </c>
      <c r="W70" s="34">
        <v>1</v>
      </c>
      <c r="X70" s="34" t="s">
        <v>5683</v>
      </c>
      <c r="Y70" s="34" t="s">
        <v>4999</v>
      </c>
      <c r="Z70" s="36">
        <v>43588</v>
      </c>
      <c r="AA70" s="44" t="s">
        <v>264</v>
      </c>
      <c r="AB70" s="38">
        <v>43588</v>
      </c>
      <c r="AC70" s="39">
        <v>43588</v>
      </c>
      <c r="AD70" s="45" t="e">
        <v>#VALUE!</v>
      </c>
      <c r="AE70" s="46" t="e">
        <v>#VALUE!</v>
      </c>
      <c r="AF70" s="25" t="s">
        <v>10984</v>
      </c>
      <c r="AG70" s="42" t="s">
        <v>4999</v>
      </c>
      <c r="AH70" s="66"/>
      <c r="AI70" s="27"/>
    </row>
    <row r="71" spans="1:35" s="2" customFormat="1" ht="15.75" thickBot="1" x14ac:dyDescent="0.25">
      <c r="A71" s="221" t="str">
        <f t="shared" si="3"/>
        <v>OK</v>
      </c>
      <c r="B71" s="222" t="str">
        <f t="shared" ref="B71:B134" si="4">IF(OR(ISBLANK(S71),ISBLANK(T71),ISBLANK(U71),ISBLANK(V71),ISBLANK(W71),ISBLANK(X71),ISBLANK(Y71),ISBLANK(Z71))=TRUE,"P","OK")</f>
        <v>OK</v>
      </c>
      <c r="C71" s="223" t="str">
        <f t="shared" ref="C71:C134" si="5">IF(OR(ISBLANK(AA71),ISBLANK(AB71),ISBLANK(AC71))=TRUE,"P","OK")</f>
        <v>OK</v>
      </c>
      <c r="D71" s="28">
        <v>0</v>
      </c>
      <c r="E71" s="29" t="s">
        <v>11168</v>
      </c>
      <c r="F71" s="30" t="s">
        <v>8322</v>
      </c>
      <c r="G71" s="30">
        <v>180366</v>
      </c>
      <c r="H71" s="30" t="s">
        <v>11169</v>
      </c>
      <c r="I71" s="30" t="s">
        <v>6820</v>
      </c>
      <c r="J71" s="30" t="s">
        <v>6829</v>
      </c>
      <c r="K71" s="30" t="s">
        <v>11170</v>
      </c>
      <c r="L71" s="30" t="s">
        <v>11171</v>
      </c>
      <c r="M71" s="30" t="s">
        <v>11172</v>
      </c>
      <c r="N71" s="31">
        <v>43584</v>
      </c>
      <c r="O71" s="30" t="s">
        <v>9350</v>
      </c>
      <c r="P71" s="31">
        <v>43584</v>
      </c>
      <c r="Q71" s="31">
        <v>43584</v>
      </c>
      <c r="R71" s="32">
        <v>43585</v>
      </c>
      <c r="S71" s="33" t="s">
        <v>10852</v>
      </c>
      <c r="T71" s="34" t="s">
        <v>10852</v>
      </c>
      <c r="U71" s="35">
        <v>43587</v>
      </c>
      <c r="V71" s="34" t="s">
        <v>11173</v>
      </c>
      <c r="W71" s="34">
        <v>2</v>
      </c>
      <c r="X71" s="34" t="s">
        <v>5683</v>
      </c>
      <c r="Y71" s="34" t="s">
        <v>4999</v>
      </c>
      <c r="Z71" s="36">
        <v>43600</v>
      </c>
      <c r="AA71" s="44" t="s">
        <v>264</v>
      </c>
      <c r="AB71" s="38">
        <v>43606</v>
      </c>
      <c r="AC71" s="39">
        <v>43606</v>
      </c>
      <c r="AD71" s="45" t="e">
        <v>#VALUE!</v>
      </c>
      <c r="AE71" s="46" t="e">
        <v>#VALUE!</v>
      </c>
      <c r="AF71" s="25" t="s">
        <v>10984</v>
      </c>
      <c r="AG71" s="42" t="s">
        <v>4999</v>
      </c>
      <c r="AH71" s="66"/>
      <c r="AI71" s="27"/>
    </row>
    <row r="72" spans="1:35" s="2" customFormat="1" ht="26.25" thickBot="1" x14ac:dyDescent="0.25">
      <c r="A72" s="221" t="str">
        <f t="shared" si="3"/>
        <v>OK</v>
      </c>
      <c r="B72" s="222" t="str">
        <f t="shared" si="4"/>
        <v>OK</v>
      </c>
      <c r="C72" s="223" t="str">
        <f t="shared" si="5"/>
        <v>OK</v>
      </c>
      <c r="D72" s="28">
        <v>0</v>
      </c>
      <c r="E72" s="49" t="s">
        <v>11174</v>
      </c>
      <c r="F72" s="50" t="s">
        <v>8443</v>
      </c>
      <c r="G72" s="50">
        <v>180370</v>
      </c>
      <c r="H72" s="50" t="s">
        <v>11175</v>
      </c>
      <c r="I72" s="50" t="s">
        <v>6820</v>
      </c>
      <c r="J72" s="50" t="s">
        <v>6829</v>
      </c>
      <c r="K72" s="50" t="s">
        <v>10509</v>
      </c>
      <c r="L72" s="50" t="s">
        <v>11176</v>
      </c>
      <c r="M72" s="50" t="s">
        <v>11177</v>
      </c>
      <c r="N72" s="51">
        <v>43587</v>
      </c>
      <c r="O72" s="50" t="s">
        <v>9350</v>
      </c>
      <c r="P72" s="51">
        <v>43587</v>
      </c>
      <c r="Q72" s="51">
        <v>43588</v>
      </c>
      <c r="R72" s="52">
        <v>43588</v>
      </c>
      <c r="S72" s="33" t="s">
        <v>10852</v>
      </c>
      <c r="T72" s="34" t="s">
        <v>10852</v>
      </c>
      <c r="U72" s="35">
        <v>43657</v>
      </c>
      <c r="V72" s="34" t="s">
        <v>8448</v>
      </c>
      <c r="W72" s="34">
        <v>5</v>
      </c>
      <c r="X72" s="34" t="s">
        <v>5683</v>
      </c>
      <c r="Y72" s="34" t="s">
        <v>4999</v>
      </c>
      <c r="Z72" s="36">
        <v>43664</v>
      </c>
      <c r="AA72" s="44" t="s">
        <v>264</v>
      </c>
      <c r="AB72" s="38">
        <v>43664</v>
      </c>
      <c r="AC72" s="39">
        <v>43664</v>
      </c>
      <c r="AD72" s="45" t="e">
        <v>#VALUE!</v>
      </c>
      <c r="AE72" s="46" t="e">
        <v>#VALUE!</v>
      </c>
      <c r="AF72" s="53"/>
      <c r="AG72" s="54" t="s">
        <v>11136</v>
      </c>
      <c r="AH72" s="67"/>
      <c r="AI72" s="68"/>
    </row>
    <row r="73" spans="1:35" s="2" customFormat="1" ht="26.25" thickBot="1" x14ac:dyDescent="0.25">
      <c r="A73" s="221" t="str">
        <f t="shared" si="3"/>
        <v>OK</v>
      </c>
      <c r="B73" s="222" t="str">
        <f t="shared" si="4"/>
        <v>OK</v>
      </c>
      <c r="C73" s="223" t="str">
        <f t="shared" si="5"/>
        <v>OK</v>
      </c>
      <c r="D73" s="28">
        <v>0</v>
      </c>
      <c r="E73" s="49" t="s">
        <v>11178</v>
      </c>
      <c r="F73" s="50" t="s">
        <v>6169</v>
      </c>
      <c r="G73" s="50">
        <v>180375</v>
      </c>
      <c r="H73" s="50" t="s">
        <v>11179</v>
      </c>
      <c r="I73" s="50" t="s">
        <v>6820</v>
      </c>
      <c r="J73" s="50" t="s">
        <v>6829</v>
      </c>
      <c r="K73" s="50" t="s">
        <v>9318</v>
      </c>
      <c r="L73" s="50" t="s">
        <v>11180</v>
      </c>
      <c r="M73" s="50" t="s">
        <v>9107</v>
      </c>
      <c r="N73" s="51">
        <v>43594</v>
      </c>
      <c r="O73" s="51" t="s">
        <v>9350</v>
      </c>
      <c r="P73" s="51">
        <v>43594</v>
      </c>
      <c r="Q73" s="51">
        <v>43594</v>
      </c>
      <c r="R73" s="52">
        <v>43594</v>
      </c>
      <c r="S73" s="33" t="s">
        <v>10852</v>
      </c>
      <c r="T73" s="34" t="s">
        <v>10852</v>
      </c>
      <c r="U73" s="35">
        <v>43594</v>
      </c>
      <c r="V73" s="34" t="s">
        <v>9108</v>
      </c>
      <c r="W73" s="34">
        <v>1</v>
      </c>
      <c r="X73" s="34" t="s">
        <v>5683</v>
      </c>
      <c r="Y73" s="34" t="s">
        <v>4999</v>
      </c>
      <c r="Z73" s="36">
        <v>43595</v>
      </c>
      <c r="AA73" s="44" t="s">
        <v>264</v>
      </c>
      <c r="AB73" s="38">
        <v>43595</v>
      </c>
      <c r="AC73" s="39">
        <v>43595</v>
      </c>
      <c r="AD73" s="45" t="e">
        <v>#VALUE!</v>
      </c>
      <c r="AE73" s="46" t="e">
        <v>#VALUE!</v>
      </c>
      <c r="AF73" s="53" t="s">
        <v>10984</v>
      </c>
      <c r="AG73" s="54" t="s">
        <v>4999</v>
      </c>
      <c r="AH73" s="65"/>
    </row>
    <row r="74" spans="1:35" s="2" customFormat="1" ht="15.75" thickBot="1" x14ac:dyDescent="0.25">
      <c r="A74" s="221" t="str">
        <f t="shared" si="3"/>
        <v>OK</v>
      </c>
      <c r="B74" s="222" t="str">
        <f t="shared" si="4"/>
        <v>OK</v>
      </c>
      <c r="C74" s="223" t="str">
        <f t="shared" si="5"/>
        <v>OK</v>
      </c>
      <c r="D74" s="28">
        <v>0</v>
      </c>
      <c r="E74" s="29" t="s">
        <v>11181</v>
      </c>
      <c r="F74" s="30" t="s">
        <v>9024</v>
      </c>
      <c r="G74" s="30">
        <v>180376</v>
      </c>
      <c r="H74" s="30" t="s">
        <v>11182</v>
      </c>
      <c r="I74" s="30" t="s">
        <v>6820</v>
      </c>
      <c r="J74" s="30" t="s">
        <v>6829</v>
      </c>
      <c r="K74" s="30" t="s">
        <v>9882</v>
      </c>
      <c r="L74" s="30">
        <v>3110</v>
      </c>
      <c r="M74" s="30" t="s">
        <v>2504</v>
      </c>
      <c r="N74" s="31">
        <v>43594</v>
      </c>
      <c r="O74" s="30" t="s">
        <v>9350</v>
      </c>
      <c r="P74" s="31">
        <v>43594</v>
      </c>
      <c r="Q74" s="31">
        <v>43594</v>
      </c>
      <c r="R74" s="32">
        <v>43595</v>
      </c>
      <c r="S74" s="33" t="s">
        <v>10852</v>
      </c>
      <c r="T74" s="34" t="s">
        <v>10852</v>
      </c>
      <c r="U74" s="35">
        <v>43598</v>
      </c>
      <c r="V74" s="34" t="s">
        <v>9029</v>
      </c>
      <c r="W74" s="34">
        <v>2</v>
      </c>
      <c r="X74" s="34" t="s">
        <v>5683</v>
      </c>
      <c r="Y74" s="34" t="s">
        <v>4999</v>
      </c>
      <c r="Z74" s="36">
        <v>43599</v>
      </c>
      <c r="AA74" s="44" t="s">
        <v>264</v>
      </c>
      <c r="AB74" s="38">
        <v>43600</v>
      </c>
      <c r="AC74" s="39">
        <v>43600</v>
      </c>
      <c r="AD74" s="45" t="e">
        <v>#VALUE!</v>
      </c>
      <c r="AE74" s="46" t="e">
        <v>#VALUE!</v>
      </c>
      <c r="AF74" s="25" t="s">
        <v>10984</v>
      </c>
      <c r="AG74" s="42" t="s">
        <v>4999</v>
      </c>
      <c r="AH74" s="66"/>
      <c r="AI74" s="27"/>
    </row>
    <row r="75" spans="1:35" s="2" customFormat="1" ht="26.25" thickBot="1" x14ac:dyDescent="0.25">
      <c r="A75" s="221" t="str">
        <f t="shared" si="3"/>
        <v>OK</v>
      </c>
      <c r="B75" s="222" t="str">
        <f t="shared" si="4"/>
        <v>OK</v>
      </c>
      <c r="C75" s="223" t="str">
        <f t="shared" si="5"/>
        <v>OK</v>
      </c>
      <c r="D75" s="28">
        <v>0</v>
      </c>
      <c r="E75" s="49" t="s">
        <v>11183</v>
      </c>
      <c r="F75" s="50" t="s">
        <v>9414</v>
      </c>
      <c r="G75" s="50">
        <v>180369</v>
      </c>
      <c r="H75" s="50" t="s">
        <v>11184</v>
      </c>
      <c r="I75" s="50" t="s">
        <v>6820</v>
      </c>
      <c r="J75" s="50" t="s">
        <v>6829</v>
      </c>
      <c r="K75" s="50" t="s">
        <v>1104</v>
      </c>
      <c r="L75" s="50" t="s">
        <v>11185</v>
      </c>
      <c r="M75" s="50" t="s">
        <v>1106</v>
      </c>
      <c r="N75" s="51">
        <v>43588</v>
      </c>
      <c r="O75" s="50" t="s">
        <v>9350</v>
      </c>
      <c r="P75" s="51">
        <v>43588</v>
      </c>
      <c r="Q75" s="51">
        <v>43588</v>
      </c>
      <c r="R75" s="52">
        <v>43591</v>
      </c>
      <c r="S75" s="33" t="s">
        <v>10852</v>
      </c>
      <c r="T75" s="34" t="s">
        <v>9350</v>
      </c>
      <c r="U75" s="35">
        <v>43602</v>
      </c>
      <c r="V75" s="34" t="s">
        <v>9769</v>
      </c>
      <c r="W75" s="34">
        <v>1</v>
      </c>
      <c r="X75" s="34" t="s">
        <v>5683</v>
      </c>
      <c r="Y75" s="34" t="s">
        <v>4999</v>
      </c>
      <c r="Z75" s="36">
        <v>43605</v>
      </c>
      <c r="AA75" s="44" t="s">
        <v>264</v>
      </c>
      <c r="AB75" s="38">
        <v>43606</v>
      </c>
      <c r="AC75" s="39">
        <v>43606</v>
      </c>
      <c r="AD75" s="45" t="e">
        <v>#VALUE!</v>
      </c>
      <c r="AE75" s="46" t="e">
        <v>#VALUE!</v>
      </c>
      <c r="AF75" s="53" t="s">
        <v>10984</v>
      </c>
      <c r="AG75" s="54" t="s">
        <v>4999</v>
      </c>
      <c r="AH75" s="65"/>
    </row>
    <row r="76" spans="1:35" s="2" customFormat="1" ht="26.25" thickBot="1" x14ac:dyDescent="0.25">
      <c r="A76" s="221" t="str">
        <f t="shared" si="3"/>
        <v>OK</v>
      </c>
      <c r="B76" s="222" t="str">
        <f t="shared" si="4"/>
        <v>OK</v>
      </c>
      <c r="C76" s="223" t="str">
        <f t="shared" si="5"/>
        <v>OK</v>
      </c>
      <c r="D76" s="28">
        <v>0</v>
      </c>
      <c r="E76" s="49" t="s">
        <v>11186</v>
      </c>
      <c r="F76" s="50" t="s">
        <v>9414</v>
      </c>
      <c r="G76" s="50">
        <v>180368</v>
      </c>
      <c r="H76" s="50" t="s">
        <v>11187</v>
      </c>
      <c r="I76" s="50" t="s">
        <v>6820</v>
      </c>
      <c r="J76" s="50" t="s">
        <v>6829</v>
      </c>
      <c r="K76" s="50" t="s">
        <v>9767</v>
      </c>
      <c r="L76" s="50" t="s">
        <v>11188</v>
      </c>
      <c r="M76" s="50" t="s">
        <v>1106</v>
      </c>
      <c r="N76" s="51">
        <v>43588</v>
      </c>
      <c r="O76" s="50" t="s">
        <v>9350</v>
      </c>
      <c r="P76" s="51">
        <v>43588</v>
      </c>
      <c r="Q76" s="51">
        <v>43588</v>
      </c>
      <c r="R76" s="52">
        <v>43591</v>
      </c>
      <c r="S76" s="33" t="s">
        <v>10852</v>
      </c>
      <c r="T76" s="34" t="s">
        <v>9350</v>
      </c>
      <c r="U76" s="35">
        <v>43602</v>
      </c>
      <c r="V76" s="34" t="s">
        <v>9422</v>
      </c>
      <c r="W76" s="34">
        <v>2</v>
      </c>
      <c r="X76" s="34" t="s">
        <v>5683</v>
      </c>
      <c r="Y76" s="34" t="s">
        <v>4999</v>
      </c>
      <c r="Z76" s="36">
        <v>43605</v>
      </c>
      <c r="AA76" s="44" t="s">
        <v>264</v>
      </c>
      <c r="AB76" s="38">
        <v>43606</v>
      </c>
      <c r="AC76" s="39">
        <v>43606</v>
      </c>
      <c r="AD76" s="45" t="e">
        <v>#VALUE!</v>
      </c>
      <c r="AE76" s="46" t="e">
        <v>#VALUE!</v>
      </c>
      <c r="AF76" s="53" t="s">
        <v>10984</v>
      </c>
      <c r="AG76" s="54" t="s">
        <v>4999</v>
      </c>
      <c r="AH76" s="65"/>
    </row>
    <row r="77" spans="1:35" s="2" customFormat="1" ht="15.75" thickBot="1" x14ac:dyDescent="0.25">
      <c r="A77" s="221" t="str">
        <f t="shared" si="3"/>
        <v>OK</v>
      </c>
      <c r="B77" s="222" t="str">
        <f t="shared" si="4"/>
        <v>OK</v>
      </c>
      <c r="C77" s="223" t="str">
        <f t="shared" si="5"/>
        <v>OK</v>
      </c>
      <c r="D77" s="28">
        <v>0</v>
      </c>
      <c r="E77" s="29" t="s">
        <v>11189</v>
      </c>
      <c r="F77" s="30" t="s">
        <v>11045</v>
      </c>
      <c r="G77" s="30">
        <v>180320</v>
      </c>
      <c r="H77" s="30" t="s">
        <v>11190</v>
      </c>
      <c r="I77" s="30" t="s">
        <v>6820</v>
      </c>
      <c r="J77" s="30" t="s">
        <v>6829</v>
      </c>
      <c r="K77" s="30" t="s">
        <v>11191</v>
      </c>
      <c r="L77" s="30" t="s">
        <v>11192</v>
      </c>
      <c r="M77" s="30" t="s">
        <v>11193</v>
      </c>
      <c r="N77" s="31">
        <v>43543</v>
      </c>
      <c r="O77" s="30" t="s">
        <v>9350</v>
      </c>
      <c r="P77" s="31">
        <v>43543</v>
      </c>
      <c r="Q77" s="31">
        <v>43545</v>
      </c>
      <c r="R77" s="32">
        <v>43545</v>
      </c>
      <c r="S77" s="33" t="s">
        <v>10852</v>
      </c>
      <c r="T77" s="34" t="s">
        <v>10852</v>
      </c>
      <c r="U77" s="35">
        <v>43595</v>
      </c>
      <c r="V77" s="34" t="s">
        <v>11194</v>
      </c>
      <c r="W77" s="34">
        <v>1</v>
      </c>
      <c r="X77" s="34" t="s">
        <v>5683</v>
      </c>
      <c r="Y77" s="34" t="s">
        <v>4999</v>
      </c>
      <c r="Z77" s="36">
        <v>43601</v>
      </c>
      <c r="AA77" s="44" t="s">
        <v>264</v>
      </c>
      <c r="AB77" s="38">
        <v>43601</v>
      </c>
      <c r="AC77" s="39">
        <v>43601</v>
      </c>
      <c r="AD77" s="45" t="e">
        <v>#VALUE!</v>
      </c>
      <c r="AE77" s="46" t="e">
        <v>#VALUE!</v>
      </c>
      <c r="AF77" s="25" t="s">
        <v>10984</v>
      </c>
      <c r="AG77" s="42" t="s">
        <v>4999</v>
      </c>
      <c r="AH77" s="66"/>
      <c r="AI77" s="27"/>
    </row>
    <row r="78" spans="1:35" s="2" customFormat="1" ht="26.25" thickBot="1" x14ac:dyDescent="0.25">
      <c r="A78" s="221" t="str">
        <f t="shared" si="3"/>
        <v>OK</v>
      </c>
      <c r="B78" s="222" t="str">
        <f t="shared" si="4"/>
        <v>OK</v>
      </c>
      <c r="C78" s="223" t="str">
        <f t="shared" si="5"/>
        <v>OK</v>
      </c>
      <c r="D78" s="28">
        <v>0</v>
      </c>
      <c r="E78" s="49" t="s">
        <v>11195</v>
      </c>
      <c r="F78" s="50" t="s">
        <v>8369</v>
      </c>
      <c r="G78" s="50">
        <v>180387</v>
      </c>
      <c r="H78" s="50" t="s">
        <v>11196</v>
      </c>
      <c r="I78" s="50" t="s">
        <v>6820</v>
      </c>
      <c r="J78" s="50" t="s">
        <v>6829</v>
      </c>
      <c r="K78" s="50" t="s">
        <v>11197</v>
      </c>
      <c r="L78" s="50" t="s">
        <v>11198</v>
      </c>
      <c r="M78" s="50" t="s">
        <v>11199</v>
      </c>
      <c r="N78" s="51">
        <v>43605</v>
      </c>
      <c r="O78" s="50" t="s">
        <v>9350</v>
      </c>
      <c r="P78" s="51">
        <v>43605</v>
      </c>
      <c r="Q78" s="51">
        <v>43605</v>
      </c>
      <c r="R78" s="52">
        <v>43605</v>
      </c>
      <c r="S78" s="33" t="s">
        <v>10852</v>
      </c>
      <c r="T78" s="34" t="s">
        <v>10852</v>
      </c>
      <c r="U78" s="35">
        <v>43605</v>
      </c>
      <c r="V78" s="34" t="s">
        <v>11200</v>
      </c>
      <c r="W78" s="34">
        <v>2</v>
      </c>
      <c r="X78" s="34" t="s">
        <v>5683</v>
      </c>
      <c r="Y78" s="34" t="s">
        <v>4999</v>
      </c>
      <c r="Z78" s="36">
        <v>43614</v>
      </c>
      <c r="AA78" s="44" t="s">
        <v>264</v>
      </c>
      <c r="AB78" s="38">
        <v>43614</v>
      </c>
      <c r="AC78" s="39">
        <v>43614</v>
      </c>
      <c r="AD78" s="45" t="e">
        <v>#VALUE!</v>
      </c>
      <c r="AE78" s="46" t="e">
        <v>#VALUE!</v>
      </c>
      <c r="AF78" s="53" t="s">
        <v>11061</v>
      </c>
      <c r="AG78" s="54" t="s">
        <v>4999</v>
      </c>
      <c r="AH78" s="65" t="s">
        <v>11201</v>
      </c>
    </row>
    <row r="79" spans="1:35" s="2" customFormat="1" ht="26.25" thickBot="1" x14ac:dyDescent="0.25">
      <c r="A79" s="221" t="str">
        <f t="shared" si="3"/>
        <v>OK</v>
      </c>
      <c r="B79" s="222" t="str">
        <f t="shared" si="4"/>
        <v>OK</v>
      </c>
      <c r="C79" s="223" t="str">
        <f t="shared" si="5"/>
        <v>OK</v>
      </c>
      <c r="D79" s="28">
        <v>0</v>
      </c>
      <c r="E79" s="49" t="s">
        <v>11202</v>
      </c>
      <c r="F79" s="50" t="s">
        <v>9414</v>
      </c>
      <c r="G79" s="50">
        <v>180407</v>
      </c>
      <c r="H79" s="50" t="s">
        <v>11203</v>
      </c>
      <c r="I79" s="50" t="s">
        <v>6820</v>
      </c>
      <c r="J79" s="50" t="s">
        <v>6829</v>
      </c>
      <c r="K79" s="50" t="s">
        <v>11204</v>
      </c>
      <c r="L79" s="50" t="s">
        <v>9442</v>
      </c>
      <c r="M79" s="50" t="s">
        <v>1106</v>
      </c>
      <c r="N79" s="51">
        <v>43620</v>
      </c>
      <c r="O79" s="50" t="s">
        <v>9350</v>
      </c>
      <c r="P79" s="51">
        <v>43620</v>
      </c>
      <c r="Q79" s="51">
        <v>43620</v>
      </c>
      <c r="R79" s="52">
        <v>43621</v>
      </c>
      <c r="S79" s="33" t="s">
        <v>10852</v>
      </c>
      <c r="T79" s="34" t="s">
        <v>10852</v>
      </c>
      <c r="U79" s="35">
        <v>43622</v>
      </c>
      <c r="V79" s="34" t="s">
        <v>9443</v>
      </c>
      <c r="W79" s="34">
        <v>2</v>
      </c>
      <c r="X79" s="34" t="s">
        <v>5683</v>
      </c>
      <c r="Y79" s="34" t="s">
        <v>4999</v>
      </c>
      <c r="Z79" s="36">
        <v>43626</v>
      </c>
      <c r="AA79" s="44" t="s">
        <v>264</v>
      </c>
      <c r="AB79" s="38">
        <v>43626</v>
      </c>
      <c r="AC79" s="39">
        <v>43626</v>
      </c>
      <c r="AD79" s="45" t="e">
        <v>#VALUE!</v>
      </c>
      <c r="AE79" s="46" t="e">
        <v>#VALUE!</v>
      </c>
      <c r="AF79" s="53"/>
      <c r="AG79" s="54" t="s">
        <v>11136</v>
      </c>
      <c r="AH79" s="65"/>
    </row>
    <row r="80" spans="1:35" s="2" customFormat="1" ht="26.25" thickBot="1" x14ac:dyDescent="0.25">
      <c r="A80" s="221" t="str">
        <f t="shared" si="3"/>
        <v>OK</v>
      </c>
      <c r="B80" s="222" t="str">
        <f t="shared" si="4"/>
        <v>OK</v>
      </c>
      <c r="C80" s="223" t="str">
        <f t="shared" si="5"/>
        <v>OK</v>
      </c>
      <c r="D80" s="28">
        <v>0</v>
      </c>
      <c r="E80" s="49" t="s">
        <v>11205</v>
      </c>
      <c r="F80" s="50" t="s">
        <v>9414</v>
      </c>
      <c r="G80" s="50">
        <v>180430</v>
      </c>
      <c r="H80" s="50" t="s">
        <v>11206</v>
      </c>
      <c r="I80" s="50" t="s">
        <v>6820</v>
      </c>
      <c r="J80" s="50" t="s">
        <v>6829</v>
      </c>
      <c r="K80" s="50" t="s">
        <v>1113</v>
      </c>
      <c r="L80" s="50" t="s">
        <v>11207</v>
      </c>
      <c r="M80" s="50" t="s">
        <v>11208</v>
      </c>
      <c r="N80" s="51">
        <v>43642</v>
      </c>
      <c r="O80" s="50" t="s">
        <v>9350</v>
      </c>
      <c r="P80" s="51">
        <v>43642</v>
      </c>
      <c r="Q80" s="51">
        <v>43642</v>
      </c>
      <c r="R80" s="52">
        <v>43531</v>
      </c>
      <c r="S80" s="33" t="s">
        <v>9357</v>
      </c>
      <c r="T80" s="34" t="s">
        <v>10852</v>
      </c>
      <c r="U80" s="35">
        <v>43661</v>
      </c>
      <c r="V80" s="34" t="s">
        <v>11209</v>
      </c>
      <c r="W80" s="34">
        <v>1</v>
      </c>
      <c r="X80" s="34" t="s">
        <v>5683</v>
      </c>
      <c r="Y80" s="34" t="s">
        <v>4999</v>
      </c>
      <c r="Z80" s="36">
        <v>43662</v>
      </c>
      <c r="AA80" s="44" t="s">
        <v>264</v>
      </c>
      <c r="AB80" s="38">
        <v>43665</v>
      </c>
      <c r="AC80" s="39">
        <v>43665</v>
      </c>
      <c r="AD80" s="45" t="e">
        <v>#VALUE!</v>
      </c>
      <c r="AE80" s="46" t="e">
        <v>#VALUE!</v>
      </c>
      <c r="AF80" s="53"/>
      <c r="AG80" s="54" t="s">
        <v>11136</v>
      </c>
      <c r="AH80" s="65"/>
    </row>
    <row r="81" spans="1:35" s="2" customFormat="1" ht="26.25" thickBot="1" x14ac:dyDescent="0.25">
      <c r="A81" s="221" t="str">
        <f t="shared" si="3"/>
        <v>OK</v>
      </c>
      <c r="B81" s="222" t="str">
        <f t="shared" si="4"/>
        <v>OK</v>
      </c>
      <c r="C81" s="223" t="str">
        <f t="shared" si="5"/>
        <v>OK</v>
      </c>
      <c r="D81" s="28">
        <v>0</v>
      </c>
      <c r="E81" s="49" t="s">
        <v>11210</v>
      </c>
      <c r="F81" s="50" t="s">
        <v>9414</v>
      </c>
      <c r="G81" s="50">
        <v>180432</v>
      </c>
      <c r="H81" s="50" t="s">
        <v>11211</v>
      </c>
      <c r="I81" s="50" t="s">
        <v>6820</v>
      </c>
      <c r="J81" s="50" t="s">
        <v>6829</v>
      </c>
      <c r="K81" s="50" t="s">
        <v>1113</v>
      </c>
      <c r="L81" s="50" t="s">
        <v>11212</v>
      </c>
      <c r="M81" s="50" t="s">
        <v>1106</v>
      </c>
      <c r="N81" s="51">
        <v>43642</v>
      </c>
      <c r="O81" s="50" t="s">
        <v>9350</v>
      </c>
      <c r="P81" s="51">
        <v>43642</v>
      </c>
      <c r="Q81" s="51">
        <v>43642</v>
      </c>
      <c r="R81" s="52">
        <v>43649</v>
      </c>
      <c r="S81" s="33" t="s">
        <v>10852</v>
      </c>
      <c r="T81" s="34" t="s">
        <v>9350</v>
      </c>
      <c r="U81" s="35">
        <v>43661</v>
      </c>
      <c r="V81" s="34" t="s">
        <v>9422</v>
      </c>
      <c r="W81" s="34">
        <v>2</v>
      </c>
      <c r="X81" s="34" t="s">
        <v>5683</v>
      </c>
      <c r="Y81" s="34" t="s">
        <v>4999</v>
      </c>
      <c r="Z81" s="36">
        <v>43663</v>
      </c>
      <c r="AA81" s="44" t="s">
        <v>264</v>
      </c>
      <c r="AB81" s="38">
        <v>43665</v>
      </c>
      <c r="AC81" s="39">
        <v>43665</v>
      </c>
      <c r="AD81" s="45" t="e">
        <v>#VALUE!</v>
      </c>
      <c r="AE81" s="46" t="e">
        <v>#VALUE!</v>
      </c>
      <c r="AF81" s="53"/>
      <c r="AG81" s="54" t="s">
        <v>11136</v>
      </c>
      <c r="AH81" s="65"/>
    </row>
    <row r="82" spans="1:35" s="2" customFormat="1" ht="15.75" thickBot="1" x14ac:dyDescent="0.25">
      <c r="A82" s="221" t="str">
        <f t="shared" si="3"/>
        <v>OK</v>
      </c>
      <c r="B82" s="222" t="str">
        <f t="shared" si="4"/>
        <v>OK</v>
      </c>
      <c r="C82" s="223" t="str">
        <f t="shared" si="5"/>
        <v>OK</v>
      </c>
      <c r="D82" s="28">
        <v>0</v>
      </c>
      <c r="E82" s="29" t="s">
        <v>11213</v>
      </c>
      <c r="F82" s="30" t="s">
        <v>8326</v>
      </c>
      <c r="G82" s="30">
        <v>180377</v>
      </c>
      <c r="H82" s="30" t="s">
        <v>11214</v>
      </c>
      <c r="I82" s="30" t="s">
        <v>6820</v>
      </c>
      <c r="J82" s="30" t="s">
        <v>6829</v>
      </c>
      <c r="K82" s="30" t="s">
        <v>11215</v>
      </c>
      <c r="L82" s="30" t="s">
        <v>11216</v>
      </c>
      <c r="M82" s="30" t="s">
        <v>11217</v>
      </c>
      <c r="N82" s="31">
        <v>43594</v>
      </c>
      <c r="O82" s="30" t="s">
        <v>9350</v>
      </c>
      <c r="P82" s="31">
        <v>43594</v>
      </c>
      <c r="Q82" s="31">
        <v>43594</v>
      </c>
      <c r="R82" s="32">
        <v>43599</v>
      </c>
      <c r="S82" s="33" t="s">
        <v>10852</v>
      </c>
      <c r="T82" s="34" t="s">
        <v>10852</v>
      </c>
      <c r="U82" s="35">
        <v>43601</v>
      </c>
      <c r="V82" s="34" t="s">
        <v>1412</v>
      </c>
      <c r="W82" s="34">
        <v>1</v>
      </c>
      <c r="X82" s="34" t="s">
        <v>5683</v>
      </c>
      <c r="Y82" s="34" t="s">
        <v>4999</v>
      </c>
      <c r="Z82" s="36">
        <v>43601</v>
      </c>
      <c r="AA82" s="44" t="s">
        <v>264</v>
      </c>
      <c r="AB82" s="38">
        <v>43605</v>
      </c>
      <c r="AC82" s="39">
        <v>43605</v>
      </c>
      <c r="AD82" s="45" t="e">
        <v>#VALUE!</v>
      </c>
      <c r="AE82" s="46" t="e">
        <v>#VALUE!</v>
      </c>
      <c r="AF82" s="25"/>
      <c r="AG82" s="42" t="s">
        <v>11136</v>
      </c>
      <c r="AH82" s="66"/>
      <c r="AI82" s="27"/>
    </row>
    <row r="83" spans="1:35" s="2" customFormat="1" ht="26.25" thickBot="1" x14ac:dyDescent="0.25">
      <c r="A83" s="221" t="str">
        <f t="shared" si="3"/>
        <v>OK</v>
      </c>
      <c r="B83" s="222" t="str">
        <f t="shared" si="4"/>
        <v>OK</v>
      </c>
      <c r="C83" s="223" t="str">
        <f t="shared" si="5"/>
        <v>OK</v>
      </c>
      <c r="D83" s="28">
        <v>0</v>
      </c>
      <c r="E83" s="49" t="s">
        <v>11218</v>
      </c>
      <c r="F83" s="50" t="s">
        <v>9414</v>
      </c>
      <c r="G83" s="50">
        <v>180419</v>
      </c>
      <c r="H83" s="50" t="s">
        <v>11219</v>
      </c>
      <c r="I83" s="50" t="s">
        <v>6820</v>
      </c>
      <c r="J83" s="50" t="s">
        <v>6829</v>
      </c>
      <c r="K83" s="50" t="s">
        <v>11220</v>
      </c>
      <c r="L83" s="50" t="s">
        <v>11221</v>
      </c>
      <c r="M83" s="50" t="s">
        <v>1106</v>
      </c>
      <c r="N83" s="51">
        <v>43805</v>
      </c>
      <c r="O83" s="50" t="s">
        <v>9350</v>
      </c>
      <c r="P83" s="51">
        <v>43805</v>
      </c>
      <c r="Q83" s="51">
        <v>43805</v>
      </c>
      <c r="R83" s="52">
        <v>43630</v>
      </c>
      <c r="S83" s="33" t="s">
        <v>9357</v>
      </c>
      <c r="T83" s="34" t="s">
        <v>9350</v>
      </c>
      <c r="U83" s="35">
        <v>43643</v>
      </c>
      <c r="V83" s="34" t="s">
        <v>11222</v>
      </c>
      <c r="W83" s="34">
        <v>9</v>
      </c>
      <c r="X83" s="34" t="s">
        <v>5683</v>
      </c>
      <c r="Y83" s="34" t="s">
        <v>4999</v>
      </c>
      <c r="Z83" s="36">
        <v>43472</v>
      </c>
      <c r="AA83" s="44" t="s">
        <v>264</v>
      </c>
      <c r="AB83" s="38">
        <v>43647</v>
      </c>
      <c r="AC83" s="39">
        <v>43647</v>
      </c>
      <c r="AD83" s="45" t="e">
        <v>#VALUE!</v>
      </c>
      <c r="AE83" s="46" t="e">
        <v>#VALUE!</v>
      </c>
      <c r="AF83" s="53"/>
      <c r="AG83" s="54" t="s">
        <v>11136</v>
      </c>
      <c r="AH83" s="65"/>
    </row>
    <row r="84" spans="1:35" s="2" customFormat="1" ht="26.25" thickBot="1" x14ac:dyDescent="0.25">
      <c r="A84" s="221" t="str">
        <f t="shared" si="3"/>
        <v>OK</v>
      </c>
      <c r="B84" s="222" t="str">
        <f t="shared" si="4"/>
        <v>OK</v>
      </c>
      <c r="C84" s="223" t="str">
        <f t="shared" si="5"/>
        <v>OK</v>
      </c>
      <c r="D84" s="28">
        <v>0</v>
      </c>
      <c r="E84" s="49" t="s">
        <v>11223</v>
      </c>
      <c r="F84" s="50" t="s">
        <v>9414</v>
      </c>
      <c r="G84" s="50">
        <v>180437</v>
      </c>
      <c r="H84" s="50" t="s">
        <v>11224</v>
      </c>
      <c r="I84" s="50" t="s">
        <v>6820</v>
      </c>
      <c r="J84" s="50" t="s">
        <v>6829</v>
      </c>
      <c r="K84" s="50" t="s">
        <v>1125</v>
      </c>
      <c r="L84" s="50" t="s">
        <v>11225</v>
      </c>
      <c r="M84" s="50" t="s">
        <v>9417</v>
      </c>
      <c r="N84" s="51">
        <v>43644</v>
      </c>
      <c r="O84" s="50" t="s">
        <v>9350</v>
      </c>
      <c r="P84" s="51">
        <v>43644</v>
      </c>
      <c r="Q84" s="51">
        <v>43647</v>
      </c>
      <c r="R84" s="52">
        <v>43647</v>
      </c>
      <c r="S84" s="33" t="s">
        <v>10852</v>
      </c>
      <c r="T84" s="34" t="s">
        <v>10852</v>
      </c>
      <c r="U84" s="35">
        <v>43668</v>
      </c>
      <c r="V84" s="34" t="s">
        <v>11226</v>
      </c>
      <c r="W84" s="34">
        <v>3</v>
      </c>
      <c r="X84" s="34" t="s">
        <v>5683</v>
      </c>
      <c r="Y84" s="34" t="s">
        <v>4999</v>
      </c>
      <c r="Z84" s="36">
        <v>43671</v>
      </c>
      <c r="AA84" s="44" t="s">
        <v>264</v>
      </c>
      <c r="AB84" s="38">
        <v>43672</v>
      </c>
      <c r="AC84" s="39">
        <v>43672</v>
      </c>
      <c r="AD84" s="45" t="e">
        <v>#VALUE!</v>
      </c>
      <c r="AE84" s="46" t="e">
        <v>#VALUE!</v>
      </c>
      <c r="AF84" s="53"/>
      <c r="AG84" s="54" t="s">
        <v>11136</v>
      </c>
      <c r="AH84" s="65"/>
    </row>
    <row r="85" spans="1:35" s="2" customFormat="1" ht="26.25" thickBot="1" x14ac:dyDescent="0.25">
      <c r="A85" s="221" t="str">
        <f t="shared" si="3"/>
        <v>OK</v>
      </c>
      <c r="B85" s="222" t="str">
        <f t="shared" si="4"/>
        <v>OK</v>
      </c>
      <c r="C85" s="223" t="str">
        <f t="shared" si="5"/>
        <v>OK</v>
      </c>
      <c r="D85" s="28">
        <v>0</v>
      </c>
      <c r="E85" s="49" t="s">
        <v>11227</v>
      </c>
      <c r="F85" s="50" t="s">
        <v>9414</v>
      </c>
      <c r="G85" s="50">
        <v>180458</v>
      </c>
      <c r="H85" s="50" t="s">
        <v>11228</v>
      </c>
      <c r="I85" s="50" t="s">
        <v>6820</v>
      </c>
      <c r="J85" s="50" t="s">
        <v>6829</v>
      </c>
      <c r="K85" s="50" t="s">
        <v>11204</v>
      </c>
      <c r="L85" s="50" t="s">
        <v>11229</v>
      </c>
      <c r="M85" s="50" t="s">
        <v>1106</v>
      </c>
      <c r="N85" s="51">
        <v>43665</v>
      </c>
      <c r="O85" s="50" t="s">
        <v>9350</v>
      </c>
      <c r="P85" s="51">
        <v>43665</v>
      </c>
      <c r="Q85" s="51">
        <v>43665</v>
      </c>
      <c r="R85" s="52">
        <v>43665</v>
      </c>
      <c r="S85" s="33" t="s">
        <v>9357</v>
      </c>
      <c r="T85" s="34" t="s">
        <v>10852</v>
      </c>
      <c r="U85" s="35">
        <v>43668</v>
      </c>
      <c r="V85" s="34" t="s">
        <v>11230</v>
      </c>
      <c r="W85" s="34">
        <v>1</v>
      </c>
      <c r="X85" s="34" t="s">
        <v>5683</v>
      </c>
      <c r="Y85" s="34" t="s">
        <v>4999</v>
      </c>
      <c r="Z85" s="36">
        <v>43669</v>
      </c>
      <c r="AA85" s="44" t="s">
        <v>264</v>
      </c>
      <c r="AB85" s="38">
        <v>43670</v>
      </c>
      <c r="AC85" s="39">
        <v>43670</v>
      </c>
      <c r="AD85" s="45" t="e">
        <v>#VALUE!</v>
      </c>
      <c r="AE85" s="46" t="e">
        <v>#VALUE!</v>
      </c>
      <c r="AF85" s="53"/>
      <c r="AG85" s="54" t="s">
        <v>11136</v>
      </c>
      <c r="AH85" s="65"/>
    </row>
    <row r="86" spans="1:35" s="2" customFormat="1" ht="15.75" thickBot="1" x14ac:dyDescent="0.25">
      <c r="A86" s="221" t="str">
        <f t="shared" si="3"/>
        <v>OK</v>
      </c>
      <c r="B86" s="222" t="str">
        <f t="shared" si="4"/>
        <v>OK</v>
      </c>
      <c r="C86" s="223" t="str">
        <f t="shared" si="5"/>
        <v>OK</v>
      </c>
      <c r="D86" s="28">
        <v>0</v>
      </c>
      <c r="E86" s="29" t="s">
        <v>11231</v>
      </c>
      <c r="F86" s="30" t="s">
        <v>10964</v>
      </c>
      <c r="G86" s="30">
        <v>180379</v>
      </c>
      <c r="H86" s="30" t="s">
        <v>11232</v>
      </c>
      <c r="I86" s="30" t="s">
        <v>6820</v>
      </c>
      <c r="J86" s="30" t="s">
        <v>6829</v>
      </c>
      <c r="K86" s="30" t="s">
        <v>7423</v>
      </c>
      <c r="L86" s="30" t="s">
        <v>11233</v>
      </c>
      <c r="M86" s="30" t="s">
        <v>5893</v>
      </c>
      <c r="N86" s="31">
        <v>43598</v>
      </c>
      <c r="O86" s="30" t="s">
        <v>9350</v>
      </c>
      <c r="P86" s="31">
        <v>43598</v>
      </c>
      <c r="Q86" s="31">
        <v>43598</v>
      </c>
      <c r="R86" s="32">
        <v>43599</v>
      </c>
      <c r="S86" s="33" t="s">
        <v>10852</v>
      </c>
      <c r="T86" s="34" t="s">
        <v>9350</v>
      </c>
      <c r="U86" s="35">
        <v>43602</v>
      </c>
      <c r="V86" s="34" t="s">
        <v>11234</v>
      </c>
      <c r="W86" s="34">
        <v>1</v>
      </c>
      <c r="X86" s="34" t="s">
        <v>5683</v>
      </c>
      <c r="Y86" s="34" t="s">
        <v>4999</v>
      </c>
      <c r="Z86" s="36">
        <v>43602</v>
      </c>
      <c r="AA86" s="44" t="s">
        <v>264</v>
      </c>
      <c r="AB86" s="38">
        <v>43605</v>
      </c>
      <c r="AC86" s="39">
        <v>43605</v>
      </c>
      <c r="AD86" s="45" t="e">
        <v>#VALUE!</v>
      </c>
      <c r="AE86" s="46" t="e">
        <v>#VALUE!</v>
      </c>
      <c r="AF86" s="25" t="s">
        <v>10984</v>
      </c>
      <c r="AG86" s="42" t="s">
        <v>4999</v>
      </c>
      <c r="AH86" s="66"/>
      <c r="AI86" s="27"/>
    </row>
    <row r="87" spans="1:35" s="2" customFormat="1" ht="21" customHeight="1" thickBot="1" x14ac:dyDescent="0.25">
      <c r="A87" s="221" t="str">
        <f t="shared" si="3"/>
        <v>P</v>
      </c>
      <c r="B87" s="222" t="str">
        <f t="shared" si="4"/>
        <v>OK</v>
      </c>
      <c r="C87" s="223" t="str">
        <f t="shared" si="5"/>
        <v>OK</v>
      </c>
      <c r="D87" s="28">
        <v>0</v>
      </c>
      <c r="E87" s="49" t="s">
        <v>11235</v>
      </c>
      <c r="F87" s="50" t="s">
        <v>156</v>
      </c>
      <c r="G87" s="50">
        <v>180354</v>
      </c>
      <c r="H87" s="50" t="s">
        <v>11236</v>
      </c>
      <c r="I87" s="50" t="s">
        <v>6820</v>
      </c>
      <c r="J87" s="50" t="s">
        <v>6829</v>
      </c>
      <c r="K87" s="50" t="s">
        <v>11237</v>
      </c>
      <c r="L87" s="50"/>
      <c r="M87" s="50" t="s">
        <v>160</v>
      </c>
      <c r="N87" s="51">
        <v>43742</v>
      </c>
      <c r="O87" s="50" t="s">
        <v>9350</v>
      </c>
      <c r="P87" s="51">
        <v>43565</v>
      </c>
      <c r="Q87" s="51">
        <v>43571</v>
      </c>
      <c r="R87" s="52">
        <v>43573</v>
      </c>
      <c r="S87" s="33" t="s">
        <v>10852</v>
      </c>
      <c r="T87" s="34" t="s">
        <v>10853</v>
      </c>
      <c r="U87" s="35">
        <v>43612</v>
      </c>
      <c r="V87" s="34" t="s">
        <v>274</v>
      </c>
      <c r="W87" s="34">
        <v>11</v>
      </c>
      <c r="X87" s="34" t="s">
        <v>5683</v>
      </c>
      <c r="Y87" s="34" t="s">
        <v>4999</v>
      </c>
      <c r="Z87" s="36">
        <v>43629</v>
      </c>
      <c r="AA87" s="44" t="s">
        <v>264</v>
      </c>
      <c r="AB87" s="38">
        <v>43630</v>
      </c>
      <c r="AC87" s="39">
        <v>43630</v>
      </c>
      <c r="AD87" s="45" t="e">
        <v>#VALUE!</v>
      </c>
      <c r="AE87" s="46" t="e">
        <v>#VALUE!</v>
      </c>
      <c r="AF87" s="53"/>
      <c r="AG87" s="54" t="s">
        <v>11238</v>
      </c>
      <c r="AH87" s="65"/>
    </row>
    <row r="88" spans="1:35" s="2" customFormat="1" ht="15.75" thickBot="1" x14ac:dyDescent="0.25">
      <c r="A88" s="221" t="str">
        <f t="shared" si="3"/>
        <v>OK</v>
      </c>
      <c r="B88" s="222" t="str">
        <f t="shared" si="4"/>
        <v>OK</v>
      </c>
      <c r="C88" s="223" t="str">
        <f t="shared" si="5"/>
        <v>OK</v>
      </c>
      <c r="D88" s="28">
        <v>0</v>
      </c>
      <c r="E88" s="29" t="s">
        <v>11239</v>
      </c>
      <c r="F88" s="30" t="s">
        <v>11240</v>
      </c>
      <c r="G88" s="30">
        <v>180386</v>
      </c>
      <c r="H88" s="30" t="s">
        <v>11241</v>
      </c>
      <c r="I88" s="30" t="s">
        <v>6820</v>
      </c>
      <c r="J88" s="30" t="s">
        <v>6829</v>
      </c>
      <c r="K88" s="30" t="s">
        <v>11242</v>
      </c>
      <c r="L88" s="30" t="s">
        <v>11243</v>
      </c>
      <c r="M88" s="30" t="s">
        <v>160</v>
      </c>
      <c r="N88" s="31">
        <v>43601</v>
      </c>
      <c r="O88" s="30" t="s">
        <v>10875</v>
      </c>
      <c r="P88" s="31">
        <v>43601</v>
      </c>
      <c r="Q88" s="31">
        <v>43605</v>
      </c>
      <c r="R88" s="32">
        <v>43605</v>
      </c>
      <c r="S88" s="33" t="s">
        <v>10852</v>
      </c>
      <c r="T88" s="34" t="s">
        <v>10853</v>
      </c>
      <c r="U88" s="35">
        <v>43612</v>
      </c>
      <c r="V88" s="34" t="s">
        <v>7931</v>
      </c>
      <c r="W88" s="34">
        <v>15</v>
      </c>
      <c r="X88" s="34" t="s">
        <v>5683</v>
      </c>
      <c r="Y88" s="34" t="s">
        <v>4999</v>
      </c>
      <c r="Z88" s="36">
        <v>43629</v>
      </c>
      <c r="AA88" s="44" t="s">
        <v>264</v>
      </c>
      <c r="AB88" s="38">
        <v>43630</v>
      </c>
      <c r="AC88" s="39">
        <v>43630</v>
      </c>
      <c r="AD88" s="45" t="e">
        <v>#VALUE!</v>
      </c>
      <c r="AE88" s="46" t="e">
        <v>#VALUE!</v>
      </c>
      <c r="AF88" s="25"/>
      <c r="AG88" s="42" t="s">
        <v>11238</v>
      </c>
      <c r="AH88" s="66"/>
      <c r="AI88" s="27"/>
    </row>
    <row r="89" spans="1:35" s="2" customFormat="1" ht="15.75" thickBot="1" x14ac:dyDescent="0.25">
      <c r="A89" s="221" t="str">
        <f t="shared" si="3"/>
        <v>OK</v>
      </c>
      <c r="B89" s="222" t="str">
        <f t="shared" si="4"/>
        <v>OK</v>
      </c>
      <c r="C89" s="223" t="str">
        <f t="shared" si="5"/>
        <v>OK</v>
      </c>
      <c r="D89" s="28">
        <v>0</v>
      </c>
      <c r="E89" s="29" t="s">
        <v>11244</v>
      </c>
      <c r="F89" s="30" t="s">
        <v>8481</v>
      </c>
      <c r="G89" s="30">
        <v>180385</v>
      </c>
      <c r="H89" s="30" t="s">
        <v>11245</v>
      </c>
      <c r="I89" s="30" t="s">
        <v>6820</v>
      </c>
      <c r="J89" s="30" t="s">
        <v>6829</v>
      </c>
      <c r="K89" s="30" t="s">
        <v>11246</v>
      </c>
      <c r="L89" s="30" t="s">
        <v>11247</v>
      </c>
      <c r="M89" s="30" t="s">
        <v>160</v>
      </c>
      <c r="N89" s="31">
        <v>43605</v>
      </c>
      <c r="O89" s="30" t="s">
        <v>9350</v>
      </c>
      <c r="P89" s="31">
        <v>43605</v>
      </c>
      <c r="Q89" s="31">
        <v>43605</v>
      </c>
      <c r="R89" s="32">
        <v>43605</v>
      </c>
      <c r="S89" s="33" t="s">
        <v>10852</v>
      </c>
      <c r="T89" s="34" t="s">
        <v>10853</v>
      </c>
      <c r="U89" s="35">
        <v>43612</v>
      </c>
      <c r="V89" s="34" t="s">
        <v>7931</v>
      </c>
      <c r="W89" s="34">
        <v>14</v>
      </c>
      <c r="X89" s="34" t="s">
        <v>5683</v>
      </c>
      <c r="Y89" s="34" t="s">
        <v>4999</v>
      </c>
      <c r="Z89" s="36">
        <v>43629</v>
      </c>
      <c r="AA89" s="37" t="s">
        <v>264</v>
      </c>
      <c r="AB89" s="38">
        <v>43630</v>
      </c>
      <c r="AC89" s="39">
        <v>43630</v>
      </c>
      <c r="AD89" s="40" t="e">
        <v>#VALUE!</v>
      </c>
      <c r="AE89" s="41" t="e">
        <v>#VALUE!</v>
      </c>
      <c r="AF89" s="25"/>
      <c r="AG89" s="42" t="s">
        <v>11238</v>
      </c>
      <c r="AH89" s="66"/>
      <c r="AI89" s="27"/>
    </row>
    <row r="90" spans="1:35" s="2" customFormat="1" ht="15.75" customHeight="1" thickBot="1" x14ac:dyDescent="0.25">
      <c r="A90" s="221" t="str">
        <f t="shared" si="3"/>
        <v>OK</v>
      </c>
      <c r="B90" s="222" t="str">
        <f t="shared" si="4"/>
        <v>OK</v>
      </c>
      <c r="C90" s="223" t="str">
        <f t="shared" si="5"/>
        <v>OK</v>
      </c>
      <c r="D90" s="28">
        <v>0</v>
      </c>
      <c r="E90" s="29" t="s">
        <v>11248</v>
      </c>
      <c r="F90" s="30" t="s">
        <v>9377</v>
      </c>
      <c r="G90" s="30">
        <v>180390</v>
      </c>
      <c r="H90" s="30" t="s">
        <v>11249</v>
      </c>
      <c r="I90" s="30" t="s">
        <v>6820</v>
      </c>
      <c r="J90" s="30" t="s">
        <v>6829</v>
      </c>
      <c r="K90" s="30" t="s">
        <v>9074</v>
      </c>
      <c r="L90" s="30" t="s">
        <v>11250</v>
      </c>
      <c r="M90" s="30" t="s">
        <v>11251</v>
      </c>
      <c r="N90" s="31">
        <v>43606</v>
      </c>
      <c r="O90" s="30" t="s">
        <v>9350</v>
      </c>
      <c r="P90" s="31">
        <v>43606</v>
      </c>
      <c r="Q90" s="31">
        <v>43607</v>
      </c>
      <c r="R90" s="32">
        <v>43607</v>
      </c>
      <c r="S90" s="33" t="s">
        <v>10852</v>
      </c>
      <c r="T90" s="34" t="s">
        <v>10852</v>
      </c>
      <c r="U90" s="35">
        <v>43609</v>
      </c>
      <c r="V90" s="34" t="s">
        <v>5737</v>
      </c>
      <c r="W90" s="34">
        <v>3</v>
      </c>
      <c r="X90" s="34" t="s">
        <v>5683</v>
      </c>
      <c r="Y90" s="34" t="s">
        <v>4999</v>
      </c>
      <c r="Z90" s="36">
        <v>43622</v>
      </c>
      <c r="AA90" s="44" t="s">
        <v>264</v>
      </c>
      <c r="AB90" s="38">
        <v>43622</v>
      </c>
      <c r="AC90" s="39">
        <v>43622</v>
      </c>
      <c r="AD90" s="45" t="e">
        <v>#VALUE!</v>
      </c>
      <c r="AE90" s="46" t="e">
        <v>#VALUE!</v>
      </c>
      <c r="AF90" s="25"/>
      <c r="AG90" s="42" t="s">
        <v>11136</v>
      </c>
      <c r="AH90" s="66"/>
      <c r="AI90" s="27"/>
    </row>
    <row r="91" spans="1:35" s="2" customFormat="1" ht="15.75" thickBot="1" x14ac:dyDescent="0.25">
      <c r="A91" s="221" t="str">
        <f t="shared" si="3"/>
        <v>OK</v>
      </c>
      <c r="B91" s="222" t="str">
        <f t="shared" si="4"/>
        <v>OK</v>
      </c>
      <c r="C91" s="223" t="str">
        <f t="shared" si="5"/>
        <v>OK</v>
      </c>
      <c r="D91" s="28">
        <v>1</v>
      </c>
      <c r="E91" s="29" t="s">
        <v>11248</v>
      </c>
      <c r="F91" s="30" t="s">
        <v>9377</v>
      </c>
      <c r="G91" s="30">
        <v>180390</v>
      </c>
      <c r="H91" s="30" t="s">
        <v>11252</v>
      </c>
      <c r="I91" s="30" t="s">
        <v>6820</v>
      </c>
      <c r="J91" s="30" t="s">
        <v>6829</v>
      </c>
      <c r="K91" s="30" t="s">
        <v>9074</v>
      </c>
      <c r="L91" s="30" t="s">
        <v>11250</v>
      </c>
      <c r="M91" s="30" t="s">
        <v>5736</v>
      </c>
      <c r="N91" s="31">
        <v>43606</v>
      </c>
      <c r="O91" s="30" t="s">
        <v>10875</v>
      </c>
      <c r="P91" s="31">
        <v>43606</v>
      </c>
      <c r="Q91" s="31">
        <v>43607</v>
      </c>
      <c r="R91" s="32">
        <v>43607</v>
      </c>
      <c r="S91" s="33" t="s">
        <v>11253</v>
      </c>
      <c r="T91" s="34" t="s">
        <v>9350</v>
      </c>
      <c r="U91" s="35">
        <v>43643</v>
      </c>
      <c r="V91" s="34" t="s">
        <v>5737</v>
      </c>
      <c r="W91" s="34">
        <v>3</v>
      </c>
      <c r="X91" s="34" t="s">
        <v>5683</v>
      </c>
      <c r="Y91" s="34" t="s">
        <v>4999</v>
      </c>
      <c r="Z91" s="36">
        <v>43644</v>
      </c>
      <c r="AA91" s="44" t="s">
        <v>264</v>
      </c>
      <c r="AB91" s="38">
        <v>43644</v>
      </c>
      <c r="AC91" s="39">
        <v>43644</v>
      </c>
      <c r="AD91" s="45" t="e">
        <v>#VALUE!</v>
      </c>
      <c r="AE91" s="46" t="e">
        <v>#VALUE!</v>
      </c>
      <c r="AF91" s="25"/>
      <c r="AG91" s="42" t="s">
        <v>5683</v>
      </c>
      <c r="AH91" s="66"/>
      <c r="AI91" s="27"/>
    </row>
    <row r="92" spans="1:35" s="2" customFormat="1" ht="26.25" thickBot="1" x14ac:dyDescent="0.25">
      <c r="A92" s="221" t="str">
        <f t="shared" si="3"/>
        <v>OK</v>
      </c>
      <c r="B92" s="222" t="str">
        <f t="shared" si="4"/>
        <v>OK</v>
      </c>
      <c r="C92" s="223" t="str">
        <f t="shared" si="5"/>
        <v>OK</v>
      </c>
      <c r="D92" s="28">
        <v>0</v>
      </c>
      <c r="E92" s="49" t="s">
        <v>11254</v>
      </c>
      <c r="F92" s="50" t="s">
        <v>8369</v>
      </c>
      <c r="G92" s="50">
        <v>180392</v>
      </c>
      <c r="H92" s="50" t="s">
        <v>11255</v>
      </c>
      <c r="I92" s="50" t="s">
        <v>6820</v>
      </c>
      <c r="J92" s="50" t="s">
        <v>6829</v>
      </c>
      <c r="K92" s="50" t="s">
        <v>11256</v>
      </c>
      <c r="L92" s="50" t="s">
        <v>11257</v>
      </c>
      <c r="M92" s="50" t="s">
        <v>1834</v>
      </c>
      <c r="N92" s="51">
        <v>43609</v>
      </c>
      <c r="O92" s="50" t="s">
        <v>9350</v>
      </c>
      <c r="P92" s="51">
        <v>43609</v>
      </c>
      <c r="Q92" s="51">
        <v>43609</v>
      </c>
      <c r="R92" s="52">
        <v>43609</v>
      </c>
      <c r="S92" s="33" t="s">
        <v>10852</v>
      </c>
      <c r="T92" s="34" t="s">
        <v>10852</v>
      </c>
      <c r="U92" s="35">
        <v>43612</v>
      </c>
      <c r="V92" s="34" t="s">
        <v>1952</v>
      </c>
      <c r="W92" s="34">
        <v>1</v>
      </c>
      <c r="X92" s="34" t="s">
        <v>5683</v>
      </c>
      <c r="Y92" s="34" t="s">
        <v>4999</v>
      </c>
      <c r="Z92" s="36">
        <v>43616</v>
      </c>
      <c r="AA92" s="44" t="s">
        <v>264</v>
      </c>
      <c r="AB92" s="38">
        <v>43622</v>
      </c>
      <c r="AC92" s="39">
        <v>43622</v>
      </c>
      <c r="AD92" s="45" t="e">
        <v>#VALUE!</v>
      </c>
      <c r="AE92" s="46" t="e">
        <v>#VALUE!</v>
      </c>
      <c r="AF92" s="53"/>
      <c r="AG92" s="54" t="s">
        <v>11136</v>
      </c>
      <c r="AH92" s="65"/>
    </row>
    <row r="93" spans="1:35" s="2" customFormat="1" ht="19.149999999999999" customHeight="1" thickBot="1" x14ac:dyDescent="0.25">
      <c r="A93" s="221" t="str">
        <f t="shared" si="3"/>
        <v>OK</v>
      </c>
      <c r="B93" s="222" t="str">
        <f t="shared" si="4"/>
        <v>OK</v>
      </c>
      <c r="C93" s="223" t="str">
        <f t="shared" si="5"/>
        <v>OK</v>
      </c>
      <c r="D93" s="28">
        <v>0</v>
      </c>
      <c r="E93" s="49" t="s">
        <v>11258</v>
      </c>
      <c r="F93" s="50" t="s">
        <v>8369</v>
      </c>
      <c r="G93" s="50">
        <v>180392</v>
      </c>
      <c r="H93" s="50" t="s">
        <v>11259</v>
      </c>
      <c r="I93" s="50" t="s">
        <v>6820</v>
      </c>
      <c r="J93" s="50" t="s">
        <v>6829</v>
      </c>
      <c r="K93" s="50" t="s">
        <v>5291</v>
      </c>
      <c r="L93" s="50">
        <v>330400</v>
      </c>
      <c r="M93" s="50" t="s">
        <v>5550</v>
      </c>
      <c r="N93" s="51">
        <v>43609</v>
      </c>
      <c r="O93" s="50" t="s">
        <v>9350</v>
      </c>
      <c r="P93" s="51">
        <v>43609</v>
      </c>
      <c r="Q93" s="51">
        <v>43609</v>
      </c>
      <c r="R93" s="52">
        <v>43609</v>
      </c>
      <c r="S93" s="33" t="s">
        <v>10852</v>
      </c>
      <c r="T93" s="34" t="s">
        <v>10852</v>
      </c>
      <c r="U93" s="35">
        <v>43612</v>
      </c>
      <c r="V93" s="34" t="s">
        <v>11260</v>
      </c>
      <c r="W93" s="34">
        <v>1</v>
      </c>
      <c r="X93" s="34" t="s">
        <v>5683</v>
      </c>
      <c r="Y93" s="34" t="s">
        <v>4999</v>
      </c>
      <c r="Z93" s="36">
        <v>43616</v>
      </c>
      <c r="AA93" s="44" t="s">
        <v>264</v>
      </c>
      <c r="AB93" s="38">
        <v>43622</v>
      </c>
      <c r="AC93" s="39">
        <v>43622</v>
      </c>
      <c r="AD93" s="45" t="e">
        <v>#VALUE!</v>
      </c>
      <c r="AE93" s="46" t="e">
        <v>#VALUE!</v>
      </c>
      <c r="AF93" s="53"/>
      <c r="AG93" s="54" t="s">
        <v>11136</v>
      </c>
      <c r="AH93" s="65"/>
    </row>
    <row r="94" spans="1:35" s="2" customFormat="1" ht="19.149999999999999" customHeight="1" thickBot="1" x14ac:dyDescent="0.25">
      <c r="A94" s="221" t="str">
        <f t="shared" si="3"/>
        <v>OK</v>
      </c>
      <c r="B94" s="222" t="str">
        <f t="shared" si="4"/>
        <v>OK</v>
      </c>
      <c r="C94" s="223" t="str">
        <f t="shared" si="5"/>
        <v>OK</v>
      </c>
      <c r="D94" s="28">
        <v>0</v>
      </c>
      <c r="E94" s="49" t="s">
        <v>11261</v>
      </c>
      <c r="F94" s="50" t="s">
        <v>8369</v>
      </c>
      <c r="G94" s="50">
        <v>180392</v>
      </c>
      <c r="H94" s="50" t="s">
        <v>11262</v>
      </c>
      <c r="I94" s="50" t="s">
        <v>6820</v>
      </c>
      <c r="J94" s="50" t="s">
        <v>6829</v>
      </c>
      <c r="K94" s="50" t="s">
        <v>3701</v>
      </c>
      <c r="L94" s="50" t="s">
        <v>11263</v>
      </c>
      <c r="M94" s="50" t="s">
        <v>1684</v>
      </c>
      <c r="N94" s="51">
        <v>43609</v>
      </c>
      <c r="O94" s="50" t="s">
        <v>9350</v>
      </c>
      <c r="P94" s="51">
        <v>43609</v>
      </c>
      <c r="Q94" s="51">
        <v>43609</v>
      </c>
      <c r="R94" s="52">
        <v>43609</v>
      </c>
      <c r="S94" s="33" t="s">
        <v>10852</v>
      </c>
      <c r="T94" s="34" t="s">
        <v>10852</v>
      </c>
      <c r="U94" s="35">
        <v>43612</v>
      </c>
      <c r="V94" s="34" t="s">
        <v>11264</v>
      </c>
      <c r="W94" s="34">
        <v>7</v>
      </c>
      <c r="X94" s="34" t="s">
        <v>5683</v>
      </c>
      <c r="Y94" s="34" t="s">
        <v>4999</v>
      </c>
      <c r="Z94" s="36">
        <v>43616</v>
      </c>
      <c r="AA94" s="44" t="s">
        <v>264</v>
      </c>
      <c r="AB94" s="38">
        <v>43622</v>
      </c>
      <c r="AC94" s="39">
        <v>43622</v>
      </c>
      <c r="AD94" s="45" t="e">
        <v>#VALUE!</v>
      </c>
      <c r="AE94" s="46" t="e">
        <v>#VALUE!</v>
      </c>
      <c r="AF94" s="53"/>
      <c r="AG94" s="54" t="s">
        <v>11136</v>
      </c>
      <c r="AH94" s="65"/>
    </row>
    <row r="95" spans="1:35" s="2" customFormat="1" ht="19.149999999999999" customHeight="1" thickBot="1" x14ac:dyDescent="0.25">
      <c r="A95" s="221" t="str">
        <f t="shared" si="3"/>
        <v>OK</v>
      </c>
      <c r="B95" s="222" t="str">
        <f t="shared" si="4"/>
        <v>OK</v>
      </c>
      <c r="C95" s="223" t="str">
        <f t="shared" si="5"/>
        <v>OK</v>
      </c>
      <c r="D95" s="28">
        <v>0</v>
      </c>
      <c r="E95" s="29" t="s">
        <v>11265</v>
      </c>
      <c r="F95" s="30" t="s">
        <v>9024</v>
      </c>
      <c r="G95" s="30">
        <v>180393</v>
      </c>
      <c r="H95" s="30" t="s">
        <v>11266</v>
      </c>
      <c r="I95" s="30" t="s">
        <v>6820</v>
      </c>
      <c r="J95" s="30" t="s">
        <v>6829</v>
      </c>
      <c r="K95" s="30" t="s">
        <v>11267</v>
      </c>
      <c r="L95" s="30">
        <v>3110</v>
      </c>
      <c r="M95" s="30" t="s">
        <v>2504</v>
      </c>
      <c r="N95" s="31">
        <v>43608</v>
      </c>
      <c r="O95" s="30" t="s">
        <v>9350</v>
      </c>
      <c r="P95" s="31">
        <v>43608</v>
      </c>
      <c r="Q95" s="31">
        <v>43609</v>
      </c>
      <c r="R95" s="32">
        <v>43609</v>
      </c>
      <c r="S95" s="33" t="s">
        <v>10852</v>
      </c>
      <c r="T95" s="34" t="s">
        <v>10852</v>
      </c>
      <c r="U95" s="35">
        <v>43609</v>
      </c>
      <c r="V95" s="34" t="s">
        <v>3315</v>
      </c>
      <c r="W95" s="34">
        <v>4</v>
      </c>
      <c r="X95" s="34" t="s">
        <v>5683</v>
      </c>
      <c r="Y95" s="34" t="s">
        <v>4999</v>
      </c>
      <c r="Z95" s="36">
        <v>43615</v>
      </c>
      <c r="AA95" s="44" t="s">
        <v>264</v>
      </c>
      <c r="AB95" s="38">
        <v>43616</v>
      </c>
      <c r="AC95" s="39">
        <v>43616</v>
      </c>
      <c r="AD95" s="45" t="e">
        <v>#VALUE!</v>
      </c>
      <c r="AE95" s="46" t="e">
        <v>#VALUE!</v>
      </c>
      <c r="AF95" s="25"/>
      <c r="AG95" s="42" t="s">
        <v>4999</v>
      </c>
      <c r="AH95" s="66"/>
      <c r="AI95" s="27"/>
    </row>
    <row r="96" spans="1:35" s="2" customFormat="1" ht="15.75" thickBot="1" x14ac:dyDescent="0.25">
      <c r="A96" s="221" t="str">
        <f t="shared" si="3"/>
        <v>OK</v>
      </c>
      <c r="B96" s="222" t="str">
        <f t="shared" si="4"/>
        <v>OK</v>
      </c>
      <c r="C96" s="223" t="str">
        <f t="shared" si="5"/>
        <v>OK</v>
      </c>
      <c r="D96" s="28">
        <v>0</v>
      </c>
      <c r="E96" s="29" t="s">
        <v>11268</v>
      </c>
      <c r="F96" s="30" t="s">
        <v>9024</v>
      </c>
      <c r="G96" s="30">
        <v>180389</v>
      </c>
      <c r="H96" s="30" t="s">
        <v>11269</v>
      </c>
      <c r="I96" s="30" t="s">
        <v>6820</v>
      </c>
      <c r="J96" s="30" t="s">
        <v>6829</v>
      </c>
      <c r="K96" s="30" t="s">
        <v>11270</v>
      </c>
      <c r="L96" s="30" t="s">
        <v>11271</v>
      </c>
      <c r="M96" s="30" t="s">
        <v>11272</v>
      </c>
      <c r="N96" s="31">
        <v>43606</v>
      </c>
      <c r="O96" s="57" t="s">
        <v>9350</v>
      </c>
      <c r="P96" s="31">
        <v>43606</v>
      </c>
      <c r="Q96" s="31">
        <v>43607</v>
      </c>
      <c r="R96" s="32">
        <v>43613</v>
      </c>
      <c r="S96" s="33" t="s">
        <v>10852</v>
      </c>
      <c r="T96" s="34" t="s">
        <v>9350</v>
      </c>
      <c r="U96" s="35">
        <v>43614</v>
      </c>
      <c r="V96" s="34" t="s">
        <v>11273</v>
      </c>
      <c r="W96" s="34">
        <v>2</v>
      </c>
      <c r="X96" s="34" t="s">
        <v>5683</v>
      </c>
      <c r="Y96" s="34" t="s">
        <v>4999</v>
      </c>
      <c r="Z96" s="36">
        <v>43629</v>
      </c>
      <c r="AA96" s="44" t="s">
        <v>264</v>
      </c>
      <c r="AB96" s="38">
        <v>43630</v>
      </c>
      <c r="AC96" s="39">
        <v>43630</v>
      </c>
      <c r="AD96" s="45" t="e">
        <v>#VALUE!</v>
      </c>
      <c r="AE96" s="46" t="e">
        <v>#VALUE!</v>
      </c>
      <c r="AF96" s="25"/>
      <c r="AG96" s="42" t="s">
        <v>11136</v>
      </c>
      <c r="AH96" s="66"/>
      <c r="AI96" s="27"/>
    </row>
    <row r="97" spans="1:35" s="2" customFormat="1" ht="15.75" thickBot="1" x14ac:dyDescent="0.25">
      <c r="A97" s="221" t="str">
        <f t="shared" si="3"/>
        <v>OK</v>
      </c>
      <c r="B97" s="222" t="str">
        <f t="shared" si="4"/>
        <v>OK</v>
      </c>
      <c r="C97" s="223" t="str">
        <f t="shared" si="5"/>
        <v>OK</v>
      </c>
      <c r="D97" s="28">
        <v>0</v>
      </c>
      <c r="E97" s="29" t="s">
        <v>11274</v>
      </c>
      <c r="F97" s="30" t="s">
        <v>8322</v>
      </c>
      <c r="G97" s="30">
        <v>180399</v>
      </c>
      <c r="H97" s="30" t="s">
        <v>11275</v>
      </c>
      <c r="I97" s="30" t="s">
        <v>6820</v>
      </c>
      <c r="J97" s="30" t="s">
        <v>6829</v>
      </c>
      <c r="K97" s="30" t="s">
        <v>11276</v>
      </c>
      <c r="L97" s="30" t="s">
        <v>9211</v>
      </c>
      <c r="M97" s="30" t="s">
        <v>5529</v>
      </c>
      <c r="N97" s="31">
        <v>43614</v>
      </c>
      <c r="O97" s="58" t="s">
        <v>9350</v>
      </c>
      <c r="P97" s="31">
        <v>43614</v>
      </c>
      <c r="Q97" s="31">
        <v>43615</v>
      </c>
      <c r="R97" s="32">
        <v>43615</v>
      </c>
      <c r="S97" s="33" t="s">
        <v>10852</v>
      </c>
      <c r="T97" s="34" t="s">
        <v>10852</v>
      </c>
      <c r="U97" s="35">
        <v>43622</v>
      </c>
      <c r="V97" s="34" t="s">
        <v>6287</v>
      </c>
      <c r="W97" s="34">
        <v>4</v>
      </c>
      <c r="X97" s="34" t="s">
        <v>5683</v>
      </c>
      <c r="Y97" s="34" t="s">
        <v>4999</v>
      </c>
      <c r="Z97" s="36">
        <v>43627</v>
      </c>
      <c r="AA97" s="44" t="s">
        <v>264</v>
      </c>
      <c r="AB97" s="38">
        <v>43627</v>
      </c>
      <c r="AC97" s="39">
        <v>43627</v>
      </c>
      <c r="AD97" s="45" t="e">
        <v>#VALUE!</v>
      </c>
      <c r="AE97" s="46" t="e">
        <v>#VALUE!</v>
      </c>
      <c r="AF97" s="25"/>
      <c r="AG97" s="42" t="s">
        <v>11136</v>
      </c>
      <c r="AH97" s="66"/>
      <c r="AI97" s="27"/>
    </row>
    <row r="98" spans="1:35" s="2" customFormat="1" ht="26.25" thickBot="1" x14ac:dyDescent="0.25">
      <c r="A98" s="221" t="str">
        <f t="shared" si="3"/>
        <v>OK</v>
      </c>
      <c r="B98" s="222" t="str">
        <f t="shared" si="4"/>
        <v>OK</v>
      </c>
      <c r="C98" s="223" t="str">
        <f t="shared" si="5"/>
        <v>OK</v>
      </c>
      <c r="D98" s="28">
        <v>0</v>
      </c>
      <c r="E98" s="49" t="s">
        <v>11277</v>
      </c>
      <c r="F98" s="50" t="s">
        <v>8729</v>
      </c>
      <c r="G98" s="50">
        <v>180397</v>
      </c>
      <c r="H98" s="50" t="s">
        <v>11278</v>
      </c>
      <c r="I98" s="50" t="s">
        <v>6820</v>
      </c>
      <c r="J98" s="50" t="s">
        <v>6829</v>
      </c>
      <c r="K98" s="50" t="s">
        <v>11279</v>
      </c>
      <c r="L98" s="50" t="s">
        <v>11280</v>
      </c>
      <c r="M98" s="50" t="s">
        <v>11281</v>
      </c>
      <c r="N98" s="51">
        <v>43613</v>
      </c>
      <c r="O98" s="50" t="s">
        <v>9350</v>
      </c>
      <c r="P98" s="51">
        <v>43613</v>
      </c>
      <c r="Q98" s="51">
        <v>43613</v>
      </c>
      <c r="R98" s="52">
        <v>43616</v>
      </c>
      <c r="S98" s="33" t="s">
        <v>10852</v>
      </c>
      <c r="T98" s="34" t="s">
        <v>9350</v>
      </c>
      <c r="U98" s="35">
        <v>43619</v>
      </c>
      <c r="V98" s="34" t="s">
        <v>11282</v>
      </c>
      <c r="W98" s="34">
        <v>1</v>
      </c>
      <c r="X98" s="34" t="s">
        <v>5683</v>
      </c>
      <c r="Y98" s="34" t="s">
        <v>4999</v>
      </c>
      <c r="Z98" s="36">
        <v>43621</v>
      </c>
      <c r="AA98" s="44" t="s">
        <v>264</v>
      </c>
      <c r="AB98" s="38">
        <v>43622</v>
      </c>
      <c r="AC98" s="39">
        <v>43622</v>
      </c>
      <c r="AD98" s="45" t="e">
        <v>#VALUE!</v>
      </c>
      <c r="AE98" s="46" t="e">
        <v>#VALUE!</v>
      </c>
      <c r="AF98" s="53"/>
      <c r="AG98" s="54" t="s">
        <v>11136</v>
      </c>
      <c r="AH98" s="65"/>
    </row>
    <row r="99" spans="1:35" s="2" customFormat="1" ht="26.25" thickBot="1" x14ac:dyDescent="0.25">
      <c r="A99" s="221" t="str">
        <f t="shared" si="3"/>
        <v>OK</v>
      </c>
      <c r="B99" s="222" t="str">
        <f t="shared" si="4"/>
        <v>OK</v>
      </c>
      <c r="C99" s="223" t="str">
        <f t="shared" si="5"/>
        <v>OK</v>
      </c>
      <c r="D99" s="28">
        <v>0</v>
      </c>
      <c r="E99" s="49" t="s">
        <v>11283</v>
      </c>
      <c r="F99" s="50" t="s">
        <v>8369</v>
      </c>
      <c r="G99" s="50">
        <v>180381</v>
      </c>
      <c r="H99" s="50" t="s">
        <v>11284</v>
      </c>
      <c r="I99" s="50" t="s">
        <v>6820</v>
      </c>
      <c r="J99" s="50" t="s">
        <v>6829</v>
      </c>
      <c r="K99" s="50" t="s">
        <v>11191</v>
      </c>
      <c r="L99" s="50" t="s">
        <v>11285</v>
      </c>
      <c r="M99" s="50" t="s">
        <v>10556</v>
      </c>
      <c r="N99" s="51">
        <v>43602</v>
      </c>
      <c r="O99" s="50" t="s">
        <v>9350</v>
      </c>
      <c r="P99" s="51">
        <v>43602</v>
      </c>
      <c r="Q99" s="51">
        <v>43602</v>
      </c>
      <c r="R99" s="52">
        <v>43602</v>
      </c>
      <c r="S99" s="33" t="s">
        <v>10852</v>
      </c>
      <c r="T99" s="34" t="s">
        <v>10852</v>
      </c>
      <c r="U99" s="35">
        <v>43605</v>
      </c>
      <c r="V99" s="34" t="s">
        <v>11286</v>
      </c>
      <c r="W99" s="34">
        <v>9</v>
      </c>
      <c r="X99" s="34" t="s">
        <v>5683</v>
      </c>
      <c r="Y99" s="34" t="s">
        <v>4999</v>
      </c>
      <c r="Z99" s="36">
        <v>43614</v>
      </c>
      <c r="AA99" s="44" t="s">
        <v>264</v>
      </c>
      <c r="AB99" s="38">
        <v>43614</v>
      </c>
      <c r="AC99" s="39">
        <v>43614</v>
      </c>
      <c r="AD99" s="45" t="e">
        <v>#VALUE!</v>
      </c>
      <c r="AE99" s="46" t="e">
        <v>#VALUE!</v>
      </c>
      <c r="AF99" s="53"/>
      <c r="AG99" s="54" t="s">
        <v>4999</v>
      </c>
      <c r="AH99" s="65"/>
    </row>
    <row r="100" spans="1:35" s="2" customFormat="1" ht="15.75" thickBot="1" x14ac:dyDescent="0.25">
      <c r="A100" s="221" t="str">
        <f t="shared" si="3"/>
        <v>OK</v>
      </c>
      <c r="B100" s="222" t="str">
        <f t="shared" si="4"/>
        <v>OK</v>
      </c>
      <c r="C100" s="223" t="str">
        <f t="shared" si="5"/>
        <v>OK</v>
      </c>
      <c r="D100" s="28">
        <v>0</v>
      </c>
      <c r="E100" s="29" t="s">
        <v>11287</v>
      </c>
      <c r="F100" s="30" t="s">
        <v>9377</v>
      </c>
      <c r="G100" s="30">
        <v>180396</v>
      </c>
      <c r="H100" s="30" t="s">
        <v>11288</v>
      </c>
      <c r="I100" s="30" t="s">
        <v>6820</v>
      </c>
      <c r="J100" s="30" t="s">
        <v>6829</v>
      </c>
      <c r="K100" s="30" t="s">
        <v>11220</v>
      </c>
      <c r="L100" s="30" t="s">
        <v>11289</v>
      </c>
      <c r="M100" s="30" t="s">
        <v>9712</v>
      </c>
      <c r="N100" s="31">
        <v>43613</v>
      </c>
      <c r="O100" s="30" t="s">
        <v>9350</v>
      </c>
      <c r="P100" s="31">
        <v>43613</v>
      </c>
      <c r="Q100" s="31">
        <v>43613</v>
      </c>
      <c r="R100" s="32">
        <v>43614</v>
      </c>
      <c r="S100" s="33" t="s">
        <v>10852</v>
      </c>
      <c r="T100" s="34" t="s">
        <v>10852</v>
      </c>
      <c r="U100" s="35">
        <v>43622</v>
      </c>
      <c r="V100" s="34" t="s">
        <v>11290</v>
      </c>
      <c r="W100" s="34">
        <v>4</v>
      </c>
      <c r="X100" s="34" t="s">
        <v>5683</v>
      </c>
      <c r="Y100" s="34" t="s">
        <v>4999</v>
      </c>
      <c r="Z100" s="36">
        <v>43626</v>
      </c>
      <c r="AA100" s="44" t="s">
        <v>264</v>
      </c>
      <c r="AB100" s="38">
        <v>43633</v>
      </c>
      <c r="AC100" s="39">
        <v>43633</v>
      </c>
      <c r="AD100" s="45" t="e">
        <v>#VALUE!</v>
      </c>
      <c r="AE100" s="46" t="e">
        <v>#VALUE!</v>
      </c>
      <c r="AF100" s="25"/>
      <c r="AG100" s="42" t="s">
        <v>11136</v>
      </c>
      <c r="AH100" s="66"/>
      <c r="AI100" s="27"/>
    </row>
    <row r="101" spans="1:35" s="2" customFormat="1" ht="26.25" thickBot="1" x14ac:dyDescent="0.25">
      <c r="A101" s="221" t="str">
        <f t="shared" si="3"/>
        <v>OK</v>
      </c>
      <c r="B101" s="222" t="str">
        <f t="shared" si="4"/>
        <v>OK</v>
      </c>
      <c r="C101" s="223" t="str">
        <f t="shared" si="5"/>
        <v>OK</v>
      </c>
      <c r="D101" s="28">
        <v>0</v>
      </c>
      <c r="E101" s="49" t="s">
        <v>11291</v>
      </c>
      <c r="F101" s="50" t="s">
        <v>9557</v>
      </c>
      <c r="G101" s="50">
        <v>180388</v>
      </c>
      <c r="H101" s="50" t="s">
        <v>11292</v>
      </c>
      <c r="I101" s="50" t="s">
        <v>6820</v>
      </c>
      <c r="J101" s="50" t="s">
        <v>6829</v>
      </c>
      <c r="K101" s="50" t="s">
        <v>11293</v>
      </c>
      <c r="L101" s="50" t="s">
        <v>11294</v>
      </c>
      <c r="M101" s="50" t="s">
        <v>2858</v>
      </c>
      <c r="N101" s="51">
        <v>43606</v>
      </c>
      <c r="O101" s="50" t="s">
        <v>9350</v>
      </c>
      <c r="P101" s="51">
        <v>43606</v>
      </c>
      <c r="Q101" s="51">
        <v>43607</v>
      </c>
      <c r="R101" s="52">
        <v>43616</v>
      </c>
      <c r="S101" s="33" t="s">
        <v>10852</v>
      </c>
      <c r="T101" s="34" t="s">
        <v>10853</v>
      </c>
      <c r="U101" s="35">
        <v>43623</v>
      </c>
      <c r="V101" s="34" t="s">
        <v>2859</v>
      </c>
      <c r="W101" s="34">
        <v>1</v>
      </c>
      <c r="X101" s="34" t="s">
        <v>5683</v>
      </c>
      <c r="Y101" s="34" t="s">
        <v>4999</v>
      </c>
      <c r="Z101" s="36">
        <v>43631</v>
      </c>
      <c r="AA101" s="44" t="s">
        <v>264</v>
      </c>
      <c r="AB101" s="38">
        <v>43633</v>
      </c>
      <c r="AC101" s="39">
        <v>43633</v>
      </c>
      <c r="AD101" s="45" t="e">
        <v>#VALUE!</v>
      </c>
      <c r="AE101" s="46" t="e">
        <v>#VALUE!</v>
      </c>
      <c r="AF101" s="53"/>
      <c r="AG101" s="54" t="s">
        <v>11136</v>
      </c>
      <c r="AH101" s="65"/>
    </row>
    <row r="102" spans="1:35" s="2" customFormat="1" ht="26.25" thickBot="1" x14ac:dyDescent="0.25">
      <c r="A102" s="221" t="str">
        <f t="shared" si="3"/>
        <v>OK</v>
      </c>
      <c r="B102" s="222" t="str">
        <f t="shared" si="4"/>
        <v>OK</v>
      </c>
      <c r="C102" s="223" t="str">
        <f t="shared" si="5"/>
        <v>OK</v>
      </c>
      <c r="D102" s="28">
        <v>0</v>
      </c>
      <c r="E102" s="49" t="s">
        <v>11295</v>
      </c>
      <c r="F102" s="50" t="s">
        <v>11296</v>
      </c>
      <c r="G102" s="50">
        <v>180403</v>
      </c>
      <c r="H102" s="50" t="s">
        <v>11297</v>
      </c>
      <c r="I102" s="50" t="s">
        <v>6820</v>
      </c>
      <c r="J102" s="50" t="s">
        <v>6829</v>
      </c>
      <c r="K102" s="50" t="s">
        <v>11298</v>
      </c>
      <c r="L102" s="50" t="s">
        <v>11299</v>
      </c>
      <c r="M102" s="50" t="s">
        <v>11300</v>
      </c>
      <c r="N102" s="51">
        <v>43609</v>
      </c>
      <c r="O102" s="50" t="s">
        <v>9350</v>
      </c>
      <c r="P102" s="51">
        <v>43609</v>
      </c>
      <c r="Q102" s="51">
        <v>43619</v>
      </c>
      <c r="R102" s="52">
        <v>43621</v>
      </c>
      <c r="S102" s="33" t="s">
        <v>9350</v>
      </c>
      <c r="T102" s="34" t="s">
        <v>11301</v>
      </c>
      <c r="U102" s="35">
        <v>43626</v>
      </c>
      <c r="V102" s="34" t="s">
        <v>11302</v>
      </c>
      <c r="W102" s="34">
        <v>5</v>
      </c>
      <c r="X102" s="34" t="s">
        <v>5683</v>
      </c>
      <c r="Y102" s="34" t="s">
        <v>4999</v>
      </c>
      <c r="Z102" s="36">
        <v>43648</v>
      </c>
      <c r="AA102" s="44" t="s">
        <v>264</v>
      </c>
      <c r="AB102" s="38">
        <v>43649</v>
      </c>
      <c r="AC102" s="39">
        <v>43649</v>
      </c>
      <c r="AD102" s="45" t="e">
        <v>#VALUE!</v>
      </c>
      <c r="AE102" s="46" t="e">
        <v>#VALUE!</v>
      </c>
      <c r="AF102" s="53"/>
      <c r="AG102" s="54" t="s">
        <v>11136</v>
      </c>
      <c r="AH102" s="67"/>
    </row>
    <row r="103" spans="1:35" s="2" customFormat="1" ht="15.75" thickBot="1" x14ac:dyDescent="0.25">
      <c r="A103" s="221" t="str">
        <f t="shared" si="3"/>
        <v>OK</v>
      </c>
      <c r="B103" s="222" t="str">
        <f t="shared" si="4"/>
        <v>OK</v>
      </c>
      <c r="C103" s="223" t="str">
        <f t="shared" si="5"/>
        <v>OK</v>
      </c>
      <c r="D103" s="28">
        <v>0</v>
      </c>
      <c r="E103" s="29" t="s">
        <v>11303</v>
      </c>
      <c r="F103" s="30" t="s">
        <v>9377</v>
      </c>
      <c r="G103" s="30">
        <v>180400</v>
      </c>
      <c r="H103" s="30" t="s">
        <v>11304</v>
      </c>
      <c r="I103" s="30" t="s">
        <v>6820</v>
      </c>
      <c r="J103" s="30" t="s">
        <v>6829</v>
      </c>
      <c r="K103" s="30" t="s">
        <v>11305</v>
      </c>
      <c r="L103" s="30" t="s">
        <v>11306</v>
      </c>
      <c r="M103" s="30" t="s">
        <v>9712</v>
      </c>
      <c r="N103" s="31">
        <v>43616</v>
      </c>
      <c r="O103" s="30" t="s">
        <v>9350</v>
      </c>
      <c r="P103" s="31">
        <v>43616</v>
      </c>
      <c r="Q103" s="31">
        <v>43616</v>
      </c>
      <c r="R103" s="32">
        <v>43622</v>
      </c>
      <c r="S103" s="33" t="s">
        <v>10852</v>
      </c>
      <c r="T103" s="34" t="s">
        <v>10852</v>
      </c>
      <c r="U103" s="35">
        <v>43622</v>
      </c>
      <c r="V103" s="34" t="s">
        <v>11307</v>
      </c>
      <c r="W103" s="34">
        <v>1</v>
      </c>
      <c r="X103" s="34" t="s">
        <v>5683</v>
      </c>
      <c r="Y103" s="34" t="s">
        <v>4999</v>
      </c>
      <c r="Z103" s="36">
        <v>43630</v>
      </c>
      <c r="AA103" s="44" t="s">
        <v>264</v>
      </c>
      <c r="AB103" s="38">
        <v>43634</v>
      </c>
      <c r="AC103" s="39">
        <v>43634</v>
      </c>
      <c r="AD103" s="45" t="e">
        <v>#VALUE!</v>
      </c>
      <c r="AE103" s="46" t="e">
        <v>#VALUE!</v>
      </c>
      <c r="AF103" s="25"/>
      <c r="AG103" s="42" t="s">
        <v>11136</v>
      </c>
      <c r="AH103" s="26"/>
      <c r="AI103" s="27"/>
    </row>
    <row r="104" spans="1:35" s="2" customFormat="1" ht="26.25" thickBot="1" x14ac:dyDescent="0.25">
      <c r="A104" s="221" t="str">
        <f t="shared" si="3"/>
        <v>OK</v>
      </c>
      <c r="B104" s="222" t="str">
        <f t="shared" si="4"/>
        <v>OK</v>
      </c>
      <c r="C104" s="223" t="str">
        <f t="shared" si="5"/>
        <v>OK</v>
      </c>
      <c r="D104" s="28">
        <v>0</v>
      </c>
      <c r="E104" s="49" t="s">
        <v>11308</v>
      </c>
      <c r="F104" s="50" t="s">
        <v>8369</v>
      </c>
      <c r="G104" s="50">
        <v>180413</v>
      </c>
      <c r="H104" s="50" t="s">
        <v>11309</v>
      </c>
      <c r="I104" s="50" t="s">
        <v>6820</v>
      </c>
      <c r="J104" s="50" t="s">
        <v>6829</v>
      </c>
      <c r="K104" s="50" t="s">
        <v>6230</v>
      </c>
      <c r="L104" s="50" t="s">
        <v>11310</v>
      </c>
      <c r="M104" s="50" t="s">
        <v>11311</v>
      </c>
      <c r="N104" s="51">
        <v>43622</v>
      </c>
      <c r="O104" s="50" t="s">
        <v>9350</v>
      </c>
      <c r="P104" s="51">
        <v>43622</v>
      </c>
      <c r="Q104" s="51">
        <v>43744</v>
      </c>
      <c r="R104" s="52">
        <v>43744</v>
      </c>
      <c r="S104" s="33" t="s">
        <v>10852</v>
      </c>
      <c r="T104" s="34" t="s">
        <v>9350</v>
      </c>
      <c r="U104" s="35">
        <v>43627</v>
      </c>
      <c r="V104" s="34" t="s">
        <v>11312</v>
      </c>
      <c r="W104" s="34">
        <v>2</v>
      </c>
      <c r="X104" s="34" t="s">
        <v>5683</v>
      </c>
      <c r="Y104" s="34" t="s">
        <v>4999</v>
      </c>
      <c r="Z104" s="36">
        <v>43634</v>
      </c>
      <c r="AA104" s="44" t="s">
        <v>264</v>
      </c>
      <c r="AB104" s="38">
        <v>43635</v>
      </c>
      <c r="AC104" s="39">
        <v>43635</v>
      </c>
      <c r="AD104" s="45" t="e">
        <v>#VALUE!</v>
      </c>
      <c r="AE104" s="46" t="e">
        <v>#VALUE!</v>
      </c>
      <c r="AF104" s="53"/>
      <c r="AG104" s="54" t="s">
        <v>11136</v>
      </c>
      <c r="AH104" s="67"/>
    </row>
    <row r="105" spans="1:35" s="2" customFormat="1" ht="15.75" thickBot="1" x14ac:dyDescent="0.25">
      <c r="A105" s="221" t="str">
        <f t="shared" si="3"/>
        <v>OK</v>
      </c>
      <c r="B105" s="222" t="str">
        <f t="shared" si="4"/>
        <v>OK</v>
      </c>
      <c r="C105" s="223" t="str">
        <f t="shared" si="5"/>
        <v>OK</v>
      </c>
      <c r="D105" s="28">
        <v>0</v>
      </c>
      <c r="E105" s="29" t="s">
        <v>11313</v>
      </c>
      <c r="F105" s="30" t="s">
        <v>9377</v>
      </c>
      <c r="G105" s="30">
        <v>180409</v>
      </c>
      <c r="H105" s="30" t="s">
        <v>11314</v>
      </c>
      <c r="I105" s="30" t="s">
        <v>6820</v>
      </c>
      <c r="J105" s="30" t="s">
        <v>6829</v>
      </c>
      <c r="K105" s="30" t="s">
        <v>11220</v>
      </c>
      <c r="L105" s="30" t="s">
        <v>9711</v>
      </c>
      <c r="M105" s="30" t="s">
        <v>11315</v>
      </c>
      <c r="N105" s="31">
        <v>43623</v>
      </c>
      <c r="O105" s="30" t="s">
        <v>9350</v>
      </c>
      <c r="P105" s="31">
        <v>43623</v>
      </c>
      <c r="Q105" s="31">
        <v>43623</v>
      </c>
      <c r="R105" s="32">
        <v>43626</v>
      </c>
      <c r="S105" s="33" t="s">
        <v>10852</v>
      </c>
      <c r="T105" s="34" t="s">
        <v>10852</v>
      </c>
      <c r="U105" s="35">
        <v>43626</v>
      </c>
      <c r="V105" s="34" t="s">
        <v>9713</v>
      </c>
      <c r="W105" s="34">
        <v>10</v>
      </c>
      <c r="X105" s="34" t="s">
        <v>5683</v>
      </c>
      <c r="Y105" s="34" t="s">
        <v>4999</v>
      </c>
      <c r="Z105" s="36">
        <v>43634</v>
      </c>
      <c r="AA105" s="44" t="s">
        <v>264</v>
      </c>
      <c r="AB105" s="38">
        <v>43634</v>
      </c>
      <c r="AC105" s="39">
        <v>43634</v>
      </c>
      <c r="AD105" s="45" t="e">
        <v>#VALUE!</v>
      </c>
      <c r="AE105" s="46" t="e">
        <v>#VALUE!</v>
      </c>
      <c r="AF105" s="25" t="s">
        <v>11061</v>
      </c>
      <c r="AG105" s="42" t="s">
        <v>11136</v>
      </c>
      <c r="AH105" s="26"/>
      <c r="AI105" s="27"/>
    </row>
    <row r="106" spans="1:35" s="2" customFormat="1" ht="15.75" thickBot="1" x14ac:dyDescent="0.25">
      <c r="A106" s="221" t="str">
        <f t="shared" si="3"/>
        <v>OK</v>
      </c>
      <c r="B106" s="222" t="str">
        <f t="shared" si="4"/>
        <v>OK</v>
      </c>
      <c r="C106" s="223" t="str">
        <f t="shared" si="5"/>
        <v>OK</v>
      </c>
      <c r="D106" s="28">
        <v>0</v>
      </c>
      <c r="E106" s="29" t="s">
        <v>11316</v>
      </c>
      <c r="F106" s="30" t="s">
        <v>9377</v>
      </c>
      <c r="G106" s="30">
        <v>180410</v>
      </c>
      <c r="H106" s="30" t="s">
        <v>11317</v>
      </c>
      <c r="I106" s="30" t="s">
        <v>6820</v>
      </c>
      <c r="J106" s="30" t="s">
        <v>6829</v>
      </c>
      <c r="K106" s="30" t="s">
        <v>11305</v>
      </c>
      <c r="L106" s="30" t="s">
        <v>11318</v>
      </c>
      <c r="M106" s="30" t="s">
        <v>11319</v>
      </c>
      <c r="N106" s="31">
        <v>43623</v>
      </c>
      <c r="O106" s="30" t="s">
        <v>9350</v>
      </c>
      <c r="P106" s="31">
        <v>43623</v>
      </c>
      <c r="Q106" s="31">
        <v>43623</v>
      </c>
      <c r="R106" s="32">
        <v>43626</v>
      </c>
      <c r="S106" s="33" t="s">
        <v>10852</v>
      </c>
      <c r="T106" s="34" t="s">
        <v>10852</v>
      </c>
      <c r="U106" s="35">
        <v>43626</v>
      </c>
      <c r="V106" s="34" t="s">
        <v>11320</v>
      </c>
      <c r="W106" s="34">
        <v>4</v>
      </c>
      <c r="X106" s="34" t="s">
        <v>5683</v>
      </c>
      <c r="Y106" s="34" t="s">
        <v>4999</v>
      </c>
      <c r="Z106" s="36">
        <v>43634</v>
      </c>
      <c r="AA106" s="44" t="s">
        <v>264</v>
      </c>
      <c r="AB106" s="38">
        <v>43634</v>
      </c>
      <c r="AC106" s="39">
        <v>43634</v>
      </c>
      <c r="AD106" s="45" t="e">
        <v>#VALUE!</v>
      </c>
      <c r="AE106" s="46" t="e">
        <v>#VALUE!</v>
      </c>
      <c r="AF106" s="25"/>
      <c r="AG106" s="42" t="s">
        <v>11136</v>
      </c>
      <c r="AH106" s="26"/>
      <c r="AI106" s="27"/>
    </row>
    <row r="107" spans="1:35" s="2" customFormat="1" ht="15.75" thickBot="1" x14ac:dyDescent="0.25">
      <c r="A107" s="221" t="str">
        <f t="shared" si="3"/>
        <v>OK</v>
      </c>
      <c r="B107" s="222" t="str">
        <f t="shared" si="4"/>
        <v>OK</v>
      </c>
      <c r="C107" s="223" t="str">
        <f t="shared" si="5"/>
        <v>OK</v>
      </c>
      <c r="D107" s="28">
        <v>0</v>
      </c>
      <c r="E107" s="29" t="s">
        <v>11321</v>
      </c>
      <c r="F107" s="30" t="s">
        <v>9377</v>
      </c>
      <c r="G107" s="30">
        <v>180411</v>
      </c>
      <c r="H107" s="30" t="s">
        <v>11322</v>
      </c>
      <c r="I107" s="30" t="s">
        <v>6820</v>
      </c>
      <c r="J107" s="30" t="s">
        <v>6829</v>
      </c>
      <c r="K107" s="30" t="s">
        <v>9469</v>
      </c>
      <c r="L107" s="30" t="s">
        <v>11323</v>
      </c>
      <c r="M107" s="30" t="s">
        <v>11324</v>
      </c>
      <c r="N107" s="31">
        <v>43623</v>
      </c>
      <c r="O107" s="30" t="s">
        <v>9350</v>
      </c>
      <c r="P107" s="31">
        <v>43623</v>
      </c>
      <c r="Q107" s="31">
        <v>43623</v>
      </c>
      <c r="R107" s="32">
        <v>43626</v>
      </c>
      <c r="S107" s="33" t="s">
        <v>10852</v>
      </c>
      <c r="T107" s="34" t="s">
        <v>10852</v>
      </c>
      <c r="U107" s="35">
        <v>43626</v>
      </c>
      <c r="V107" s="34" t="s">
        <v>11325</v>
      </c>
      <c r="W107" s="34">
        <v>8</v>
      </c>
      <c r="X107" s="34" t="s">
        <v>5683</v>
      </c>
      <c r="Y107" s="34" t="s">
        <v>4999</v>
      </c>
      <c r="Z107" s="36">
        <v>43633</v>
      </c>
      <c r="AA107" s="44" t="s">
        <v>264</v>
      </c>
      <c r="AB107" s="38">
        <v>43633</v>
      </c>
      <c r="AC107" s="39">
        <v>43633</v>
      </c>
      <c r="AD107" s="45" t="e">
        <v>#VALUE!</v>
      </c>
      <c r="AE107" s="46" t="e">
        <v>#VALUE!</v>
      </c>
      <c r="AF107" s="25"/>
      <c r="AG107" s="42" t="s">
        <v>4999</v>
      </c>
      <c r="AH107" s="26"/>
      <c r="AI107" s="27"/>
    </row>
    <row r="108" spans="1:35" s="2" customFormat="1" ht="25.5" x14ac:dyDescent="0.2">
      <c r="A108" s="221" t="str">
        <f t="shared" si="3"/>
        <v>OK</v>
      </c>
      <c r="B108" s="222" t="str">
        <f t="shared" si="4"/>
        <v>OK</v>
      </c>
      <c r="C108" s="223" t="str">
        <f t="shared" si="5"/>
        <v>OK</v>
      </c>
      <c r="D108" s="28">
        <v>0</v>
      </c>
      <c r="E108" s="49" t="s">
        <v>11326</v>
      </c>
      <c r="F108" s="50" t="s">
        <v>11327</v>
      </c>
      <c r="G108" s="50">
        <v>180412</v>
      </c>
      <c r="H108" s="50" t="s">
        <v>11328</v>
      </c>
      <c r="I108" s="50" t="s">
        <v>6820</v>
      </c>
      <c r="J108" s="50" t="s">
        <v>6829</v>
      </c>
      <c r="K108" s="50" t="s">
        <v>11220</v>
      </c>
      <c r="L108" s="50" t="s">
        <v>9711</v>
      </c>
      <c r="M108" s="50" t="s">
        <v>9712</v>
      </c>
      <c r="N108" s="51">
        <v>43623</v>
      </c>
      <c r="O108" s="50" t="s">
        <v>9350</v>
      </c>
      <c r="P108" s="51">
        <v>43623</v>
      </c>
      <c r="Q108" s="51">
        <v>43623</v>
      </c>
      <c r="R108" s="52">
        <v>43626</v>
      </c>
      <c r="S108" s="33" t="s">
        <v>10852</v>
      </c>
      <c r="T108" s="34" t="s">
        <v>10852</v>
      </c>
      <c r="U108" s="35">
        <v>43623</v>
      </c>
      <c r="V108" s="34" t="s">
        <v>9713</v>
      </c>
      <c r="W108" s="34">
        <v>16</v>
      </c>
      <c r="X108" s="34" t="s">
        <v>5683</v>
      </c>
      <c r="Y108" s="34" t="s">
        <v>4999</v>
      </c>
      <c r="Z108" s="36">
        <v>43634</v>
      </c>
      <c r="AA108" s="44" t="s">
        <v>264</v>
      </c>
      <c r="AB108" s="38">
        <v>43634</v>
      </c>
      <c r="AC108" s="39">
        <v>43634</v>
      </c>
      <c r="AD108" s="45" t="e">
        <v>#VALUE!</v>
      </c>
      <c r="AE108" s="46" t="e">
        <v>#VALUE!</v>
      </c>
      <c r="AF108" s="53" t="s">
        <v>11061</v>
      </c>
      <c r="AG108" s="54" t="s">
        <v>11136</v>
      </c>
      <c r="AH108" s="67"/>
    </row>
    <row r="109" spans="1:35" s="86" customFormat="1" ht="16.7" customHeight="1" thickBot="1" x14ac:dyDescent="0.25">
      <c r="A109" s="452" t="s">
        <v>7575</v>
      </c>
      <c r="B109" s="453"/>
      <c r="C109" s="454"/>
      <c r="D109" s="79">
        <v>0</v>
      </c>
      <c r="E109" s="80" t="s">
        <v>11329</v>
      </c>
      <c r="F109" s="81" t="s">
        <v>3483</v>
      </c>
      <c r="G109" s="81">
        <v>180398</v>
      </c>
      <c r="H109" s="81" t="s">
        <v>11330</v>
      </c>
      <c r="I109" s="81" t="s">
        <v>6820</v>
      </c>
      <c r="J109" s="81" t="s">
        <v>6829</v>
      </c>
      <c r="K109" s="81" t="s">
        <v>11331</v>
      </c>
      <c r="L109" s="81" t="s">
        <v>11332</v>
      </c>
      <c r="M109" s="81" t="s">
        <v>11333</v>
      </c>
      <c r="N109" s="61">
        <v>43613</v>
      </c>
      <c r="O109" s="81" t="s">
        <v>9350</v>
      </c>
      <c r="P109" s="61">
        <v>43613</v>
      </c>
      <c r="Q109" s="61">
        <v>43613</v>
      </c>
      <c r="R109" s="62"/>
      <c r="S109" s="82" t="s">
        <v>9357</v>
      </c>
      <c r="T109" s="81"/>
      <c r="U109" s="61"/>
      <c r="V109" s="81"/>
      <c r="W109" s="81">
        <v>1</v>
      </c>
      <c r="X109" s="81" t="s">
        <v>5683</v>
      </c>
      <c r="Y109" s="81"/>
      <c r="Z109" s="62"/>
      <c r="AA109" s="83"/>
      <c r="AB109" s="61"/>
      <c r="AC109" s="62"/>
      <c r="AD109" s="101" t="e">
        <v>#VALUE!</v>
      </c>
      <c r="AE109" s="102" t="e">
        <v>#VALUE!</v>
      </c>
      <c r="AF109" s="82"/>
      <c r="AG109" s="84"/>
      <c r="AH109" s="99"/>
      <c r="AI109" s="85"/>
    </row>
    <row r="110" spans="1:35" s="2" customFormat="1" ht="15.75" thickBot="1" x14ac:dyDescent="0.25">
      <c r="A110" s="221" t="str">
        <f t="shared" si="3"/>
        <v>OK</v>
      </c>
      <c r="B110" s="222" t="str">
        <f t="shared" si="4"/>
        <v>OK</v>
      </c>
      <c r="C110" s="223" t="str">
        <f t="shared" si="5"/>
        <v>OK</v>
      </c>
      <c r="D110" s="28">
        <v>0</v>
      </c>
      <c r="E110" s="29" t="s">
        <v>11334</v>
      </c>
      <c r="F110" s="30" t="s">
        <v>3483</v>
      </c>
      <c r="G110" s="30">
        <v>180405</v>
      </c>
      <c r="H110" s="30" t="s">
        <v>11335</v>
      </c>
      <c r="I110" s="30" t="s">
        <v>6820</v>
      </c>
      <c r="J110" s="30" t="s">
        <v>6829</v>
      </c>
      <c r="K110" s="30" t="s">
        <v>11336</v>
      </c>
      <c r="L110" s="30" t="s">
        <v>11337</v>
      </c>
      <c r="M110" s="30" t="s">
        <v>7181</v>
      </c>
      <c r="N110" s="31">
        <v>43615</v>
      </c>
      <c r="O110" s="30" t="s">
        <v>9350</v>
      </c>
      <c r="P110" s="31">
        <v>43615</v>
      </c>
      <c r="Q110" s="31">
        <v>43619</v>
      </c>
      <c r="R110" s="32">
        <v>43626</v>
      </c>
      <c r="S110" s="33" t="s">
        <v>10852</v>
      </c>
      <c r="T110" s="34" t="s">
        <v>10853</v>
      </c>
      <c r="U110" s="35">
        <v>43622</v>
      </c>
      <c r="V110" s="34" t="s">
        <v>7182</v>
      </c>
      <c r="W110" s="34">
        <v>14</v>
      </c>
      <c r="X110" s="34" t="s">
        <v>5683</v>
      </c>
      <c r="Y110" s="34" t="s">
        <v>7145</v>
      </c>
      <c r="Z110" s="36">
        <v>43629</v>
      </c>
      <c r="AA110" s="44" t="s">
        <v>264</v>
      </c>
      <c r="AB110" s="38">
        <v>43630</v>
      </c>
      <c r="AC110" s="39">
        <v>43630</v>
      </c>
      <c r="AD110" s="45" t="e">
        <v>#VALUE!</v>
      </c>
      <c r="AE110" s="46" t="e">
        <v>#VALUE!</v>
      </c>
      <c r="AF110" s="25"/>
      <c r="AG110" s="42" t="s">
        <v>11136</v>
      </c>
      <c r="AH110" s="26"/>
      <c r="AI110" s="27"/>
    </row>
    <row r="111" spans="1:35" s="2" customFormat="1" ht="15.75" thickBot="1" x14ac:dyDescent="0.25">
      <c r="A111" s="221" t="str">
        <f t="shared" si="3"/>
        <v>OK</v>
      </c>
      <c r="B111" s="222" t="str">
        <f t="shared" si="4"/>
        <v>OK</v>
      </c>
      <c r="C111" s="223" t="str">
        <f t="shared" si="5"/>
        <v>OK</v>
      </c>
      <c r="D111" s="28">
        <v>0</v>
      </c>
      <c r="E111" s="29" t="s">
        <v>11338</v>
      </c>
      <c r="F111" s="30" t="s">
        <v>9024</v>
      </c>
      <c r="G111" s="30">
        <v>180417</v>
      </c>
      <c r="H111" s="30" t="s">
        <v>11339</v>
      </c>
      <c r="I111" s="30" t="s">
        <v>7152</v>
      </c>
      <c r="J111" s="30" t="s">
        <v>6829</v>
      </c>
      <c r="K111" s="30" t="s">
        <v>9882</v>
      </c>
      <c r="L111" s="30">
        <v>3110</v>
      </c>
      <c r="M111" s="30" t="s">
        <v>2504</v>
      </c>
      <c r="N111" s="31">
        <v>43623</v>
      </c>
      <c r="O111" s="57" t="s">
        <v>9350</v>
      </c>
      <c r="P111" s="31">
        <v>43623</v>
      </c>
      <c r="Q111" s="31">
        <v>43626</v>
      </c>
      <c r="R111" s="32">
        <v>43626</v>
      </c>
      <c r="S111" s="33" t="s">
        <v>10852</v>
      </c>
      <c r="T111" s="34" t="s">
        <v>9350</v>
      </c>
      <c r="U111" s="35">
        <v>43627</v>
      </c>
      <c r="V111" s="34" t="s">
        <v>9029</v>
      </c>
      <c r="W111" s="34">
        <v>1</v>
      </c>
      <c r="X111" s="34" t="s">
        <v>5683</v>
      </c>
      <c r="Y111" s="34" t="s">
        <v>4999</v>
      </c>
      <c r="Z111" s="36">
        <v>43599</v>
      </c>
      <c r="AA111" s="44" t="s">
        <v>264</v>
      </c>
      <c r="AB111" s="38">
        <v>43635</v>
      </c>
      <c r="AC111" s="39">
        <v>43635</v>
      </c>
      <c r="AD111" s="45" t="e">
        <v>#VALUE!</v>
      </c>
      <c r="AE111" s="46" t="e">
        <v>#VALUE!</v>
      </c>
      <c r="AF111" s="25"/>
      <c r="AG111" s="42" t="s">
        <v>11136</v>
      </c>
      <c r="AH111" s="26"/>
      <c r="AI111" s="27"/>
    </row>
    <row r="112" spans="1:35" s="2" customFormat="1" ht="26.25" thickBot="1" x14ac:dyDescent="0.25">
      <c r="A112" s="221" t="str">
        <f t="shared" si="3"/>
        <v>OK</v>
      </c>
      <c r="B112" s="222" t="str">
        <f t="shared" si="4"/>
        <v>OK</v>
      </c>
      <c r="C112" s="223" t="str">
        <f t="shared" si="5"/>
        <v>OK</v>
      </c>
      <c r="D112" s="28">
        <v>0</v>
      </c>
      <c r="E112" s="49" t="s">
        <v>11340</v>
      </c>
      <c r="F112" s="50" t="s">
        <v>9361</v>
      </c>
      <c r="G112" s="50">
        <v>180414</v>
      </c>
      <c r="H112" s="50" t="s">
        <v>11341</v>
      </c>
      <c r="I112" s="50" t="s">
        <v>6820</v>
      </c>
      <c r="J112" s="50" t="s">
        <v>6829</v>
      </c>
      <c r="K112" s="50" t="s">
        <v>9927</v>
      </c>
      <c r="L112" s="50" t="s">
        <v>11342</v>
      </c>
      <c r="M112" s="50" t="s">
        <v>9688</v>
      </c>
      <c r="N112" s="51">
        <v>43622</v>
      </c>
      <c r="O112" s="50" t="s">
        <v>9350</v>
      </c>
      <c r="P112" s="51">
        <v>43622</v>
      </c>
      <c r="Q112" s="51">
        <v>43626</v>
      </c>
      <c r="R112" s="52">
        <v>43626</v>
      </c>
      <c r="S112" s="33" t="s">
        <v>10852</v>
      </c>
      <c r="T112" s="34" t="s">
        <v>10852</v>
      </c>
      <c r="U112" s="35">
        <v>43627</v>
      </c>
      <c r="V112" s="34" t="s">
        <v>9366</v>
      </c>
      <c r="W112" s="34">
        <v>4</v>
      </c>
      <c r="X112" s="34" t="s">
        <v>5683</v>
      </c>
      <c r="Y112" s="34" t="s">
        <v>11238</v>
      </c>
      <c r="Z112" s="36">
        <v>43630</v>
      </c>
      <c r="AA112" s="44" t="s">
        <v>264</v>
      </c>
      <c r="AB112" s="38">
        <v>43630</v>
      </c>
      <c r="AC112" s="39">
        <v>43630</v>
      </c>
      <c r="AD112" s="45" t="e">
        <v>#VALUE!</v>
      </c>
      <c r="AE112" s="46" t="e">
        <v>#VALUE!</v>
      </c>
      <c r="AF112" s="53"/>
      <c r="AG112" s="54" t="s">
        <v>11238</v>
      </c>
      <c r="AH112" s="67"/>
    </row>
    <row r="113" spans="1:35" s="2" customFormat="1" ht="26.25" thickBot="1" x14ac:dyDescent="0.25">
      <c r="A113" s="221" t="str">
        <f t="shared" si="3"/>
        <v>OK</v>
      </c>
      <c r="B113" s="222" t="str">
        <f t="shared" si="4"/>
        <v>OK</v>
      </c>
      <c r="C113" s="223" t="str">
        <f t="shared" si="5"/>
        <v>OK</v>
      </c>
      <c r="D113" s="28">
        <v>0</v>
      </c>
      <c r="E113" s="49" t="s">
        <v>11343</v>
      </c>
      <c r="F113" s="50" t="s">
        <v>9361</v>
      </c>
      <c r="G113" s="50">
        <v>180414</v>
      </c>
      <c r="H113" s="50" t="s">
        <v>11344</v>
      </c>
      <c r="I113" s="50" t="s">
        <v>6820</v>
      </c>
      <c r="J113" s="50" t="s">
        <v>6829</v>
      </c>
      <c r="K113" s="50" t="s">
        <v>9363</v>
      </c>
      <c r="L113" s="50" t="s">
        <v>11345</v>
      </c>
      <c r="M113" s="50" t="s">
        <v>9688</v>
      </c>
      <c r="N113" s="51">
        <v>43622</v>
      </c>
      <c r="O113" s="50" t="s">
        <v>9350</v>
      </c>
      <c r="P113" s="51">
        <v>43622</v>
      </c>
      <c r="Q113" s="51">
        <v>43626</v>
      </c>
      <c r="R113" s="52">
        <v>43626</v>
      </c>
      <c r="S113" s="33" t="s">
        <v>10852</v>
      </c>
      <c r="T113" s="34" t="s">
        <v>10852</v>
      </c>
      <c r="U113" s="35">
        <v>43627</v>
      </c>
      <c r="V113" s="34" t="s">
        <v>9366</v>
      </c>
      <c r="W113" s="34">
        <v>4</v>
      </c>
      <c r="X113" s="34" t="s">
        <v>5683</v>
      </c>
      <c r="Y113" s="34" t="s">
        <v>4999</v>
      </c>
      <c r="Z113" s="36">
        <v>43630</v>
      </c>
      <c r="AA113" s="44" t="s">
        <v>264</v>
      </c>
      <c r="AB113" s="38">
        <v>43630</v>
      </c>
      <c r="AC113" s="39">
        <v>43630</v>
      </c>
      <c r="AD113" s="45" t="e">
        <v>#VALUE!</v>
      </c>
      <c r="AE113" s="46" t="e">
        <v>#VALUE!</v>
      </c>
      <c r="AF113" s="53"/>
      <c r="AG113" s="54" t="s">
        <v>11238</v>
      </c>
      <c r="AH113" s="67"/>
    </row>
    <row r="114" spans="1:35" s="2" customFormat="1" ht="21" customHeight="1" thickBot="1" x14ac:dyDescent="0.25">
      <c r="A114" s="221" t="str">
        <f t="shared" si="3"/>
        <v>OK</v>
      </c>
      <c r="B114" s="222" t="str">
        <f t="shared" si="4"/>
        <v>OK</v>
      </c>
      <c r="C114" s="223" t="str">
        <f t="shared" si="5"/>
        <v>OK</v>
      </c>
      <c r="D114" s="28">
        <v>0</v>
      </c>
      <c r="E114" s="49" t="s">
        <v>11346</v>
      </c>
      <c r="F114" s="50" t="s">
        <v>156</v>
      </c>
      <c r="G114" s="50">
        <v>180354</v>
      </c>
      <c r="H114" s="50" t="s">
        <v>11347</v>
      </c>
      <c r="I114" s="50" t="s">
        <v>6820</v>
      </c>
      <c r="J114" s="50" t="s">
        <v>6829</v>
      </c>
      <c r="K114" s="50" t="s">
        <v>11348</v>
      </c>
      <c r="L114" s="50" t="s">
        <v>11349</v>
      </c>
      <c r="M114" s="50" t="s">
        <v>160</v>
      </c>
      <c r="N114" s="51">
        <v>43742</v>
      </c>
      <c r="O114" s="50" t="s">
        <v>9350</v>
      </c>
      <c r="P114" s="51">
        <v>43565</v>
      </c>
      <c r="Q114" s="51">
        <v>43571</v>
      </c>
      <c r="R114" s="52">
        <v>43573</v>
      </c>
      <c r="S114" s="33" t="s">
        <v>10852</v>
      </c>
      <c r="T114" s="34" t="s">
        <v>10853</v>
      </c>
      <c r="U114" s="35">
        <v>43612</v>
      </c>
      <c r="V114" s="34" t="s">
        <v>10657</v>
      </c>
      <c r="W114" s="34">
        <v>4</v>
      </c>
      <c r="X114" s="34" t="s">
        <v>5683</v>
      </c>
      <c r="Y114" s="34" t="s">
        <v>4999</v>
      </c>
      <c r="Z114" s="36">
        <v>43629</v>
      </c>
      <c r="AA114" s="44" t="s">
        <v>264</v>
      </c>
      <c r="AB114" s="38">
        <v>43630</v>
      </c>
      <c r="AC114" s="39">
        <v>43630</v>
      </c>
      <c r="AD114" s="45" t="e">
        <v>#VALUE!</v>
      </c>
      <c r="AE114" s="46" t="e">
        <v>#VALUE!</v>
      </c>
      <c r="AF114" s="53"/>
      <c r="AG114" s="54" t="s">
        <v>11238</v>
      </c>
      <c r="AH114" s="67"/>
    </row>
    <row r="115" spans="1:35" s="2" customFormat="1" ht="21" customHeight="1" thickBot="1" x14ac:dyDescent="0.25">
      <c r="A115" s="221" t="str">
        <f t="shared" si="3"/>
        <v>OK</v>
      </c>
      <c r="B115" s="222" t="str">
        <f t="shared" si="4"/>
        <v>OK</v>
      </c>
      <c r="C115" s="223" t="str">
        <f t="shared" si="5"/>
        <v>OK</v>
      </c>
      <c r="D115" s="28">
        <v>0</v>
      </c>
      <c r="E115" s="29" t="s">
        <v>11350</v>
      </c>
      <c r="F115" s="30" t="s">
        <v>3386</v>
      </c>
      <c r="G115" s="30">
        <v>180404</v>
      </c>
      <c r="H115" s="30" t="s">
        <v>11351</v>
      </c>
      <c r="I115" s="30" t="s">
        <v>6820</v>
      </c>
      <c r="J115" s="30" t="s">
        <v>6829</v>
      </c>
      <c r="K115" s="30" t="s">
        <v>11352</v>
      </c>
      <c r="L115" s="30" t="s">
        <v>11353</v>
      </c>
      <c r="M115" s="30" t="s">
        <v>5638</v>
      </c>
      <c r="N115" s="31">
        <v>43619</v>
      </c>
      <c r="O115" s="30" t="s">
        <v>9350</v>
      </c>
      <c r="P115" s="31">
        <v>43619</v>
      </c>
      <c r="Q115" s="31">
        <v>43619</v>
      </c>
      <c r="R115" s="32">
        <v>43633</v>
      </c>
      <c r="S115" s="33" t="s">
        <v>9357</v>
      </c>
      <c r="T115" s="34" t="s">
        <v>10852</v>
      </c>
      <c r="U115" s="35">
        <v>43635</v>
      </c>
      <c r="V115" s="34" t="s">
        <v>11354</v>
      </c>
      <c r="W115" s="34">
        <v>3</v>
      </c>
      <c r="X115" s="34" t="s">
        <v>5683</v>
      </c>
      <c r="Y115" s="34" t="s">
        <v>4999</v>
      </c>
      <c r="Z115" s="36">
        <v>43642</v>
      </c>
      <c r="AA115" s="44" t="s">
        <v>264</v>
      </c>
      <c r="AB115" s="38">
        <v>43642</v>
      </c>
      <c r="AC115" s="39">
        <v>43642</v>
      </c>
      <c r="AD115" s="45" t="e">
        <v>#VALUE!</v>
      </c>
      <c r="AE115" s="46" t="e">
        <v>#VALUE!</v>
      </c>
      <c r="AF115" s="25"/>
      <c r="AG115" s="42" t="s">
        <v>11136</v>
      </c>
      <c r="AH115" s="26"/>
      <c r="AI115" s="27"/>
    </row>
    <row r="116" spans="1:35" s="2" customFormat="1" ht="21" customHeight="1" thickBot="1" x14ac:dyDescent="0.25">
      <c r="A116" s="221" t="str">
        <f t="shared" si="3"/>
        <v>OK</v>
      </c>
      <c r="B116" s="222" t="str">
        <f t="shared" si="4"/>
        <v>OK</v>
      </c>
      <c r="C116" s="223" t="str">
        <f t="shared" si="5"/>
        <v>OK</v>
      </c>
      <c r="D116" s="28">
        <v>0</v>
      </c>
      <c r="E116" s="29" t="s">
        <v>11355</v>
      </c>
      <c r="F116" s="30" t="s">
        <v>8322</v>
      </c>
      <c r="G116" s="30">
        <v>180380</v>
      </c>
      <c r="H116" s="30" t="s">
        <v>11356</v>
      </c>
      <c r="I116" s="30" t="s">
        <v>6820</v>
      </c>
      <c r="J116" s="30" t="s">
        <v>6829</v>
      </c>
      <c r="K116" s="30" t="s">
        <v>11357</v>
      </c>
      <c r="L116" s="30" t="s">
        <v>11358</v>
      </c>
      <c r="M116" s="30" t="s">
        <v>1695</v>
      </c>
      <c r="N116" s="31">
        <v>43643</v>
      </c>
      <c r="O116" s="30" t="s">
        <v>9350</v>
      </c>
      <c r="P116" s="31">
        <v>43641</v>
      </c>
      <c r="Q116" s="31">
        <v>43599</v>
      </c>
      <c r="R116" s="32">
        <v>43633</v>
      </c>
      <c r="S116" s="33" t="s">
        <v>9357</v>
      </c>
      <c r="T116" s="34" t="s">
        <v>9350</v>
      </c>
      <c r="U116" s="35">
        <v>43686</v>
      </c>
      <c r="V116" s="34">
        <v>3035979</v>
      </c>
      <c r="W116" s="34">
        <v>1</v>
      </c>
      <c r="X116" s="34" t="s">
        <v>5683</v>
      </c>
      <c r="Y116" s="34" t="s">
        <v>4999</v>
      </c>
      <c r="Z116" s="36">
        <v>43689</v>
      </c>
      <c r="AA116" s="44" t="s">
        <v>264</v>
      </c>
      <c r="AB116" s="38">
        <v>43689</v>
      </c>
      <c r="AC116" s="39">
        <v>43689</v>
      </c>
      <c r="AD116" s="45" t="e">
        <v>#VALUE!</v>
      </c>
      <c r="AE116" s="46" t="e">
        <v>#VALUE!</v>
      </c>
      <c r="AF116" s="25"/>
      <c r="AG116" s="42" t="s">
        <v>4999</v>
      </c>
      <c r="AH116" s="26"/>
      <c r="AI116" s="27"/>
    </row>
    <row r="117" spans="1:35" s="2" customFormat="1" ht="21" customHeight="1" thickBot="1" x14ac:dyDescent="0.25">
      <c r="A117" s="221" t="str">
        <f t="shared" si="3"/>
        <v>OK</v>
      </c>
      <c r="B117" s="222" t="str">
        <f t="shared" si="4"/>
        <v>OK</v>
      </c>
      <c r="C117" s="223" t="str">
        <f t="shared" si="5"/>
        <v>OK</v>
      </c>
      <c r="D117" s="28">
        <v>0</v>
      </c>
      <c r="E117" s="29" t="s">
        <v>11359</v>
      </c>
      <c r="F117" s="30" t="s">
        <v>6792</v>
      </c>
      <c r="G117" s="30">
        <v>180423</v>
      </c>
      <c r="H117" s="30" t="s">
        <v>11360</v>
      </c>
      <c r="I117" s="30" t="s">
        <v>6820</v>
      </c>
      <c r="J117" s="30" t="s">
        <v>6829</v>
      </c>
      <c r="K117" s="30" t="s">
        <v>11361</v>
      </c>
      <c r="L117" s="30" t="s">
        <v>11362</v>
      </c>
      <c r="M117" s="30" t="s">
        <v>11363</v>
      </c>
      <c r="N117" s="31">
        <v>43629</v>
      </c>
      <c r="O117" s="30" t="s">
        <v>9350</v>
      </c>
      <c r="P117" s="31">
        <v>43629</v>
      </c>
      <c r="Q117" s="31">
        <v>43629</v>
      </c>
      <c r="R117" s="32">
        <v>43635</v>
      </c>
      <c r="S117" s="33" t="s">
        <v>9357</v>
      </c>
      <c r="T117" s="34" t="s">
        <v>9350</v>
      </c>
      <c r="U117" s="35">
        <v>43644</v>
      </c>
      <c r="V117" s="34" t="s">
        <v>11364</v>
      </c>
      <c r="W117" s="34">
        <v>2</v>
      </c>
      <c r="X117" s="34" t="s">
        <v>5683</v>
      </c>
      <c r="Y117" s="34" t="s">
        <v>1687</v>
      </c>
      <c r="Z117" s="36">
        <v>43472</v>
      </c>
      <c r="AA117" s="44" t="s">
        <v>264</v>
      </c>
      <c r="AB117" s="38">
        <v>43647</v>
      </c>
      <c r="AC117" s="39">
        <v>43647</v>
      </c>
      <c r="AD117" s="45" t="e">
        <v>#VALUE!</v>
      </c>
      <c r="AE117" s="46" t="e">
        <v>#VALUE!</v>
      </c>
      <c r="AF117" s="25"/>
      <c r="AG117" s="42" t="s">
        <v>11136</v>
      </c>
      <c r="AH117" s="26"/>
      <c r="AI117" s="27"/>
    </row>
    <row r="118" spans="1:35" s="2" customFormat="1" ht="21" customHeight="1" thickBot="1" x14ac:dyDescent="0.25">
      <c r="A118" s="221" t="str">
        <f t="shared" si="3"/>
        <v>OK</v>
      </c>
      <c r="B118" s="222" t="str">
        <f t="shared" si="4"/>
        <v>OK</v>
      </c>
      <c r="C118" s="223" t="str">
        <f t="shared" si="5"/>
        <v>OK</v>
      </c>
      <c r="D118" s="64">
        <v>0</v>
      </c>
      <c r="E118" s="29" t="s">
        <v>11365</v>
      </c>
      <c r="F118" s="30" t="s">
        <v>9377</v>
      </c>
      <c r="G118" s="30">
        <v>180426</v>
      </c>
      <c r="H118" s="30" t="s">
        <v>11366</v>
      </c>
      <c r="I118" s="30" t="s">
        <v>6820</v>
      </c>
      <c r="J118" s="30" t="s">
        <v>6829</v>
      </c>
      <c r="K118" s="30" t="s">
        <v>5740</v>
      </c>
      <c r="L118" s="30" t="s">
        <v>11367</v>
      </c>
      <c r="M118" s="30" t="s">
        <v>8268</v>
      </c>
      <c r="N118" s="31">
        <v>43635</v>
      </c>
      <c r="O118" s="30" t="s">
        <v>9350</v>
      </c>
      <c r="P118" s="31">
        <v>43635</v>
      </c>
      <c r="Q118" s="31">
        <v>43635</v>
      </c>
      <c r="R118" s="32">
        <v>43635</v>
      </c>
      <c r="S118" s="33" t="s">
        <v>9350</v>
      </c>
      <c r="T118" s="34" t="s">
        <v>10852</v>
      </c>
      <c r="U118" s="35">
        <v>43675</v>
      </c>
      <c r="V118" s="34" t="s">
        <v>11368</v>
      </c>
      <c r="W118" s="34">
        <v>1</v>
      </c>
      <c r="X118" s="34" t="s">
        <v>5683</v>
      </c>
      <c r="Y118" s="34" t="s">
        <v>4999</v>
      </c>
      <c r="Z118" s="36">
        <v>43675</v>
      </c>
      <c r="AA118" s="44" t="s">
        <v>264</v>
      </c>
      <c r="AB118" s="38">
        <v>43676</v>
      </c>
      <c r="AC118" s="39">
        <v>43676</v>
      </c>
      <c r="AD118" s="45" t="e">
        <v>#VALUE!</v>
      </c>
      <c r="AE118" s="46" t="e">
        <v>#VALUE!</v>
      </c>
      <c r="AF118" s="25"/>
      <c r="AG118" s="42" t="s">
        <v>11136</v>
      </c>
      <c r="AH118" s="26"/>
      <c r="AI118" s="27"/>
    </row>
    <row r="119" spans="1:35" s="2" customFormat="1" ht="21" customHeight="1" thickBot="1" x14ac:dyDescent="0.25">
      <c r="A119" s="221" t="str">
        <f t="shared" si="3"/>
        <v>OK</v>
      </c>
      <c r="B119" s="222" t="str">
        <f t="shared" si="4"/>
        <v>OK</v>
      </c>
      <c r="C119" s="223" t="str">
        <f t="shared" si="5"/>
        <v>OK</v>
      </c>
      <c r="D119" s="28">
        <v>0</v>
      </c>
      <c r="E119" s="49" t="s">
        <v>11369</v>
      </c>
      <c r="F119" s="50" t="s">
        <v>9361</v>
      </c>
      <c r="G119" s="50">
        <v>180425</v>
      </c>
      <c r="H119" s="50" t="s">
        <v>11370</v>
      </c>
      <c r="I119" s="50" t="s">
        <v>6820</v>
      </c>
      <c r="J119" s="50" t="s">
        <v>6829</v>
      </c>
      <c r="K119" s="50" t="s">
        <v>3057</v>
      </c>
      <c r="L119" s="50" t="s">
        <v>11371</v>
      </c>
      <c r="M119" s="50" t="s">
        <v>9688</v>
      </c>
      <c r="N119" s="51">
        <v>43635</v>
      </c>
      <c r="O119" s="50" t="s">
        <v>9350</v>
      </c>
      <c r="P119" s="51">
        <v>43635</v>
      </c>
      <c r="Q119" s="51">
        <v>43635</v>
      </c>
      <c r="R119" s="52">
        <v>43640</v>
      </c>
      <c r="S119" s="33" t="s">
        <v>9350</v>
      </c>
      <c r="T119" s="34" t="s">
        <v>9350</v>
      </c>
      <c r="U119" s="35">
        <v>43635</v>
      </c>
      <c r="V119" s="34" t="s">
        <v>9366</v>
      </c>
      <c r="W119" s="34">
        <v>2</v>
      </c>
      <c r="X119" s="34" t="s">
        <v>5683</v>
      </c>
      <c r="Y119" s="34" t="s">
        <v>4999</v>
      </c>
      <c r="Z119" s="36">
        <v>43640</v>
      </c>
      <c r="AA119" s="44" t="s">
        <v>264</v>
      </c>
      <c r="AB119" s="38">
        <v>43641</v>
      </c>
      <c r="AC119" s="39">
        <v>43641</v>
      </c>
      <c r="AD119" s="45" t="e">
        <v>#VALUE!</v>
      </c>
      <c r="AE119" s="46" t="e">
        <v>#VALUE!</v>
      </c>
      <c r="AF119" s="53"/>
      <c r="AG119" s="54" t="s">
        <v>11136</v>
      </c>
      <c r="AH119" s="67"/>
    </row>
    <row r="120" spans="1:35" s="2" customFormat="1" ht="21" customHeight="1" thickBot="1" x14ac:dyDescent="0.25">
      <c r="A120" s="221" t="str">
        <f t="shared" si="3"/>
        <v>OK</v>
      </c>
      <c r="B120" s="222" t="str">
        <f t="shared" si="4"/>
        <v>OK</v>
      </c>
      <c r="C120" s="223" t="str">
        <f t="shared" si="5"/>
        <v>OK</v>
      </c>
      <c r="D120" s="28">
        <v>0</v>
      </c>
      <c r="E120" s="49" t="s">
        <v>11372</v>
      </c>
      <c r="F120" s="50" t="s">
        <v>9361</v>
      </c>
      <c r="G120" s="50">
        <v>180425</v>
      </c>
      <c r="H120" s="50" t="s">
        <v>11373</v>
      </c>
      <c r="I120" s="50" t="s">
        <v>6820</v>
      </c>
      <c r="J120" s="50" t="s">
        <v>6829</v>
      </c>
      <c r="K120" s="50" t="s">
        <v>9594</v>
      </c>
      <c r="L120" s="50" t="s">
        <v>11345</v>
      </c>
      <c r="M120" s="50" t="s">
        <v>9688</v>
      </c>
      <c r="N120" s="51">
        <v>43635</v>
      </c>
      <c r="O120" s="50" t="s">
        <v>9350</v>
      </c>
      <c r="P120" s="51">
        <v>43635</v>
      </c>
      <c r="Q120" s="51">
        <v>43635</v>
      </c>
      <c r="R120" s="52">
        <v>43640</v>
      </c>
      <c r="S120" s="33" t="s">
        <v>10852</v>
      </c>
      <c r="T120" s="34" t="s">
        <v>10852</v>
      </c>
      <c r="U120" s="35">
        <v>43627</v>
      </c>
      <c r="V120" s="34" t="s">
        <v>9366</v>
      </c>
      <c r="W120" s="34">
        <v>4</v>
      </c>
      <c r="X120" s="34" t="s">
        <v>5683</v>
      </c>
      <c r="Y120" s="34" t="s">
        <v>4999</v>
      </c>
      <c r="Z120" s="36">
        <v>43630</v>
      </c>
      <c r="AA120" s="44" t="s">
        <v>264</v>
      </c>
      <c r="AB120" s="38">
        <v>43641</v>
      </c>
      <c r="AC120" s="39">
        <v>43641</v>
      </c>
      <c r="AD120" s="45" t="e">
        <v>#VALUE!</v>
      </c>
      <c r="AE120" s="46" t="e">
        <v>#VALUE!</v>
      </c>
      <c r="AF120" s="53"/>
      <c r="AG120" s="54" t="s">
        <v>11136</v>
      </c>
      <c r="AH120" s="67"/>
    </row>
    <row r="121" spans="1:35" s="2" customFormat="1" ht="21" customHeight="1" thickBot="1" x14ac:dyDescent="0.25">
      <c r="A121" s="221" t="str">
        <f t="shared" si="3"/>
        <v>OK</v>
      </c>
      <c r="B121" s="222" t="str">
        <f t="shared" si="4"/>
        <v>OK</v>
      </c>
      <c r="C121" s="223" t="str">
        <f t="shared" si="5"/>
        <v>OK</v>
      </c>
      <c r="D121" s="28">
        <v>0</v>
      </c>
      <c r="E121" s="49" t="s">
        <v>11374</v>
      </c>
      <c r="F121" s="50" t="s">
        <v>8349</v>
      </c>
      <c r="G121" s="50">
        <v>180428</v>
      </c>
      <c r="H121" s="50" t="s">
        <v>11375</v>
      </c>
      <c r="I121" s="50" t="s">
        <v>6820</v>
      </c>
      <c r="J121" s="50" t="s">
        <v>6829</v>
      </c>
      <c r="K121" s="50" t="s">
        <v>2047</v>
      </c>
      <c r="L121" s="50" t="s">
        <v>11376</v>
      </c>
      <c r="M121" s="50" t="s">
        <v>11377</v>
      </c>
      <c r="N121" s="51">
        <v>43641</v>
      </c>
      <c r="O121" s="50" t="s">
        <v>10875</v>
      </c>
      <c r="P121" s="51">
        <v>43641</v>
      </c>
      <c r="Q121" s="51">
        <v>43641</v>
      </c>
      <c r="R121" s="52">
        <v>43641</v>
      </c>
      <c r="S121" s="33" t="s">
        <v>9357</v>
      </c>
      <c r="T121" s="34" t="s">
        <v>11378</v>
      </c>
      <c r="U121" s="35">
        <v>43748</v>
      </c>
      <c r="V121" s="34" t="s">
        <v>11379</v>
      </c>
      <c r="W121" s="34">
        <v>6</v>
      </c>
      <c r="X121" s="34" t="s">
        <v>5683</v>
      </c>
      <c r="Y121" s="34" t="s">
        <v>4999</v>
      </c>
      <c r="Z121" s="36">
        <v>43762</v>
      </c>
      <c r="AA121" s="44" t="s">
        <v>264</v>
      </c>
      <c r="AB121" s="38">
        <v>43762</v>
      </c>
      <c r="AC121" s="39">
        <v>43762</v>
      </c>
      <c r="AD121" s="45" t="e">
        <v>#VALUE!</v>
      </c>
      <c r="AE121" s="46" t="e">
        <v>#VALUE!</v>
      </c>
      <c r="AF121" s="53"/>
      <c r="AG121" s="54" t="s">
        <v>4999</v>
      </c>
      <c r="AH121" s="67"/>
    </row>
    <row r="122" spans="1:35" s="2" customFormat="1" ht="21" customHeight="1" thickBot="1" x14ac:dyDescent="0.25">
      <c r="A122" s="221" t="str">
        <f t="shared" si="3"/>
        <v>OK</v>
      </c>
      <c r="B122" s="222" t="str">
        <f t="shared" si="4"/>
        <v>OK</v>
      </c>
      <c r="C122" s="223" t="str">
        <f t="shared" si="5"/>
        <v>OK</v>
      </c>
      <c r="D122" s="28">
        <v>0</v>
      </c>
      <c r="E122" s="49" t="s">
        <v>11380</v>
      </c>
      <c r="F122" s="50" t="s">
        <v>11381</v>
      </c>
      <c r="G122" s="50">
        <v>180170</v>
      </c>
      <c r="H122" s="50" t="s">
        <v>11382</v>
      </c>
      <c r="I122" s="50" t="s">
        <v>6820</v>
      </c>
      <c r="J122" s="50" t="s">
        <v>6829</v>
      </c>
      <c r="K122" s="50" t="s">
        <v>11383</v>
      </c>
      <c r="L122" s="50" t="s">
        <v>11384</v>
      </c>
      <c r="M122" s="50" t="s">
        <v>11385</v>
      </c>
      <c r="N122" s="51">
        <v>43367</v>
      </c>
      <c r="O122" s="50" t="s">
        <v>9350</v>
      </c>
      <c r="P122" s="51">
        <v>43367</v>
      </c>
      <c r="Q122" s="51">
        <v>43367</v>
      </c>
      <c r="R122" s="52">
        <v>43644</v>
      </c>
      <c r="S122" s="33" t="s">
        <v>9357</v>
      </c>
      <c r="T122" s="34" t="s">
        <v>10852</v>
      </c>
      <c r="U122" s="35">
        <v>43671</v>
      </c>
      <c r="V122" s="34" t="s">
        <v>11386</v>
      </c>
      <c r="W122" s="34">
        <v>10</v>
      </c>
      <c r="X122" s="34" t="s">
        <v>5683</v>
      </c>
      <c r="Y122" s="34" t="s">
        <v>4999</v>
      </c>
      <c r="Z122" s="36">
        <v>43700</v>
      </c>
      <c r="AA122" s="44" t="s">
        <v>264</v>
      </c>
      <c r="AB122" s="38">
        <v>43703</v>
      </c>
      <c r="AC122" s="39">
        <v>43703</v>
      </c>
      <c r="AD122" s="45" t="e">
        <v>#VALUE!</v>
      </c>
      <c r="AE122" s="46" t="e">
        <v>#VALUE!</v>
      </c>
      <c r="AF122" s="53"/>
      <c r="AG122" s="54" t="s">
        <v>4999</v>
      </c>
      <c r="AH122" s="67"/>
    </row>
    <row r="123" spans="1:35" s="2" customFormat="1" ht="21" customHeight="1" thickBot="1" x14ac:dyDescent="0.25">
      <c r="A123" s="221" t="str">
        <f t="shared" si="3"/>
        <v>OK</v>
      </c>
      <c r="B123" s="222" t="str">
        <f t="shared" si="4"/>
        <v>OK</v>
      </c>
      <c r="C123" s="223" t="str">
        <f t="shared" si="5"/>
        <v>OK</v>
      </c>
      <c r="D123" s="28">
        <v>0</v>
      </c>
      <c r="E123" s="29" t="s">
        <v>11387</v>
      </c>
      <c r="F123" s="30" t="s">
        <v>9024</v>
      </c>
      <c r="G123" s="30">
        <v>180439</v>
      </c>
      <c r="H123" s="30" t="s">
        <v>11388</v>
      </c>
      <c r="I123" s="30" t="s">
        <v>6820</v>
      </c>
      <c r="J123" s="30" t="s">
        <v>6829</v>
      </c>
      <c r="K123" s="30" t="s">
        <v>9942</v>
      </c>
      <c r="L123" s="30" t="s">
        <v>11389</v>
      </c>
      <c r="M123" s="30" t="s">
        <v>2504</v>
      </c>
      <c r="N123" s="31">
        <v>43562</v>
      </c>
      <c r="O123" s="57" t="s">
        <v>9350</v>
      </c>
      <c r="P123" s="31">
        <v>43562</v>
      </c>
      <c r="Q123" s="31">
        <v>43562</v>
      </c>
      <c r="R123" s="32">
        <v>43562</v>
      </c>
      <c r="S123" s="33" t="s">
        <v>9357</v>
      </c>
      <c r="T123" s="34" t="s">
        <v>10852</v>
      </c>
      <c r="U123" s="35">
        <v>43656</v>
      </c>
      <c r="V123" s="34" t="s">
        <v>3315</v>
      </c>
      <c r="W123" s="34">
        <v>3</v>
      </c>
      <c r="X123" s="34" t="s">
        <v>5683</v>
      </c>
      <c r="Y123" s="34" t="s">
        <v>4999</v>
      </c>
      <c r="Z123" s="36">
        <v>43658</v>
      </c>
      <c r="AA123" s="44" t="s">
        <v>264</v>
      </c>
      <c r="AB123" s="38">
        <v>43658</v>
      </c>
      <c r="AC123" s="39">
        <v>43658</v>
      </c>
      <c r="AD123" s="45" t="e">
        <v>#VALUE!</v>
      </c>
      <c r="AE123" s="46" t="e">
        <v>#VALUE!</v>
      </c>
      <c r="AF123" s="25"/>
      <c r="AG123" s="42" t="s">
        <v>4999</v>
      </c>
      <c r="AH123" s="26"/>
      <c r="AI123" s="27"/>
    </row>
    <row r="124" spans="1:35" s="2" customFormat="1" ht="21" customHeight="1" thickBot="1" x14ac:dyDescent="0.25">
      <c r="A124" s="221" t="str">
        <f t="shared" si="3"/>
        <v>OK</v>
      </c>
      <c r="B124" s="222" t="str">
        <f t="shared" si="4"/>
        <v>OK</v>
      </c>
      <c r="C124" s="223" t="str">
        <f t="shared" si="5"/>
        <v>OK</v>
      </c>
      <c r="D124" s="28">
        <v>0</v>
      </c>
      <c r="E124" s="29" t="s">
        <v>11390</v>
      </c>
      <c r="F124" s="30" t="s">
        <v>9024</v>
      </c>
      <c r="G124" s="30">
        <v>180439</v>
      </c>
      <c r="H124" s="30" t="s">
        <v>11391</v>
      </c>
      <c r="I124" s="30" t="s">
        <v>6820</v>
      </c>
      <c r="J124" s="30" t="s">
        <v>6829</v>
      </c>
      <c r="K124" s="30" t="s">
        <v>11267</v>
      </c>
      <c r="L124" s="30" t="s">
        <v>11392</v>
      </c>
      <c r="M124" s="30" t="s">
        <v>2504</v>
      </c>
      <c r="N124" s="31">
        <v>43562</v>
      </c>
      <c r="O124" s="30" t="s">
        <v>9350</v>
      </c>
      <c r="P124" s="31">
        <v>43562</v>
      </c>
      <c r="Q124" s="31">
        <v>43562</v>
      </c>
      <c r="R124" s="32">
        <v>43562</v>
      </c>
      <c r="S124" s="33" t="s">
        <v>9357</v>
      </c>
      <c r="T124" s="34" t="s">
        <v>9350</v>
      </c>
      <c r="U124" s="35">
        <v>43690</v>
      </c>
      <c r="V124" s="34" t="s">
        <v>9029</v>
      </c>
      <c r="W124" s="34">
        <v>1</v>
      </c>
      <c r="X124" s="34" t="s">
        <v>5683</v>
      </c>
      <c r="Y124" s="34" t="s">
        <v>4999</v>
      </c>
      <c r="Z124" s="36">
        <v>43693</v>
      </c>
      <c r="AA124" s="44" t="s">
        <v>264</v>
      </c>
      <c r="AB124" s="38">
        <v>43693</v>
      </c>
      <c r="AC124" s="39">
        <v>43693</v>
      </c>
      <c r="AD124" s="45" t="e">
        <v>#VALUE!</v>
      </c>
      <c r="AE124" s="46" t="e">
        <v>#VALUE!</v>
      </c>
      <c r="AF124" s="25"/>
      <c r="AG124" s="42" t="s">
        <v>4999</v>
      </c>
      <c r="AH124" s="26"/>
      <c r="AI124" s="27"/>
    </row>
    <row r="125" spans="1:35" s="2" customFormat="1" ht="21" customHeight="1" x14ac:dyDescent="0.2">
      <c r="A125" s="221" t="str">
        <f t="shared" si="3"/>
        <v>OK</v>
      </c>
      <c r="B125" s="222" t="str">
        <f t="shared" si="4"/>
        <v>OK</v>
      </c>
      <c r="C125" s="223" t="str">
        <f t="shared" si="5"/>
        <v>OK</v>
      </c>
      <c r="D125" s="28">
        <v>0</v>
      </c>
      <c r="E125" s="49" t="s">
        <v>11393</v>
      </c>
      <c r="F125" s="50" t="s">
        <v>9414</v>
      </c>
      <c r="G125" s="50">
        <v>180446</v>
      </c>
      <c r="H125" s="50" t="s">
        <v>11394</v>
      </c>
      <c r="I125" s="50" t="s">
        <v>6820</v>
      </c>
      <c r="J125" s="50" t="s">
        <v>6829</v>
      </c>
      <c r="K125" s="50" t="s">
        <v>11395</v>
      </c>
      <c r="L125" s="50" t="s">
        <v>11396</v>
      </c>
      <c r="M125" s="50" t="s">
        <v>9417</v>
      </c>
      <c r="N125" s="51">
        <v>43806</v>
      </c>
      <c r="O125" s="50" t="s">
        <v>9350</v>
      </c>
      <c r="P125" s="51">
        <v>43806</v>
      </c>
      <c r="Q125" s="51">
        <v>43806</v>
      </c>
      <c r="R125" s="52">
        <v>43661</v>
      </c>
      <c r="S125" s="33" t="s">
        <v>9357</v>
      </c>
      <c r="T125" s="34" t="s">
        <v>10852</v>
      </c>
      <c r="U125" s="35">
        <v>43671</v>
      </c>
      <c r="V125" s="34" t="s">
        <v>11397</v>
      </c>
      <c r="W125" s="34">
        <v>1</v>
      </c>
      <c r="X125" s="34" t="s">
        <v>5683</v>
      </c>
      <c r="Y125" s="34" t="s">
        <v>4999</v>
      </c>
      <c r="Z125" s="36">
        <v>43675</v>
      </c>
      <c r="AA125" s="44" t="s">
        <v>264</v>
      </c>
      <c r="AB125" s="38">
        <v>43677</v>
      </c>
      <c r="AC125" s="39">
        <v>43677</v>
      </c>
      <c r="AD125" s="45" t="e">
        <v>#VALUE!</v>
      </c>
      <c r="AE125" s="46" t="e">
        <v>#VALUE!</v>
      </c>
      <c r="AF125" s="53"/>
      <c r="AG125" s="54" t="s">
        <v>4999</v>
      </c>
      <c r="AH125" s="67"/>
    </row>
    <row r="126" spans="1:35" s="86" customFormat="1" ht="21" customHeight="1" thickBot="1" x14ac:dyDescent="0.25">
      <c r="A126" s="452" t="s">
        <v>7575</v>
      </c>
      <c r="B126" s="453"/>
      <c r="C126" s="454"/>
      <c r="D126" s="79">
        <v>0</v>
      </c>
      <c r="E126" s="75" t="s">
        <v>11398</v>
      </c>
      <c r="F126" s="94" t="s">
        <v>9414</v>
      </c>
      <c r="G126" s="94">
        <v>180488</v>
      </c>
      <c r="H126" s="94" t="s">
        <v>11399</v>
      </c>
      <c r="I126" s="94" t="s">
        <v>6820</v>
      </c>
      <c r="J126" s="94" t="s">
        <v>6829</v>
      </c>
      <c r="K126" s="94" t="s">
        <v>11400</v>
      </c>
      <c r="L126" s="94" t="s">
        <v>11401</v>
      </c>
      <c r="M126" s="94" t="s">
        <v>9417</v>
      </c>
      <c r="N126" s="95">
        <v>43691</v>
      </c>
      <c r="O126" s="94" t="s">
        <v>9350</v>
      </c>
      <c r="P126" s="95">
        <v>43481</v>
      </c>
      <c r="Q126" s="95">
        <v>43691</v>
      </c>
      <c r="R126" s="96">
        <v>43692</v>
      </c>
      <c r="S126" s="82"/>
      <c r="T126" s="81"/>
      <c r="U126" s="61"/>
      <c r="V126" s="81"/>
      <c r="W126" s="81">
        <v>1</v>
      </c>
      <c r="X126" s="81"/>
      <c r="Y126" s="81"/>
      <c r="Z126" s="62"/>
      <c r="AA126" s="83"/>
      <c r="AB126" s="61"/>
      <c r="AC126" s="62"/>
      <c r="AD126" s="101" t="e">
        <v>#VALUE!</v>
      </c>
      <c r="AE126" s="102" t="e">
        <v>#VALUE!</v>
      </c>
      <c r="AF126" s="97"/>
      <c r="AG126" s="98"/>
      <c r="AH126" s="103"/>
    </row>
    <row r="127" spans="1:35" s="2" customFormat="1" ht="21" customHeight="1" thickBot="1" x14ac:dyDescent="0.25">
      <c r="A127" s="221" t="str">
        <f t="shared" si="3"/>
        <v>OK</v>
      </c>
      <c r="B127" s="222" t="str">
        <f t="shared" si="4"/>
        <v>OK</v>
      </c>
      <c r="C127" s="223" t="str">
        <f t="shared" si="5"/>
        <v>OK</v>
      </c>
      <c r="D127" s="28">
        <v>0</v>
      </c>
      <c r="E127" s="49" t="s">
        <v>11402</v>
      </c>
      <c r="F127" s="50" t="s">
        <v>9414</v>
      </c>
      <c r="G127" s="50">
        <v>180510</v>
      </c>
      <c r="H127" s="50" t="s">
        <v>11403</v>
      </c>
      <c r="I127" s="50" t="s">
        <v>6820</v>
      </c>
      <c r="J127" s="50" t="s">
        <v>6829</v>
      </c>
      <c r="K127" s="50" t="s">
        <v>1406</v>
      </c>
      <c r="L127" s="50" t="s">
        <v>11404</v>
      </c>
      <c r="M127" s="50" t="s">
        <v>9417</v>
      </c>
      <c r="N127" s="51">
        <v>43698</v>
      </c>
      <c r="O127" s="50" t="s">
        <v>9350</v>
      </c>
      <c r="P127" s="51">
        <v>43698</v>
      </c>
      <c r="Q127" s="51">
        <v>43700</v>
      </c>
      <c r="R127" s="52">
        <v>43703</v>
      </c>
      <c r="S127" s="33" t="s">
        <v>9357</v>
      </c>
      <c r="T127" s="34" t="s">
        <v>9350</v>
      </c>
      <c r="U127" s="35">
        <v>43706</v>
      </c>
      <c r="V127" s="34" t="s">
        <v>11405</v>
      </c>
      <c r="W127" s="34">
        <v>1</v>
      </c>
      <c r="X127" s="34" t="s">
        <v>5683</v>
      </c>
      <c r="Y127" s="34" t="s">
        <v>4999</v>
      </c>
      <c r="Z127" s="36">
        <v>43714</v>
      </c>
      <c r="AA127" s="44" t="s">
        <v>264</v>
      </c>
      <c r="AB127" s="38">
        <v>43714</v>
      </c>
      <c r="AC127" s="39">
        <v>43714</v>
      </c>
      <c r="AD127" s="45" t="e">
        <v>#VALUE!</v>
      </c>
      <c r="AE127" s="46" t="e">
        <v>#VALUE!</v>
      </c>
      <c r="AF127" s="53"/>
      <c r="AG127" s="54" t="s">
        <v>4999</v>
      </c>
      <c r="AH127" s="67"/>
    </row>
    <row r="128" spans="1:35" s="2" customFormat="1" ht="21" customHeight="1" thickBot="1" x14ac:dyDescent="0.25">
      <c r="A128" s="221" t="str">
        <f t="shared" si="3"/>
        <v>OK</v>
      </c>
      <c r="B128" s="222" t="str">
        <f t="shared" si="4"/>
        <v>OK</v>
      </c>
      <c r="C128" s="223" t="str">
        <f t="shared" si="5"/>
        <v>OK</v>
      </c>
      <c r="D128" s="28">
        <v>0</v>
      </c>
      <c r="E128" s="49" t="s">
        <v>11406</v>
      </c>
      <c r="F128" s="50" t="s">
        <v>11407</v>
      </c>
      <c r="G128" s="50">
        <v>180187</v>
      </c>
      <c r="H128" s="50" t="s">
        <v>11408</v>
      </c>
      <c r="I128" s="50" t="s">
        <v>6820</v>
      </c>
      <c r="J128" s="50" t="s">
        <v>6829</v>
      </c>
      <c r="K128" s="50" t="s">
        <v>11409</v>
      </c>
      <c r="L128" s="50" t="s">
        <v>11410</v>
      </c>
      <c r="M128" s="50" t="s">
        <v>11411</v>
      </c>
      <c r="N128" s="51">
        <v>43806</v>
      </c>
      <c r="O128" s="50" t="s">
        <v>9350</v>
      </c>
      <c r="P128" s="51">
        <v>43481</v>
      </c>
      <c r="Q128" s="51">
        <v>43806</v>
      </c>
      <c r="R128" s="52">
        <v>43806</v>
      </c>
      <c r="S128" s="33" t="s">
        <v>9357</v>
      </c>
      <c r="T128" s="34" t="s">
        <v>8143</v>
      </c>
      <c r="U128" s="34" t="s">
        <v>8143</v>
      </c>
      <c r="V128" s="34" t="s">
        <v>8143</v>
      </c>
      <c r="W128" s="34">
        <v>4</v>
      </c>
      <c r="X128" s="34" t="s">
        <v>8143</v>
      </c>
      <c r="Y128" s="34" t="s">
        <v>8143</v>
      </c>
      <c r="Z128" s="69" t="s">
        <v>8143</v>
      </c>
      <c r="AA128" s="44" t="s">
        <v>8143</v>
      </c>
      <c r="AB128" s="70" t="s">
        <v>8143</v>
      </c>
      <c r="AC128" s="71" t="s">
        <v>8143</v>
      </c>
      <c r="AD128" s="45" t="e">
        <v>#VALUE!</v>
      </c>
      <c r="AE128" s="46" t="e">
        <v>#VALUE!</v>
      </c>
      <c r="AF128" s="53"/>
      <c r="AG128" s="54"/>
      <c r="AH128" s="67"/>
    </row>
    <row r="129" spans="1:34" s="2" customFormat="1" ht="21" customHeight="1" thickBot="1" x14ac:dyDescent="0.25">
      <c r="A129" s="221" t="str">
        <f t="shared" si="3"/>
        <v>OK</v>
      </c>
      <c r="B129" s="222" t="str">
        <f t="shared" si="4"/>
        <v>OK</v>
      </c>
      <c r="C129" s="223" t="str">
        <f t="shared" si="5"/>
        <v>OK</v>
      </c>
      <c r="D129" s="28">
        <v>0</v>
      </c>
      <c r="E129" s="49" t="s">
        <v>11412</v>
      </c>
      <c r="F129" s="50" t="s">
        <v>9414</v>
      </c>
      <c r="G129" s="50">
        <v>180517</v>
      </c>
      <c r="H129" s="50" t="s">
        <v>11413</v>
      </c>
      <c r="I129" s="50" t="s">
        <v>6820</v>
      </c>
      <c r="J129" s="50" t="s">
        <v>6829</v>
      </c>
      <c r="K129" s="50" t="s">
        <v>5143</v>
      </c>
      <c r="L129" s="50" t="s">
        <v>11414</v>
      </c>
      <c r="M129" s="50" t="s">
        <v>9417</v>
      </c>
      <c r="N129" s="51">
        <v>43704</v>
      </c>
      <c r="O129" s="50" t="s">
        <v>9350</v>
      </c>
      <c r="P129" s="51">
        <v>43704</v>
      </c>
      <c r="Q129" s="51">
        <v>43705</v>
      </c>
      <c r="R129" s="52">
        <v>43705</v>
      </c>
      <c r="S129" s="33" t="s">
        <v>9357</v>
      </c>
      <c r="T129" s="34" t="s">
        <v>9350</v>
      </c>
      <c r="U129" s="35">
        <v>43706</v>
      </c>
      <c r="V129" s="34" t="s">
        <v>9418</v>
      </c>
      <c r="W129" s="34">
        <v>2</v>
      </c>
      <c r="X129" s="34" t="s">
        <v>5683</v>
      </c>
      <c r="Y129" s="34" t="s">
        <v>4999</v>
      </c>
      <c r="Z129" s="36">
        <v>43712</v>
      </c>
      <c r="AA129" s="44" t="s">
        <v>264</v>
      </c>
      <c r="AB129" s="38">
        <v>43712</v>
      </c>
      <c r="AC129" s="39">
        <v>43712</v>
      </c>
      <c r="AD129" s="45" t="e">
        <v>#VALUE!</v>
      </c>
      <c r="AE129" s="46" t="e">
        <v>#VALUE!</v>
      </c>
      <c r="AF129" s="53"/>
      <c r="AG129" s="54" t="s">
        <v>4999</v>
      </c>
      <c r="AH129" s="67"/>
    </row>
    <row r="130" spans="1:34" s="2" customFormat="1" ht="21" customHeight="1" thickBot="1" x14ac:dyDescent="0.25">
      <c r="A130" s="221" t="str">
        <f t="shared" si="3"/>
        <v>OK</v>
      </c>
      <c r="B130" s="222" t="str">
        <f t="shared" si="4"/>
        <v>OK</v>
      </c>
      <c r="C130" s="223" t="str">
        <f t="shared" si="5"/>
        <v>OK</v>
      </c>
      <c r="D130" s="28">
        <v>0</v>
      </c>
      <c r="E130" s="49" t="s">
        <v>11415</v>
      </c>
      <c r="F130" s="50" t="s">
        <v>9414</v>
      </c>
      <c r="G130" s="50">
        <v>180508</v>
      </c>
      <c r="H130" s="50" t="s">
        <v>11416</v>
      </c>
      <c r="I130" s="50" t="s">
        <v>6820</v>
      </c>
      <c r="J130" s="50" t="s">
        <v>6829</v>
      </c>
      <c r="K130" s="50" t="s">
        <v>11417</v>
      </c>
      <c r="L130" s="50" t="s">
        <v>11418</v>
      </c>
      <c r="M130" s="50" t="s">
        <v>9417</v>
      </c>
      <c r="N130" s="51">
        <v>43698</v>
      </c>
      <c r="O130" s="50" t="s">
        <v>9350</v>
      </c>
      <c r="P130" s="51">
        <v>43698</v>
      </c>
      <c r="Q130" s="51">
        <v>43700</v>
      </c>
      <c r="R130" s="52">
        <v>43703</v>
      </c>
      <c r="S130" s="33" t="s">
        <v>9357</v>
      </c>
      <c r="T130" s="34" t="s">
        <v>6850</v>
      </c>
      <c r="U130" s="35">
        <v>43705</v>
      </c>
      <c r="V130" s="34" t="s">
        <v>11419</v>
      </c>
      <c r="W130" s="34">
        <v>1</v>
      </c>
      <c r="X130" s="34" t="s">
        <v>5683</v>
      </c>
      <c r="Y130" s="34" t="s">
        <v>4999</v>
      </c>
      <c r="Z130" s="36">
        <v>43712</v>
      </c>
      <c r="AA130" s="44" t="s">
        <v>264</v>
      </c>
      <c r="AB130" s="38">
        <v>43714</v>
      </c>
      <c r="AC130" s="39">
        <v>43714</v>
      </c>
      <c r="AD130" s="45" t="e">
        <v>#VALUE!</v>
      </c>
      <c r="AE130" s="46" t="e">
        <v>#VALUE!</v>
      </c>
      <c r="AF130" s="53"/>
      <c r="AG130" s="54" t="s">
        <v>4999</v>
      </c>
      <c r="AH130" s="67"/>
    </row>
    <row r="131" spans="1:34" s="2" customFormat="1" ht="21" customHeight="1" thickBot="1" x14ac:dyDescent="0.25">
      <c r="A131" s="221" t="str">
        <f t="shared" si="3"/>
        <v>OK</v>
      </c>
      <c r="B131" s="222" t="str">
        <f t="shared" si="4"/>
        <v>OK</v>
      </c>
      <c r="C131" s="223" t="str">
        <f t="shared" si="5"/>
        <v>OK</v>
      </c>
      <c r="D131" s="28">
        <v>0</v>
      </c>
      <c r="E131" s="49" t="s">
        <v>11420</v>
      </c>
      <c r="F131" s="50" t="s">
        <v>9414</v>
      </c>
      <c r="G131" s="50">
        <v>180507</v>
      </c>
      <c r="H131" s="50" t="s">
        <v>11421</v>
      </c>
      <c r="I131" s="50" t="s">
        <v>6820</v>
      </c>
      <c r="J131" s="50" t="s">
        <v>6829</v>
      </c>
      <c r="K131" s="50" t="s">
        <v>11422</v>
      </c>
      <c r="L131" s="50" t="s">
        <v>11423</v>
      </c>
      <c r="M131" s="50" t="s">
        <v>9744</v>
      </c>
      <c r="N131" s="51">
        <v>43699</v>
      </c>
      <c r="O131" s="50" t="s">
        <v>9350</v>
      </c>
      <c r="P131" s="51">
        <v>43699</v>
      </c>
      <c r="Q131" s="51">
        <v>43700</v>
      </c>
      <c r="R131" s="52">
        <v>43700</v>
      </c>
      <c r="S131" s="33" t="s">
        <v>9357</v>
      </c>
      <c r="T131" s="34" t="s">
        <v>6850</v>
      </c>
      <c r="U131" s="35">
        <v>43705</v>
      </c>
      <c r="V131" s="34" t="s">
        <v>11424</v>
      </c>
      <c r="W131" s="34">
        <v>1</v>
      </c>
      <c r="X131" s="34" t="s">
        <v>5683</v>
      </c>
      <c r="Y131" s="34" t="s">
        <v>4999</v>
      </c>
      <c r="Z131" s="36">
        <v>43714</v>
      </c>
      <c r="AA131" s="44" t="s">
        <v>264</v>
      </c>
      <c r="AB131" s="38">
        <v>43714</v>
      </c>
      <c r="AC131" s="39">
        <v>43714</v>
      </c>
      <c r="AD131" s="45" t="e">
        <v>#VALUE!</v>
      </c>
      <c r="AE131" s="46" t="e">
        <v>#VALUE!</v>
      </c>
      <c r="AF131" s="53"/>
      <c r="AG131" s="54" t="s">
        <v>4999</v>
      </c>
      <c r="AH131" s="67"/>
    </row>
    <row r="132" spans="1:34" s="2" customFormat="1" ht="26.25" thickBot="1" x14ac:dyDescent="0.25">
      <c r="A132" s="221" t="str">
        <f t="shared" si="3"/>
        <v>OK</v>
      </c>
      <c r="B132" s="222" t="str">
        <f t="shared" si="4"/>
        <v>OK</v>
      </c>
      <c r="C132" s="223" t="str">
        <f t="shared" si="5"/>
        <v>OK</v>
      </c>
      <c r="D132" s="28">
        <v>0</v>
      </c>
      <c r="E132" s="49" t="s">
        <v>11425</v>
      </c>
      <c r="F132" s="50" t="s">
        <v>11407</v>
      </c>
      <c r="G132" s="50">
        <v>180187</v>
      </c>
      <c r="H132" s="50" t="s">
        <v>11426</v>
      </c>
      <c r="I132" s="50" t="s">
        <v>6820</v>
      </c>
      <c r="J132" s="50" t="s">
        <v>6829</v>
      </c>
      <c r="K132" s="50" t="s">
        <v>3519</v>
      </c>
      <c r="L132" s="50" t="s">
        <v>7576</v>
      </c>
      <c r="M132" s="50" t="s">
        <v>11411</v>
      </c>
      <c r="N132" s="51">
        <v>43806</v>
      </c>
      <c r="O132" s="50" t="s">
        <v>9350</v>
      </c>
      <c r="P132" s="51">
        <v>43806</v>
      </c>
      <c r="Q132" s="51">
        <v>43806</v>
      </c>
      <c r="R132" s="52">
        <v>43806</v>
      </c>
      <c r="S132" s="33" t="s">
        <v>9357</v>
      </c>
      <c r="T132" s="34" t="s">
        <v>8143</v>
      </c>
      <c r="U132" s="34" t="s">
        <v>8143</v>
      </c>
      <c r="V132" s="34" t="s">
        <v>8143</v>
      </c>
      <c r="W132" s="34">
        <v>4</v>
      </c>
      <c r="X132" s="34" t="s">
        <v>8143</v>
      </c>
      <c r="Y132" s="34" t="s">
        <v>8143</v>
      </c>
      <c r="Z132" s="69" t="s">
        <v>8143</v>
      </c>
      <c r="AA132" s="44" t="s">
        <v>8143</v>
      </c>
      <c r="AB132" s="70" t="s">
        <v>8143</v>
      </c>
      <c r="AC132" s="71" t="s">
        <v>8143</v>
      </c>
      <c r="AD132" s="45" t="e">
        <v>#VALUE!</v>
      </c>
      <c r="AE132" s="46" t="e">
        <v>#VALUE!</v>
      </c>
      <c r="AF132" s="53"/>
      <c r="AG132" s="54"/>
      <c r="AH132" s="67"/>
    </row>
    <row r="133" spans="1:34" s="2" customFormat="1" ht="26.25" thickBot="1" x14ac:dyDescent="0.25">
      <c r="A133" s="221"/>
      <c r="B133" s="222"/>
      <c r="C133" s="223"/>
      <c r="D133" s="28">
        <v>0</v>
      </c>
      <c r="E133" s="49" t="s">
        <v>11427</v>
      </c>
      <c r="F133" s="50"/>
      <c r="G133" s="50"/>
      <c r="H133" s="50"/>
      <c r="I133" s="50"/>
      <c r="J133" s="50"/>
      <c r="K133" s="50"/>
      <c r="L133" s="50"/>
      <c r="M133" s="50"/>
      <c r="N133" s="51"/>
      <c r="O133" s="50"/>
      <c r="P133" s="51"/>
      <c r="Q133" s="51"/>
      <c r="R133" s="52"/>
      <c r="S133" s="33"/>
      <c r="T133" s="34"/>
      <c r="U133" s="35"/>
      <c r="V133" s="34"/>
      <c r="W133" s="34"/>
      <c r="X133" s="34"/>
      <c r="Y133" s="34"/>
      <c r="Z133" s="36"/>
      <c r="AA133" s="44"/>
      <c r="AB133" s="38"/>
      <c r="AC133" s="39"/>
      <c r="AD133" s="45" t="e">
        <v>#VALUE!</v>
      </c>
      <c r="AE133" s="46" t="e">
        <v>#VALUE!</v>
      </c>
      <c r="AF133" s="53"/>
      <c r="AG133" s="54"/>
      <c r="AH133" s="67"/>
    </row>
    <row r="134" spans="1:34" s="2" customFormat="1" ht="26.25" thickBot="1" x14ac:dyDescent="0.25">
      <c r="A134" s="221" t="str">
        <f t="shared" ref="A134:A197" si="6">IF(OR(ISBLANK(D134),ISBLANK(E134),ISBLANK(F134),ISBLANK(G134),ISBLANK(H134),ISBLANK(I134),ISBLANK(J134),ISBLANK(K134),ISBLANK(L134),ISBLANK(M134),ISBLANK(N134),ISBLANK(O134),ISBLANK(P134),ISBLANK(Q134),ISBLANK(R134))=TRUE,"P","OK")</f>
        <v>OK</v>
      </c>
      <c r="B134" s="222" t="str">
        <f t="shared" si="4"/>
        <v>OK</v>
      </c>
      <c r="C134" s="223" t="str">
        <f t="shared" si="5"/>
        <v>OK</v>
      </c>
      <c r="D134" s="28">
        <v>0</v>
      </c>
      <c r="E134" s="49" t="s">
        <v>11428</v>
      </c>
      <c r="F134" s="50" t="s">
        <v>6169</v>
      </c>
      <c r="G134" s="50">
        <v>180456</v>
      </c>
      <c r="H134" s="50" t="s">
        <v>11429</v>
      </c>
      <c r="I134" s="50" t="s">
        <v>6820</v>
      </c>
      <c r="J134" s="50" t="s">
        <v>6829</v>
      </c>
      <c r="K134" s="50" t="s">
        <v>9318</v>
      </c>
      <c r="L134" s="50">
        <v>200350</v>
      </c>
      <c r="M134" s="50" t="s">
        <v>3190</v>
      </c>
      <c r="N134" s="51">
        <v>43663</v>
      </c>
      <c r="O134" s="51" t="s">
        <v>9350</v>
      </c>
      <c r="P134" s="51">
        <v>43663</v>
      </c>
      <c r="Q134" s="51">
        <v>43663</v>
      </c>
      <c r="R134" s="52">
        <v>43664</v>
      </c>
      <c r="S134" s="33" t="s">
        <v>10852</v>
      </c>
      <c r="T134" s="34" t="s">
        <v>10852</v>
      </c>
      <c r="U134" s="35">
        <v>43665</v>
      </c>
      <c r="V134" s="34" t="s">
        <v>11430</v>
      </c>
      <c r="W134" s="34">
        <v>1</v>
      </c>
      <c r="X134" s="34" t="s">
        <v>5683</v>
      </c>
      <c r="Y134" s="34" t="s">
        <v>4999</v>
      </c>
      <c r="Z134" s="36">
        <v>43668</v>
      </c>
      <c r="AA134" s="44" t="s">
        <v>264</v>
      </c>
      <c r="AB134" s="38">
        <v>43669</v>
      </c>
      <c r="AC134" s="39">
        <v>43669</v>
      </c>
      <c r="AD134" s="45" t="e">
        <v>#VALUE!</v>
      </c>
      <c r="AE134" s="46" t="e">
        <v>#VALUE!</v>
      </c>
      <c r="AF134" s="53"/>
      <c r="AG134" s="54" t="s">
        <v>11136</v>
      </c>
      <c r="AH134" s="67"/>
    </row>
    <row r="135" spans="1:34" s="2" customFormat="1" ht="19.5" customHeight="1" thickBot="1" x14ac:dyDescent="0.25">
      <c r="A135" s="221" t="str">
        <f t="shared" si="6"/>
        <v>OK</v>
      </c>
      <c r="B135" s="222" t="str">
        <f t="shared" ref="B135:B198" si="7">IF(OR(ISBLANK(S135),ISBLANK(T135),ISBLANK(U135),ISBLANK(V135),ISBLANK(W135),ISBLANK(X135),ISBLANK(Y135),ISBLANK(Z135))=TRUE,"P","OK")</f>
        <v>OK</v>
      </c>
      <c r="C135" s="223" t="str">
        <f t="shared" ref="C135:C198" si="8">IF(OR(ISBLANK(AA135),ISBLANK(AB135),ISBLANK(AC135))=TRUE,"P","OK")</f>
        <v>OK</v>
      </c>
      <c r="D135" s="28">
        <v>0</v>
      </c>
      <c r="E135" s="49" t="s">
        <v>11431</v>
      </c>
      <c r="F135" s="50" t="s">
        <v>6169</v>
      </c>
      <c r="G135" s="50">
        <v>180456</v>
      </c>
      <c r="H135" s="50" t="s">
        <v>11432</v>
      </c>
      <c r="I135" s="50" t="s">
        <v>6820</v>
      </c>
      <c r="J135" s="50" t="s">
        <v>6829</v>
      </c>
      <c r="K135" s="50" t="s">
        <v>11433</v>
      </c>
      <c r="L135" s="50">
        <v>350500</v>
      </c>
      <c r="M135" s="50" t="s">
        <v>3190</v>
      </c>
      <c r="N135" s="51">
        <v>43663</v>
      </c>
      <c r="O135" s="51" t="s">
        <v>9350</v>
      </c>
      <c r="P135" s="51">
        <v>43663</v>
      </c>
      <c r="Q135" s="51">
        <v>43663</v>
      </c>
      <c r="R135" s="52">
        <v>43664</v>
      </c>
      <c r="S135" s="33" t="s">
        <v>10852</v>
      </c>
      <c r="T135" s="34" t="s">
        <v>10852</v>
      </c>
      <c r="U135" s="35">
        <v>43665</v>
      </c>
      <c r="V135" s="34" t="s">
        <v>11127</v>
      </c>
      <c r="W135" s="34">
        <v>2</v>
      </c>
      <c r="X135" s="34" t="s">
        <v>5683</v>
      </c>
      <c r="Y135" s="34" t="s">
        <v>4999</v>
      </c>
      <c r="Z135" s="36">
        <v>43668</v>
      </c>
      <c r="AA135" s="44" t="s">
        <v>264</v>
      </c>
      <c r="AB135" s="38">
        <v>43669</v>
      </c>
      <c r="AC135" s="39">
        <v>43669</v>
      </c>
      <c r="AD135" s="45" t="e">
        <v>#VALUE!</v>
      </c>
      <c r="AE135" s="46" t="e">
        <v>#VALUE!</v>
      </c>
      <c r="AF135" s="53"/>
      <c r="AG135" s="54" t="s">
        <v>11136</v>
      </c>
      <c r="AH135" s="67"/>
    </row>
    <row r="136" spans="1:34" s="2" customFormat="1" ht="19.5" customHeight="1" thickBot="1" x14ac:dyDescent="0.25">
      <c r="A136" s="221" t="str">
        <f t="shared" si="6"/>
        <v>OK</v>
      </c>
      <c r="B136" s="222" t="str">
        <f t="shared" si="7"/>
        <v>OK</v>
      </c>
      <c r="C136" s="223" t="str">
        <f t="shared" si="8"/>
        <v>OK</v>
      </c>
      <c r="D136" s="28">
        <v>0</v>
      </c>
      <c r="E136" s="49" t="s">
        <v>11434</v>
      </c>
      <c r="F136" s="50" t="s">
        <v>8369</v>
      </c>
      <c r="G136" s="50">
        <v>180453</v>
      </c>
      <c r="H136" s="50" t="s">
        <v>11435</v>
      </c>
      <c r="I136" s="50" t="s">
        <v>6820</v>
      </c>
      <c r="J136" s="50" t="s">
        <v>6829</v>
      </c>
      <c r="K136" s="50" t="s">
        <v>11436</v>
      </c>
      <c r="L136" s="50" t="s">
        <v>11437</v>
      </c>
      <c r="M136" s="50" t="s">
        <v>11438</v>
      </c>
      <c r="N136" s="51">
        <v>43662</v>
      </c>
      <c r="O136" s="50" t="s">
        <v>9350</v>
      </c>
      <c r="P136" s="51">
        <v>43662</v>
      </c>
      <c r="Q136" s="51">
        <v>43663</v>
      </c>
      <c r="R136" s="52">
        <v>43663</v>
      </c>
      <c r="S136" s="33" t="s">
        <v>9357</v>
      </c>
      <c r="T136" s="34" t="s">
        <v>10852</v>
      </c>
      <c r="U136" s="35">
        <v>43663</v>
      </c>
      <c r="V136" s="34" t="s">
        <v>11439</v>
      </c>
      <c r="W136" s="34">
        <v>10</v>
      </c>
      <c r="X136" s="34" t="s">
        <v>5683</v>
      </c>
      <c r="Y136" s="34" t="s">
        <v>1687</v>
      </c>
      <c r="Z136" s="36">
        <v>43668</v>
      </c>
      <c r="AA136" s="44" t="s">
        <v>264</v>
      </c>
      <c r="AB136" s="38">
        <v>43672</v>
      </c>
      <c r="AC136" s="39">
        <v>43672</v>
      </c>
      <c r="AD136" s="45" t="e">
        <v>#VALUE!</v>
      </c>
      <c r="AE136" s="46" t="e">
        <v>#VALUE!</v>
      </c>
      <c r="AF136" s="53"/>
      <c r="AG136" s="54" t="s">
        <v>11136</v>
      </c>
      <c r="AH136" s="67"/>
    </row>
    <row r="137" spans="1:34" s="2" customFormat="1" ht="19.5" customHeight="1" thickBot="1" x14ac:dyDescent="0.25">
      <c r="A137" s="221" t="str">
        <f t="shared" si="6"/>
        <v>OK</v>
      </c>
      <c r="B137" s="222" t="str">
        <f t="shared" si="7"/>
        <v>OK</v>
      </c>
      <c r="C137" s="223" t="str">
        <f t="shared" si="8"/>
        <v>OK</v>
      </c>
      <c r="D137" s="28">
        <v>0</v>
      </c>
      <c r="E137" s="49" t="s">
        <v>11440</v>
      </c>
      <c r="F137" s="50" t="s">
        <v>9414</v>
      </c>
      <c r="G137" s="50">
        <v>180517</v>
      </c>
      <c r="H137" s="50" t="s">
        <v>11441</v>
      </c>
      <c r="I137" s="50" t="s">
        <v>6820</v>
      </c>
      <c r="J137" s="50" t="s">
        <v>6829</v>
      </c>
      <c r="K137" s="50" t="s">
        <v>11422</v>
      </c>
      <c r="L137" s="50" t="s">
        <v>11442</v>
      </c>
      <c r="M137" s="50" t="s">
        <v>9417</v>
      </c>
      <c r="N137" s="51">
        <v>43704</v>
      </c>
      <c r="O137" s="50" t="s">
        <v>9350</v>
      </c>
      <c r="P137" s="51">
        <v>43704</v>
      </c>
      <c r="Q137" s="51">
        <v>43705</v>
      </c>
      <c r="R137" s="52">
        <v>43705</v>
      </c>
      <c r="S137" s="33" t="s">
        <v>9357</v>
      </c>
      <c r="T137" s="34" t="s">
        <v>9350</v>
      </c>
      <c r="U137" s="35">
        <v>43706</v>
      </c>
      <c r="V137" s="34" t="s">
        <v>11443</v>
      </c>
      <c r="W137" s="34">
        <v>2</v>
      </c>
      <c r="X137" s="34" t="s">
        <v>5683</v>
      </c>
      <c r="Y137" s="34" t="s">
        <v>4999</v>
      </c>
      <c r="Z137" s="36">
        <v>43712</v>
      </c>
      <c r="AA137" s="44" t="s">
        <v>264</v>
      </c>
      <c r="AB137" s="38">
        <v>43712</v>
      </c>
      <c r="AC137" s="39">
        <v>43712</v>
      </c>
      <c r="AD137" s="45" t="e">
        <v>#VALUE!</v>
      </c>
      <c r="AE137" s="46" t="e">
        <v>#VALUE!</v>
      </c>
      <c r="AF137" s="53"/>
      <c r="AG137" s="54" t="s">
        <v>4999</v>
      </c>
      <c r="AH137" s="67"/>
    </row>
    <row r="138" spans="1:34" s="2" customFormat="1" ht="19.5" customHeight="1" thickBot="1" x14ac:dyDescent="0.25">
      <c r="A138" s="221" t="str">
        <f t="shared" si="6"/>
        <v>OK</v>
      </c>
      <c r="B138" s="222" t="str">
        <f t="shared" si="7"/>
        <v>OK</v>
      </c>
      <c r="C138" s="223" t="str">
        <f t="shared" si="8"/>
        <v>OK</v>
      </c>
      <c r="D138" s="28">
        <v>0</v>
      </c>
      <c r="E138" s="49" t="s">
        <v>11444</v>
      </c>
      <c r="F138" s="50" t="s">
        <v>9414</v>
      </c>
      <c r="G138" s="50">
        <v>180529</v>
      </c>
      <c r="H138" s="50" t="s">
        <v>11445</v>
      </c>
      <c r="I138" s="50" t="s">
        <v>6820</v>
      </c>
      <c r="J138" s="50" t="s">
        <v>6829</v>
      </c>
      <c r="K138" s="50" t="s">
        <v>11446</v>
      </c>
      <c r="L138" s="50" t="s">
        <v>11447</v>
      </c>
      <c r="M138" s="50" t="s">
        <v>9417</v>
      </c>
      <c r="N138" s="51">
        <v>43713</v>
      </c>
      <c r="O138" s="50" t="s">
        <v>9350</v>
      </c>
      <c r="P138" s="51">
        <v>43713</v>
      </c>
      <c r="Q138" s="51">
        <v>43714</v>
      </c>
      <c r="R138" s="52">
        <v>43714</v>
      </c>
      <c r="S138" s="33" t="s">
        <v>9357</v>
      </c>
      <c r="T138" s="34" t="s">
        <v>9357</v>
      </c>
      <c r="U138" s="35">
        <v>43717</v>
      </c>
      <c r="V138" s="34" t="s">
        <v>11448</v>
      </c>
      <c r="W138" s="34">
        <v>1</v>
      </c>
      <c r="X138" s="34" t="s">
        <v>5683</v>
      </c>
      <c r="Y138" s="34" t="s">
        <v>4999</v>
      </c>
      <c r="Z138" s="36">
        <v>43718</v>
      </c>
      <c r="AA138" s="44" t="s">
        <v>264</v>
      </c>
      <c r="AB138" s="38">
        <v>43718</v>
      </c>
      <c r="AC138" s="39">
        <v>43718</v>
      </c>
      <c r="AD138" s="45" t="e">
        <v>#VALUE!</v>
      </c>
      <c r="AE138" s="46" t="e">
        <v>#VALUE!</v>
      </c>
      <c r="AF138" s="53"/>
      <c r="AG138" s="54" t="s">
        <v>4999</v>
      </c>
      <c r="AH138" s="67"/>
    </row>
    <row r="139" spans="1:34" s="2" customFormat="1" ht="19.5" customHeight="1" thickBot="1" x14ac:dyDescent="0.25">
      <c r="A139" s="221" t="str">
        <f t="shared" si="6"/>
        <v>OK</v>
      </c>
      <c r="B139" s="222" t="str">
        <f t="shared" si="7"/>
        <v>OK</v>
      </c>
      <c r="C139" s="223" t="str">
        <f t="shared" si="8"/>
        <v>OK</v>
      </c>
      <c r="D139" s="28">
        <v>0</v>
      </c>
      <c r="E139" s="49" t="s">
        <v>11449</v>
      </c>
      <c r="F139" s="50" t="s">
        <v>9414</v>
      </c>
      <c r="G139" s="50">
        <v>180464</v>
      </c>
      <c r="H139" s="50" t="s">
        <v>11450</v>
      </c>
      <c r="I139" s="50" t="s">
        <v>6820</v>
      </c>
      <c r="J139" s="50" t="s">
        <v>6829</v>
      </c>
      <c r="K139" s="50" t="s">
        <v>147</v>
      </c>
      <c r="L139" s="50" t="s">
        <v>11451</v>
      </c>
      <c r="M139" s="50" t="s">
        <v>9417</v>
      </c>
      <c r="N139" s="51">
        <v>43672</v>
      </c>
      <c r="O139" s="50" t="s">
        <v>9350</v>
      </c>
      <c r="P139" s="51">
        <v>43672</v>
      </c>
      <c r="Q139" s="51">
        <v>43672</v>
      </c>
      <c r="R139" s="52">
        <v>43677</v>
      </c>
      <c r="S139" s="33" t="s">
        <v>11452</v>
      </c>
      <c r="T139" s="34" t="s">
        <v>9350</v>
      </c>
      <c r="U139" s="35">
        <v>43693</v>
      </c>
      <c r="V139" s="34" t="s">
        <v>11453</v>
      </c>
      <c r="W139" s="34">
        <v>1</v>
      </c>
      <c r="X139" s="34" t="s">
        <v>5683</v>
      </c>
      <c r="Y139" s="34" t="s">
        <v>4999</v>
      </c>
      <c r="Z139" s="36">
        <v>43696</v>
      </c>
      <c r="AA139" s="44" t="s">
        <v>264</v>
      </c>
      <c r="AB139" s="38">
        <v>43696</v>
      </c>
      <c r="AC139" s="39">
        <v>43696</v>
      </c>
      <c r="AD139" s="45" t="e">
        <v>#VALUE!</v>
      </c>
      <c r="AE139" s="46" t="e">
        <v>#VALUE!</v>
      </c>
      <c r="AF139" s="53"/>
      <c r="AG139" s="54" t="s">
        <v>4999</v>
      </c>
      <c r="AH139" s="67"/>
    </row>
    <row r="140" spans="1:34" s="2" customFormat="1" ht="19.5" customHeight="1" thickBot="1" x14ac:dyDescent="0.25">
      <c r="A140" s="221" t="str">
        <f t="shared" si="6"/>
        <v>OK</v>
      </c>
      <c r="B140" s="222" t="str">
        <f t="shared" si="7"/>
        <v>OK</v>
      </c>
      <c r="C140" s="223" t="str">
        <f t="shared" si="8"/>
        <v>OK</v>
      </c>
      <c r="D140" s="28">
        <v>0</v>
      </c>
      <c r="E140" s="49" t="s">
        <v>11454</v>
      </c>
      <c r="F140" s="50" t="s">
        <v>9414</v>
      </c>
      <c r="G140" s="50">
        <v>180460</v>
      </c>
      <c r="H140" s="50" t="s">
        <v>11455</v>
      </c>
      <c r="I140" s="50" t="s">
        <v>6820</v>
      </c>
      <c r="J140" s="50" t="s">
        <v>6829</v>
      </c>
      <c r="K140" s="50" t="s">
        <v>11456</v>
      </c>
      <c r="L140" s="50" t="s">
        <v>11457</v>
      </c>
      <c r="M140" s="50" t="s">
        <v>9417</v>
      </c>
      <c r="N140" s="51">
        <v>43668</v>
      </c>
      <c r="O140" s="50" t="s">
        <v>9350</v>
      </c>
      <c r="P140" s="51">
        <v>43668</v>
      </c>
      <c r="Q140" s="51">
        <v>43668</v>
      </c>
      <c r="R140" s="52">
        <v>43669</v>
      </c>
      <c r="S140" s="33" t="s">
        <v>9357</v>
      </c>
      <c r="T140" s="34" t="s">
        <v>9350</v>
      </c>
      <c r="U140" s="35">
        <v>43686</v>
      </c>
      <c r="V140" s="34" t="s">
        <v>1138</v>
      </c>
      <c r="W140" s="34">
        <v>6</v>
      </c>
      <c r="X140" s="34" t="s">
        <v>5683</v>
      </c>
      <c r="Y140" s="34" t="s">
        <v>4999</v>
      </c>
      <c r="Z140" s="36">
        <v>43692</v>
      </c>
      <c r="AA140" s="44" t="s">
        <v>264</v>
      </c>
      <c r="AB140" s="38">
        <v>43692</v>
      </c>
      <c r="AC140" s="39">
        <v>43692</v>
      </c>
      <c r="AD140" s="45" t="e">
        <v>#VALUE!</v>
      </c>
      <c r="AE140" s="46" t="e">
        <v>#VALUE!</v>
      </c>
      <c r="AF140" s="53"/>
      <c r="AG140" s="54" t="s">
        <v>4999</v>
      </c>
      <c r="AH140" s="67"/>
    </row>
    <row r="141" spans="1:34" s="2" customFormat="1" ht="19.5" customHeight="1" thickBot="1" x14ac:dyDescent="0.25">
      <c r="A141" s="221" t="str">
        <f t="shared" si="6"/>
        <v>OK</v>
      </c>
      <c r="B141" s="222" t="str">
        <f t="shared" si="7"/>
        <v>OK</v>
      </c>
      <c r="C141" s="223" t="str">
        <f t="shared" si="8"/>
        <v>OK</v>
      </c>
      <c r="D141" s="28">
        <v>0</v>
      </c>
      <c r="E141" s="49" t="s">
        <v>11458</v>
      </c>
      <c r="F141" s="50" t="s">
        <v>11459</v>
      </c>
      <c r="G141" s="50">
        <v>180374</v>
      </c>
      <c r="H141" s="50" t="s">
        <v>11460</v>
      </c>
      <c r="I141" s="50" t="s">
        <v>6820</v>
      </c>
      <c r="J141" s="50" t="s">
        <v>6829</v>
      </c>
      <c r="K141" s="50" t="s">
        <v>11305</v>
      </c>
      <c r="L141" s="50" t="s">
        <v>11461</v>
      </c>
      <c r="M141" s="50" t="s">
        <v>11462</v>
      </c>
      <c r="N141" s="51">
        <v>43592</v>
      </c>
      <c r="O141" s="50" t="s">
        <v>9350</v>
      </c>
      <c r="P141" s="51">
        <v>43592</v>
      </c>
      <c r="Q141" s="51">
        <v>43592</v>
      </c>
      <c r="R141" s="52">
        <v>43647</v>
      </c>
      <c r="S141" s="33" t="s">
        <v>9357</v>
      </c>
      <c r="T141" s="34" t="s">
        <v>9350</v>
      </c>
      <c r="U141" s="35">
        <v>43690</v>
      </c>
      <c r="V141" s="34" t="s">
        <v>11463</v>
      </c>
      <c r="W141" s="34">
        <v>1</v>
      </c>
      <c r="X141" s="34" t="s">
        <v>5683</v>
      </c>
      <c r="Y141" s="34" t="s">
        <v>4999</v>
      </c>
      <c r="Z141" s="36">
        <v>43693</v>
      </c>
      <c r="AA141" s="44" t="s">
        <v>264</v>
      </c>
      <c r="AB141" s="38">
        <v>43703</v>
      </c>
      <c r="AC141" s="39">
        <v>43703</v>
      </c>
      <c r="AD141" s="45" t="e">
        <v>#VALUE!</v>
      </c>
      <c r="AE141" s="46" t="e">
        <v>#VALUE!</v>
      </c>
      <c r="AF141" s="53"/>
      <c r="AG141" s="54" t="s">
        <v>4999</v>
      </c>
      <c r="AH141" s="67"/>
    </row>
    <row r="142" spans="1:34" s="2" customFormat="1" ht="19.5" customHeight="1" thickBot="1" x14ac:dyDescent="0.25">
      <c r="A142" s="221" t="str">
        <f t="shared" si="6"/>
        <v>OK</v>
      </c>
      <c r="B142" s="222" t="str">
        <f t="shared" si="7"/>
        <v>OK</v>
      </c>
      <c r="C142" s="223" t="str">
        <f t="shared" si="8"/>
        <v>OK</v>
      </c>
      <c r="D142" s="28">
        <v>0</v>
      </c>
      <c r="E142" s="49" t="s">
        <v>11464</v>
      </c>
      <c r="F142" s="50" t="s">
        <v>8369</v>
      </c>
      <c r="G142" s="50">
        <v>180701</v>
      </c>
      <c r="H142" s="50" t="s">
        <v>11465</v>
      </c>
      <c r="I142" s="50" t="s">
        <v>6820</v>
      </c>
      <c r="J142" s="50" t="s">
        <v>6829</v>
      </c>
      <c r="K142" s="50" t="s">
        <v>7252</v>
      </c>
      <c r="L142" s="72" t="s">
        <v>11466</v>
      </c>
      <c r="M142" s="50" t="s">
        <v>1834</v>
      </c>
      <c r="N142" s="51">
        <v>43825</v>
      </c>
      <c r="O142" s="50" t="s">
        <v>9350</v>
      </c>
      <c r="P142" s="51">
        <v>43825</v>
      </c>
      <c r="Q142" s="51">
        <v>43825</v>
      </c>
      <c r="R142" s="52">
        <v>43825</v>
      </c>
      <c r="S142" s="33" t="s">
        <v>9357</v>
      </c>
      <c r="T142" s="34" t="s">
        <v>264</v>
      </c>
      <c r="U142" s="35">
        <v>43825</v>
      </c>
      <c r="V142" s="34" t="s">
        <v>11467</v>
      </c>
      <c r="W142" s="34">
        <v>1</v>
      </c>
      <c r="X142" s="34" t="s">
        <v>5683</v>
      </c>
      <c r="Y142" s="34" t="s">
        <v>4999</v>
      </c>
      <c r="Z142" s="36">
        <v>43825</v>
      </c>
      <c r="AA142" s="44" t="s">
        <v>264</v>
      </c>
      <c r="AB142" s="38">
        <v>43825</v>
      </c>
      <c r="AC142" s="39">
        <v>43825</v>
      </c>
      <c r="AD142" s="45" t="e">
        <v>#VALUE!</v>
      </c>
      <c r="AE142" s="46" t="e">
        <v>#VALUE!</v>
      </c>
      <c r="AF142" s="53" t="s">
        <v>11468</v>
      </c>
      <c r="AG142" s="54" t="s">
        <v>4999</v>
      </c>
      <c r="AH142" s="67"/>
    </row>
    <row r="143" spans="1:34" s="2" customFormat="1" ht="19.5" customHeight="1" thickBot="1" x14ac:dyDescent="0.25">
      <c r="A143" s="221" t="str">
        <f t="shared" si="6"/>
        <v>OK</v>
      </c>
      <c r="B143" s="222" t="str">
        <f t="shared" si="7"/>
        <v>OK</v>
      </c>
      <c r="C143" s="223" t="str">
        <f t="shared" si="8"/>
        <v>OK</v>
      </c>
      <c r="D143" s="28">
        <v>0</v>
      </c>
      <c r="E143" s="49" t="s">
        <v>11469</v>
      </c>
      <c r="F143" s="50" t="s">
        <v>9414</v>
      </c>
      <c r="G143" s="50">
        <v>180546</v>
      </c>
      <c r="H143" s="50" t="s">
        <v>11470</v>
      </c>
      <c r="I143" s="50" t="s">
        <v>6820</v>
      </c>
      <c r="J143" s="50" t="s">
        <v>6829</v>
      </c>
      <c r="K143" s="50" t="s">
        <v>9784</v>
      </c>
      <c r="L143" s="50" t="s">
        <v>11471</v>
      </c>
      <c r="M143" s="50" t="s">
        <v>9417</v>
      </c>
      <c r="N143" s="51">
        <v>43726</v>
      </c>
      <c r="O143" s="50" t="s">
        <v>9350</v>
      </c>
      <c r="P143" s="51">
        <v>43726</v>
      </c>
      <c r="Q143" s="51">
        <v>43726</v>
      </c>
      <c r="R143" s="51">
        <v>43726</v>
      </c>
      <c r="S143" s="33" t="s">
        <v>9357</v>
      </c>
      <c r="T143" s="34" t="s">
        <v>9350</v>
      </c>
      <c r="U143" s="35">
        <v>43728</v>
      </c>
      <c r="V143" s="34" t="s">
        <v>11472</v>
      </c>
      <c r="W143" s="34">
        <v>2</v>
      </c>
      <c r="X143" s="34" t="s">
        <v>5683</v>
      </c>
      <c r="Y143" s="34" t="s">
        <v>4999</v>
      </c>
      <c r="Z143" s="36">
        <v>43732</v>
      </c>
      <c r="AA143" s="44" t="s">
        <v>264</v>
      </c>
      <c r="AB143" s="38">
        <v>43732</v>
      </c>
      <c r="AC143" s="39">
        <v>43732</v>
      </c>
      <c r="AD143" s="45" t="e">
        <v>#VALUE!</v>
      </c>
      <c r="AE143" s="46" t="e">
        <v>#VALUE!</v>
      </c>
      <c r="AF143" s="53"/>
      <c r="AG143" s="54" t="s">
        <v>4999</v>
      </c>
      <c r="AH143" s="67"/>
    </row>
    <row r="144" spans="1:34" s="2" customFormat="1" ht="19.5" customHeight="1" thickBot="1" x14ac:dyDescent="0.25">
      <c r="A144" s="221" t="str">
        <f t="shared" si="6"/>
        <v>OK</v>
      </c>
      <c r="B144" s="222" t="str">
        <f t="shared" si="7"/>
        <v>OK</v>
      </c>
      <c r="C144" s="223" t="str">
        <f t="shared" si="8"/>
        <v>OK</v>
      </c>
      <c r="D144" s="28">
        <v>1</v>
      </c>
      <c r="E144" s="49" t="s">
        <v>11469</v>
      </c>
      <c r="F144" s="50" t="s">
        <v>9414</v>
      </c>
      <c r="G144" s="50">
        <v>180546</v>
      </c>
      <c r="H144" s="50" t="s">
        <v>11473</v>
      </c>
      <c r="I144" s="50" t="s">
        <v>6820</v>
      </c>
      <c r="J144" s="50" t="s">
        <v>6829</v>
      </c>
      <c r="K144" s="50" t="s">
        <v>9784</v>
      </c>
      <c r="L144" s="50" t="s">
        <v>11471</v>
      </c>
      <c r="M144" s="50" t="s">
        <v>9417</v>
      </c>
      <c r="N144" s="51">
        <v>43726</v>
      </c>
      <c r="O144" s="50" t="s">
        <v>9350</v>
      </c>
      <c r="P144" s="51">
        <v>43726</v>
      </c>
      <c r="Q144" s="51">
        <v>43726</v>
      </c>
      <c r="R144" s="52">
        <v>43726</v>
      </c>
      <c r="S144" s="33" t="s">
        <v>9357</v>
      </c>
      <c r="T144" s="34" t="s">
        <v>9350</v>
      </c>
      <c r="U144" s="35">
        <v>43728</v>
      </c>
      <c r="V144" s="34" t="s">
        <v>11472</v>
      </c>
      <c r="W144" s="34">
        <v>2</v>
      </c>
      <c r="X144" s="34" t="s">
        <v>5683</v>
      </c>
      <c r="Y144" s="34" t="s">
        <v>4999</v>
      </c>
      <c r="Z144" s="36">
        <v>43732</v>
      </c>
      <c r="AA144" s="44" t="s">
        <v>264</v>
      </c>
      <c r="AB144" s="38">
        <v>43732</v>
      </c>
      <c r="AC144" s="39">
        <v>43732</v>
      </c>
      <c r="AD144" s="45" t="s">
        <v>5683</v>
      </c>
      <c r="AE144" s="46" t="s">
        <v>5683</v>
      </c>
      <c r="AF144" s="53"/>
      <c r="AG144" s="54" t="s">
        <v>4999</v>
      </c>
      <c r="AH144" s="67"/>
    </row>
    <row r="145" spans="1:35" s="2" customFormat="1" ht="19.5" customHeight="1" thickBot="1" x14ac:dyDescent="0.25">
      <c r="A145" s="221" t="str">
        <f t="shared" si="6"/>
        <v>OK</v>
      </c>
      <c r="B145" s="222" t="str">
        <f t="shared" si="7"/>
        <v>OK</v>
      </c>
      <c r="C145" s="223" t="str">
        <f t="shared" si="8"/>
        <v>OK</v>
      </c>
      <c r="D145" s="28">
        <v>0</v>
      </c>
      <c r="E145" s="49" t="s">
        <v>11474</v>
      </c>
      <c r="F145" s="50" t="s">
        <v>9414</v>
      </c>
      <c r="G145" s="50">
        <v>180616</v>
      </c>
      <c r="H145" s="50" t="s">
        <v>11475</v>
      </c>
      <c r="I145" s="50" t="s">
        <v>6820</v>
      </c>
      <c r="J145" s="50" t="s">
        <v>6829</v>
      </c>
      <c r="K145" s="50" t="s">
        <v>11476</v>
      </c>
      <c r="L145" s="50" t="s">
        <v>9421</v>
      </c>
      <c r="M145" s="50" t="s">
        <v>9417</v>
      </c>
      <c r="N145" s="51">
        <v>43762</v>
      </c>
      <c r="O145" s="50" t="s">
        <v>9350</v>
      </c>
      <c r="P145" s="51">
        <v>43762</v>
      </c>
      <c r="Q145" s="51">
        <v>43762</v>
      </c>
      <c r="R145" s="52">
        <v>43762</v>
      </c>
      <c r="S145" s="33" t="s">
        <v>9357</v>
      </c>
      <c r="T145" s="34" t="s">
        <v>9350</v>
      </c>
      <c r="U145" s="35">
        <v>43783</v>
      </c>
      <c r="V145" s="34" t="s">
        <v>11222</v>
      </c>
      <c r="W145" s="34">
        <v>1</v>
      </c>
      <c r="X145" s="34" t="s">
        <v>5683</v>
      </c>
      <c r="Y145" s="34" t="s">
        <v>4999</v>
      </c>
      <c r="Z145" s="36">
        <v>43787</v>
      </c>
      <c r="AA145" s="44" t="s">
        <v>264</v>
      </c>
      <c r="AB145" s="38">
        <v>43787</v>
      </c>
      <c r="AC145" s="39">
        <v>43787</v>
      </c>
      <c r="AD145" s="45" t="e">
        <v>#VALUE!</v>
      </c>
      <c r="AE145" s="46" t="e">
        <v>#VALUE!</v>
      </c>
      <c r="AF145" s="53" t="s">
        <v>11468</v>
      </c>
      <c r="AG145" s="54" t="s">
        <v>4999</v>
      </c>
      <c r="AH145" s="67"/>
    </row>
    <row r="146" spans="1:35" s="2" customFormat="1" ht="19.5" customHeight="1" thickBot="1" x14ac:dyDescent="0.25">
      <c r="A146" s="221" t="str">
        <f t="shared" si="6"/>
        <v>OK</v>
      </c>
      <c r="B146" s="222" t="str">
        <f t="shared" si="7"/>
        <v>OK</v>
      </c>
      <c r="C146" s="223" t="str">
        <f t="shared" si="8"/>
        <v>OK</v>
      </c>
      <c r="D146" s="28">
        <v>0</v>
      </c>
      <c r="E146" s="29" t="s">
        <v>11477</v>
      </c>
      <c r="F146" s="30" t="s">
        <v>8322</v>
      </c>
      <c r="G146" s="30">
        <v>180450</v>
      </c>
      <c r="H146" s="30" t="s">
        <v>11478</v>
      </c>
      <c r="I146" s="30" t="s">
        <v>6820</v>
      </c>
      <c r="J146" s="30" t="s">
        <v>6829</v>
      </c>
      <c r="K146" s="30" t="s">
        <v>11479</v>
      </c>
      <c r="L146" s="30" t="s">
        <v>8756</v>
      </c>
      <c r="M146" s="30" t="s">
        <v>1695</v>
      </c>
      <c r="N146" s="31">
        <v>43662</v>
      </c>
      <c r="O146" s="30" t="s">
        <v>9350</v>
      </c>
      <c r="P146" s="31">
        <v>43662</v>
      </c>
      <c r="Q146" s="31">
        <v>43662</v>
      </c>
      <c r="R146" s="32">
        <v>43669</v>
      </c>
      <c r="S146" s="33" t="s">
        <v>6850</v>
      </c>
      <c r="T146" s="34" t="s">
        <v>9357</v>
      </c>
      <c r="U146" s="35">
        <v>43749</v>
      </c>
      <c r="V146" s="34">
        <v>3021700</v>
      </c>
      <c r="W146" s="34">
        <v>2</v>
      </c>
      <c r="X146" s="34" t="s">
        <v>5683</v>
      </c>
      <c r="Y146" s="34" t="s">
        <v>4999</v>
      </c>
      <c r="Z146" s="36">
        <v>43753</v>
      </c>
      <c r="AA146" s="44" t="s">
        <v>264</v>
      </c>
      <c r="AB146" s="38">
        <v>43754</v>
      </c>
      <c r="AC146" s="39">
        <v>43754</v>
      </c>
      <c r="AD146" s="45" t="e">
        <v>#VALUE!</v>
      </c>
      <c r="AE146" s="46" t="e">
        <v>#VALUE!</v>
      </c>
      <c r="AF146" s="25"/>
      <c r="AG146" s="42" t="s">
        <v>4999</v>
      </c>
      <c r="AH146" s="26"/>
      <c r="AI146" s="27"/>
    </row>
    <row r="147" spans="1:35" s="2" customFormat="1" ht="19.5" customHeight="1" x14ac:dyDescent="0.2">
      <c r="A147" s="221" t="str">
        <f t="shared" si="6"/>
        <v>OK</v>
      </c>
      <c r="B147" s="222" t="str">
        <f t="shared" si="7"/>
        <v>OK</v>
      </c>
      <c r="C147" s="223" t="str">
        <f t="shared" si="8"/>
        <v>OK</v>
      </c>
      <c r="D147" s="28">
        <v>0</v>
      </c>
      <c r="E147" s="29" t="s">
        <v>11480</v>
      </c>
      <c r="F147" s="30" t="s">
        <v>9377</v>
      </c>
      <c r="G147" s="30">
        <v>180463</v>
      </c>
      <c r="H147" s="30" t="s">
        <v>11481</v>
      </c>
      <c r="I147" s="30" t="s">
        <v>6820</v>
      </c>
      <c r="J147" s="30" t="s">
        <v>6829</v>
      </c>
      <c r="K147" s="30" t="s">
        <v>11482</v>
      </c>
      <c r="L147" s="30" t="s">
        <v>11483</v>
      </c>
      <c r="M147" s="30" t="s">
        <v>9712</v>
      </c>
      <c r="N147" s="31">
        <v>43671</v>
      </c>
      <c r="O147" s="30" t="s">
        <v>10875</v>
      </c>
      <c r="P147" s="31">
        <v>43671</v>
      </c>
      <c r="Q147" s="31">
        <v>43671</v>
      </c>
      <c r="R147" s="32">
        <v>43672</v>
      </c>
      <c r="S147" s="33" t="s">
        <v>10852</v>
      </c>
      <c r="T147" s="34" t="s">
        <v>9350</v>
      </c>
      <c r="U147" s="35">
        <v>43675</v>
      </c>
      <c r="V147" s="34" t="s">
        <v>11007</v>
      </c>
      <c r="W147" s="34">
        <v>3</v>
      </c>
      <c r="X147" s="34" t="s">
        <v>11484</v>
      </c>
      <c r="Y147" s="34" t="s">
        <v>4999</v>
      </c>
      <c r="Z147" s="36">
        <v>43677</v>
      </c>
      <c r="AA147" s="44" t="s">
        <v>264</v>
      </c>
      <c r="AB147" s="38">
        <v>43677</v>
      </c>
      <c r="AC147" s="39">
        <v>43677</v>
      </c>
      <c r="AD147" s="45" t="e">
        <v>#VALUE!</v>
      </c>
      <c r="AE147" s="46" t="e">
        <v>#VALUE!</v>
      </c>
      <c r="AF147" s="25"/>
      <c r="AG147" s="42" t="s">
        <v>4999</v>
      </c>
      <c r="AH147" s="26"/>
      <c r="AI147" s="27"/>
    </row>
    <row r="148" spans="1:35" s="119" customFormat="1" ht="19.5" customHeight="1" thickBot="1" x14ac:dyDescent="0.25">
      <c r="A148" s="452" t="s">
        <v>7575</v>
      </c>
      <c r="B148" s="453"/>
      <c r="C148" s="454"/>
      <c r="D148" s="104">
        <v>0</v>
      </c>
      <c r="E148" s="105" t="s">
        <v>11485</v>
      </c>
      <c r="F148" s="106" t="s">
        <v>9414</v>
      </c>
      <c r="G148" s="106">
        <v>180454</v>
      </c>
      <c r="H148" s="106" t="s">
        <v>11486</v>
      </c>
      <c r="I148" s="106" t="s">
        <v>6820</v>
      </c>
      <c r="J148" s="106" t="s">
        <v>6829</v>
      </c>
      <c r="K148" s="106" t="s">
        <v>11487</v>
      </c>
      <c r="L148" s="106">
        <v>7212</v>
      </c>
      <c r="M148" s="106" t="s">
        <v>11488</v>
      </c>
      <c r="N148" s="107">
        <v>43663</v>
      </c>
      <c r="O148" s="106" t="s">
        <v>9350</v>
      </c>
      <c r="P148" s="107">
        <v>43644</v>
      </c>
      <c r="Q148" s="107">
        <v>43663</v>
      </c>
      <c r="R148" s="108">
        <v>43669</v>
      </c>
      <c r="S148" s="109" t="s">
        <v>9357</v>
      </c>
      <c r="T148" s="110" t="s">
        <v>10852</v>
      </c>
      <c r="U148" s="111">
        <v>43671</v>
      </c>
      <c r="V148" s="110" t="s">
        <v>11489</v>
      </c>
      <c r="W148" s="110">
        <v>1</v>
      </c>
      <c r="X148" s="110" t="s">
        <v>5683</v>
      </c>
      <c r="Y148" s="110"/>
      <c r="Z148" s="112"/>
      <c r="AA148" s="113"/>
      <c r="AB148" s="111"/>
      <c r="AC148" s="112"/>
      <c r="AD148" s="114" t="e">
        <v>#VALUE!</v>
      </c>
      <c r="AE148" s="115" t="e">
        <v>#VALUE!</v>
      </c>
      <c r="AF148" s="116"/>
      <c r="AG148" s="117"/>
      <c r="AH148" s="118"/>
    </row>
    <row r="149" spans="1:35" s="2" customFormat="1" ht="19.5" customHeight="1" thickBot="1" x14ac:dyDescent="0.25">
      <c r="A149" s="221" t="str">
        <f t="shared" si="6"/>
        <v>OK</v>
      </c>
      <c r="B149" s="222" t="str">
        <f t="shared" si="7"/>
        <v>OK</v>
      </c>
      <c r="C149" s="223" t="str">
        <f t="shared" si="8"/>
        <v>OK</v>
      </c>
      <c r="D149" s="28">
        <v>0</v>
      </c>
      <c r="E149" s="49" t="s">
        <v>11490</v>
      </c>
      <c r="F149" s="50" t="s">
        <v>9361</v>
      </c>
      <c r="G149" s="50">
        <v>180427</v>
      </c>
      <c r="H149" s="50" t="s">
        <v>11491</v>
      </c>
      <c r="I149" s="50" t="s">
        <v>6820</v>
      </c>
      <c r="J149" s="50" t="s">
        <v>8423</v>
      </c>
      <c r="K149" s="50" t="s">
        <v>11492</v>
      </c>
      <c r="L149" s="50" t="s">
        <v>11493</v>
      </c>
      <c r="M149" s="50" t="s">
        <v>10239</v>
      </c>
      <c r="N149" s="51">
        <v>43635</v>
      </c>
      <c r="O149" s="50" t="s">
        <v>9350</v>
      </c>
      <c r="P149" s="51">
        <v>43635</v>
      </c>
      <c r="Q149" s="51">
        <v>43635</v>
      </c>
      <c r="R149" s="52">
        <v>43672</v>
      </c>
      <c r="S149" s="33" t="s">
        <v>9357</v>
      </c>
      <c r="T149" s="34" t="s">
        <v>10852</v>
      </c>
      <c r="U149" s="35">
        <v>43680</v>
      </c>
      <c r="V149" s="73" t="s">
        <v>11494</v>
      </c>
      <c r="W149" s="34">
        <v>1</v>
      </c>
      <c r="X149" s="34" t="s">
        <v>5683</v>
      </c>
      <c r="Y149" s="34" t="s">
        <v>4999</v>
      </c>
      <c r="Z149" s="36">
        <v>43748</v>
      </c>
      <c r="AA149" s="44" t="s">
        <v>264</v>
      </c>
      <c r="AB149" s="38">
        <v>43748</v>
      </c>
      <c r="AC149" s="39">
        <v>43748</v>
      </c>
      <c r="AD149" s="45" t="e">
        <v>#VALUE!</v>
      </c>
      <c r="AE149" s="46" t="e">
        <v>#VALUE!</v>
      </c>
      <c r="AF149" s="53" t="s">
        <v>11468</v>
      </c>
      <c r="AG149" s="54" t="s">
        <v>4999</v>
      </c>
      <c r="AH149" s="67"/>
    </row>
    <row r="150" spans="1:35" s="2" customFormat="1" ht="19.5" customHeight="1" thickBot="1" x14ac:dyDescent="0.25">
      <c r="A150" s="221" t="str">
        <f t="shared" si="6"/>
        <v>OK</v>
      </c>
      <c r="B150" s="222" t="str">
        <f t="shared" si="7"/>
        <v>OK</v>
      </c>
      <c r="C150" s="223" t="str">
        <f t="shared" si="8"/>
        <v>OK</v>
      </c>
      <c r="D150" s="28">
        <v>0</v>
      </c>
      <c r="E150" s="29" t="s">
        <v>11495</v>
      </c>
      <c r="F150" s="30" t="s">
        <v>8322</v>
      </c>
      <c r="G150" s="30">
        <v>180468</v>
      </c>
      <c r="H150" s="30" t="s">
        <v>11496</v>
      </c>
      <c r="I150" s="30" t="s">
        <v>6820</v>
      </c>
      <c r="J150" s="30" t="s">
        <v>6829</v>
      </c>
      <c r="K150" s="30" t="s">
        <v>11052</v>
      </c>
      <c r="L150" s="30" t="s">
        <v>7911</v>
      </c>
      <c r="M150" s="30" t="s">
        <v>5529</v>
      </c>
      <c r="N150" s="31">
        <v>43678</v>
      </c>
      <c r="O150" s="30" t="s">
        <v>9350</v>
      </c>
      <c r="P150" s="31">
        <v>43678</v>
      </c>
      <c r="Q150" s="31">
        <v>43679</v>
      </c>
      <c r="R150" s="32">
        <v>43679</v>
      </c>
      <c r="S150" s="33" t="s">
        <v>9357</v>
      </c>
      <c r="T150" s="34" t="s">
        <v>9350</v>
      </c>
      <c r="U150" s="35">
        <v>43686</v>
      </c>
      <c r="V150" s="34" t="s">
        <v>11497</v>
      </c>
      <c r="W150" s="34">
        <v>20</v>
      </c>
      <c r="X150" s="34" t="s">
        <v>5683</v>
      </c>
      <c r="Y150" s="34" t="s">
        <v>4999</v>
      </c>
      <c r="Z150" s="36">
        <v>43689</v>
      </c>
      <c r="AA150" s="44" t="s">
        <v>264</v>
      </c>
      <c r="AB150" s="38">
        <v>43689</v>
      </c>
      <c r="AC150" s="39">
        <v>43689</v>
      </c>
      <c r="AD150" s="45" t="e">
        <v>#VALUE!</v>
      </c>
      <c r="AE150" s="46" t="e">
        <v>#VALUE!</v>
      </c>
      <c r="AF150" s="25"/>
      <c r="AG150" s="42" t="s">
        <v>4999</v>
      </c>
      <c r="AH150" s="26"/>
      <c r="AI150" s="27"/>
    </row>
    <row r="151" spans="1:35" s="2" customFormat="1" ht="19.5" customHeight="1" thickBot="1" x14ac:dyDescent="0.25">
      <c r="A151" s="221" t="str">
        <f t="shared" si="6"/>
        <v>OK</v>
      </c>
      <c r="B151" s="222" t="str">
        <f t="shared" si="7"/>
        <v>OK</v>
      </c>
      <c r="C151" s="223" t="str">
        <f t="shared" si="8"/>
        <v>OK</v>
      </c>
      <c r="D151" s="28">
        <v>0</v>
      </c>
      <c r="E151" s="49" t="s">
        <v>11498</v>
      </c>
      <c r="F151" s="50" t="s">
        <v>10548</v>
      </c>
      <c r="G151" s="50">
        <v>180467</v>
      </c>
      <c r="H151" s="50" t="s">
        <v>11499</v>
      </c>
      <c r="I151" s="50" t="s">
        <v>6820</v>
      </c>
      <c r="J151" s="50" t="s">
        <v>6829</v>
      </c>
      <c r="K151" s="50" t="s">
        <v>11500</v>
      </c>
      <c r="L151" s="50" t="s">
        <v>11501</v>
      </c>
      <c r="M151" s="50" t="s">
        <v>11502</v>
      </c>
      <c r="N151" s="51">
        <v>43677</v>
      </c>
      <c r="O151" s="50" t="s">
        <v>9350</v>
      </c>
      <c r="P151" s="51">
        <v>43677</v>
      </c>
      <c r="Q151" s="51">
        <v>43678</v>
      </c>
      <c r="R151" s="52">
        <v>43678</v>
      </c>
      <c r="S151" s="33" t="s">
        <v>9357</v>
      </c>
      <c r="T151" s="34" t="s">
        <v>11378</v>
      </c>
      <c r="U151" s="35">
        <v>43685</v>
      </c>
      <c r="V151" s="34" t="s">
        <v>11503</v>
      </c>
      <c r="W151" s="34">
        <v>12</v>
      </c>
      <c r="X151" s="34" t="s">
        <v>5683</v>
      </c>
      <c r="Y151" s="34" t="s">
        <v>4999</v>
      </c>
      <c r="Z151" s="36">
        <v>43700</v>
      </c>
      <c r="AA151" s="44" t="s">
        <v>264</v>
      </c>
      <c r="AB151" s="38">
        <v>43699</v>
      </c>
      <c r="AC151" s="39">
        <v>43699</v>
      </c>
      <c r="AD151" s="45" t="e">
        <v>#VALUE!</v>
      </c>
      <c r="AE151" s="46" t="e">
        <v>#VALUE!</v>
      </c>
      <c r="AF151" s="53"/>
      <c r="AG151" s="54" t="s">
        <v>4999</v>
      </c>
      <c r="AH151" s="67"/>
    </row>
    <row r="152" spans="1:35" s="2" customFormat="1" ht="19.5" customHeight="1" thickBot="1" x14ac:dyDescent="0.25">
      <c r="A152" s="221" t="str">
        <f t="shared" si="6"/>
        <v>OK</v>
      </c>
      <c r="B152" s="222" t="str">
        <f t="shared" si="7"/>
        <v>OK</v>
      </c>
      <c r="C152" s="223" t="str">
        <f t="shared" si="8"/>
        <v>OK</v>
      </c>
      <c r="D152" s="28">
        <v>0</v>
      </c>
      <c r="E152" s="29" t="s">
        <v>11504</v>
      </c>
      <c r="F152" s="30" t="s">
        <v>9377</v>
      </c>
      <c r="G152" s="30">
        <v>180475</v>
      </c>
      <c r="H152" s="30" t="s">
        <v>11505</v>
      </c>
      <c r="I152" s="30" t="s">
        <v>6820</v>
      </c>
      <c r="J152" s="30" t="s">
        <v>6829</v>
      </c>
      <c r="K152" s="30" t="s">
        <v>11506</v>
      </c>
      <c r="L152" s="30" t="s">
        <v>11507</v>
      </c>
      <c r="M152" s="30" t="s">
        <v>11508</v>
      </c>
      <c r="N152" s="31">
        <v>43684</v>
      </c>
      <c r="O152" s="30" t="s">
        <v>9350</v>
      </c>
      <c r="P152" s="31">
        <v>43684</v>
      </c>
      <c r="Q152" s="31">
        <v>43684</v>
      </c>
      <c r="R152" s="32">
        <v>43685</v>
      </c>
      <c r="S152" s="33" t="s">
        <v>9357</v>
      </c>
      <c r="T152" s="34" t="s">
        <v>9350</v>
      </c>
      <c r="U152" s="35">
        <v>43686</v>
      </c>
      <c r="V152" s="34" t="s">
        <v>11509</v>
      </c>
      <c r="W152" s="34">
        <v>2</v>
      </c>
      <c r="X152" s="34" t="s">
        <v>5683</v>
      </c>
      <c r="Y152" s="34" t="s">
        <v>4999</v>
      </c>
      <c r="Z152" s="36">
        <v>43689</v>
      </c>
      <c r="AA152" s="44" t="s">
        <v>264</v>
      </c>
      <c r="AB152" s="38">
        <v>43689</v>
      </c>
      <c r="AC152" s="39">
        <v>43689</v>
      </c>
      <c r="AD152" s="45" t="e">
        <v>#VALUE!</v>
      </c>
      <c r="AE152" s="46" t="e">
        <v>#VALUE!</v>
      </c>
      <c r="AF152" s="25"/>
      <c r="AG152" s="42" t="s">
        <v>4999</v>
      </c>
      <c r="AH152" s="26"/>
      <c r="AI152" s="27"/>
    </row>
    <row r="153" spans="1:35" s="2" customFormat="1" ht="19.5" customHeight="1" thickBot="1" x14ac:dyDescent="0.25">
      <c r="A153" s="221" t="str">
        <f t="shared" si="6"/>
        <v>OK</v>
      </c>
      <c r="B153" s="222" t="str">
        <f t="shared" si="7"/>
        <v>OK</v>
      </c>
      <c r="C153" s="223" t="str">
        <f t="shared" si="8"/>
        <v>OK</v>
      </c>
      <c r="D153" s="28">
        <v>0</v>
      </c>
      <c r="E153" s="29" t="s">
        <v>11510</v>
      </c>
      <c r="F153" s="30" t="s">
        <v>3483</v>
      </c>
      <c r="G153" s="30">
        <v>180476</v>
      </c>
      <c r="H153" s="30" t="s">
        <v>11511</v>
      </c>
      <c r="I153" s="30" t="s">
        <v>6820</v>
      </c>
      <c r="J153" s="30" t="s">
        <v>6829</v>
      </c>
      <c r="K153" s="30" t="s">
        <v>11512</v>
      </c>
      <c r="L153" s="30" t="s">
        <v>11513</v>
      </c>
      <c r="M153" s="30" t="s">
        <v>160</v>
      </c>
      <c r="N153" s="31">
        <v>43684</v>
      </c>
      <c r="O153" s="57" t="s">
        <v>9350</v>
      </c>
      <c r="P153" s="31">
        <v>43684</v>
      </c>
      <c r="Q153" s="31">
        <v>43684</v>
      </c>
      <c r="R153" s="32">
        <v>43684</v>
      </c>
      <c r="S153" s="33" t="s">
        <v>9357</v>
      </c>
      <c r="T153" s="34" t="s">
        <v>11378</v>
      </c>
      <c r="U153" s="35">
        <v>43686</v>
      </c>
      <c r="V153" s="34" t="s">
        <v>5703</v>
      </c>
      <c r="W153" s="34">
        <v>2</v>
      </c>
      <c r="X153" s="34" t="s">
        <v>5683</v>
      </c>
      <c r="Y153" s="34" t="s">
        <v>4999</v>
      </c>
      <c r="Z153" s="36">
        <v>43689</v>
      </c>
      <c r="AA153" s="44" t="s">
        <v>264</v>
      </c>
      <c r="AB153" s="38">
        <v>43689</v>
      </c>
      <c r="AC153" s="39">
        <v>43689</v>
      </c>
      <c r="AD153" s="45" t="e">
        <v>#VALUE!</v>
      </c>
      <c r="AE153" s="46" t="e">
        <v>#VALUE!</v>
      </c>
      <c r="AF153" s="25"/>
      <c r="AG153" s="42" t="s">
        <v>4999</v>
      </c>
      <c r="AH153" s="26"/>
      <c r="AI153" s="27"/>
    </row>
    <row r="154" spans="1:35" s="2" customFormat="1" ht="19.5" customHeight="1" thickBot="1" x14ac:dyDescent="0.25">
      <c r="A154" s="221" t="str">
        <f t="shared" si="6"/>
        <v>OK</v>
      </c>
      <c r="B154" s="222" t="str">
        <f t="shared" si="7"/>
        <v>OK</v>
      </c>
      <c r="C154" s="223" t="str">
        <f t="shared" si="8"/>
        <v>OK</v>
      </c>
      <c r="D154" s="28">
        <v>0</v>
      </c>
      <c r="E154" s="49" t="s">
        <v>11514</v>
      </c>
      <c r="F154" s="50" t="s">
        <v>8369</v>
      </c>
      <c r="G154" s="50">
        <v>180481</v>
      </c>
      <c r="H154" s="50" t="s">
        <v>11515</v>
      </c>
      <c r="I154" s="50" t="s">
        <v>6820</v>
      </c>
      <c r="J154" s="50" t="s">
        <v>6829</v>
      </c>
      <c r="K154" s="50" t="s">
        <v>135</v>
      </c>
      <c r="L154" s="50" t="s">
        <v>11516</v>
      </c>
      <c r="M154" s="50" t="s">
        <v>6232</v>
      </c>
      <c r="N154" s="51">
        <v>43685</v>
      </c>
      <c r="O154" s="50" t="s">
        <v>9350</v>
      </c>
      <c r="P154" s="51">
        <v>43685</v>
      </c>
      <c r="Q154" s="51">
        <v>43685</v>
      </c>
      <c r="R154" s="52">
        <v>43686</v>
      </c>
      <c r="S154" s="33" t="s">
        <v>9357</v>
      </c>
      <c r="T154" s="34" t="s">
        <v>9350</v>
      </c>
      <c r="U154" s="35">
        <v>43693</v>
      </c>
      <c r="V154" s="34" t="s">
        <v>11517</v>
      </c>
      <c r="W154" s="34">
        <v>1</v>
      </c>
      <c r="X154" s="34" t="s">
        <v>5683</v>
      </c>
      <c r="Y154" s="34" t="s">
        <v>4999</v>
      </c>
      <c r="Z154" s="36">
        <v>43696</v>
      </c>
      <c r="AA154" s="44" t="s">
        <v>264</v>
      </c>
      <c r="AB154" s="38">
        <v>43696</v>
      </c>
      <c r="AC154" s="39">
        <v>43696</v>
      </c>
      <c r="AD154" s="45" t="e">
        <v>#VALUE!</v>
      </c>
      <c r="AE154" s="46" t="e">
        <v>#VALUE!</v>
      </c>
      <c r="AF154" s="53"/>
      <c r="AG154" s="54" t="s">
        <v>4999</v>
      </c>
      <c r="AH154" s="67"/>
    </row>
    <row r="155" spans="1:35" s="2" customFormat="1" ht="19.5" customHeight="1" thickBot="1" x14ac:dyDescent="0.25">
      <c r="A155" s="221" t="str">
        <f t="shared" si="6"/>
        <v>OK</v>
      </c>
      <c r="B155" s="222" t="str">
        <f t="shared" si="7"/>
        <v>OK</v>
      </c>
      <c r="C155" s="223" t="str">
        <f t="shared" si="8"/>
        <v>P</v>
      </c>
      <c r="D155" s="28">
        <v>0</v>
      </c>
      <c r="E155" s="49" t="s">
        <v>11518</v>
      </c>
      <c r="F155" s="50" t="s">
        <v>6169</v>
      </c>
      <c r="G155" s="50">
        <v>180477</v>
      </c>
      <c r="H155" s="50" t="s">
        <v>11519</v>
      </c>
      <c r="I155" s="50" t="s">
        <v>6820</v>
      </c>
      <c r="J155" s="50" t="s">
        <v>6829</v>
      </c>
      <c r="K155" s="50" t="s">
        <v>11520</v>
      </c>
      <c r="L155" s="50" t="s">
        <v>11521</v>
      </c>
      <c r="M155" s="50" t="s">
        <v>6579</v>
      </c>
      <c r="N155" s="51" t="s">
        <v>8143</v>
      </c>
      <c r="O155" s="51" t="s">
        <v>8143</v>
      </c>
      <c r="P155" s="51" t="s">
        <v>8143</v>
      </c>
      <c r="Q155" s="51" t="s">
        <v>8143</v>
      </c>
      <c r="R155" s="52" t="s">
        <v>8143</v>
      </c>
      <c r="S155" s="33" t="s">
        <v>9357</v>
      </c>
      <c r="T155" s="34" t="s">
        <v>9357</v>
      </c>
      <c r="U155" s="35">
        <v>43690</v>
      </c>
      <c r="V155" s="34" t="s">
        <v>8143</v>
      </c>
      <c r="W155" s="34" t="s">
        <v>8143</v>
      </c>
      <c r="X155" s="34" t="s">
        <v>8143</v>
      </c>
      <c r="Y155" s="34" t="s">
        <v>8143</v>
      </c>
      <c r="Z155" s="35" t="s">
        <v>8143</v>
      </c>
      <c r="AA155" s="44"/>
      <c r="AB155" s="74"/>
      <c r="AC155" s="74"/>
      <c r="AD155" s="45" t="e">
        <v>#VALUE!</v>
      </c>
      <c r="AE155" s="46" t="e">
        <v>#VALUE!</v>
      </c>
      <c r="AF155" s="53"/>
      <c r="AG155" s="54"/>
      <c r="AH155" s="67"/>
    </row>
    <row r="156" spans="1:35" s="2" customFormat="1" ht="19.5" customHeight="1" thickBot="1" x14ac:dyDescent="0.25">
      <c r="A156" s="221" t="str">
        <f t="shared" si="6"/>
        <v>OK</v>
      </c>
      <c r="B156" s="222" t="str">
        <f t="shared" si="7"/>
        <v>OK</v>
      </c>
      <c r="C156" s="223" t="str">
        <f t="shared" si="8"/>
        <v>OK</v>
      </c>
      <c r="D156" s="28">
        <v>0</v>
      </c>
      <c r="E156" s="29" t="s">
        <v>11522</v>
      </c>
      <c r="F156" s="30" t="s">
        <v>6792</v>
      </c>
      <c r="G156" s="30">
        <v>180482</v>
      </c>
      <c r="H156" s="30" t="s">
        <v>11523</v>
      </c>
      <c r="I156" s="30" t="s">
        <v>6820</v>
      </c>
      <c r="J156" s="30" t="s">
        <v>6829</v>
      </c>
      <c r="K156" s="30" t="s">
        <v>1544</v>
      </c>
      <c r="L156" s="30" t="s">
        <v>11524</v>
      </c>
      <c r="M156" s="30" t="s">
        <v>6795</v>
      </c>
      <c r="N156" s="31">
        <v>43690</v>
      </c>
      <c r="O156" s="30" t="s">
        <v>9350</v>
      </c>
      <c r="P156" s="31">
        <v>43685</v>
      </c>
      <c r="Q156" s="31">
        <v>43685</v>
      </c>
      <c r="R156" s="32">
        <v>43686</v>
      </c>
      <c r="S156" s="33" t="s">
        <v>9357</v>
      </c>
      <c r="T156" s="34" t="s">
        <v>9350</v>
      </c>
      <c r="U156" s="35">
        <v>43693</v>
      </c>
      <c r="V156" s="34" t="s">
        <v>11525</v>
      </c>
      <c r="W156" s="34">
        <v>1</v>
      </c>
      <c r="X156" s="34" t="s">
        <v>5683</v>
      </c>
      <c r="Y156" s="34" t="s">
        <v>4999</v>
      </c>
      <c r="Z156" s="36">
        <v>43696</v>
      </c>
      <c r="AA156" s="44" t="s">
        <v>264</v>
      </c>
      <c r="AB156" s="38">
        <v>43696</v>
      </c>
      <c r="AC156" s="39">
        <v>43696</v>
      </c>
      <c r="AD156" s="45" t="e">
        <v>#VALUE!</v>
      </c>
      <c r="AE156" s="46" t="e">
        <v>#VALUE!</v>
      </c>
      <c r="AF156" s="25"/>
      <c r="AG156" s="42" t="s">
        <v>4999</v>
      </c>
      <c r="AH156" s="63"/>
      <c r="AI156" s="27"/>
    </row>
    <row r="157" spans="1:35" s="2" customFormat="1" ht="19.5" customHeight="1" thickBot="1" x14ac:dyDescent="0.25">
      <c r="A157" s="221" t="str">
        <f t="shared" si="6"/>
        <v>OK</v>
      </c>
      <c r="B157" s="222" t="str">
        <f t="shared" si="7"/>
        <v>OK</v>
      </c>
      <c r="C157" s="223" t="str">
        <f t="shared" si="8"/>
        <v>OK</v>
      </c>
      <c r="D157" s="28">
        <v>0</v>
      </c>
      <c r="E157" s="49" t="s">
        <v>11526</v>
      </c>
      <c r="F157" s="50" t="s">
        <v>10548</v>
      </c>
      <c r="G157" s="50">
        <v>180485</v>
      </c>
      <c r="H157" s="50" t="s">
        <v>11527</v>
      </c>
      <c r="I157" s="50" t="s">
        <v>6820</v>
      </c>
      <c r="J157" s="50" t="s">
        <v>6829</v>
      </c>
      <c r="K157" s="50" t="s">
        <v>2047</v>
      </c>
      <c r="L157" s="50" t="s">
        <v>11528</v>
      </c>
      <c r="M157" s="50" t="s">
        <v>11529</v>
      </c>
      <c r="N157" s="51">
        <v>43686</v>
      </c>
      <c r="O157" s="50" t="s">
        <v>9350</v>
      </c>
      <c r="P157" s="51">
        <v>43684</v>
      </c>
      <c r="Q157" s="51">
        <v>43689</v>
      </c>
      <c r="R157" s="52">
        <v>43678</v>
      </c>
      <c r="S157" s="33" t="s">
        <v>9357</v>
      </c>
      <c r="T157" s="34" t="s">
        <v>11378</v>
      </c>
      <c r="U157" s="35">
        <v>43686</v>
      </c>
      <c r="V157" s="34" t="s">
        <v>11530</v>
      </c>
      <c r="W157" s="34">
        <v>16</v>
      </c>
      <c r="X157" s="34" t="s">
        <v>5683</v>
      </c>
      <c r="Y157" s="34" t="s">
        <v>4999</v>
      </c>
      <c r="Z157" s="35">
        <v>43710</v>
      </c>
      <c r="AA157" s="44" t="s">
        <v>264</v>
      </c>
      <c r="AB157" s="74">
        <v>43710</v>
      </c>
      <c r="AC157" s="74">
        <v>43710</v>
      </c>
      <c r="AD157" s="45" t="e">
        <v>#VALUE!</v>
      </c>
      <c r="AE157" s="46" t="e">
        <v>#VALUE!</v>
      </c>
      <c r="AF157" s="53"/>
      <c r="AG157" s="54" t="s">
        <v>4999</v>
      </c>
      <c r="AH157" s="67"/>
    </row>
    <row r="158" spans="1:35" s="2" customFormat="1" ht="26.25" thickBot="1" x14ac:dyDescent="0.25">
      <c r="A158" s="221" t="str">
        <f t="shared" si="6"/>
        <v>OK</v>
      </c>
      <c r="B158" s="222" t="str">
        <f>IF(OR(ISBLANK(S158),ISBLANK(T163),ISBLANK(U163),ISBLANK(V163),ISBLANK(W158),ISBLANK(X158),ISBLANK(Y158),ISBLANK(Z158))=TRUE,"P","OK")</f>
        <v>P</v>
      </c>
      <c r="C158" s="223" t="str">
        <f t="shared" si="8"/>
        <v>P</v>
      </c>
      <c r="D158" s="28">
        <v>0</v>
      </c>
      <c r="E158" s="49" t="s">
        <v>11531</v>
      </c>
      <c r="F158" s="50" t="s">
        <v>9414</v>
      </c>
      <c r="G158" s="50">
        <v>180486</v>
      </c>
      <c r="H158" s="50" t="s">
        <v>11532</v>
      </c>
      <c r="I158" s="50" t="s">
        <v>6820</v>
      </c>
      <c r="J158" s="50" t="s">
        <v>6829</v>
      </c>
      <c r="K158" s="50" t="s">
        <v>147</v>
      </c>
      <c r="L158" s="50" t="s">
        <v>11451</v>
      </c>
      <c r="M158" s="50" t="s">
        <v>9417</v>
      </c>
      <c r="N158" s="51">
        <v>43689</v>
      </c>
      <c r="O158" s="50" t="s">
        <v>9350</v>
      </c>
      <c r="P158" s="51">
        <v>43689</v>
      </c>
      <c r="Q158" s="51">
        <v>43689</v>
      </c>
      <c r="R158" s="52">
        <v>43690</v>
      </c>
      <c r="S158" s="33" t="s">
        <v>9357</v>
      </c>
      <c r="T158" s="34"/>
      <c r="U158" s="34"/>
      <c r="V158" s="34"/>
      <c r="W158" s="34">
        <v>2</v>
      </c>
      <c r="X158" s="34" t="s">
        <v>5683</v>
      </c>
      <c r="Y158" s="34" t="s">
        <v>4999</v>
      </c>
      <c r="Z158" s="36"/>
      <c r="AA158" s="44"/>
      <c r="AB158" s="38"/>
      <c r="AC158" s="39"/>
      <c r="AD158" s="45" t="e">
        <v>#VALUE!</v>
      </c>
      <c r="AE158" s="46" t="e">
        <v>#VALUE!</v>
      </c>
      <c r="AF158" s="53"/>
      <c r="AG158" s="54"/>
      <c r="AH158" s="67"/>
    </row>
    <row r="159" spans="1:35" s="2" customFormat="1" ht="15.75" thickBot="1" x14ac:dyDescent="0.25">
      <c r="A159" s="221" t="str">
        <f t="shared" si="6"/>
        <v>OK</v>
      </c>
      <c r="B159" s="222" t="str">
        <f t="shared" si="7"/>
        <v>OK</v>
      </c>
      <c r="C159" s="223" t="str">
        <f t="shared" si="8"/>
        <v>OK</v>
      </c>
      <c r="D159" s="28">
        <v>0</v>
      </c>
      <c r="E159" s="29" t="s">
        <v>11533</v>
      </c>
      <c r="F159" s="30" t="s">
        <v>9377</v>
      </c>
      <c r="G159" s="30">
        <v>180496</v>
      </c>
      <c r="H159" s="30" t="s">
        <v>11534</v>
      </c>
      <c r="I159" s="30" t="s">
        <v>6820</v>
      </c>
      <c r="J159" s="30" t="s">
        <v>6829</v>
      </c>
      <c r="K159" s="30" t="s">
        <v>11535</v>
      </c>
      <c r="L159" s="30" t="s">
        <v>11536</v>
      </c>
      <c r="M159" s="30" t="s">
        <v>9712</v>
      </c>
      <c r="N159" s="31">
        <v>43692</v>
      </c>
      <c r="O159" s="30" t="s">
        <v>9350</v>
      </c>
      <c r="P159" s="31">
        <v>43692</v>
      </c>
      <c r="Q159" s="31">
        <v>43692</v>
      </c>
      <c r="R159" s="32">
        <v>43692</v>
      </c>
      <c r="S159" s="33" t="s">
        <v>9357</v>
      </c>
      <c r="T159" s="34" t="s">
        <v>9350</v>
      </c>
      <c r="U159" s="35">
        <v>43693</v>
      </c>
      <c r="V159" s="34" t="s">
        <v>11007</v>
      </c>
      <c r="W159" s="34">
        <v>1</v>
      </c>
      <c r="X159" s="34" t="s">
        <v>5683</v>
      </c>
      <c r="Y159" s="34" t="s">
        <v>4999</v>
      </c>
      <c r="Z159" s="36">
        <v>43696</v>
      </c>
      <c r="AA159" s="44" t="s">
        <v>264</v>
      </c>
      <c r="AB159" s="38">
        <v>43696</v>
      </c>
      <c r="AC159" s="39">
        <v>43696</v>
      </c>
      <c r="AD159" s="45" t="e">
        <v>#VALUE!</v>
      </c>
      <c r="AE159" s="46" t="e">
        <v>#VALUE!</v>
      </c>
      <c r="AF159" s="25"/>
      <c r="AG159" s="42" t="s">
        <v>4999</v>
      </c>
      <c r="AH159" s="26"/>
      <c r="AI159" s="27"/>
    </row>
    <row r="160" spans="1:35" s="2" customFormat="1" ht="26.25" thickBot="1" x14ac:dyDescent="0.25">
      <c r="A160" s="221" t="str">
        <f t="shared" si="6"/>
        <v>OK</v>
      </c>
      <c r="B160" s="222" t="str">
        <f t="shared" si="7"/>
        <v>OK</v>
      </c>
      <c r="C160" s="223" t="str">
        <f t="shared" si="8"/>
        <v>OK</v>
      </c>
      <c r="D160" s="28">
        <v>0</v>
      </c>
      <c r="E160" s="49" t="s">
        <v>11537</v>
      </c>
      <c r="F160" s="50" t="s">
        <v>9361</v>
      </c>
      <c r="G160" s="50">
        <v>180466</v>
      </c>
      <c r="H160" s="50" t="s">
        <v>11538</v>
      </c>
      <c r="I160" s="50" t="s">
        <v>6820</v>
      </c>
      <c r="J160" s="50" t="s">
        <v>6829</v>
      </c>
      <c r="K160" s="50" t="s">
        <v>9594</v>
      </c>
      <c r="L160" s="50" t="s">
        <v>11345</v>
      </c>
      <c r="M160" s="50" t="s">
        <v>9688</v>
      </c>
      <c r="N160" s="51">
        <v>43676</v>
      </c>
      <c r="O160" s="50" t="s">
        <v>9350</v>
      </c>
      <c r="P160" s="51">
        <v>43676</v>
      </c>
      <c r="Q160" s="51">
        <v>43676</v>
      </c>
      <c r="R160" s="52">
        <v>43676</v>
      </c>
      <c r="S160" s="33" t="s">
        <v>9357</v>
      </c>
      <c r="T160" s="34" t="s">
        <v>9350</v>
      </c>
      <c r="U160" s="35">
        <v>43679</v>
      </c>
      <c r="V160" s="34" t="s">
        <v>9366</v>
      </c>
      <c r="W160" s="34">
        <v>1</v>
      </c>
      <c r="X160" s="34" t="s">
        <v>5683</v>
      </c>
      <c r="Y160" s="34" t="s">
        <v>4999</v>
      </c>
      <c r="Z160" s="36">
        <v>43703</v>
      </c>
      <c r="AA160" s="44" t="s">
        <v>264</v>
      </c>
      <c r="AB160" s="38">
        <v>43704</v>
      </c>
      <c r="AC160" s="39">
        <v>43704</v>
      </c>
      <c r="AD160" s="45" t="e">
        <v>#VALUE!</v>
      </c>
      <c r="AE160" s="46" t="e">
        <v>#VALUE!</v>
      </c>
      <c r="AF160" s="53"/>
      <c r="AG160" s="54" t="s">
        <v>4999</v>
      </c>
      <c r="AH160" s="67"/>
    </row>
    <row r="161" spans="1:35" s="2" customFormat="1" ht="26.25" thickBot="1" x14ac:dyDescent="0.25">
      <c r="A161" s="221" t="str">
        <f t="shared" si="6"/>
        <v>OK</v>
      </c>
      <c r="B161" s="222" t="str">
        <f t="shared" si="7"/>
        <v>OK</v>
      </c>
      <c r="C161" s="223" t="str">
        <f t="shared" si="8"/>
        <v>OK</v>
      </c>
      <c r="D161" s="28">
        <v>0</v>
      </c>
      <c r="E161" s="49" t="s">
        <v>11539</v>
      </c>
      <c r="F161" s="50" t="s">
        <v>9361</v>
      </c>
      <c r="G161" s="50">
        <v>180466</v>
      </c>
      <c r="H161" s="50" t="s">
        <v>11540</v>
      </c>
      <c r="I161" s="50" t="s">
        <v>6820</v>
      </c>
      <c r="J161" s="50" t="s">
        <v>6829</v>
      </c>
      <c r="K161" s="50" t="s">
        <v>7634</v>
      </c>
      <c r="L161" s="50" t="s">
        <v>11541</v>
      </c>
      <c r="M161" s="50" t="s">
        <v>9688</v>
      </c>
      <c r="N161" s="51">
        <v>43676</v>
      </c>
      <c r="O161" s="50" t="s">
        <v>9350</v>
      </c>
      <c r="P161" s="51">
        <v>43676</v>
      </c>
      <c r="Q161" s="51">
        <v>43676</v>
      </c>
      <c r="R161" s="52">
        <v>43676</v>
      </c>
      <c r="S161" s="33" t="s">
        <v>9357</v>
      </c>
      <c r="T161" s="34" t="s">
        <v>9350</v>
      </c>
      <c r="U161" s="35">
        <v>43679</v>
      </c>
      <c r="V161" s="34" t="s">
        <v>11542</v>
      </c>
      <c r="W161" s="34">
        <v>1</v>
      </c>
      <c r="X161" s="34" t="s">
        <v>5683</v>
      </c>
      <c r="Y161" s="34" t="s">
        <v>4999</v>
      </c>
      <c r="Z161" s="36">
        <v>43704</v>
      </c>
      <c r="AA161" s="44" t="s">
        <v>264</v>
      </c>
      <c r="AB161" s="38">
        <v>43704</v>
      </c>
      <c r="AC161" s="39">
        <v>43704</v>
      </c>
      <c r="AD161" s="45" t="e">
        <v>#VALUE!</v>
      </c>
      <c r="AE161" s="46" t="e">
        <v>#VALUE!</v>
      </c>
      <c r="AF161" s="53"/>
      <c r="AG161" s="54" t="s">
        <v>4999</v>
      </c>
      <c r="AH161" s="67"/>
    </row>
    <row r="162" spans="1:35" s="2" customFormat="1" ht="26.25" thickBot="1" x14ac:dyDescent="0.25">
      <c r="A162" s="221" t="str">
        <f t="shared" si="6"/>
        <v>OK</v>
      </c>
      <c r="B162" s="222" t="str">
        <f t="shared" si="7"/>
        <v>OK</v>
      </c>
      <c r="C162" s="223" t="str">
        <f t="shared" si="8"/>
        <v>OK</v>
      </c>
      <c r="D162" s="28">
        <v>0</v>
      </c>
      <c r="E162" s="49" t="s">
        <v>11543</v>
      </c>
      <c r="F162" s="50" t="s">
        <v>9361</v>
      </c>
      <c r="G162" s="50">
        <v>180494</v>
      </c>
      <c r="H162" s="50" t="s">
        <v>11544</v>
      </c>
      <c r="I162" s="50" t="s">
        <v>6820</v>
      </c>
      <c r="J162" s="50" t="s">
        <v>6829</v>
      </c>
      <c r="K162" s="50" t="s">
        <v>11545</v>
      </c>
      <c r="L162" s="50" t="s">
        <v>11546</v>
      </c>
      <c r="M162" s="50" t="s">
        <v>9688</v>
      </c>
      <c r="N162" s="51">
        <v>43691</v>
      </c>
      <c r="O162" s="50" t="s">
        <v>9350</v>
      </c>
      <c r="P162" s="51">
        <v>43691</v>
      </c>
      <c r="Q162" s="51">
        <v>43692</v>
      </c>
      <c r="R162" s="52">
        <v>43695</v>
      </c>
      <c r="S162" s="33" t="s">
        <v>9357</v>
      </c>
      <c r="T162" s="34" t="s">
        <v>9350</v>
      </c>
      <c r="U162" s="35">
        <v>43698</v>
      </c>
      <c r="V162" s="34" t="s">
        <v>11547</v>
      </c>
      <c r="W162" s="34">
        <v>1</v>
      </c>
      <c r="X162" s="34" t="s">
        <v>5683</v>
      </c>
      <c r="Y162" s="34" t="s">
        <v>4999</v>
      </c>
      <c r="Z162" s="36">
        <v>43706</v>
      </c>
      <c r="AA162" s="44" t="s">
        <v>264</v>
      </c>
      <c r="AB162" s="38">
        <v>43706</v>
      </c>
      <c r="AC162" s="39">
        <v>43706</v>
      </c>
      <c r="AD162" s="45" t="e">
        <v>#VALUE!</v>
      </c>
      <c r="AE162" s="46" t="e">
        <v>#VALUE!</v>
      </c>
      <c r="AF162" s="53" t="s">
        <v>11468</v>
      </c>
      <c r="AG162" s="54" t="s">
        <v>4999</v>
      </c>
      <c r="AH162" s="67"/>
    </row>
    <row r="163" spans="1:35" s="2" customFormat="1" ht="17.25" customHeight="1" thickBot="1" x14ac:dyDescent="0.25">
      <c r="A163" s="221" t="str">
        <f t="shared" si="6"/>
        <v>OK</v>
      </c>
      <c r="B163" s="222" t="str">
        <f>IF(OR(ISBLANK(S163),ISBLANK(#REF!),ISBLANK(#REF!),ISBLANK(#REF!),ISBLANK(W163),ISBLANK(X163),ISBLANK(Y163),ISBLANK(Z163))=TRUE,"P","OK")</f>
        <v>OK</v>
      </c>
      <c r="C163" s="223" t="str">
        <f t="shared" si="8"/>
        <v>OK</v>
      </c>
      <c r="D163" s="28">
        <v>0</v>
      </c>
      <c r="E163" s="49" t="s">
        <v>11548</v>
      </c>
      <c r="F163" s="50" t="s">
        <v>11549</v>
      </c>
      <c r="G163" s="50">
        <v>180487</v>
      </c>
      <c r="H163" s="50" t="s">
        <v>11550</v>
      </c>
      <c r="I163" s="50" t="s">
        <v>6820</v>
      </c>
      <c r="J163" s="50" t="s">
        <v>6829</v>
      </c>
      <c r="K163" s="50" t="s">
        <v>11551</v>
      </c>
      <c r="L163" s="50" t="s">
        <v>11552</v>
      </c>
      <c r="M163" s="50" t="s">
        <v>11553</v>
      </c>
      <c r="N163" s="51">
        <v>43689</v>
      </c>
      <c r="O163" s="50" t="s">
        <v>10875</v>
      </c>
      <c r="P163" s="51">
        <v>43689</v>
      </c>
      <c r="Q163" s="51">
        <v>43689</v>
      </c>
      <c r="R163" s="52">
        <v>43697</v>
      </c>
      <c r="S163" s="33" t="s">
        <v>9357</v>
      </c>
      <c r="T163" s="34" t="s">
        <v>10154</v>
      </c>
      <c r="U163" s="35">
        <v>43774</v>
      </c>
      <c r="V163" s="34" t="s">
        <v>11554</v>
      </c>
      <c r="W163" s="34">
        <v>2</v>
      </c>
      <c r="X163" s="34" t="s">
        <v>5683</v>
      </c>
      <c r="Y163" s="34" t="s">
        <v>4999</v>
      </c>
      <c r="Z163" s="36">
        <v>43985</v>
      </c>
      <c r="AA163" s="44" t="s">
        <v>264</v>
      </c>
      <c r="AB163" s="38">
        <v>43987</v>
      </c>
      <c r="AC163" s="39">
        <v>43987</v>
      </c>
      <c r="AD163" s="45" t="e">
        <v>#VALUE!</v>
      </c>
      <c r="AE163" s="46" t="e">
        <v>#VALUE!</v>
      </c>
      <c r="AF163" s="53"/>
      <c r="AG163" s="54"/>
      <c r="AH163" s="67"/>
    </row>
    <row r="164" spans="1:35" s="2" customFormat="1" ht="17.25" customHeight="1" x14ac:dyDescent="0.2">
      <c r="A164" s="221" t="str">
        <f t="shared" si="6"/>
        <v>OK</v>
      </c>
      <c r="B164" s="222" t="str">
        <f t="shared" si="7"/>
        <v>OK</v>
      </c>
      <c r="C164" s="223" t="str">
        <f t="shared" si="8"/>
        <v>OK</v>
      </c>
      <c r="D164" s="28">
        <v>0</v>
      </c>
      <c r="E164" s="49" t="s">
        <v>11555</v>
      </c>
      <c r="F164" s="50" t="s">
        <v>8369</v>
      </c>
      <c r="G164" s="50">
        <v>180501</v>
      </c>
      <c r="H164" s="50" t="s">
        <v>11556</v>
      </c>
      <c r="I164" s="50" t="s">
        <v>6820</v>
      </c>
      <c r="J164" s="50" t="s">
        <v>6829</v>
      </c>
      <c r="K164" s="50" t="s">
        <v>11557</v>
      </c>
      <c r="L164" s="50" t="s">
        <v>11558</v>
      </c>
      <c r="M164" s="50" t="s">
        <v>11559</v>
      </c>
      <c r="N164" s="51">
        <v>43696</v>
      </c>
      <c r="O164" s="50" t="s">
        <v>9350</v>
      </c>
      <c r="P164" s="51">
        <v>43696</v>
      </c>
      <c r="Q164" s="51">
        <v>43696</v>
      </c>
      <c r="R164" s="52">
        <v>43697</v>
      </c>
      <c r="S164" s="33" t="s">
        <v>9357</v>
      </c>
      <c r="T164" s="34" t="s">
        <v>9357</v>
      </c>
      <c r="U164" s="35">
        <v>43697</v>
      </c>
      <c r="V164" s="34" t="s">
        <v>9725</v>
      </c>
      <c r="W164" s="34">
        <v>1</v>
      </c>
      <c r="X164" s="34" t="s">
        <v>5683</v>
      </c>
      <c r="Y164" s="34" t="s">
        <v>4999</v>
      </c>
      <c r="Z164" s="36">
        <v>43705</v>
      </c>
      <c r="AA164" s="44" t="s">
        <v>264</v>
      </c>
      <c r="AB164" s="38">
        <v>43705</v>
      </c>
      <c r="AC164" s="39">
        <v>43705</v>
      </c>
      <c r="AD164" s="45" t="e">
        <v>#VALUE!</v>
      </c>
      <c r="AE164" s="46" t="e">
        <v>#VALUE!</v>
      </c>
      <c r="AF164" s="53"/>
      <c r="AG164" s="54" t="s">
        <v>4999</v>
      </c>
      <c r="AH164" s="67"/>
    </row>
    <row r="165" spans="1:35" s="86" customFormat="1" ht="17.25" customHeight="1" x14ac:dyDescent="0.2">
      <c r="A165" s="452" t="s">
        <v>7575</v>
      </c>
      <c r="B165" s="453"/>
      <c r="C165" s="454"/>
      <c r="D165" s="79">
        <v>0</v>
      </c>
      <c r="E165" s="80" t="s">
        <v>11560</v>
      </c>
      <c r="F165" s="81" t="s">
        <v>8326</v>
      </c>
      <c r="G165" s="81">
        <v>180480</v>
      </c>
      <c r="H165" s="81" t="s">
        <v>11561</v>
      </c>
      <c r="I165" s="81" t="s">
        <v>6820</v>
      </c>
      <c r="J165" s="81" t="s">
        <v>6829</v>
      </c>
      <c r="K165" s="81" t="s">
        <v>9318</v>
      </c>
      <c r="L165" s="81" t="s">
        <v>11562</v>
      </c>
      <c r="M165" s="81" t="s">
        <v>1426</v>
      </c>
      <c r="N165" s="61">
        <v>43685</v>
      </c>
      <c r="O165" s="81" t="s">
        <v>10875</v>
      </c>
      <c r="P165" s="61">
        <v>43685</v>
      </c>
      <c r="Q165" s="61">
        <v>43696</v>
      </c>
      <c r="R165" s="62" t="s">
        <v>8143</v>
      </c>
      <c r="S165" s="82" t="s">
        <v>8143</v>
      </c>
      <c r="T165" s="81" t="s">
        <v>8143</v>
      </c>
      <c r="U165" s="61" t="s">
        <v>8143</v>
      </c>
      <c r="V165" s="81" t="s">
        <v>8143</v>
      </c>
      <c r="W165" s="81" t="s">
        <v>8143</v>
      </c>
      <c r="X165" s="81" t="s">
        <v>8143</v>
      </c>
      <c r="Y165" s="81" t="s">
        <v>8143</v>
      </c>
      <c r="Z165" s="62" t="s">
        <v>8143</v>
      </c>
      <c r="AA165" s="83"/>
      <c r="AB165" s="61"/>
      <c r="AC165" s="62"/>
      <c r="AD165" s="101" t="e">
        <v>#VALUE!</v>
      </c>
      <c r="AE165" s="102" t="e">
        <v>#VALUE!</v>
      </c>
      <c r="AF165" s="82"/>
      <c r="AG165" s="84"/>
      <c r="AH165" s="99"/>
      <c r="AI165" s="85"/>
    </row>
    <row r="166" spans="1:35" s="86" customFormat="1" ht="17.25" customHeight="1" thickBot="1" x14ac:dyDescent="0.25">
      <c r="A166" s="452" t="s">
        <v>7575</v>
      </c>
      <c r="B166" s="453"/>
      <c r="C166" s="454"/>
      <c r="D166" s="79">
        <v>0</v>
      </c>
      <c r="E166" s="80" t="s">
        <v>11563</v>
      </c>
      <c r="F166" s="81" t="s">
        <v>8326</v>
      </c>
      <c r="G166" s="81">
        <v>180480</v>
      </c>
      <c r="H166" s="81" t="s">
        <v>11564</v>
      </c>
      <c r="I166" s="81" t="s">
        <v>6820</v>
      </c>
      <c r="J166" s="81" t="s">
        <v>6829</v>
      </c>
      <c r="K166" s="81" t="s">
        <v>11565</v>
      </c>
      <c r="L166" s="81" t="s">
        <v>11566</v>
      </c>
      <c r="M166" s="81" t="s">
        <v>11567</v>
      </c>
      <c r="N166" s="61">
        <v>43685</v>
      </c>
      <c r="O166" s="81" t="s">
        <v>10875</v>
      </c>
      <c r="P166" s="61">
        <v>43685</v>
      </c>
      <c r="Q166" s="61">
        <v>43696</v>
      </c>
      <c r="R166" s="62"/>
      <c r="S166" s="82"/>
      <c r="T166" s="81"/>
      <c r="U166" s="61"/>
      <c r="V166" s="81"/>
      <c r="W166" s="81"/>
      <c r="X166" s="81"/>
      <c r="Y166" s="81"/>
      <c r="Z166" s="62"/>
      <c r="AA166" s="83"/>
      <c r="AB166" s="61"/>
      <c r="AC166" s="62"/>
      <c r="AD166" s="101" t="e">
        <v>#VALUE!</v>
      </c>
      <c r="AE166" s="102" t="e">
        <v>#VALUE!</v>
      </c>
      <c r="AF166" s="82"/>
      <c r="AG166" s="84"/>
      <c r="AH166" s="99"/>
      <c r="AI166" s="85"/>
    </row>
    <row r="167" spans="1:35" s="2" customFormat="1" ht="17.25" customHeight="1" thickBot="1" x14ac:dyDescent="0.25">
      <c r="A167" s="221" t="str">
        <f t="shared" si="6"/>
        <v>OK</v>
      </c>
      <c r="B167" s="222" t="str">
        <f t="shared" si="7"/>
        <v>OK</v>
      </c>
      <c r="C167" s="223" t="str">
        <f t="shared" si="8"/>
        <v>OK</v>
      </c>
      <c r="D167" s="28">
        <v>0</v>
      </c>
      <c r="E167" s="49" t="s">
        <v>11568</v>
      </c>
      <c r="F167" s="50" t="s">
        <v>11569</v>
      </c>
      <c r="G167" s="50">
        <v>180271</v>
      </c>
      <c r="H167" s="50" t="s">
        <v>11570</v>
      </c>
      <c r="I167" s="50" t="s">
        <v>6820</v>
      </c>
      <c r="J167" s="50" t="s">
        <v>8423</v>
      </c>
      <c r="K167" s="50" t="s">
        <v>11571</v>
      </c>
      <c r="L167" s="50" t="s">
        <v>11572</v>
      </c>
      <c r="M167" s="50" t="s">
        <v>11573</v>
      </c>
      <c r="N167" s="51">
        <v>43502</v>
      </c>
      <c r="O167" s="50" t="s">
        <v>9350</v>
      </c>
      <c r="P167" s="51">
        <v>43502</v>
      </c>
      <c r="Q167" s="51">
        <v>43683</v>
      </c>
      <c r="R167" s="52">
        <v>43693</v>
      </c>
      <c r="S167" s="33" t="s">
        <v>10852</v>
      </c>
      <c r="T167" s="34" t="s">
        <v>10852</v>
      </c>
      <c r="U167" s="35">
        <v>43628</v>
      </c>
      <c r="V167" s="34" t="s">
        <v>11574</v>
      </c>
      <c r="W167" s="34">
        <v>1</v>
      </c>
      <c r="X167" s="34" t="s">
        <v>5683</v>
      </c>
      <c r="Y167" s="34" t="s">
        <v>4999</v>
      </c>
      <c r="Z167" s="36">
        <v>43756</v>
      </c>
      <c r="AA167" s="44" t="s">
        <v>264</v>
      </c>
      <c r="AB167" s="38">
        <v>43756</v>
      </c>
      <c r="AC167" s="39">
        <v>43756</v>
      </c>
      <c r="AD167" s="45" t="e">
        <v>#VALUE!</v>
      </c>
      <c r="AE167" s="46" t="e">
        <v>#VALUE!</v>
      </c>
      <c r="AF167" s="53" t="s">
        <v>11468</v>
      </c>
      <c r="AG167" s="54" t="s">
        <v>4999</v>
      </c>
      <c r="AH167" s="67"/>
    </row>
    <row r="168" spans="1:35" s="2" customFormat="1" ht="17.25" customHeight="1" thickBot="1" x14ac:dyDescent="0.25">
      <c r="A168" s="221" t="str">
        <f t="shared" si="6"/>
        <v>OK</v>
      </c>
      <c r="B168" s="222" t="str">
        <f t="shared" si="7"/>
        <v>OK</v>
      </c>
      <c r="C168" s="223" t="str">
        <f t="shared" si="8"/>
        <v>OK</v>
      </c>
      <c r="D168" s="28">
        <v>0</v>
      </c>
      <c r="E168" s="49" t="s">
        <v>11575</v>
      </c>
      <c r="F168" s="50" t="s">
        <v>6169</v>
      </c>
      <c r="G168" s="50">
        <v>180515</v>
      </c>
      <c r="H168" s="50" t="s">
        <v>11576</v>
      </c>
      <c r="I168" s="50" t="s">
        <v>6820</v>
      </c>
      <c r="J168" s="50" t="s">
        <v>6829</v>
      </c>
      <c r="K168" s="50" t="s">
        <v>3258</v>
      </c>
      <c r="L168" s="50">
        <v>330750</v>
      </c>
      <c r="M168" s="50" t="s">
        <v>5550</v>
      </c>
      <c r="N168" s="51">
        <v>43704</v>
      </c>
      <c r="O168" s="51" t="s">
        <v>9350</v>
      </c>
      <c r="P168" s="51">
        <v>43704</v>
      </c>
      <c r="Q168" s="51">
        <v>43705</v>
      </c>
      <c r="R168" s="52">
        <v>43706</v>
      </c>
      <c r="S168" s="33" t="s">
        <v>9357</v>
      </c>
      <c r="T168" s="34" t="s">
        <v>9357</v>
      </c>
      <c r="U168" s="35">
        <v>43713</v>
      </c>
      <c r="V168" s="34" t="s">
        <v>11577</v>
      </c>
      <c r="W168" s="34">
        <v>1</v>
      </c>
      <c r="X168" s="34" t="s">
        <v>5683</v>
      </c>
      <c r="Y168" s="34" t="s">
        <v>4999</v>
      </c>
      <c r="Z168" s="36">
        <v>43713</v>
      </c>
      <c r="AA168" s="44" t="s">
        <v>264</v>
      </c>
      <c r="AB168" s="38">
        <v>43717</v>
      </c>
      <c r="AC168" s="38">
        <v>43717</v>
      </c>
      <c r="AD168" s="45" t="e">
        <v>#VALUE!</v>
      </c>
      <c r="AE168" s="46" t="e">
        <v>#VALUE!</v>
      </c>
      <c r="AF168" s="53"/>
      <c r="AG168" s="54" t="s">
        <v>4999</v>
      </c>
      <c r="AH168" s="67"/>
    </row>
    <row r="169" spans="1:35" s="2" customFormat="1" ht="17.25" customHeight="1" thickBot="1" x14ac:dyDescent="0.25">
      <c r="A169" s="221" t="str">
        <f t="shared" si="6"/>
        <v>OK</v>
      </c>
      <c r="B169" s="222" t="str">
        <f t="shared" si="7"/>
        <v>OK</v>
      </c>
      <c r="C169" s="223" t="str">
        <f t="shared" si="8"/>
        <v>OK</v>
      </c>
      <c r="D169" s="28">
        <v>0</v>
      </c>
      <c r="E169" s="49" t="s">
        <v>11578</v>
      </c>
      <c r="F169" s="50" t="s">
        <v>3171</v>
      </c>
      <c r="G169" s="50">
        <v>180497</v>
      </c>
      <c r="H169" s="50" t="s">
        <v>11579</v>
      </c>
      <c r="I169" s="50" t="s">
        <v>6820</v>
      </c>
      <c r="J169" s="50" t="s">
        <v>6829</v>
      </c>
      <c r="K169" s="50" t="s">
        <v>11580</v>
      </c>
      <c r="L169" s="50" t="s">
        <v>11581</v>
      </c>
      <c r="M169" s="50" t="s">
        <v>11582</v>
      </c>
      <c r="N169" s="51">
        <v>43692</v>
      </c>
      <c r="O169" s="50" t="s">
        <v>7729</v>
      </c>
      <c r="P169" s="51">
        <v>43692</v>
      </c>
      <c r="Q169" s="51">
        <v>43692</v>
      </c>
      <c r="R169" s="52">
        <v>43706</v>
      </c>
      <c r="S169" s="33" t="s">
        <v>9357</v>
      </c>
      <c r="T169" s="34" t="s">
        <v>9357</v>
      </c>
      <c r="U169" s="35">
        <v>43724</v>
      </c>
      <c r="V169" s="34" t="s">
        <v>11583</v>
      </c>
      <c r="W169" s="34">
        <v>2</v>
      </c>
      <c r="X169" s="34" t="s">
        <v>5683</v>
      </c>
      <c r="Y169" s="34" t="s">
        <v>4999</v>
      </c>
      <c r="Z169" s="36">
        <v>43732</v>
      </c>
      <c r="AA169" s="44" t="s">
        <v>264</v>
      </c>
      <c r="AB169" s="38">
        <v>43732</v>
      </c>
      <c r="AC169" s="39">
        <v>43732</v>
      </c>
      <c r="AD169" s="45" t="e">
        <v>#VALUE!</v>
      </c>
      <c r="AE169" s="46" t="e">
        <v>#VALUE!</v>
      </c>
      <c r="AF169" s="53"/>
      <c r="AG169" s="54" t="s">
        <v>4999</v>
      </c>
      <c r="AH169" s="67"/>
    </row>
    <row r="170" spans="1:35" s="2" customFormat="1" ht="17.25" customHeight="1" thickBot="1" x14ac:dyDescent="0.25">
      <c r="A170" s="221" t="str">
        <f t="shared" si="6"/>
        <v>OK</v>
      </c>
      <c r="B170" s="222" t="str">
        <f t="shared" si="7"/>
        <v>OK</v>
      </c>
      <c r="C170" s="223" t="str">
        <f t="shared" si="8"/>
        <v>OK</v>
      </c>
      <c r="D170" s="28">
        <v>0</v>
      </c>
      <c r="E170" s="49" t="s">
        <v>11584</v>
      </c>
      <c r="F170" s="50" t="s">
        <v>9414</v>
      </c>
      <c r="G170" s="50">
        <v>180519</v>
      </c>
      <c r="H170" s="50" t="s">
        <v>11585</v>
      </c>
      <c r="I170" s="50" t="s">
        <v>6820</v>
      </c>
      <c r="J170" s="50" t="s">
        <v>6829</v>
      </c>
      <c r="K170" s="50" t="s">
        <v>1125</v>
      </c>
      <c r="L170" s="50" t="s">
        <v>9728</v>
      </c>
      <c r="M170" s="50" t="s">
        <v>9744</v>
      </c>
      <c r="N170" s="51">
        <v>43706</v>
      </c>
      <c r="O170" s="50" t="s">
        <v>9350</v>
      </c>
      <c r="P170" s="51">
        <v>43706</v>
      </c>
      <c r="Q170" s="51">
        <v>43707</v>
      </c>
      <c r="R170" s="52">
        <v>43707</v>
      </c>
      <c r="S170" s="33" t="s">
        <v>9357</v>
      </c>
      <c r="T170" s="34" t="s">
        <v>9350</v>
      </c>
      <c r="U170" s="35">
        <v>43728</v>
      </c>
      <c r="V170" s="34" t="s">
        <v>11586</v>
      </c>
      <c r="W170" s="34">
        <v>12</v>
      </c>
      <c r="X170" s="34" t="s">
        <v>5683</v>
      </c>
      <c r="Y170" s="34" t="s">
        <v>4999</v>
      </c>
      <c r="Z170" s="36">
        <v>43732</v>
      </c>
      <c r="AA170" s="44" t="s">
        <v>264</v>
      </c>
      <c r="AB170" s="38">
        <v>43732</v>
      </c>
      <c r="AC170" s="39">
        <v>43732</v>
      </c>
      <c r="AD170" s="45" t="e">
        <v>#VALUE!</v>
      </c>
      <c r="AE170" s="46" t="e">
        <v>#VALUE!</v>
      </c>
      <c r="AF170" s="53"/>
      <c r="AG170" s="54" t="s">
        <v>4999</v>
      </c>
      <c r="AH170" s="67"/>
    </row>
    <row r="171" spans="1:35" s="2" customFormat="1" ht="17.25" customHeight="1" thickBot="1" x14ac:dyDescent="0.25">
      <c r="A171" s="221" t="str">
        <f t="shared" si="6"/>
        <v>OK</v>
      </c>
      <c r="B171" s="222" t="str">
        <f t="shared" si="7"/>
        <v>OK</v>
      </c>
      <c r="C171" s="223" t="str">
        <f t="shared" si="8"/>
        <v>OK</v>
      </c>
      <c r="D171" s="28">
        <v>0</v>
      </c>
      <c r="E171" s="49" t="s">
        <v>11587</v>
      </c>
      <c r="F171" s="50" t="s">
        <v>9414</v>
      </c>
      <c r="G171" s="50">
        <v>180523</v>
      </c>
      <c r="H171" s="50" t="s">
        <v>11588</v>
      </c>
      <c r="I171" s="50" t="s">
        <v>6820</v>
      </c>
      <c r="J171" s="50" t="s">
        <v>6829</v>
      </c>
      <c r="K171" s="50" t="s">
        <v>11589</v>
      </c>
      <c r="L171" s="50" t="s">
        <v>10275</v>
      </c>
      <c r="M171" s="50" t="s">
        <v>9417</v>
      </c>
      <c r="N171" s="51">
        <v>43710</v>
      </c>
      <c r="O171" s="50" t="s">
        <v>9350</v>
      </c>
      <c r="P171" s="51">
        <v>43710</v>
      </c>
      <c r="Q171" s="51">
        <v>43710</v>
      </c>
      <c r="R171" s="52">
        <v>43711</v>
      </c>
      <c r="S171" s="33" t="s">
        <v>9357</v>
      </c>
      <c r="T171" s="34" t="s">
        <v>264</v>
      </c>
      <c r="U171" s="35">
        <v>43713</v>
      </c>
      <c r="V171" s="34" t="s">
        <v>11590</v>
      </c>
      <c r="W171" s="34">
        <v>1</v>
      </c>
      <c r="X171" s="34" t="s">
        <v>5683</v>
      </c>
      <c r="Y171" s="34" t="s">
        <v>4999</v>
      </c>
      <c r="Z171" s="36">
        <v>43713</v>
      </c>
      <c r="AA171" s="44" t="s">
        <v>264</v>
      </c>
      <c r="AB171" s="38">
        <v>43714</v>
      </c>
      <c r="AC171" s="39">
        <v>43714</v>
      </c>
      <c r="AD171" s="45"/>
      <c r="AE171" s="46"/>
      <c r="AF171" s="53"/>
      <c r="AG171" s="54" t="s">
        <v>4999</v>
      </c>
      <c r="AH171" s="67"/>
    </row>
    <row r="172" spans="1:35" s="2" customFormat="1" ht="17.25" customHeight="1" thickBot="1" x14ac:dyDescent="0.25">
      <c r="A172" s="221" t="str">
        <f t="shared" si="6"/>
        <v>OK</v>
      </c>
      <c r="B172" s="222" t="str">
        <f t="shared" si="7"/>
        <v>OK</v>
      </c>
      <c r="C172" s="223" t="str">
        <f t="shared" si="8"/>
        <v>OK</v>
      </c>
      <c r="D172" s="28">
        <v>0</v>
      </c>
      <c r="E172" s="49" t="s">
        <v>11591</v>
      </c>
      <c r="F172" s="50" t="s">
        <v>9414</v>
      </c>
      <c r="G172" s="50">
        <v>180495</v>
      </c>
      <c r="H172" s="50" t="s">
        <v>11592</v>
      </c>
      <c r="I172" s="50" t="s">
        <v>6820</v>
      </c>
      <c r="J172" s="50" t="s">
        <v>6829</v>
      </c>
      <c r="K172" s="50" t="s">
        <v>11593</v>
      </c>
      <c r="L172" s="50" t="s">
        <v>11594</v>
      </c>
      <c r="M172" s="50" t="s">
        <v>9417</v>
      </c>
      <c r="N172" s="51">
        <v>43692</v>
      </c>
      <c r="O172" s="50" t="s">
        <v>9350</v>
      </c>
      <c r="P172" s="51">
        <v>43692</v>
      </c>
      <c r="Q172" s="51">
        <v>43698</v>
      </c>
      <c r="R172" s="52">
        <v>43700</v>
      </c>
      <c r="S172" s="33" t="s">
        <v>9357</v>
      </c>
      <c r="T172" s="34" t="s">
        <v>264</v>
      </c>
      <c r="U172" s="35">
        <v>43713</v>
      </c>
      <c r="V172" s="34" t="s">
        <v>3870</v>
      </c>
      <c r="W172" s="34">
        <v>2</v>
      </c>
      <c r="X172" s="34" t="s">
        <v>5683</v>
      </c>
      <c r="Y172" s="34" t="s">
        <v>4999</v>
      </c>
      <c r="Z172" s="36">
        <v>43713</v>
      </c>
      <c r="AA172" s="44" t="s">
        <v>264</v>
      </c>
      <c r="AB172" s="38">
        <v>43714</v>
      </c>
      <c r="AC172" s="39">
        <v>43714</v>
      </c>
      <c r="AD172" s="45" t="e">
        <v>#VALUE!</v>
      </c>
      <c r="AE172" s="46" t="e">
        <v>#VALUE!</v>
      </c>
      <c r="AF172" s="53"/>
      <c r="AG172" s="54" t="s">
        <v>4999</v>
      </c>
      <c r="AH172" s="67"/>
    </row>
    <row r="173" spans="1:35" s="2" customFormat="1" ht="17.25" customHeight="1" thickBot="1" x14ac:dyDescent="0.25">
      <c r="A173" s="221" t="str">
        <f t="shared" si="6"/>
        <v>OK</v>
      </c>
      <c r="B173" s="222" t="str">
        <f t="shared" si="7"/>
        <v>OK</v>
      </c>
      <c r="C173" s="223" t="str">
        <f t="shared" si="8"/>
        <v>OK</v>
      </c>
      <c r="D173" s="28">
        <v>0</v>
      </c>
      <c r="E173" s="49" t="s">
        <v>11595</v>
      </c>
      <c r="F173" s="50" t="s">
        <v>9414</v>
      </c>
      <c r="G173" s="50">
        <v>180532</v>
      </c>
      <c r="H173" s="50" t="s">
        <v>11596</v>
      </c>
      <c r="I173" s="50" t="s">
        <v>6820</v>
      </c>
      <c r="J173" s="50" t="s">
        <v>6829</v>
      </c>
      <c r="K173" s="50" t="s">
        <v>11456</v>
      </c>
      <c r="L173" s="50" t="s">
        <v>11597</v>
      </c>
      <c r="M173" s="50" t="s">
        <v>9417</v>
      </c>
      <c r="N173" s="51">
        <v>43717</v>
      </c>
      <c r="O173" s="50" t="s">
        <v>9350</v>
      </c>
      <c r="P173" s="51">
        <v>43717</v>
      </c>
      <c r="Q173" s="51">
        <v>43717</v>
      </c>
      <c r="R173" s="52">
        <v>43717</v>
      </c>
      <c r="S173" s="33" t="s">
        <v>9357</v>
      </c>
      <c r="T173" s="34" t="s">
        <v>9357</v>
      </c>
      <c r="U173" s="35">
        <v>43735</v>
      </c>
      <c r="V173" s="34" t="s">
        <v>1138</v>
      </c>
      <c r="W173" s="34">
        <v>8</v>
      </c>
      <c r="X173" s="34" t="s">
        <v>5683</v>
      </c>
      <c r="Y173" s="34" t="s">
        <v>4999</v>
      </c>
      <c r="Z173" s="36">
        <v>43738</v>
      </c>
      <c r="AA173" s="44" t="s">
        <v>264</v>
      </c>
      <c r="AB173" s="38">
        <v>43739</v>
      </c>
      <c r="AC173" s="39">
        <v>43739</v>
      </c>
      <c r="AD173" s="45" t="e">
        <v>#VALUE!</v>
      </c>
      <c r="AE173" s="46" t="e">
        <v>#VALUE!</v>
      </c>
      <c r="AF173" s="53"/>
      <c r="AG173" s="54" t="s">
        <v>4999</v>
      </c>
      <c r="AH173" s="67"/>
    </row>
    <row r="174" spans="1:35" s="2" customFormat="1" ht="17.25" customHeight="1" thickBot="1" x14ac:dyDescent="0.25">
      <c r="A174" s="221" t="str">
        <f t="shared" si="6"/>
        <v>OK</v>
      </c>
      <c r="B174" s="222" t="str">
        <f t="shared" si="7"/>
        <v>OK</v>
      </c>
      <c r="C174" s="223" t="str">
        <f t="shared" si="8"/>
        <v>OK</v>
      </c>
      <c r="D174" s="28">
        <v>0</v>
      </c>
      <c r="E174" s="49" t="s">
        <v>11598</v>
      </c>
      <c r="F174" s="50" t="s">
        <v>9414</v>
      </c>
      <c r="G174" s="50">
        <v>180577</v>
      </c>
      <c r="H174" s="50" t="s">
        <v>11599</v>
      </c>
      <c r="I174" s="50" t="s">
        <v>6820</v>
      </c>
      <c r="J174" s="50" t="s">
        <v>6829</v>
      </c>
      <c r="K174" s="50" t="s">
        <v>11600</v>
      </c>
      <c r="L174" s="50" t="s">
        <v>11594</v>
      </c>
      <c r="M174" s="50" t="s">
        <v>9744</v>
      </c>
      <c r="N174" s="51">
        <v>43745</v>
      </c>
      <c r="O174" s="50" t="s">
        <v>9350</v>
      </c>
      <c r="P174" s="51">
        <v>43745</v>
      </c>
      <c r="Q174" s="51">
        <v>43745</v>
      </c>
      <c r="R174" s="52">
        <v>43745</v>
      </c>
      <c r="S174" s="33" t="s">
        <v>9357</v>
      </c>
      <c r="T174" s="34" t="s">
        <v>9357</v>
      </c>
      <c r="U174" s="35">
        <v>43763</v>
      </c>
      <c r="V174" s="34" t="s">
        <v>11601</v>
      </c>
      <c r="W174" s="34">
        <v>2</v>
      </c>
      <c r="X174" s="34" t="s">
        <v>5683</v>
      </c>
      <c r="Y174" s="34" t="s">
        <v>4999</v>
      </c>
      <c r="Z174" s="36">
        <v>43766</v>
      </c>
      <c r="AA174" s="44" t="s">
        <v>264</v>
      </c>
      <c r="AB174" s="38">
        <v>43766</v>
      </c>
      <c r="AC174" s="39">
        <v>43766</v>
      </c>
      <c r="AD174" s="45" t="e">
        <v>#VALUE!</v>
      </c>
      <c r="AE174" s="46" t="e">
        <v>#VALUE!</v>
      </c>
      <c r="AF174" s="53"/>
      <c r="AG174" s="54" t="s">
        <v>4999</v>
      </c>
      <c r="AH174" s="67"/>
    </row>
    <row r="175" spans="1:35" s="2" customFormat="1" ht="17.25" customHeight="1" thickBot="1" x14ac:dyDescent="0.25">
      <c r="A175" s="221" t="str">
        <f t="shared" si="6"/>
        <v>OK</v>
      </c>
      <c r="B175" s="222" t="str">
        <f t="shared" si="7"/>
        <v>OK</v>
      </c>
      <c r="C175" s="223" t="str">
        <f t="shared" si="8"/>
        <v>OK</v>
      </c>
      <c r="D175" s="28">
        <v>0</v>
      </c>
      <c r="E175" s="49" t="s">
        <v>11602</v>
      </c>
      <c r="F175" s="50" t="s">
        <v>9414</v>
      </c>
      <c r="G175" s="50">
        <v>180529</v>
      </c>
      <c r="H175" s="50" t="s">
        <v>11603</v>
      </c>
      <c r="I175" s="50" t="s">
        <v>6820</v>
      </c>
      <c r="J175" s="50" t="s">
        <v>6829</v>
      </c>
      <c r="K175" s="50" t="s">
        <v>11604</v>
      </c>
      <c r="L175" s="50" t="s">
        <v>11605</v>
      </c>
      <c r="M175" s="50" t="s">
        <v>9417</v>
      </c>
      <c r="N175" s="51">
        <v>43713</v>
      </c>
      <c r="O175" s="50" t="s">
        <v>9350</v>
      </c>
      <c r="P175" s="51">
        <v>43713</v>
      </c>
      <c r="Q175" s="51">
        <v>43714</v>
      </c>
      <c r="R175" s="52">
        <v>43714</v>
      </c>
      <c r="S175" s="33" t="s">
        <v>9357</v>
      </c>
      <c r="T175" s="34" t="s">
        <v>9357</v>
      </c>
      <c r="U175" s="35">
        <v>43717</v>
      </c>
      <c r="V175" s="34" t="s">
        <v>11424</v>
      </c>
      <c r="W175" s="34">
        <v>1</v>
      </c>
      <c r="X175" s="34" t="s">
        <v>5683</v>
      </c>
      <c r="Y175" s="34" t="s">
        <v>4999</v>
      </c>
      <c r="Z175" s="36">
        <v>43718</v>
      </c>
      <c r="AA175" s="44" t="s">
        <v>264</v>
      </c>
      <c r="AB175" s="38">
        <v>43718</v>
      </c>
      <c r="AC175" s="39">
        <v>43718</v>
      </c>
      <c r="AD175" s="45" t="e">
        <v>#VALUE!</v>
      </c>
      <c r="AE175" s="46" t="e">
        <v>#VALUE!</v>
      </c>
      <c r="AF175" s="53"/>
      <c r="AG175" s="54" t="s">
        <v>4999</v>
      </c>
      <c r="AH175" s="67"/>
    </row>
    <row r="176" spans="1:35" s="2" customFormat="1" ht="27.95" customHeight="1" thickBot="1" x14ac:dyDescent="0.25">
      <c r="A176" s="221" t="str">
        <f t="shared" si="6"/>
        <v>OK</v>
      </c>
      <c r="B176" s="222" t="str">
        <f t="shared" si="7"/>
        <v>OK</v>
      </c>
      <c r="C176" s="223" t="str">
        <f t="shared" si="8"/>
        <v>OK</v>
      </c>
      <c r="D176" s="28">
        <v>0</v>
      </c>
      <c r="E176" s="49" t="s">
        <v>11606</v>
      </c>
      <c r="F176" s="50" t="s">
        <v>9414</v>
      </c>
      <c r="G176" s="50">
        <v>180504</v>
      </c>
      <c r="H176" s="50" t="s">
        <v>11607</v>
      </c>
      <c r="I176" s="50" t="s">
        <v>6820</v>
      </c>
      <c r="J176" s="50" t="s">
        <v>6829</v>
      </c>
      <c r="K176" s="50" t="s">
        <v>11400</v>
      </c>
      <c r="L176" s="50" t="s">
        <v>11608</v>
      </c>
      <c r="M176" s="50" t="s">
        <v>9417</v>
      </c>
      <c r="N176" s="51">
        <v>43698</v>
      </c>
      <c r="O176" s="50" t="s">
        <v>9350</v>
      </c>
      <c r="P176" s="51">
        <v>43698</v>
      </c>
      <c r="Q176" s="51">
        <v>43698</v>
      </c>
      <c r="R176" s="52">
        <v>43698</v>
      </c>
      <c r="S176" s="33" t="s">
        <v>9357</v>
      </c>
      <c r="T176" s="34" t="s">
        <v>9357</v>
      </c>
      <c r="U176" s="35">
        <v>43735</v>
      </c>
      <c r="V176" s="34" t="s">
        <v>11609</v>
      </c>
      <c r="W176" s="34">
        <v>1</v>
      </c>
      <c r="X176" s="34" t="s">
        <v>5683</v>
      </c>
      <c r="Y176" s="34" t="s">
        <v>4999</v>
      </c>
      <c r="Z176" s="36">
        <v>43735</v>
      </c>
      <c r="AA176" s="44" t="s">
        <v>264</v>
      </c>
      <c r="AB176" s="38">
        <v>43739</v>
      </c>
      <c r="AC176" s="39">
        <v>43739</v>
      </c>
      <c r="AD176" s="45" t="e">
        <v>#VALUE!</v>
      </c>
      <c r="AE176" s="46" t="e">
        <v>#VALUE!</v>
      </c>
      <c r="AF176" s="53"/>
      <c r="AG176" s="54" t="s">
        <v>4999</v>
      </c>
      <c r="AH176" s="67"/>
    </row>
    <row r="177" spans="1:35" s="2" customFormat="1" ht="27.95" customHeight="1" thickBot="1" x14ac:dyDescent="0.25">
      <c r="A177" s="221" t="str">
        <f t="shared" si="6"/>
        <v>OK</v>
      </c>
      <c r="B177" s="222" t="str">
        <f t="shared" si="7"/>
        <v>OK</v>
      </c>
      <c r="C177" s="223" t="str">
        <f t="shared" si="8"/>
        <v>OK</v>
      </c>
      <c r="D177" s="28">
        <v>0</v>
      </c>
      <c r="E177" s="49" t="s">
        <v>11610</v>
      </c>
      <c r="F177" s="50" t="s">
        <v>6169</v>
      </c>
      <c r="G177" s="50">
        <v>180606</v>
      </c>
      <c r="H177" s="50" t="s">
        <v>11611</v>
      </c>
      <c r="I177" s="50" t="s">
        <v>6820</v>
      </c>
      <c r="J177" s="50" t="s">
        <v>6829</v>
      </c>
      <c r="K177" s="50" t="s">
        <v>11612</v>
      </c>
      <c r="L177" s="50" t="s">
        <v>11613</v>
      </c>
      <c r="M177" s="50" t="s">
        <v>10351</v>
      </c>
      <c r="N177" s="51">
        <v>43761</v>
      </c>
      <c r="O177" s="51" t="s">
        <v>9350</v>
      </c>
      <c r="P177" s="51">
        <v>43761</v>
      </c>
      <c r="Q177" s="51">
        <v>43761</v>
      </c>
      <c r="R177" s="52">
        <v>43761</v>
      </c>
      <c r="S177" s="33" t="s">
        <v>9357</v>
      </c>
      <c r="T177" s="34" t="s">
        <v>9350</v>
      </c>
      <c r="U177" s="35">
        <v>43782</v>
      </c>
      <c r="V177" s="34" t="s">
        <v>7129</v>
      </c>
      <c r="W177" s="34">
        <v>1</v>
      </c>
      <c r="X177" s="34" t="s">
        <v>5683</v>
      </c>
      <c r="Y177" s="34" t="s">
        <v>4999</v>
      </c>
      <c r="Z177" s="36">
        <v>43787</v>
      </c>
      <c r="AA177" s="44" t="s">
        <v>264</v>
      </c>
      <c r="AB177" s="38">
        <v>43787</v>
      </c>
      <c r="AC177" s="39">
        <v>43787</v>
      </c>
      <c r="AD177" s="45"/>
      <c r="AE177" s="46"/>
      <c r="AF177" s="53" t="s">
        <v>11468</v>
      </c>
      <c r="AG177" s="54" t="s">
        <v>4999</v>
      </c>
      <c r="AH177" s="67"/>
    </row>
    <row r="178" spans="1:35" s="2" customFormat="1" ht="27.95" customHeight="1" thickBot="1" x14ac:dyDescent="0.25">
      <c r="A178" s="221" t="str">
        <f t="shared" si="6"/>
        <v>OK</v>
      </c>
      <c r="B178" s="222" t="str">
        <f t="shared" si="7"/>
        <v>OK</v>
      </c>
      <c r="C178" s="223" t="str">
        <f t="shared" si="8"/>
        <v>OK</v>
      </c>
      <c r="D178" s="28">
        <v>0</v>
      </c>
      <c r="E178" s="49" t="s">
        <v>11614</v>
      </c>
      <c r="F178" s="50" t="s">
        <v>9414</v>
      </c>
      <c r="G178" s="50">
        <v>180659</v>
      </c>
      <c r="H178" s="50" t="s">
        <v>11615</v>
      </c>
      <c r="I178" s="50" t="s">
        <v>6820</v>
      </c>
      <c r="J178" s="50" t="s">
        <v>6829</v>
      </c>
      <c r="K178" s="50" t="s">
        <v>11456</v>
      </c>
      <c r="L178" s="50" t="s">
        <v>11616</v>
      </c>
      <c r="M178" s="50" t="s">
        <v>9744</v>
      </c>
      <c r="N178" s="51">
        <v>43794</v>
      </c>
      <c r="O178" s="50" t="s">
        <v>9350</v>
      </c>
      <c r="P178" s="51">
        <v>43794</v>
      </c>
      <c r="Q178" s="51">
        <v>43795</v>
      </c>
      <c r="R178" s="52">
        <v>43795</v>
      </c>
      <c r="S178" s="33" t="s">
        <v>6850</v>
      </c>
      <c r="T178" s="34" t="s">
        <v>9357</v>
      </c>
      <c r="U178" s="35">
        <v>43809</v>
      </c>
      <c r="V178" s="34" t="s">
        <v>11617</v>
      </c>
      <c r="W178" s="34">
        <v>1</v>
      </c>
      <c r="X178" s="34" t="s">
        <v>5683</v>
      </c>
      <c r="Y178" s="34" t="s">
        <v>4999</v>
      </c>
      <c r="Z178" s="36">
        <v>43815</v>
      </c>
      <c r="AA178" s="44" t="s">
        <v>264</v>
      </c>
      <c r="AB178" s="38">
        <v>43810</v>
      </c>
      <c r="AC178" s="39">
        <v>43810</v>
      </c>
      <c r="AD178" s="45" t="e">
        <v>#VALUE!</v>
      </c>
      <c r="AE178" s="46" t="e">
        <v>#VALUE!</v>
      </c>
      <c r="AF178" s="53" t="s">
        <v>11468</v>
      </c>
      <c r="AG178" s="54" t="s">
        <v>4999</v>
      </c>
      <c r="AH178" s="67"/>
    </row>
    <row r="179" spans="1:35" s="2" customFormat="1" ht="17.25" customHeight="1" thickBot="1" x14ac:dyDescent="0.25">
      <c r="A179" s="221" t="str">
        <f t="shared" si="6"/>
        <v>OK</v>
      </c>
      <c r="B179" s="222" t="str">
        <f t="shared" si="7"/>
        <v>OK</v>
      </c>
      <c r="C179" s="223" t="str">
        <f t="shared" si="8"/>
        <v>OK</v>
      </c>
      <c r="D179" s="28">
        <v>0</v>
      </c>
      <c r="E179" s="49" t="s">
        <v>11618</v>
      </c>
      <c r="F179" s="50" t="s">
        <v>5652</v>
      </c>
      <c r="G179" s="50">
        <v>180627</v>
      </c>
      <c r="H179" s="50" t="s">
        <v>11619</v>
      </c>
      <c r="I179" s="50" t="s">
        <v>6820</v>
      </c>
      <c r="J179" s="50" t="s">
        <v>6829</v>
      </c>
      <c r="K179" s="50" t="s">
        <v>11620</v>
      </c>
      <c r="L179" s="50" t="s">
        <v>11621</v>
      </c>
      <c r="M179" s="50" t="s">
        <v>5656</v>
      </c>
      <c r="N179" s="51">
        <v>43774</v>
      </c>
      <c r="O179" s="50" t="s">
        <v>7729</v>
      </c>
      <c r="P179" s="51">
        <v>43774</v>
      </c>
      <c r="Q179" s="51">
        <v>43774</v>
      </c>
      <c r="R179" s="52">
        <v>43780</v>
      </c>
      <c r="S179" s="33" t="s">
        <v>9357</v>
      </c>
      <c r="T179" s="34" t="s">
        <v>9350</v>
      </c>
      <c r="U179" s="35">
        <v>43782</v>
      </c>
      <c r="V179" s="34" t="s">
        <v>5657</v>
      </c>
      <c r="W179" s="34">
        <v>2</v>
      </c>
      <c r="X179" s="34" t="s">
        <v>5683</v>
      </c>
      <c r="Y179" s="34" t="s">
        <v>4999</v>
      </c>
      <c r="Z179" s="36">
        <v>43783</v>
      </c>
      <c r="AA179" s="44" t="s">
        <v>264</v>
      </c>
      <c r="AB179" s="38">
        <v>43797</v>
      </c>
      <c r="AC179" s="39">
        <v>43797</v>
      </c>
      <c r="AD179" s="45"/>
      <c r="AE179" s="46"/>
      <c r="AF179" s="53" t="s">
        <v>11468</v>
      </c>
      <c r="AG179" s="54" t="s">
        <v>4999</v>
      </c>
      <c r="AH179" s="67"/>
    </row>
    <row r="180" spans="1:35" s="2" customFormat="1" ht="17.25" customHeight="1" thickBot="1" x14ac:dyDescent="0.25">
      <c r="A180" s="221" t="str">
        <f t="shared" si="6"/>
        <v>OK</v>
      </c>
      <c r="B180" s="222" t="str">
        <f t="shared" si="7"/>
        <v>OK</v>
      </c>
      <c r="C180" s="223" t="str">
        <f t="shared" si="8"/>
        <v>OK</v>
      </c>
      <c r="D180" s="28">
        <v>0</v>
      </c>
      <c r="E180" s="49" t="s">
        <v>11622</v>
      </c>
      <c r="F180" s="50" t="s">
        <v>10548</v>
      </c>
      <c r="G180" s="50">
        <v>180522</v>
      </c>
      <c r="H180" s="50" t="s">
        <v>11623</v>
      </c>
      <c r="I180" s="50" t="s">
        <v>6820</v>
      </c>
      <c r="J180" s="50" t="s">
        <v>6829</v>
      </c>
      <c r="K180" s="50" t="s">
        <v>7618</v>
      </c>
      <c r="L180" s="50" t="s">
        <v>11624</v>
      </c>
      <c r="M180" s="50" t="s">
        <v>11625</v>
      </c>
      <c r="N180" s="51">
        <v>43707</v>
      </c>
      <c r="O180" s="50" t="s">
        <v>9350</v>
      </c>
      <c r="P180" s="51">
        <v>43707</v>
      </c>
      <c r="Q180" s="51">
        <v>43710</v>
      </c>
      <c r="R180" s="52">
        <v>43711</v>
      </c>
      <c r="S180" s="33" t="s">
        <v>9357</v>
      </c>
      <c r="T180" s="34" t="s">
        <v>11378</v>
      </c>
      <c r="U180" s="35">
        <v>43776</v>
      </c>
      <c r="V180" s="34" t="s">
        <v>11626</v>
      </c>
      <c r="W180" s="34">
        <v>1</v>
      </c>
      <c r="X180" s="34" t="s">
        <v>5683</v>
      </c>
      <c r="Y180" s="34" t="s">
        <v>4999</v>
      </c>
      <c r="Z180" s="36">
        <v>43811</v>
      </c>
      <c r="AA180" s="44" t="s">
        <v>264</v>
      </c>
      <c r="AB180" s="38">
        <v>43812</v>
      </c>
      <c r="AC180" s="39">
        <v>43812</v>
      </c>
      <c r="AD180" s="45" t="e">
        <v>#VALUE!</v>
      </c>
      <c r="AE180" s="46" t="e">
        <v>#VALUE!</v>
      </c>
      <c r="AF180" s="53" t="s">
        <v>11468</v>
      </c>
      <c r="AG180" s="54" t="s">
        <v>4999</v>
      </c>
      <c r="AH180" s="67"/>
    </row>
    <row r="181" spans="1:35" s="2" customFormat="1" ht="27.95" customHeight="1" thickBot="1" x14ac:dyDescent="0.25">
      <c r="A181" s="221" t="str">
        <f t="shared" si="6"/>
        <v>OK</v>
      </c>
      <c r="B181" s="222" t="str">
        <f t="shared" si="7"/>
        <v>OK</v>
      </c>
      <c r="C181" s="223" t="str">
        <f t="shared" si="8"/>
        <v>OK</v>
      </c>
      <c r="D181" s="28">
        <v>0</v>
      </c>
      <c r="E181" s="29" t="s">
        <v>11627</v>
      </c>
      <c r="F181" s="30" t="s">
        <v>9377</v>
      </c>
      <c r="G181" s="30">
        <v>180527</v>
      </c>
      <c r="H181" s="30" t="s">
        <v>11628</v>
      </c>
      <c r="I181" s="30" t="s">
        <v>6820</v>
      </c>
      <c r="J181" s="30" t="s">
        <v>6829</v>
      </c>
      <c r="K181" s="30" t="s">
        <v>11629</v>
      </c>
      <c r="L181" s="30" t="s">
        <v>11630</v>
      </c>
      <c r="M181" s="30" t="s">
        <v>8268</v>
      </c>
      <c r="N181" s="31">
        <v>43713</v>
      </c>
      <c r="O181" s="30" t="s">
        <v>9350</v>
      </c>
      <c r="P181" s="31">
        <v>43713</v>
      </c>
      <c r="Q181" s="31">
        <v>43714</v>
      </c>
      <c r="R181" s="32">
        <v>43714</v>
      </c>
      <c r="S181" s="33" t="s">
        <v>9357</v>
      </c>
      <c r="T181" s="34" t="s">
        <v>9350</v>
      </c>
      <c r="U181" s="35">
        <v>43726</v>
      </c>
      <c r="V181" s="34" t="s">
        <v>11631</v>
      </c>
      <c r="W181" s="34">
        <v>4</v>
      </c>
      <c r="X181" s="34" t="s">
        <v>5683</v>
      </c>
      <c r="Y181" s="34" t="s">
        <v>4999</v>
      </c>
      <c r="Z181" s="36">
        <v>43732</v>
      </c>
      <c r="AA181" s="44" t="s">
        <v>264</v>
      </c>
      <c r="AB181" s="38">
        <v>43732</v>
      </c>
      <c r="AC181" s="39">
        <v>43732</v>
      </c>
      <c r="AD181" s="45" t="e">
        <v>#VALUE!</v>
      </c>
      <c r="AE181" s="46" t="e">
        <v>#VALUE!</v>
      </c>
      <c r="AF181" s="25"/>
      <c r="AG181" s="42" t="s">
        <v>4999</v>
      </c>
      <c r="AH181" s="26"/>
      <c r="AI181" s="27"/>
    </row>
    <row r="182" spans="1:35" s="2" customFormat="1" ht="17.25" customHeight="1" thickBot="1" x14ac:dyDescent="0.25">
      <c r="A182" s="221" t="str">
        <f t="shared" si="6"/>
        <v>OK</v>
      </c>
      <c r="B182" s="222" t="str">
        <f t="shared" si="7"/>
        <v>OK</v>
      </c>
      <c r="C182" s="223" t="str">
        <f t="shared" si="8"/>
        <v>OK</v>
      </c>
      <c r="D182" s="28">
        <v>0</v>
      </c>
      <c r="E182" s="49" t="s">
        <v>11632</v>
      </c>
      <c r="F182" s="50" t="s">
        <v>9172</v>
      </c>
      <c r="G182" s="50">
        <v>180535</v>
      </c>
      <c r="H182" s="50" t="s">
        <v>11633</v>
      </c>
      <c r="I182" s="50" t="s">
        <v>6820</v>
      </c>
      <c r="J182" s="50" t="s">
        <v>6829</v>
      </c>
      <c r="K182" s="50" t="s">
        <v>427</v>
      </c>
      <c r="L182" s="50" t="s">
        <v>11634</v>
      </c>
      <c r="M182" s="50" t="s">
        <v>11635</v>
      </c>
      <c r="N182" s="51">
        <v>43718</v>
      </c>
      <c r="O182" s="50" t="s">
        <v>9350</v>
      </c>
      <c r="P182" s="51">
        <v>43718</v>
      </c>
      <c r="Q182" s="51">
        <v>43718</v>
      </c>
      <c r="R182" s="52">
        <v>43725</v>
      </c>
      <c r="S182" s="33" t="s">
        <v>9357</v>
      </c>
      <c r="T182" s="34" t="s">
        <v>9350</v>
      </c>
      <c r="U182" s="35">
        <v>43718</v>
      </c>
      <c r="V182" s="34" t="s">
        <v>11636</v>
      </c>
      <c r="W182" s="34">
        <v>4</v>
      </c>
      <c r="X182" s="34" t="s">
        <v>5683</v>
      </c>
      <c r="Y182" s="34" t="s">
        <v>4999</v>
      </c>
      <c r="Z182" s="36">
        <v>43726</v>
      </c>
      <c r="AA182" s="44" t="s">
        <v>264</v>
      </c>
      <c r="AB182" s="38">
        <v>43726</v>
      </c>
      <c r="AC182" s="39">
        <v>43726</v>
      </c>
      <c r="AD182" s="45" t="e">
        <v>#VALUE!</v>
      </c>
      <c r="AE182" s="46" t="e">
        <v>#VALUE!</v>
      </c>
      <c r="AF182" s="53"/>
      <c r="AG182" s="54" t="s">
        <v>4999</v>
      </c>
      <c r="AH182" s="67"/>
    </row>
    <row r="183" spans="1:35" s="2" customFormat="1" ht="17.25" customHeight="1" thickBot="1" x14ac:dyDescent="0.25">
      <c r="A183" s="221" t="str">
        <f t="shared" si="6"/>
        <v>OK</v>
      </c>
      <c r="B183" s="222" t="str">
        <f t="shared" si="7"/>
        <v>P</v>
      </c>
      <c r="C183" s="223" t="str">
        <f t="shared" si="8"/>
        <v>P</v>
      </c>
      <c r="D183" s="28">
        <v>0</v>
      </c>
      <c r="E183" s="49" t="s">
        <v>11637</v>
      </c>
      <c r="F183" s="50" t="s">
        <v>9361</v>
      </c>
      <c r="G183" s="50">
        <v>180470</v>
      </c>
      <c r="H183" s="50" t="s">
        <v>11638</v>
      </c>
      <c r="I183" s="50" t="s">
        <v>6820</v>
      </c>
      <c r="J183" s="50" t="s">
        <v>8423</v>
      </c>
      <c r="K183" s="50" t="s">
        <v>11639</v>
      </c>
      <c r="L183" s="50" t="s">
        <v>11640</v>
      </c>
      <c r="M183" s="50" t="s">
        <v>11641</v>
      </c>
      <c r="N183" s="51">
        <v>43683</v>
      </c>
      <c r="O183" s="50" t="s">
        <v>9350</v>
      </c>
      <c r="P183" s="51">
        <v>43683</v>
      </c>
      <c r="Q183" s="51">
        <v>43683</v>
      </c>
      <c r="R183" s="52">
        <v>43713</v>
      </c>
      <c r="S183" s="33"/>
      <c r="T183" s="34"/>
      <c r="U183" s="35"/>
      <c r="V183" s="34"/>
      <c r="W183" s="34"/>
      <c r="X183" s="34"/>
      <c r="Y183" s="34"/>
      <c r="Z183" s="36"/>
      <c r="AA183" s="44"/>
      <c r="AB183" s="38"/>
      <c r="AC183" s="39"/>
      <c r="AD183" s="45" t="e">
        <v>#VALUE!</v>
      </c>
      <c r="AE183" s="46" t="e">
        <v>#VALUE!</v>
      </c>
      <c r="AF183" s="53"/>
      <c r="AG183" s="54"/>
      <c r="AH183" s="67"/>
    </row>
    <row r="184" spans="1:35" s="2" customFormat="1" ht="17.25" customHeight="1" thickBot="1" x14ac:dyDescent="0.25">
      <c r="A184" s="221" t="str">
        <f t="shared" si="6"/>
        <v>OK</v>
      </c>
      <c r="B184" s="222" t="str">
        <f t="shared" si="7"/>
        <v>P</v>
      </c>
      <c r="C184" s="223" t="str">
        <f t="shared" si="8"/>
        <v>P</v>
      </c>
      <c r="D184" s="28">
        <v>0</v>
      </c>
      <c r="E184" s="49" t="s">
        <v>11642</v>
      </c>
      <c r="F184" s="50" t="s">
        <v>9361</v>
      </c>
      <c r="G184" s="50">
        <v>180470</v>
      </c>
      <c r="H184" s="50" t="s">
        <v>11643</v>
      </c>
      <c r="I184" s="50" t="s">
        <v>6820</v>
      </c>
      <c r="J184" s="50" t="s">
        <v>8423</v>
      </c>
      <c r="K184" s="50" t="s">
        <v>11644</v>
      </c>
      <c r="L184" s="50" t="s">
        <v>11645</v>
      </c>
      <c r="M184" s="50" t="s">
        <v>11641</v>
      </c>
      <c r="N184" s="51">
        <v>43683</v>
      </c>
      <c r="O184" s="50" t="s">
        <v>9350</v>
      </c>
      <c r="P184" s="51">
        <v>43683</v>
      </c>
      <c r="Q184" s="51">
        <v>43683</v>
      </c>
      <c r="R184" s="52">
        <v>43713</v>
      </c>
      <c r="S184" s="33"/>
      <c r="T184" s="34"/>
      <c r="U184" s="35"/>
      <c r="V184" s="34"/>
      <c r="W184" s="34"/>
      <c r="X184" s="34"/>
      <c r="Y184" s="34"/>
      <c r="Z184" s="36"/>
      <c r="AA184" s="44"/>
      <c r="AB184" s="38"/>
      <c r="AC184" s="39"/>
      <c r="AD184" s="45" t="e">
        <v>#VALUE!</v>
      </c>
      <c r="AE184" s="46" t="e">
        <v>#VALUE!</v>
      </c>
      <c r="AF184" s="53"/>
      <c r="AG184" s="54"/>
      <c r="AH184" s="67"/>
    </row>
    <row r="185" spans="1:35" s="2" customFormat="1" ht="17.25" customHeight="1" thickBot="1" x14ac:dyDescent="0.25">
      <c r="A185" s="221" t="str">
        <f t="shared" si="6"/>
        <v>OK</v>
      </c>
      <c r="B185" s="222" t="str">
        <f t="shared" si="7"/>
        <v>P</v>
      </c>
      <c r="C185" s="223" t="str">
        <f t="shared" si="8"/>
        <v>P</v>
      </c>
      <c r="D185" s="28">
        <v>0</v>
      </c>
      <c r="E185" s="49" t="s">
        <v>11646</v>
      </c>
      <c r="F185" s="50" t="s">
        <v>9361</v>
      </c>
      <c r="G185" s="50">
        <v>180470</v>
      </c>
      <c r="H185" s="50" t="s">
        <v>11647</v>
      </c>
      <c r="I185" s="50" t="s">
        <v>6820</v>
      </c>
      <c r="J185" s="50" t="s">
        <v>8423</v>
      </c>
      <c r="K185" s="50" t="s">
        <v>11648</v>
      </c>
      <c r="L185" s="50" t="s">
        <v>11648</v>
      </c>
      <c r="M185" s="50" t="s">
        <v>11641</v>
      </c>
      <c r="N185" s="51">
        <v>43683</v>
      </c>
      <c r="O185" s="50" t="s">
        <v>9350</v>
      </c>
      <c r="P185" s="51">
        <v>43683</v>
      </c>
      <c r="Q185" s="51">
        <v>43683</v>
      </c>
      <c r="R185" s="52">
        <v>43713</v>
      </c>
      <c r="S185" s="33"/>
      <c r="T185" s="34"/>
      <c r="U185" s="35"/>
      <c r="V185" s="34"/>
      <c r="W185" s="34"/>
      <c r="X185" s="34"/>
      <c r="Y185" s="34"/>
      <c r="Z185" s="36"/>
      <c r="AA185" s="44"/>
      <c r="AB185" s="38"/>
      <c r="AC185" s="39"/>
      <c r="AD185" s="45" t="e">
        <v>#VALUE!</v>
      </c>
      <c r="AE185" s="46" t="e">
        <v>#VALUE!</v>
      </c>
      <c r="AF185" s="53"/>
      <c r="AG185" s="54"/>
      <c r="AH185" s="67"/>
    </row>
    <row r="186" spans="1:35" s="2" customFormat="1" ht="17.25" customHeight="1" thickBot="1" x14ac:dyDescent="0.25">
      <c r="A186" s="221" t="str">
        <f t="shared" si="6"/>
        <v>OK</v>
      </c>
      <c r="B186" s="222" t="str">
        <f t="shared" si="7"/>
        <v>OK</v>
      </c>
      <c r="C186" s="223" t="str">
        <f t="shared" si="8"/>
        <v>OK</v>
      </c>
      <c r="D186" s="28">
        <v>0</v>
      </c>
      <c r="E186" s="29" t="s">
        <v>11649</v>
      </c>
      <c r="F186" s="30" t="s">
        <v>9377</v>
      </c>
      <c r="G186" s="30">
        <v>180536</v>
      </c>
      <c r="H186" s="30" t="s">
        <v>11650</v>
      </c>
      <c r="I186" s="30" t="s">
        <v>6820</v>
      </c>
      <c r="J186" s="30" t="s">
        <v>6829</v>
      </c>
      <c r="K186" s="30" t="s">
        <v>11651</v>
      </c>
      <c r="L186" s="30" t="s">
        <v>11652</v>
      </c>
      <c r="M186" s="30" t="s">
        <v>11508</v>
      </c>
      <c r="N186" s="31">
        <v>43719</v>
      </c>
      <c r="O186" s="30" t="s">
        <v>9350</v>
      </c>
      <c r="P186" s="31">
        <v>43719</v>
      </c>
      <c r="Q186" s="31">
        <v>43719</v>
      </c>
      <c r="R186" s="32">
        <v>43719</v>
      </c>
      <c r="S186" s="33" t="s">
        <v>9357</v>
      </c>
      <c r="T186" s="34" t="s">
        <v>9357</v>
      </c>
      <c r="U186" s="35">
        <v>43724</v>
      </c>
      <c r="V186" s="34" t="s">
        <v>9915</v>
      </c>
      <c r="W186" s="34">
        <v>20</v>
      </c>
      <c r="X186" s="34" t="s">
        <v>5683</v>
      </c>
      <c r="Y186" s="34" t="s">
        <v>4999</v>
      </c>
      <c r="Z186" s="36">
        <v>43725</v>
      </c>
      <c r="AA186" s="44" t="s">
        <v>264</v>
      </c>
      <c r="AB186" s="38">
        <v>43725</v>
      </c>
      <c r="AC186" s="39">
        <v>43725</v>
      </c>
      <c r="AD186" s="45" t="e">
        <v>#VALUE!</v>
      </c>
      <c r="AE186" s="46" t="e">
        <v>#VALUE!</v>
      </c>
      <c r="AF186" s="25"/>
      <c r="AG186" s="42" t="s">
        <v>4999</v>
      </c>
      <c r="AH186" s="63"/>
      <c r="AI186" s="27"/>
    </row>
    <row r="187" spans="1:35" s="2" customFormat="1" ht="17.25" customHeight="1" thickBot="1" x14ac:dyDescent="0.25">
      <c r="A187" s="221" t="str">
        <f t="shared" si="6"/>
        <v>OK</v>
      </c>
      <c r="B187" s="222" t="str">
        <f t="shared" si="7"/>
        <v>OK</v>
      </c>
      <c r="C187" s="223" t="str">
        <f t="shared" si="8"/>
        <v>OK</v>
      </c>
      <c r="D187" s="28">
        <v>0</v>
      </c>
      <c r="E187" s="29" t="s">
        <v>11653</v>
      </c>
      <c r="F187" s="30" t="s">
        <v>8322</v>
      </c>
      <c r="G187" s="30">
        <v>180539</v>
      </c>
      <c r="H187" s="30" t="s">
        <v>11654</v>
      </c>
      <c r="I187" s="30" t="s">
        <v>6820</v>
      </c>
      <c r="J187" s="30" t="s">
        <v>6829</v>
      </c>
      <c r="K187" s="30" t="s">
        <v>6285</v>
      </c>
      <c r="L187" s="30" t="s">
        <v>10042</v>
      </c>
      <c r="M187" s="30" t="s">
        <v>5529</v>
      </c>
      <c r="N187" s="31">
        <v>43720</v>
      </c>
      <c r="O187" s="30" t="s">
        <v>9350</v>
      </c>
      <c r="P187" s="31">
        <v>43720</v>
      </c>
      <c r="Q187" s="31">
        <v>43720</v>
      </c>
      <c r="R187" s="32">
        <v>43721</v>
      </c>
      <c r="S187" s="33" t="s">
        <v>9357</v>
      </c>
      <c r="T187" s="34" t="s">
        <v>9357</v>
      </c>
      <c r="U187" s="35">
        <v>43727</v>
      </c>
      <c r="V187" s="34" t="s">
        <v>11655</v>
      </c>
      <c r="W187" s="34">
        <v>1</v>
      </c>
      <c r="X187" s="34" t="s">
        <v>5683</v>
      </c>
      <c r="Y187" s="34" t="s">
        <v>4999</v>
      </c>
      <c r="Z187" s="36">
        <v>43728</v>
      </c>
      <c r="AA187" s="44" t="s">
        <v>264</v>
      </c>
      <c r="AB187" s="38">
        <v>43728</v>
      </c>
      <c r="AC187" s="39">
        <v>43728</v>
      </c>
      <c r="AD187" s="45" t="e">
        <v>#VALUE!</v>
      </c>
      <c r="AE187" s="46" t="e">
        <v>#VALUE!</v>
      </c>
      <c r="AF187" s="25"/>
      <c r="AG187" s="42" t="s">
        <v>4999</v>
      </c>
      <c r="AH187" s="26"/>
      <c r="AI187" s="27"/>
    </row>
    <row r="188" spans="1:35" s="2" customFormat="1" ht="17.25" customHeight="1" thickBot="1" x14ac:dyDescent="0.25">
      <c r="A188" s="221" t="str">
        <f t="shared" si="6"/>
        <v>OK</v>
      </c>
      <c r="B188" s="222" t="str">
        <f t="shared" si="7"/>
        <v>OK</v>
      </c>
      <c r="C188" s="223" t="str">
        <f t="shared" si="8"/>
        <v>OK</v>
      </c>
      <c r="D188" s="28">
        <v>0</v>
      </c>
      <c r="E188" s="29" t="s">
        <v>11656</v>
      </c>
      <c r="F188" s="30" t="s">
        <v>8322</v>
      </c>
      <c r="G188" s="30">
        <v>180539</v>
      </c>
      <c r="H188" s="30" t="s">
        <v>11657</v>
      </c>
      <c r="I188" s="30" t="s">
        <v>6820</v>
      </c>
      <c r="J188" s="30" t="s">
        <v>6829</v>
      </c>
      <c r="K188" s="30" t="s">
        <v>11658</v>
      </c>
      <c r="L188" s="30" t="s">
        <v>11659</v>
      </c>
      <c r="M188" s="30" t="s">
        <v>5529</v>
      </c>
      <c r="N188" s="31">
        <v>43720</v>
      </c>
      <c r="O188" s="30" t="s">
        <v>9350</v>
      </c>
      <c r="P188" s="31">
        <v>43720</v>
      </c>
      <c r="Q188" s="31">
        <v>43720</v>
      </c>
      <c r="R188" s="32">
        <v>43721</v>
      </c>
      <c r="S188" s="33" t="s">
        <v>11660</v>
      </c>
      <c r="T188" s="34" t="s">
        <v>11660</v>
      </c>
      <c r="U188" s="35">
        <v>43749</v>
      </c>
      <c r="V188" s="34" t="s">
        <v>11661</v>
      </c>
      <c r="W188" s="34">
        <v>2</v>
      </c>
      <c r="X188" s="34" t="s">
        <v>5683</v>
      </c>
      <c r="Y188" s="34" t="s">
        <v>4999</v>
      </c>
      <c r="Z188" s="36">
        <v>43749</v>
      </c>
      <c r="AA188" s="44" t="s">
        <v>264</v>
      </c>
      <c r="AB188" s="38">
        <v>43754</v>
      </c>
      <c r="AC188" s="39">
        <v>43754</v>
      </c>
      <c r="AD188" s="45" t="e">
        <v>#VALUE!</v>
      </c>
      <c r="AE188" s="46" t="e">
        <v>#VALUE!</v>
      </c>
      <c r="AF188" s="25"/>
      <c r="AG188" s="42" t="s">
        <v>4999</v>
      </c>
      <c r="AH188" s="63"/>
      <c r="AI188" s="27"/>
    </row>
    <row r="189" spans="1:35" s="2" customFormat="1" ht="17.25" customHeight="1" thickBot="1" x14ac:dyDescent="0.25">
      <c r="A189" s="221" t="str">
        <f t="shared" si="6"/>
        <v>OK</v>
      </c>
      <c r="B189" s="222" t="str">
        <f t="shared" si="7"/>
        <v>OK</v>
      </c>
      <c r="C189" s="223" t="str">
        <f t="shared" si="8"/>
        <v>OK</v>
      </c>
      <c r="D189" s="28">
        <v>0</v>
      </c>
      <c r="E189" s="29" t="s">
        <v>11662</v>
      </c>
      <c r="F189" s="30" t="s">
        <v>8322</v>
      </c>
      <c r="G189" s="30">
        <v>180544</v>
      </c>
      <c r="H189" s="30" t="s">
        <v>11663</v>
      </c>
      <c r="I189" s="30" t="s">
        <v>6820</v>
      </c>
      <c r="J189" s="30" t="s">
        <v>6829</v>
      </c>
      <c r="K189" s="30" t="s">
        <v>6285</v>
      </c>
      <c r="L189" s="30" t="s">
        <v>11664</v>
      </c>
      <c r="M189" s="30" t="s">
        <v>5529</v>
      </c>
      <c r="N189" s="31">
        <v>43725</v>
      </c>
      <c r="O189" s="30" t="s">
        <v>9350</v>
      </c>
      <c r="P189" s="31">
        <v>43725</v>
      </c>
      <c r="Q189" s="31">
        <v>43725</v>
      </c>
      <c r="R189" s="32">
        <v>43726</v>
      </c>
      <c r="S189" s="33" t="s">
        <v>11660</v>
      </c>
      <c r="T189" s="34" t="s">
        <v>6850</v>
      </c>
      <c r="U189" s="35">
        <v>43749</v>
      </c>
      <c r="V189" s="34" t="s">
        <v>11655</v>
      </c>
      <c r="W189" s="34">
        <v>19</v>
      </c>
      <c r="X189" s="34" t="s">
        <v>5683</v>
      </c>
      <c r="Y189" s="34" t="s">
        <v>4999</v>
      </c>
      <c r="Z189" s="36">
        <v>43749</v>
      </c>
      <c r="AA189" s="44" t="s">
        <v>264</v>
      </c>
      <c r="AB189" s="38">
        <v>43754</v>
      </c>
      <c r="AC189" s="39">
        <v>43754</v>
      </c>
      <c r="AD189" s="45" t="e">
        <v>#VALUE!</v>
      </c>
      <c r="AE189" s="46" t="e">
        <v>#VALUE!</v>
      </c>
      <c r="AF189" s="25"/>
      <c r="AG189" s="42" t="s">
        <v>4999</v>
      </c>
      <c r="AH189" s="26"/>
      <c r="AI189" s="27"/>
    </row>
    <row r="190" spans="1:35" s="2" customFormat="1" ht="17.25" customHeight="1" thickBot="1" x14ac:dyDescent="0.25">
      <c r="A190" s="221" t="str">
        <f t="shared" si="6"/>
        <v>OK</v>
      </c>
      <c r="B190" s="222" t="str">
        <f t="shared" si="7"/>
        <v>OK</v>
      </c>
      <c r="C190" s="223" t="str">
        <f t="shared" si="8"/>
        <v>OK</v>
      </c>
      <c r="D190" s="28">
        <v>0</v>
      </c>
      <c r="E190" s="47" t="s">
        <v>11665</v>
      </c>
      <c r="F190" s="48" t="s">
        <v>11045</v>
      </c>
      <c r="G190" s="48">
        <v>180537</v>
      </c>
      <c r="H190" s="48" t="s">
        <v>11666</v>
      </c>
      <c r="I190" s="48" t="s">
        <v>6820</v>
      </c>
      <c r="J190" s="48" t="s">
        <v>6829</v>
      </c>
      <c r="K190" s="48" t="s">
        <v>11667</v>
      </c>
      <c r="L190" s="48" t="s">
        <v>11668</v>
      </c>
      <c r="M190" s="30" t="s">
        <v>11193</v>
      </c>
      <c r="N190" s="31">
        <v>43720</v>
      </c>
      <c r="O190" s="57" t="s">
        <v>9350</v>
      </c>
      <c r="P190" s="31">
        <v>43543</v>
      </c>
      <c r="Q190" s="31">
        <v>43720</v>
      </c>
      <c r="R190" s="32">
        <v>43720</v>
      </c>
      <c r="S190" s="33" t="s">
        <v>9357</v>
      </c>
      <c r="T190" s="34" t="s">
        <v>9350</v>
      </c>
      <c r="U190" s="35">
        <v>43733</v>
      </c>
      <c r="V190" s="34" t="s">
        <v>11194</v>
      </c>
      <c r="W190" s="34">
        <v>2</v>
      </c>
      <c r="X190" s="34" t="s">
        <v>5683</v>
      </c>
      <c r="Y190" s="34" t="s">
        <v>4999</v>
      </c>
      <c r="Z190" s="36">
        <v>43735</v>
      </c>
      <c r="AA190" s="44" t="s">
        <v>264</v>
      </c>
      <c r="AB190" s="38">
        <v>43735</v>
      </c>
      <c r="AC190" s="39">
        <v>43735</v>
      </c>
      <c r="AD190" s="45" t="e">
        <v>#VALUE!</v>
      </c>
      <c r="AE190" s="46" t="e">
        <v>#VALUE!</v>
      </c>
      <c r="AF190" s="25"/>
      <c r="AG190" s="42" t="s">
        <v>4999</v>
      </c>
      <c r="AH190" s="26"/>
      <c r="AI190" s="27"/>
    </row>
    <row r="191" spans="1:35" s="2" customFormat="1" ht="17.25" customHeight="1" thickBot="1" x14ac:dyDescent="0.25">
      <c r="A191" s="221" t="str">
        <f t="shared" si="6"/>
        <v>OK</v>
      </c>
      <c r="B191" s="222" t="str">
        <f t="shared" si="7"/>
        <v>OK</v>
      </c>
      <c r="C191" s="223" t="str">
        <f t="shared" si="8"/>
        <v>OK</v>
      </c>
      <c r="D191" s="28">
        <v>0</v>
      </c>
      <c r="E191" s="29" t="s">
        <v>11669</v>
      </c>
      <c r="F191" s="30" t="s">
        <v>11045</v>
      </c>
      <c r="G191" s="30">
        <v>180537</v>
      </c>
      <c r="H191" s="30" t="s">
        <v>11670</v>
      </c>
      <c r="I191" s="30" t="s">
        <v>6820</v>
      </c>
      <c r="J191" s="30" t="s">
        <v>6829</v>
      </c>
      <c r="K191" s="30" t="s">
        <v>11671</v>
      </c>
      <c r="L191" s="30" t="s">
        <v>11672</v>
      </c>
      <c r="M191" s="30" t="s">
        <v>11193</v>
      </c>
      <c r="N191" s="31">
        <v>43720</v>
      </c>
      <c r="O191" s="30" t="s">
        <v>9350</v>
      </c>
      <c r="P191" s="31">
        <v>43543</v>
      </c>
      <c r="Q191" s="31">
        <v>43720</v>
      </c>
      <c r="R191" s="32">
        <v>43720</v>
      </c>
      <c r="S191" s="33" t="s">
        <v>9357</v>
      </c>
      <c r="T191" s="34" t="s">
        <v>9350</v>
      </c>
      <c r="U191" s="35">
        <v>43733</v>
      </c>
      <c r="V191" s="34" t="s">
        <v>11673</v>
      </c>
      <c r="W191" s="34">
        <v>1</v>
      </c>
      <c r="X191" s="34" t="s">
        <v>5683</v>
      </c>
      <c r="Y191" s="34" t="s">
        <v>4999</v>
      </c>
      <c r="Z191" s="36">
        <v>43735</v>
      </c>
      <c r="AA191" s="44" t="s">
        <v>264</v>
      </c>
      <c r="AB191" s="38">
        <v>43735</v>
      </c>
      <c r="AC191" s="39">
        <v>43735</v>
      </c>
      <c r="AD191" s="45" t="e">
        <v>#VALUE!</v>
      </c>
      <c r="AE191" s="46" t="e">
        <v>#VALUE!</v>
      </c>
      <c r="AF191" s="25"/>
      <c r="AG191" s="42" t="s">
        <v>4999</v>
      </c>
      <c r="AH191" s="26"/>
      <c r="AI191" s="27"/>
    </row>
    <row r="192" spans="1:35" s="2" customFormat="1" ht="17.25" customHeight="1" thickBot="1" x14ac:dyDescent="0.25">
      <c r="A192" s="221" t="str">
        <f t="shared" si="6"/>
        <v>OK</v>
      </c>
      <c r="B192" s="222" t="str">
        <f t="shared" si="7"/>
        <v>OK</v>
      </c>
      <c r="C192" s="223" t="str">
        <f t="shared" si="8"/>
        <v>OK</v>
      </c>
      <c r="D192" s="28">
        <v>0</v>
      </c>
      <c r="E192" s="29" t="s">
        <v>11674</v>
      </c>
      <c r="F192" s="30" t="s">
        <v>11045</v>
      </c>
      <c r="G192" s="30">
        <v>180537</v>
      </c>
      <c r="H192" s="30" t="s">
        <v>11675</v>
      </c>
      <c r="I192" s="30" t="s">
        <v>6820</v>
      </c>
      <c r="J192" s="30" t="s">
        <v>6829</v>
      </c>
      <c r="K192" s="30" t="s">
        <v>11676</v>
      </c>
      <c r="L192" s="30" t="s">
        <v>11677</v>
      </c>
      <c r="M192" s="30" t="s">
        <v>11193</v>
      </c>
      <c r="N192" s="31">
        <v>43720</v>
      </c>
      <c r="O192" s="30" t="s">
        <v>9350</v>
      </c>
      <c r="P192" s="31">
        <v>43543</v>
      </c>
      <c r="Q192" s="31">
        <v>43720</v>
      </c>
      <c r="R192" s="32">
        <v>43720</v>
      </c>
      <c r="S192" s="33" t="s">
        <v>9357</v>
      </c>
      <c r="T192" s="34" t="s">
        <v>9350</v>
      </c>
      <c r="U192" s="35">
        <v>43733</v>
      </c>
      <c r="V192" s="34" t="s">
        <v>11678</v>
      </c>
      <c r="W192" s="34">
        <v>1</v>
      </c>
      <c r="X192" s="34" t="s">
        <v>5683</v>
      </c>
      <c r="Y192" s="34" t="s">
        <v>4999</v>
      </c>
      <c r="Z192" s="36">
        <v>43735</v>
      </c>
      <c r="AA192" s="44" t="s">
        <v>264</v>
      </c>
      <c r="AB192" s="38">
        <v>43735</v>
      </c>
      <c r="AC192" s="39">
        <v>43735</v>
      </c>
      <c r="AD192" s="45" t="e">
        <v>#VALUE!</v>
      </c>
      <c r="AE192" s="46" t="e">
        <v>#VALUE!</v>
      </c>
      <c r="AF192" s="53" t="s">
        <v>11468</v>
      </c>
      <c r="AG192" s="42" t="s">
        <v>4999</v>
      </c>
      <c r="AH192" s="26"/>
      <c r="AI192" s="27"/>
    </row>
    <row r="193" spans="1:35" s="2" customFormat="1" ht="17.25" customHeight="1" thickBot="1" x14ac:dyDescent="0.25">
      <c r="A193" s="221" t="str">
        <f t="shared" si="6"/>
        <v>OK</v>
      </c>
      <c r="B193" s="222" t="str">
        <f t="shared" si="7"/>
        <v>OK</v>
      </c>
      <c r="C193" s="223" t="str">
        <f t="shared" si="8"/>
        <v>OK</v>
      </c>
      <c r="D193" s="28">
        <v>0</v>
      </c>
      <c r="E193" s="29" t="s">
        <v>11679</v>
      </c>
      <c r="F193" s="30" t="s">
        <v>11045</v>
      </c>
      <c r="G193" s="30">
        <v>180537</v>
      </c>
      <c r="H193" s="30" t="s">
        <v>11680</v>
      </c>
      <c r="I193" s="30" t="s">
        <v>6820</v>
      </c>
      <c r="J193" s="30" t="s">
        <v>6829</v>
      </c>
      <c r="K193" s="30" t="s">
        <v>2717</v>
      </c>
      <c r="L193" s="30" t="s">
        <v>11681</v>
      </c>
      <c r="M193" s="30" t="s">
        <v>11048</v>
      </c>
      <c r="N193" s="31">
        <v>43720</v>
      </c>
      <c r="O193" s="30" t="s">
        <v>9350</v>
      </c>
      <c r="P193" s="31">
        <v>43543</v>
      </c>
      <c r="Q193" s="31">
        <v>43720</v>
      </c>
      <c r="R193" s="32">
        <v>43720</v>
      </c>
      <c r="S193" s="33" t="s">
        <v>9357</v>
      </c>
      <c r="T193" s="34" t="s">
        <v>9350</v>
      </c>
      <c r="U193" s="35">
        <v>43733</v>
      </c>
      <c r="V193" s="34" t="s">
        <v>11049</v>
      </c>
      <c r="W193" s="34">
        <v>20</v>
      </c>
      <c r="X193" s="34" t="s">
        <v>5683</v>
      </c>
      <c r="Y193" s="34" t="s">
        <v>4999</v>
      </c>
      <c r="Z193" s="36">
        <v>43735</v>
      </c>
      <c r="AA193" s="44" t="s">
        <v>264</v>
      </c>
      <c r="AB193" s="38">
        <v>43735</v>
      </c>
      <c r="AC193" s="39">
        <v>43735</v>
      </c>
      <c r="AD193" s="45" t="e">
        <v>#VALUE!</v>
      </c>
      <c r="AE193" s="46" t="e">
        <v>#VALUE!</v>
      </c>
      <c r="AF193" s="25"/>
      <c r="AG193" s="42" t="s">
        <v>4999</v>
      </c>
      <c r="AH193" s="26"/>
      <c r="AI193" s="27"/>
    </row>
    <row r="194" spans="1:35" s="2" customFormat="1" ht="17.25" customHeight="1" thickBot="1" x14ac:dyDescent="0.25">
      <c r="A194" s="221" t="str">
        <f t="shared" si="6"/>
        <v>OK</v>
      </c>
      <c r="B194" s="222" t="str">
        <f t="shared" si="7"/>
        <v>OK</v>
      </c>
      <c r="C194" s="223" t="str">
        <f t="shared" si="8"/>
        <v>OK</v>
      </c>
      <c r="D194" s="28">
        <v>0</v>
      </c>
      <c r="E194" s="29" t="s">
        <v>11682</v>
      </c>
      <c r="F194" s="30" t="s">
        <v>11045</v>
      </c>
      <c r="G194" s="30">
        <v>180537</v>
      </c>
      <c r="H194" s="30" t="s">
        <v>11683</v>
      </c>
      <c r="I194" s="30" t="s">
        <v>6820</v>
      </c>
      <c r="J194" s="30" t="s">
        <v>6829</v>
      </c>
      <c r="K194" s="30" t="s">
        <v>11684</v>
      </c>
      <c r="L194" s="30">
        <v>977</v>
      </c>
      <c r="M194" s="30" t="s">
        <v>11193</v>
      </c>
      <c r="N194" s="31">
        <v>43720</v>
      </c>
      <c r="O194" s="30" t="s">
        <v>9350</v>
      </c>
      <c r="P194" s="31">
        <v>43543</v>
      </c>
      <c r="Q194" s="31">
        <v>43720</v>
      </c>
      <c r="R194" s="32">
        <v>43720</v>
      </c>
      <c r="S194" s="33" t="s">
        <v>9357</v>
      </c>
      <c r="T194" s="34" t="s">
        <v>9350</v>
      </c>
      <c r="U194" s="35">
        <v>43733</v>
      </c>
      <c r="V194" s="34" t="s">
        <v>11685</v>
      </c>
      <c r="W194" s="34">
        <v>1</v>
      </c>
      <c r="X194" s="34" t="s">
        <v>5683</v>
      </c>
      <c r="Y194" s="34" t="s">
        <v>4999</v>
      </c>
      <c r="Z194" s="36">
        <v>43735</v>
      </c>
      <c r="AA194" s="44" t="s">
        <v>264</v>
      </c>
      <c r="AB194" s="38">
        <v>43735</v>
      </c>
      <c r="AC194" s="39">
        <v>43735</v>
      </c>
      <c r="AD194" s="45" t="e">
        <v>#VALUE!</v>
      </c>
      <c r="AE194" s="46" t="e">
        <v>#VALUE!</v>
      </c>
      <c r="AF194" s="25"/>
      <c r="AG194" s="42" t="s">
        <v>4999</v>
      </c>
      <c r="AH194" s="26"/>
      <c r="AI194" s="27"/>
    </row>
    <row r="195" spans="1:35" s="2" customFormat="1" ht="17.25" customHeight="1" thickBot="1" x14ac:dyDescent="0.25">
      <c r="A195" s="221" t="str">
        <f t="shared" si="6"/>
        <v>OK</v>
      </c>
      <c r="B195" s="222" t="str">
        <f t="shared" si="7"/>
        <v>OK</v>
      </c>
      <c r="C195" s="223" t="str">
        <f t="shared" si="8"/>
        <v>OK</v>
      </c>
      <c r="D195" s="28">
        <v>0</v>
      </c>
      <c r="E195" s="29" t="s">
        <v>11686</v>
      </c>
      <c r="F195" s="30" t="s">
        <v>9377</v>
      </c>
      <c r="G195" s="30">
        <v>180564</v>
      </c>
      <c r="H195" s="30" t="s">
        <v>11687</v>
      </c>
      <c r="I195" s="30" t="s">
        <v>6820</v>
      </c>
      <c r="J195" s="30" t="s">
        <v>6829</v>
      </c>
      <c r="K195" s="30" t="s">
        <v>11688</v>
      </c>
      <c r="L195" s="30" t="s">
        <v>11689</v>
      </c>
      <c r="M195" s="30" t="s">
        <v>8268</v>
      </c>
      <c r="N195" s="31">
        <v>43735</v>
      </c>
      <c r="O195" s="30" t="s">
        <v>9350</v>
      </c>
      <c r="P195" s="31">
        <v>43735</v>
      </c>
      <c r="Q195" s="31">
        <v>43735</v>
      </c>
      <c r="R195" s="32">
        <v>43735</v>
      </c>
      <c r="S195" s="33" t="s">
        <v>9357</v>
      </c>
      <c r="T195" s="34" t="s">
        <v>9350</v>
      </c>
      <c r="U195" s="35">
        <v>43739</v>
      </c>
      <c r="V195" s="34" t="s">
        <v>11690</v>
      </c>
      <c r="W195" s="34">
        <v>1</v>
      </c>
      <c r="X195" s="34" t="s">
        <v>5683</v>
      </c>
      <c r="Y195" s="34" t="s">
        <v>4999</v>
      </c>
      <c r="Z195" s="36">
        <v>43742</v>
      </c>
      <c r="AA195" s="44" t="s">
        <v>264</v>
      </c>
      <c r="AB195" s="38">
        <v>43742</v>
      </c>
      <c r="AC195" s="39">
        <v>43742</v>
      </c>
      <c r="AD195" s="45" t="e">
        <v>#VALUE!</v>
      </c>
      <c r="AE195" s="46" t="e">
        <v>#VALUE!</v>
      </c>
      <c r="AF195" s="25"/>
      <c r="AG195" s="42" t="s">
        <v>4999</v>
      </c>
      <c r="AH195" s="26"/>
      <c r="AI195" s="27"/>
    </row>
    <row r="196" spans="1:35" s="2" customFormat="1" ht="17.25" customHeight="1" thickBot="1" x14ac:dyDescent="0.25">
      <c r="A196" s="221" t="str">
        <f t="shared" si="6"/>
        <v>OK</v>
      </c>
      <c r="B196" s="222" t="str">
        <f t="shared" si="7"/>
        <v>OK</v>
      </c>
      <c r="C196" s="223" t="str">
        <f t="shared" si="8"/>
        <v>OK</v>
      </c>
      <c r="D196" s="28">
        <v>0</v>
      </c>
      <c r="E196" s="29" t="s">
        <v>11691</v>
      </c>
      <c r="F196" s="30" t="s">
        <v>7245</v>
      </c>
      <c r="G196" s="30">
        <v>180469</v>
      </c>
      <c r="H196" s="30" t="s">
        <v>11692</v>
      </c>
      <c r="I196" s="30" t="s">
        <v>6820</v>
      </c>
      <c r="J196" s="30" t="s">
        <v>6829</v>
      </c>
      <c r="K196" s="30" t="s">
        <v>4212</v>
      </c>
      <c r="L196" s="30" t="s">
        <v>11693</v>
      </c>
      <c r="M196" s="30" t="s">
        <v>8300</v>
      </c>
      <c r="N196" s="31">
        <v>43678</v>
      </c>
      <c r="O196" s="30" t="s">
        <v>9350</v>
      </c>
      <c r="P196" s="31">
        <v>43678</v>
      </c>
      <c r="Q196" s="31">
        <v>43710</v>
      </c>
      <c r="R196" s="32">
        <v>43732</v>
      </c>
      <c r="S196" s="33" t="s">
        <v>9357</v>
      </c>
      <c r="T196" s="34" t="s">
        <v>11694</v>
      </c>
      <c r="U196" s="35">
        <v>43817</v>
      </c>
      <c r="V196" s="34" t="s">
        <v>4215</v>
      </c>
      <c r="W196" s="34">
        <v>20</v>
      </c>
      <c r="X196" s="34" t="s">
        <v>5683</v>
      </c>
      <c r="Y196" s="34" t="s">
        <v>1687</v>
      </c>
      <c r="Z196" s="36">
        <v>43819</v>
      </c>
      <c r="AA196" s="44" t="s">
        <v>264</v>
      </c>
      <c r="AB196" s="38">
        <v>43819</v>
      </c>
      <c r="AC196" s="39">
        <v>43819</v>
      </c>
      <c r="AD196" s="45" t="e">
        <v>#VALUE!</v>
      </c>
      <c r="AE196" s="46" t="e">
        <v>#VALUE!</v>
      </c>
      <c r="AF196" s="53" t="s">
        <v>11468</v>
      </c>
      <c r="AG196" s="42" t="s">
        <v>4999</v>
      </c>
      <c r="AH196" s="26"/>
      <c r="AI196" s="27"/>
    </row>
    <row r="197" spans="1:35" s="2" customFormat="1" ht="17.25" customHeight="1" thickBot="1" x14ac:dyDescent="0.25">
      <c r="A197" s="221" t="str">
        <f t="shared" si="6"/>
        <v>OK</v>
      </c>
      <c r="B197" s="222" t="str">
        <f t="shared" si="7"/>
        <v>OK</v>
      </c>
      <c r="C197" s="223" t="str">
        <f t="shared" si="8"/>
        <v>OK</v>
      </c>
      <c r="D197" s="28">
        <v>0</v>
      </c>
      <c r="E197" s="49" t="s">
        <v>11695</v>
      </c>
      <c r="F197" s="50" t="s">
        <v>11696</v>
      </c>
      <c r="G197" s="50">
        <v>180572</v>
      </c>
      <c r="H197" s="50" t="s">
        <v>11697</v>
      </c>
      <c r="I197" s="50" t="s">
        <v>6820</v>
      </c>
      <c r="J197" s="50" t="s">
        <v>6829</v>
      </c>
      <c r="K197" s="50" t="s">
        <v>9760</v>
      </c>
      <c r="L197" s="50" t="s">
        <v>11698</v>
      </c>
      <c r="M197" s="50" t="s">
        <v>8135</v>
      </c>
      <c r="N197" s="51">
        <v>43739</v>
      </c>
      <c r="O197" s="50" t="s">
        <v>7729</v>
      </c>
      <c r="P197" s="51">
        <v>43739</v>
      </c>
      <c r="Q197" s="51">
        <v>43740</v>
      </c>
      <c r="R197" s="52">
        <v>43742</v>
      </c>
      <c r="S197" s="33" t="s">
        <v>9357</v>
      </c>
      <c r="T197" s="34" t="s">
        <v>9350</v>
      </c>
      <c r="U197" s="35">
        <v>43748</v>
      </c>
      <c r="V197" s="34" t="s">
        <v>11699</v>
      </c>
      <c r="W197" s="34">
        <v>7</v>
      </c>
      <c r="X197" s="34" t="s">
        <v>5683</v>
      </c>
      <c r="Y197" s="34" t="s">
        <v>4999</v>
      </c>
      <c r="Z197" s="36">
        <v>43753</v>
      </c>
      <c r="AA197" s="44" t="s">
        <v>264</v>
      </c>
      <c r="AB197" s="38">
        <v>43759</v>
      </c>
      <c r="AC197" s="39">
        <v>43759</v>
      </c>
      <c r="AD197" s="45" t="e">
        <v>#VALUE!</v>
      </c>
      <c r="AE197" s="46" t="e">
        <v>#VALUE!</v>
      </c>
      <c r="AF197" s="53"/>
      <c r="AG197" s="54" t="s">
        <v>4999</v>
      </c>
      <c r="AH197" s="67"/>
    </row>
    <row r="198" spans="1:35" s="2" customFormat="1" ht="17.25" customHeight="1" thickBot="1" x14ac:dyDescent="0.25">
      <c r="A198" s="221" t="str">
        <f t="shared" ref="A198:A261" si="9">IF(OR(ISBLANK(D198),ISBLANK(E198),ISBLANK(F198),ISBLANK(G198),ISBLANK(H198),ISBLANK(I198),ISBLANK(J198),ISBLANK(K198),ISBLANK(L198),ISBLANK(M198),ISBLANK(N198),ISBLANK(O198),ISBLANK(P198),ISBLANK(Q198),ISBLANK(R198))=TRUE,"P","OK")</f>
        <v>OK</v>
      </c>
      <c r="B198" s="222" t="str">
        <f t="shared" si="7"/>
        <v>OK</v>
      </c>
      <c r="C198" s="223" t="str">
        <f t="shared" si="8"/>
        <v>OK</v>
      </c>
      <c r="D198" s="28">
        <v>0</v>
      </c>
      <c r="E198" s="49" t="s">
        <v>11700</v>
      </c>
      <c r="F198" s="50" t="s">
        <v>11696</v>
      </c>
      <c r="G198" s="50">
        <v>180572</v>
      </c>
      <c r="H198" s="50" t="s">
        <v>11701</v>
      </c>
      <c r="I198" s="50" t="s">
        <v>6820</v>
      </c>
      <c r="J198" s="50" t="s">
        <v>6829</v>
      </c>
      <c r="K198" s="50" t="s">
        <v>9573</v>
      </c>
      <c r="L198" s="50" t="s">
        <v>10014</v>
      </c>
      <c r="M198" s="50" t="s">
        <v>1902</v>
      </c>
      <c r="N198" s="51">
        <v>43739</v>
      </c>
      <c r="O198" s="50" t="s">
        <v>7729</v>
      </c>
      <c r="P198" s="51">
        <v>43739</v>
      </c>
      <c r="Q198" s="51">
        <v>43740</v>
      </c>
      <c r="R198" s="52">
        <v>43742</v>
      </c>
      <c r="S198" s="33" t="s">
        <v>9357</v>
      </c>
      <c r="T198" s="34" t="s">
        <v>9350</v>
      </c>
      <c r="U198" s="35">
        <v>43748</v>
      </c>
      <c r="V198" s="34" t="s">
        <v>11702</v>
      </c>
      <c r="W198" s="34">
        <v>3</v>
      </c>
      <c r="X198" s="34" t="s">
        <v>5683</v>
      </c>
      <c r="Y198" s="34" t="s">
        <v>4999</v>
      </c>
      <c r="Z198" s="36">
        <v>43753</v>
      </c>
      <c r="AA198" s="44" t="s">
        <v>264</v>
      </c>
      <c r="AB198" s="38">
        <v>43759</v>
      </c>
      <c r="AC198" s="39">
        <v>43759</v>
      </c>
      <c r="AD198" s="45" t="e">
        <v>#VALUE!</v>
      </c>
      <c r="AE198" s="46" t="e">
        <v>#VALUE!</v>
      </c>
      <c r="AF198" s="53"/>
      <c r="AG198" s="54" t="s">
        <v>4999</v>
      </c>
      <c r="AH198" s="67"/>
    </row>
    <row r="199" spans="1:35" s="2" customFormat="1" ht="17.25" customHeight="1" thickBot="1" x14ac:dyDescent="0.25">
      <c r="A199" s="221" t="str">
        <f t="shared" si="9"/>
        <v>OK</v>
      </c>
      <c r="B199" s="222" t="str">
        <f t="shared" ref="B199:B262" si="10">IF(OR(ISBLANK(S199),ISBLANK(T199),ISBLANK(U199),ISBLANK(V199),ISBLANK(W199),ISBLANK(X199),ISBLANK(Y199),ISBLANK(Z199))=TRUE,"P","OK")</f>
        <v>OK</v>
      </c>
      <c r="C199" s="223" t="str">
        <f t="shared" ref="C199:C262" si="11">IF(OR(ISBLANK(AA199),ISBLANK(AB199),ISBLANK(AC199))=TRUE,"P","OK")</f>
        <v>OK</v>
      </c>
      <c r="D199" s="28">
        <v>0</v>
      </c>
      <c r="E199" s="29" t="s">
        <v>11703</v>
      </c>
      <c r="F199" s="30" t="s">
        <v>9024</v>
      </c>
      <c r="G199" s="30">
        <v>180575</v>
      </c>
      <c r="H199" s="30" t="s">
        <v>11704</v>
      </c>
      <c r="I199" s="30" t="s">
        <v>6820</v>
      </c>
      <c r="J199" s="30" t="s">
        <v>6829</v>
      </c>
      <c r="K199" s="30" t="s">
        <v>11705</v>
      </c>
      <c r="L199" s="30">
        <v>3110</v>
      </c>
      <c r="M199" s="30" t="s">
        <v>2504</v>
      </c>
      <c r="N199" s="31">
        <v>43741</v>
      </c>
      <c r="O199" s="57" t="s">
        <v>9350</v>
      </c>
      <c r="P199" s="31">
        <v>43741</v>
      </c>
      <c r="Q199" s="31">
        <v>43741</v>
      </c>
      <c r="R199" s="32">
        <v>43741</v>
      </c>
      <c r="S199" s="33" t="s">
        <v>9357</v>
      </c>
      <c r="T199" s="34" t="s">
        <v>9350</v>
      </c>
      <c r="U199" s="35">
        <v>43742</v>
      </c>
      <c r="V199" s="34" t="s">
        <v>9029</v>
      </c>
      <c r="W199" s="34">
        <v>6</v>
      </c>
      <c r="X199" s="34" t="s">
        <v>5683</v>
      </c>
      <c r="Y199" s="34" t="s">
        <v>4999</v>
      </c>
      <c r="Z199" s="36">
        <v>43747</v>
      </c>
      <c r="AA199" s="44" t="s">
        <v>264</v>
      </c>
      <c r="AB199" s="38">
        <v>43747</v>
      </c>
      <c r="AC199" s="39">
        <v>43747</v>
      </c>
      <c r="AD199" s="45" t="e">
        <v>#VALUE!</v>
      </c>
      <c r="AE199" s="46" t="e">
        <v>#VALUE!</v>
      </c>
      <c r="AF199" s="25"/>
      <c r="AG199" s="42" t="s">
        <v>4999</v>
      </c>
      <c r="AH199" s="26"/>
      <c r="AI199" s="27"/>
    </row>
    <row r="200" spans="1:35" s="2" customFormat="1" ht="17.25" customHeight="1" thickBot="1" x14ac:dyDescent="0.25">
      <c r="A200" s="221" t="str">
        <f t="shared" si="9"/>
        <v>OK</v>
      </c>
      <c r="B200" s="222" t="str">
        <f t="shared" si="10"/>
        <v>OK</v>
      </c>
      <c r="C200" s="223" t="str">
        <f t="shared" si="11"/>
        <v>OK</v>
      </c>
      <c r="D200" s="28">
        <v>0</v>
      </c>
      <c r="E200" s="49" t="s">
        <v>11706</v>
      </c>
      <c r="F200" s="50" t="s">
        <v>11696</v>
      </c>
      <c r="G200" s="50">
        <v>180576</v>
      </c>
      <c r="H200" s="50" t="s">
        <v>11707</v>
      </c>
      <c r="I200" s="50" t="s">
        <v>6820</v>
      </c>
      <c r="J200" s="50" t="s">
        <v>6829</v>
      </c>
      <c r="K200" s="50" t="s">
        <v>9573</v>
      </c>
      <c r="L200" s="50" t="s">
        <v>10014</v>
      </c>
      <c r="M200" s="50" t="s">
        <v>1902</v>
      </c>
      <c r="N200" s="51">
        <v>43741</v>
      </c>
      <c r="O200" s="50" t="s">
        <v>7729</v>
      </c>
      <c r="P200" s="51">
        <v>43741</v>
      </c>
      <c r="Q200" s="51">
        <v>43742</v>
      </c>
      <c r="R200" s="52">
        <v>43745</v>
      </c>
      <c r="S200" s="33" t="s">
        <v>9357</v>
      </c>
      <c r="T200" s="34" t="s">
        <v>9350</v>
      </c>
      <c r="U200" s="35">
        <v>43741</v>
      </c>
      <c r="V200" s="34" t="s">
        <v>8061</v>
      </c>
      <c r="W200" s="34">
        <v>15</v>
      </c>
      <c r="X200" s="34" t="s">
        <v>5683</v>
      </c>
      <c r="Y200" s="34" t="s">
        <v>4999</v>
      </c>
      <c r="Z200" s="36">
        <v>43759</v>
      </c>
      <c r="AA200" s="44" t="s">
        <v>264</v>
      </c>
      <c r="AB200" s="38">
        <v>43759</v>
      </c>
      <c r="AC200" s="39">
        <v>43759</v>
      </c>
      <c r="AD200" s="45" t="e">
        <v>#VALUE!</v>
      </c>
      <c r="AE200" s="46" t="e">
        <v>#VALUE!</v>
      </c>
      <c r="AF200" s="53"/>
      <c r="AG200" s="54" t="s">
        <v>4999</v>
      </c>
      <c r="AH200" s="67"/>
    </row>
    <row r="201" spans="1:35" s="2" customFormat="1" ht="17.25" customHeight="1" thickBot="1" x14ac:dyDescent="0.25">
      <c r="A201" s="221" t="str">
        <f t="shared" si="9"/>
        <v>OK</v>
      </c>
      <c r="B201" s="222" t="str">
        <f t="shared" si="10"/>
        <v>OK</v>
      </c>
      <c r="C201" s="223" t="str">
        <f t="shared" si="11"/>
        <v>OK</v>
      </c>
      <c r="D201" s="28">
        <v>1</v>
      </c>
      <c r="E201" s="49" t="s">
        <v>11706</v>
      </c>
      <c r="F201" s="50" t="s">
        <v>11696</v>
      </c>
      <c r="G201" s="50">
        <v>180576</v>
      </c>
      <c r="H201" s="50" t="s">
        <v>11708</v>
      </c>
      <c r="I201" s="50" t="s">
        <v>6820</v>
      </c>
      <c r="J201" s="50" t="s">
        <v>6829</v>
      </c>
      <c r="K201" s="50" t="s">
        <v>9573</v>
      </c>
      <c r="L201" s="50" t="s">
        <v>11709</v>
      </c>
      <c r="M201" s="50" t="s">
        <v>1902</v>
      </c>
      <c r="N201" s="51">
        <v>43741</v>
      </c>
      <c r="O201" s="50" t="s">
        <v>7729</v>
      </c>
      <c r="P201" s="51">
        <v>43741</v>
      </c>
      <c r="Q201" s="51">
        <v>43742</v>
      </c>
      <c r="R201" s="52">
        <v>43745</v>
      </c>
      <c r="S201" s="33" t="s">
        <v>9357</v>
      </c>
      <c r="T201" s="34" t="s">
        <v>9350</v>
      </c>
      <c r="U201" s="35">
        <v>43741</v>
      </c>
      <c r="V201" s="34" t="s">
        <v>8061</v>
      </c>
      <c r="W201" s="34">
        <v>15</v>
      </c>
      <c r="X201" s="34" t="s">
        <v>5683</v>
      </c>
      <c r="Y201" s="34" t="s">
        <v>4999</v>
      </c>
      <c r="Z201" s="36">
        <v>43759</v>
      </c>
      <c r="AA201" s="44" t="s">
        <v>264</v>
      </c>
      <c r="AB201" s="38">
        <v>43767</v>
      </c>
      <c r="AC201" s="39">
        <v>43767</v>
      </c>
      <c r="AD201" s="45"/>
      <c r="AE201" s="46"/>
      <c r="AF201" s="53"/>
      <c r="AG201" s="54" t="s">
        <v>4999</v>
      </c>
      <c r="AH201" s="67"/>
    </row>
    <row r="202" spans="1:35" s="2" customFormat="1" ht="17.25" customHeight="1" thickBot="1" x14ac:dyDescent="0.25">
      <c r="A202" s="221" t="str">
        <f t="shared" si="9"/>
        <v>OK</v>
      </c>
      <c r="B202" s="222" t="str">
        <f t="shared" si="10"/>
        <v>OK</v>
      </c>
      <c r="C202" s="223" t="str">
        <f t="shared" si="11"/>
        <v>OK</v>
      </c>
      <c r="D202" s="28">
        <v>0</v>
      </c>
      <c r="E202" s="49" t="s">
        <v>11710</v>
      </c>
      <c r="F202" s="50" t="s">
        <v>9478</v>
      </c>
      <c r="G202" s="50">
        <v>180493</v>
      </c>
      <c r="H202" s="50" t="s">
        <v>11711</v>
      </c>
      <c r="I202" s="50" t="s">
        <v>6820</v>
      </c>
      <c r="J202" s="50" t="s">
        <v>6829</v>
      </c>
      <c r="K202" s="50" t="s">
        <v>11712</v>
      </c>
      <c r="L202" s="50" t="s">
        <v>11713</v>
      </c>
      <c r="M202" s="50" t="s">
        <v>11714</v>
      </c>
      <c r="N202" s="51">
        <v>43690</v>
      </c>
      <c r="O202" s="50" t="s">
        <v>9350</v>
      </c>
      <c r="P202" s="51">
        <v>43690</v>
      </c>
      <c r="Q202" s="51">
        <v>43692</v>
      </c>
      <c r="R202" s="52">
        <v>43725</v>
      </c>
      <c r="S202" s="33" t="s">
        <v>9357</v>
      </c>
      <c r="T202" s="34" t="s">
        <v>9350</v>
      </c>
      <c r="U202" s="35" t="s">
        <v>9350</v>
      </c>
      <c r="V202" s="34" t="s">
        <v>11715</v>
      </c>
      <c r="W202" s="34">
        <v>1</v>
      </c>
      <c r="X202" s="34" t="s">
        <v>5683</v>
      </c>
      <c r="Y202" s="34" t="s">
        <v>4999</v>
      </c>
      <c r="Z202" s="36">
        <v>43775</v>
      </c>
      <c r="AA202" s="44" t="s">
        <v>264</v>
      </c>
      <c r="AB202" s="38">
        <v>43780</v>
      </c>
      <c r="AC202" s="39">
        <v>43780</v>
      </c>
      <c r="AD202" s="45" t="e">
        <v>#VALUE!</v>
      </c>
      <c r="AE202" s="46" t="e">
        <v>#VALUE!</v>
      </c>
      <c r="AF202" s="53"/>
      <c r="AG202" s="54" t="s">
        <v>4999</v>
      </c>
      <c r="AH202" s="67"/>
    </row>
    <row r="203" spans="1:35" s="2" customFormat="1" ht="17.25" customHeight="1" thickBot="1" x14ac:dyDescent="0.25">
      <c r="A203" s="221" t="str">
        <f t="shared" si="9"/>
        <v>OK</v>
      </c>
      <c r="B203" s="222" t="str">
        <f t="shared" si="10"/>
        <v>OK</v>
      </c>
      <c r="C203" s="223" t="str">
        <f t="shared" si="11"/>
        <v>OK</v>
      </c>
      <c r="D203" s="28">
        <v>0</v>
      </c>
      <c r="E203" s="49" t="s">
        <v>11716</v>
      </c>
      <c r="F203" s="50" t="s">
        <v>9478</v>
      </c>
      <c r="G203" s="50">
        <v>180493</v>
      </c>
      <c r="H203" s="50" t="s">
        <v>11717</v>
      </c>
      <c r="I203" s="50" t="s">
        <v>6820</v>
      </c>
      <c r="J203" s="50" t="s">
        <v>6829</v>
      </c>
      <c r="K203" s="50" t="s">
        <v>11718</v>
      </c>
      <c r="L203" s="50" t="s">
        <v>11719</v>
      </c>
      <c r="M203" s="50" t="s">
        <v>11714</v>
      </c>
      <c r="N203" s="51">
        <v>43690</v>
      </c>
      <c r="O203" s="50" t="s">
        <v>9350</v>
      </c>
      <c r="P203" s="51">
        <v>43690</v>
      </c>
      <c r="Q203" s="51">
        <v>43692</v>
      </c>
      <c r="R203" s="52">
        <v>43725</v>
      </c>
      <c r="S203" s="33" t="s">
        <v>9357</v>
      </c>
      <c r="T203" s="34" t="s">
        <v>9350</v>
      </c>
      <c r="U203" s="35" t="s">
        <v>9350</v>
      </c>
      <c r="V203" s="34" t="s">
        <v>11720</v>
      </c>
      <c r="W203" s="34">
        <v>8</v>
      </c>
      <c r="X203" s="34" t="s">
        <v>5683</v>
      </c>
      <c r="Y203" s="34" t="s">
        <v>4999</v>
      </c>
      <c r="Z203" s="36">
        <v>43781</v>
      </c>
      <c r="AA203" s="44" t="s">
        <v>264</v>
      </c>
      <c r="AB203" s="38">
        <v>43781</v>
      </c>
      <c r="AC203" s="39">
        <v>43781</v>
      </c>
      <c r="AD203" s="45" t="e">
        <v>#VALUE!</v>
      </c>
      <c r="AE203" s="46" t="e">
        <v>#VALUE!</v>
      </c>
      <c r="AF203" s="53" t="s">
        <v>11468</v>
      </c>
      <c r="AG203" s="54" t="s">
        <v>4999</v>
      </c>
      <c r="AH203" s="67"/>
    </row>
    <row r="204" spans="1:35" s="2" customFormat="1" ht="17.25" customHeight="1" thickBot="1" x14ac:dyDescent="0.25">
      <c r="A204" s="221" t="str">
        <f t="shared" si="9"/>
        <v>OK</v>
      </c>
      <c r="B204" s="222" t="str">
        <f t="shared" si="10"/>
        <v>OK</v>
      </c>
      <c r="C204" s="223" t="str">
        <f t="shared" si="11"/>
        <v>OK</v>
      </c>
      <c r="D204" s="28">
        <v>0</v>
      </c>
      <c r="E204" s="49" t="s">
        <v>11721</v>
      </c>
      <c r="F204" s="50" t="s">
        <v>9478</v>
      </c>
      <c r="G204" s="50">
        <v>180493</v>
      </c>
      <c r="H204" s="50" t="s">
        <v>11722</v>
      </c>
      <c r="I204" s="50" t="s">
        <v>6820</v>
      </c>
      <c r="J204" s="50" t="s">
        <v>6829</v>
      </c>
      <c r="K204" s="50" t="s">
        <v>11718</v>
      </c>
      <c r="L204" s="50" t="s">
        <v>11723</v>
      </c>
      <c r="M204" s="50" t="s">
        <v>11714</v>
      </c>
      <c r="N204" s="51">
        <v>43690</v>
      </c>
      <c r="O204" s="50" t="s">
        <v>9350</v>
      </c>
      <c r="P204" s="51">
        <v>43690</v>
      </c>
      <c r="Q204" s="51">
        <v>43692</v>
      </c>
      <c r="R204" s="52">
        <v>43725</v>
      </c>
      <c r="S204" s="33" t="s">
        <v>9357</v>
      </c>
      <c r="T204" s="34" t="s">
        <v>9350</v>
      </c>
      <c r="U204" s="35" t="s">
        <v>9350</v>
      </c>
      <c r="V204" s="34" t="s">
        <v>11724</v>
      </c>
      <c r="W204" s="34">
        <v>4</v>
      </c>
      <c r="X204" s="34" t="s">
        <v>5683</v>
      </c>
      <c r="Y204" s="34" t="s">
        <v>4999</v>
      </c>
      <c r="Z204" s="36">
        <v>43781</v>
      </c>
      <c r="AA204" s="44" t="s">
        <v>264</v>
      </c>
      <c r="AB204" s="38">
        <v>43781</v>
      </c>
      <c r="AC204" s="39">
        <v>43781</v>
      </c>
      <c r="AD204" s="45" t="e">
        <v>#VALUE!</v>
      </c>
      <c r="AE204" s="46" t="e">
        <v>#VALUE!</v>
      </c>
      <c r="AF204" s="53" t="s">
        <v>11468</v>
      </c>
      <c r="AG204" s="54" t="s">
        <v>4999</v>
      </c>
      <c r="AH204" s="67"/>
    </row>
    <row r="205" spans="1:35" s="2" customFormat="1" ht="17.25" customHeight="1" thickBot="1" x14ac:dyDescent="0.25">
      <c r="A205" s="221" t="str">
        <f t="shared" si="9"/>
        <v>OK</v>
      </c>
      <c r="B205" s="222" t="str">
        <f t="shared" si="10"/>
        <v>OK</v>
      </c>
      <c r="C205" s="223" t="str">
        <f t="shared" si="11"/>
        <v>OK</v>
      </c>
      <c r="D205" s="28">
        <v>0</v>
      </c>
      <c r="E205" s="49" t="s">
        <v>11725</v>
      </c>
      <c r="F205" s="50" t="s">
        <v>9478</v>
      </c>
      <c r="G205" s="50">
        <v>180493</v>
      </c>
      <c r="H205" s="50" t="s">
        <v>11726</v>
      </c>
      <c r="I205" s="50" t="s">
        <v>6820</v>
      </c>
      <c r="J205" s="50" t="s">
        <v>6829</v>
      </c>
      <c r="K205" s="50" t="s">
        <v>7618</v>
      </c>
      <c r="L205" s="50" t="s">
        <v>11727</v>
      </c>
      <c r="M205" s="50" t="s">
        <v>11728</v>
      </c>
      <c r="N205" s="51">
        <v>43690</v>
      </c>
      <c r="O205" s="50" t="s">
        <v>9350</v>
      </c>
      <c r="P205" s="51">
        <v>43690</v>
      </c>
      <c r="Q205" s="51">
        <v>43692</v>
      </c>
      <c r="R205" s="52">
        <v>43725</v>
      </c>
      <c r="S205" s="33" t="s">
        <v>9357</v>
      </c>
      <c r="T205" s="34" t="s">
        <v>9350</v>
      </c>
      <c r="U205" s="35" t="s">
        <v>9350</v>
      </c>
      <c r="V205" s="34" t="s">
        <v>11729</v>
      </c>
      <c r="W205" s="34">
        <v>1</v>
      </c>
      <c r="X205" s="34" t="s">
        <v>5683</v>
      </c>
      <c r="Y205" s="34" t="s">
        <v>4999</v>
      </c>
      <c r="Z205" s="36">
        <v>43775</v>
      </c>
      <c r="AA205" s="44" t="s">
        <v>264</v>
      </c>
      <c r="AB205" s="38">
        <v>43780</v>
      </c>
      <c r="AC205" s="39">
        <v>43780</v>
      </c>
      <c r="AD205" s="45" t="e">
        <v>#VALUE!</v>
      </c>
      <c r="AE205" s="46" t="e">
        <v>#VALUE!</v>
      </c>
      <c r="AF205" s="53"/>
      <c r="AG205" s="54" t="s">
        <v>4999</v>
      </c>
      <c r="AH205" s="67"/>
    </row>
    <row r="206" spans="1:35" s="2" customFormat="1" ht="17.25" customHeight="1" thickBot="1" x14ac:dyDescent="0.25">
      <c r="A206" s="221" t="str">
        <f t="shared" si="9"/>
        <v>OK</v>
      </c>
      <c r="B206" s="222" t="str">
        <f t="shared" si="10"/>
        <v>OK</v>
      </c>
      <c r="C206" s="223" t="str">
        <f t="shared" si="11"/>
        <v>OK</v>
      </c>
      <c r="D206" s="28">
        <v>0</v>
      </c>
      <c r="E206" s="49" t="s">
        <v>11730</v>
      </c>
      <c r="F206" s="50" t="s">
        <v>9361</v>
      </c>
      <c r="G206" s="50">
        <v>180574</v>
      </c>
      <c r="H206" s="50" t="s">
        <v>11731</v>
      </c>
      <c r="I206" s="50" t="s">
        <v>6820</v>
      </c>
      <c r="J206" s="50" t="s">
        <v>6829</v>
      </c>
      <c r="K206" s="50" t="s">
        <v>9594</v>
      </c>
      <c r="L206" s="50" t="s">
        <v>11732</v>
      </c>
      <c r="M206" s="50" t="s">
        <v>9688</v>
      </c>
      <c r="N206" s="51">
        <v>43741</v>
      </c>
      <c r="O206" s="50" t="s">
        <v>9350</v>
      </c>
      <c r="P206" s="51">
        <v>43741</v>
      </c>
      <c r="Q206" s="51">
        <v>43741</v>
      </c>
      <c r="R206" s="52">
        <v>43741</v>
      </c>
      <c r="S206" s="33" t="s">
        <v>11660</v>
      </c>
      <c r="T206" s="34" t="s">
        <v>11660</v>
      </c>
      <c r="U206" s="35">
        <v>43745</v>
      </c>
      <c r="V206" s="34" t="s">
        <v>11733</v>
      </c>
      <c r="W206" s="34">
        <v>3</v>
      </c>
      <c r="X206" s="34" t="s">
        <v>5683</v>
      </c>
      <c r="Y206" s="34" t="s">
        <v>4999</v>
      </c>
      <c r="Z206" s="36">
        <v>43750</v>
      </c>
      <c r="AA206" s="44" t="s">
        <v>264</v>
      </c>
      <c r="AB206" s="38">
        <v>43756</v>
      </c>
      <c r="AC206" s="39">
        <v>43756</v>
      </c>
      <c r="AD206" s="45" t="e">
        <v>#VALUE!</v>
      </c>
      <c r="AE206" s="46" t="e">
        <v>#VALUE!</v>
      </c>
      <c r="AF206" s="53"/>
      <c r="AG206" s="54" t="s">
        <v>4999</v>
      </c>
      <c r="AH206" s="67"/>
    </row>
    <row r="207" spans="1:35" s="2" customFormat="1" ht="17.25" customHeight="1" thickBot="1" x14ac:dyDescent="0.25">
      <c r="A207" s="221" t="str">
        <f t="shared" si="9"/>
        <v>OK</v>
      </c>
      <c r="B207" s="222" t="str">
        <f t="shared" si="10"/>
        <v>OK</v>
      </c>
      <c r="C207" s="223" t="str">
        <f t="shared" si="11"/>
        <v>OK</v>
      </c>
      <c r="D207" s="28">
        <v>0</v>
      </c>
      <c r="E207" s="49" t="s">
        <v>11734</v>
      </c>
      <c r="F207" s="50" t="s">
        <v>9361</v>
      </c>
      <c r="G207" s="50">
        <v>180574</v>
      </c>
      <c r="H207" s="50" t="s">
        <v>11735</v>
      </c>
      <c r="I207" s="50" t="s">
        <v>6820</v>
      </c>
      <c r="J207" s="50" t="s">
        <v>6829</v>
      </c>
      <c r="K207" s="50" t="s">
        <v>11629</v>
      </c>
      <c r="L207" s="50" t="s">
        <v>11736</v>
      </c>
      <c r="M207" s="50" t="s">
        <v>9688</v>
      </c>
      <c r="N207" s="51">
        <v>43741</v>
      </c>
      <c r="O207" s="50" t="s">
        <v>9350</v>
      </c>
      <c r="P207" s="51">
        <v>43741</v>
      </c>
      <c r="Q207" s="51">
        <v>43741</v>
      </c>
      <c r="R207" s="52">
        <v>43741</v>
      </c>
      <c r="S207" s="33" t="s">
        <v>11660</v>
      </c>
      <c r="T207" s="34" t="s">
        <v>11660</v>
      </c>
      <c r="U207" s="35">
        <v>43745</v>
      </c>
      <c r="V207" s="34" t="s">
        <v>11737</v>
      </c>
      <c r="W207" s="34">
        <v>2</v>
      </c>
      <c r="X207" s="34" t="s">
        <v>5683</v>
      </c>
      <c r="Y207" s="34" t="s">
        <v>4999</v>
      </c>
      <c r="Z207" s="36">
        <v>43750</v>
      </c>
      <c r="AA207" s="44" t="s">
        <v>264</v>
      </c>
      <c r="AB207" s="38">
        <v>43754</v>
      </c>
      <c r="AC207" s="39">
        <v>43754</v>
      </c>
      <c r="AD207" s="45" t="e">
        <v>#VALUE!</v>
      </c>
      <c r="AE207" s="46" t="e">
        <v>#VALUE!</v>
      </c>
      <c r="AF207" s="53"/>
      <c r="AG207" s="54" t="s">
        <v>4999</v>
      </c>
      <c r="AH207" s="67"/>
    </row>
    <row r="208" spans="1:35" s="2" customFormat="1" ht="17.25" customHeight="1" thickBot="1" x14ac:dyDescent="0.25">
      <c r="A208" s="221" t="str">
        <f t="shared" si="9"/>
        <v>OK</v>
      </c>
      <c r="B208" s="222" t="str">
        <f t="shared" si="10"/>
        <v>OK</v>
      </c>
      <c r="C208" s="223" t="str">
        <f t="shared" si="11"/>
        <v>OK</v>
      </c>
      <c r="D208" s="28">
        <v>0</v>
      </c>
      <c r="E208" s="49" t="s">
        <v>11738</v>
      </c>
      <c r="F208" s="50" t="s">
        <v>9478</v>
      </c>
      <c r="G208" s="50">
        <v>180578</v>
      </c>
      <c r="H208" s="50" t="s">
        <v>11739</v>
      </c>
      <c r="I208" s="50" t="s">
        <v>6820</v>
      </c>
      <c r="J208" s="50" t="s">
        <v>6829</v>
      </c>
      <c r="K208" s="50" t="s">
        <v>7618</v>
      </c>
      <c r="L208" s="50" t="s">
        <v>11740</v>
      </c>
      <c r="M208" s="50" t="s">
        <v>2937</v>
      </c>
      <c r="N208" s="51">
        <v>43745</v>
      </c>
      <c r="O208" s="50" t="s">
        <v>9350</v>
      </c>
      <c r="P208" s="51">
        <v>43745</v>
      </c>
      <c r="Q208" s="51">
        <v>43746</v>
      </c>
      <c r="R208" s="52">
        <v>43746</v>
      </c>
      <c r="S208" s="33" t="s">
        <v>9357</v>
      </c>
      <c r="T208" s="34" t="s">
        <v>9350</v>
      </c>
      <c r="U208" s="35">
        <v>43748</v>
      </c>
      <c r="V208" s="34" t="s">
        <v>11741</v>
      </c>
      <c r="W208" s="34">
        <v>4</v>
      </c>
      <c r="X208" s="34" t="s">
        <v>5683</v>
      </c>
      <c r="Y208" s="34" t="s">
        <v>4999</v>
      </c>
      <c r="Z208" s="36">
        <v>43774</v>
      </c>
      <c r="AA208" s="44" t="s">
        <v>264</v>
      </c>
      <c r="AB208" s="38">
        <v>43780</v>
      </c>
      <c r="AC208" s="39">
        <v>43780</v>
      </c>
      <c r="AD208" s="45" t="e">
        <v>#VALUE!</v>
      </c>
      <c r="AE208" s="46" t="e">
        <v>#VALUE!</v>
      </c>
      <c r="AF208" s="53"/>
      <c r="AG208" s="54" t="s">
        <v>4999</v>
      </c>
      <c r="AH208" s="67"/>
    </row>
    <row r="209" spans="1:35" s="2" customFormat="1" ht="17.25" customHeight="1" thickBot="1" x14ac:dyDescent="0.25">
      <c r="A209" s="221" t="str">
        <f t="shared" si="9"/>
        <v>OK</v>
      </c>
      <c r="B209" s="222" t="str">
        <f t="shared" si="10"/>
        <v>OK</v>
      </c>
      <c r="C209" s="223" t="str">
        <f t="shared" si="11"/>
        <v>OK</v>
      </c>
      <c r="D209" s="28">
        <v>0</v>
      </c>
      <c r="E209" s="49" t="s">
        <v>11742</v>
      </c>
      <c r="F209" s="50" t="s">
        <v>9172</v>
      </c>
      <c r="G209" s="50">
        <v>180582</v>
      </c>
      <c r="H209" s="50" t="s">
        <v>11743</v>
      </c>
      <c r="I209" s="50" t="s">
        <v>6820</v>
      </c>
      <c r="J209" s="50" t="s">
        <v>6829</v>
      </c>
      <c r="K209" s="50" t="s">
        <v>5041</v>
      </c>
      <c r="L209" s="50" t="s">
        <v>11744</v>
      </c>
      <c r="M209" s="50" t="s">
        <v>11745</v>
      </c>
      <c r="N209" s="51">
        <v>43747</v>
      </c>
      <c r="O209" s="50" t="s">
        <v>7729</v>
      </c>
      <c r="P209" s="51">
        <v>43747</v>
      </c>
      <c r="Q209" s="51">
        <v>43749</v>
      </c>
      <c r="R209" s="52">
        <v>43749</v>
      </c>
      <c r="S209" s="33" t="s">
        <v>9357</v>
      </c>
      <c r="T209" s="34" t="s">
        <v>9357</v>
      </c>
      <c r="U209" s="35">
        <v>43749</v>
      </c>
      <c r="V209" s="34" t="s">
        <v>5899</v>
      </c>
      <c r="W209" s="34">
        <v>1</v>
      </c>
      <c r="X209" s="34" t="s">
        <v>5683</v>
      </c>
      <c r="Y209" s="34" t="s">
        <v>4999</v>
      </c>
      <c r="Z209" s="36">
        <v>43750</v>
      </c>
      <c r="AA209" s="44" t="s">
        <v>264</v>
      </c>
      <c r="AB209" s="38">
        <v>43759</v>
      </c>
      <c r="AC209" s="39">
        <v>43759</v>
      </c>
      <c r="AD209" s="45" t="e">
        <v>#VALUE!</v>
      </c>
      <c r="AE209" s="46" t="e">
        <v>#VALUE!</v>
      </c>
      <c r="AF209" s="53"/>
      <c r="AG209" s="54" t="s">
        <v>4999</v>
      </c>
      <c r="AH209" s="67"/>
    </row>
    <row r="210" spans="1:35" s="2" customFormat="1" ht="17.25" customHeight="1" thickBot="1" x14ac:dyDescent="0.25">
      <c r="A210" s="221" t="str">
        <f t="shared" si="9"/>
        <v>OK</v>
      </c>
      <c r="B210" s="222" t="str">
        <f t="shared" si="10"/>
        <v>OK</v>
      </c>
      <c r="C210" s="223" t="str">
        <f t="shared" si="11"/>
        <v>OK</v>
      </c>
      <c r="D210" s="28">
        <v>0</v>
      </c>
      <c r="E210" s="49" t="s">
        <v>11746</v>
      </c>
      <c r="F210" s="50" t="s">
        <v>9172</v>
      </c>
      <c r="G210" s="50">
        <v>180582</v>
      </c>
      <c r="H210" s="50" t="s">
        <v>11747</v>
      </c>
      <c r="I210" s="50" t="s">
        <v>6820</v>
      </c>
      <c r="J210" s="50" t="s">
        <v>6829</v>
      </c>
      <c r="K210" s="50" t="s">
        <v>547</v>
      </c>
      <c r="L210" s="50" t="s">
        <v>11748</v>
      </c>
      <c r="M210" s="50" t="s">
        <v>11745</v>
      </c>
      <c r="N210" s="51">
        <v>43747</v>
      </c>
      <c r="O210" s="50" t="s">
        <v>7729</v>
      </c>
      <c r="P210" s="51">
        <v>43747</v>
      </c>
      <c r="Q210" s="51">
        <v>43749</v>
      </c>
      <c r="R210" s="52">
        <v>43749</v>
      </c>
      <c r="S210" s="33" t="s">
        <v>9357</v>
      </c>
      <c r="T210" s="34" t="s">
        <v>9357</v>
      </c>
      <c r="U210" s="35">
        <v>43749</v>
      </c>
      <c r="V210" s="34" t="s">
        <v>6782</v>
      </c>
      <c r="W210" s="34">
        <v>3</v>
      </c>
      <c r="X210" s="34" t="s">
        <v>5683</v>
      </c>
      <c r="Y210" s="34" t="s">
        <v>4999</v>
      </c>
      <c r="Z210" s="36">
        <v>43750</v>
      </c>
      <c r="AA210" s="44" t="s">
        <v>264</v>
      </c>
      <c r="AB210" s="38">
        <v>43759</v>
      </c>
      <c r="AC210" s="39">
        <v>43759</v>
      </c>
      <c r="AD210" s="45" t="e">
        <v>#VALUE!</v>
      </c>
      <c r="AE210" s="46" t="e">
        <v>#VALUE!</v>
      </c>
      <c r="AF210" s="53"/>
      <c r="AG210" s="54" t="s">
        <v>4999</v>
      </c>
      <c r="AH210" s="67"/>
    </row>
    <row r="211" spans="1:35" s="2" customFormat="1" ht="17.25" customHeight="1" thickBot="1" x14ac:dyDescent="0.25">
      <c r="A211" s="221" t="str">
        <f t="shared" si="9"/>
        <v>OK</v>
      </c>
      <c r="B211" s="222" t="str">
        <f t="shared" si="10"/>
        <v>OK</v>
      </c>
      <c r="C211" s="223" t="str">
        <f t="shared" si="11"/>
        <v>OK</v>
      </c>
      <c r="D211" s="28">
        <v>0</v>
      </c>
      <c r="E211" s="49" t="s">
        <v>11749</v>
      </c>
      <c r="F211" s="50" t="s">
        <v>3449</v>
      </c>
      <c r="G211" s="50">
        <v>180571</v>
      </c>
      <c r="H211" s="50" t="s">
        <v>11750</v>
      </c>
      <c r="I211" s="50" t="s">
        <v>6820</v>
      </c>
      <c r="J211" s="50" t="s">
        <v>6829</v>
      </c>
      <c r="K211" s="50" t="s">
        <v>487</v>
      </c>
      <c r="L211" s="50" t="s">
        <v>11751</v>
      </c>
      <c r="M211" s="50" t="s">
        <v>11752</v>
      </c>
      <c r="N211" s="51">
        <v>43739</v>
      </c>
      <c r="O211" s="50" t="s">
        <v>7729</v>
      </c>
      <c r="P211" s="51">
        <v>43739</v>
      </c>
      <c r="Q211" s="51">
        <v>43739</v>
      </c>
      <c r="R211" s="52">
        <v>43748</v>
      </c>
      <c r="S211" s="33" t="s">
        <v>9357</v>
      </c>
      <c r="T211" s="34" t="s">
        <v>7729</v>
      </c>
      <c r="U211" s="35">
        <v>43775</v>
      </c>
      <c r="V211" s="34" t="s">
        <v>5070</v>
      </c>
      <c r="W211" s="34">
        <v>8</v>
      </c>
      <c r="X211" s="34" t="s">
        <v>5683</v>
      </c>
      <c r="Y211" s="34" t="s">
        <v>4999</v>
      </c>
      <c r="Z211" s="36">
        <v>43776</v>
      </c>
      <c r="AA211" s="44" t="s">
        <v>264</v>
      </c>
      <c r="AB211" s="38">
        <v>43776</v>
      </c>
      <c r="AC211" s="39">
        <v>43776</v>
      </c>
      <c r="AD211" s="45" t="e">
        <v>#VALUE!</v>
      </c>
      <c r="AE211" s="46" t="e">
        <v>#VALUE!</v>
      </c>
      <c r="AF211" s="53"/>
      <c r="AG211" s="54" t="s">
        <v>4999</v>
      </c>
      <c r="AH211" s="7"/>
      <c r="AI211" s="6"/>
    </row>
    <row r="212" spans="1:35" s="2" customFormat="1" ht="17.25" customHeight="1" thickBot="1" x14ac:dyDescent="0.25">
      <c r="A212" s="221" t="str">
        <f t="shared" si="9"/>
        <v>OK</v>
      </c>
      <c r="B212" s="222" t="str">
        <f t="shared" si="10"/>
        <v>OK</v>
      </c>
      <c r="C212" s="223" t="str">
        <f t="shared" si="11"/>
        <v>OK</v>
      </c>
      <c r="D212" s="28">
        <v>0</v>
      </c>
      <c r="E212" s="49" t="s">
        <v>11753</v>
      </c>
      <c r="F212" s="50" t="s">
        <v>8349</v>
      </c>
      <c r="G212" s="50">
        <v>180549</v>
      </c>
      <c r="H212" s="50" t="s">
        <v>11754</v>
      </c>
      <c r="I212" s="50" t="s">
        <v>6820</v>
      </c>
      <c r="J212" s="50" t="s">
        <v>6829</v>
      </c>
      <c r="K212" s="50" t="s">
        <v>2047</v>
      </c>
      <c r="L212" s="50" t="s">
        <v>11755</v>
      </c>
      <c r="M212" s="50" t="s">
        <v>11756</v>
      </c>
      <c r="N212" s="51">
        <v>43726</v>
      </c>
      <c r="O212" s="50" t="s">
        <v>9350</v>
      </c>
      <c r="P212" s="51">
        <v>43726</v>
      </c>
      <c r="Q212" s="51">
        <v>43727</v>
      </c>
      <c r="R212" s="52">
        <v>43728</v>
      </c>
      <c r="S212" s="33" t="s">
        <v>6850</v>
      </c>
      <c r="T212" s="34" t="s">
        <v>9899</v>
      </c>
      <c r="U212" s="35">
        <v>43749</v>
      </c>
      <c r="V212" s="34" t="s">
        <v>11757</v>
      </c>
      <c r="W212" s="34">
        <v>11</v>
      </c>
      <c r="X212" s="34" t="s">
        <v>5683</v>
      </c>
      <c r="Y212" s="34" t="s">
        <v>4999</v>
      </c>
      <c r="Z212" s="36">
        <v>43756</v>
      </c>
      <c r="AA212" s="44" t="s">
        <v>264</v>
      </c>
      <c r="AB212" s="38">
        <v>43756</v>
      </c>
      <c r="AC212" s="39">
        <v>43756</v>
      </c>
      <c r="AD212" s="45" t="e">
        <v>#VALUE!</v>
      </c>
      <c r="AE212" s="46" t="e">
        <v>#VALUE!</v>
      </c>
      <c r="AF212" s="53"/>
      <c r="AG212" s="54" t="s">
        <v>4999</v>
      </c>
      <c r="AH212" s="67"/>
    </row>
    <row r="213" spans="1:35" s="2" customFormat="1" ht="17.25" customHeight="1" thickBot="1" x14ac:dyDescent="0.25">
      <c r="A213" s="221" t="str">
        <f t="shared" si="9"/>
        <v>OK</v>
      </c>
      <c r="B213" s="222" t="str">
        <f t="shared" si="10"/>
        <v>OK</v>
      </c>
      <c r="C213" s="223" t="str">
        <f t="shared" si="11"/>
        <v>OK</v>
      </c>
      <c r="D213" s="28">
        <v>0</v>
      </c>
      <c r="E213" s="49" t="s">
        <v>11758</v>
      </c>
      <c r="F213" s="50" t="s">
        <v>8369</v>
      </c>
      <c r="G213" s="50">
        <v>180589</v>
      </c>
      <c r="H213" s="50" t="s">
        <v>11759</v>
      </c>
      <c r="I213" s="50" t="s">
        <v>6820</v>
      </c>
      <c r="J213" s="50" t="s">
        <v>6829</v>
      </c>
      <c r="K213" s="50" t="s">
        <v>11760</v>
      </c>
      <c r="L213" s="50" t="s">
        <v>11761</v>
      </c>
      <c r="M213" s="50" t="s">
        <v>9349</v>
      </c>
      <c r="N213" s="51">
        <v>43752</v>
      </c>
      <c r="O213" s="50" t="s">
        <v>9350</v>
      </c>
      <c r="P213" s="51">
        <v>43752</v>
      </c>
      <c r="Q213" s="51">
        <v>43752</v>
      </c>
      <c r="R213" s="52">
        <v>43752</v>
      </c>
      <c r="S213" s="33" t="s">
        <v>9357</v>
      </c>
      <c r="T213" s="34" t="s">
        <v>9350</v>
      </c>
      <c r="U213" s="35">
        <v>43754</v>
      </c>
      <c r="V213" s="34" t="s">
        <v>11762</v>
      </c>
      <c r="W213" s="34">
        <v>14</v>
      </c>
      <c r="X213" s="34" t="s">
        <v>5683</v>
      </c>
      <c r="Y213" s="34" t="s">
        <v>4999</v>
      </c>
      <c r="Z213" s="36">
        <v>43760</v>
      </c>
      <c r="AA213" s="44" t="s">
        <v>264</v>
      </c>
      <c r="AB213" s="38">
        <v>43760</v>
      </c>
      <c r="AC213" s="39">
        <v>43760</v>
      </c>
      <c r="AD213" s="45" t="e">
        <v>#VALUE!</v>
      </c>
      <c r="AE213" s="46" t="e">
        <v>#VALUE!</v>
      </c>
      <c r="AF213" s="53"/>
      <c r="AG213" s="54" t="s">
        <v>4999</v>
      </c>
      <c r="AH213" s="67"/>
    </row>
    <row r="214" spans="1:35" s="2" customFormat="1" ht="17.25" customHeight="1" thickBot="1" x14ac:dyDescent="0.25">
      <c r="A214" s="221" t="str">
        <f t="shared" si="9"/>
        <v>OK</v>
      </c>
      <c r="B214" s="222" t="str">
        <f t="shared" si="10"/>
        <v>OK</v>
      </c>
      <c r="C214" s="223" t="str">
        <f t="shared" si="11"/>
        <v>OK</v>
      </c>
      <c r="D214" s="28">
        <v>0</v>
      </c>
      <c r="E214" s="49" t="s">
        <v>11763</v>
      </c>
      <c r="F214" s="50" t="s">
        <v>8369</v>
      </c>
      <c r="G214" s="50">
        <v>180591</v>
      </c>
      <c r="H214" s="50" t="s">
        <v>11764</v>
      </c>
      <c r="I214" s="50" t="s">
        <v>6820</v>
      </c>
      <c r="J214" s="50" t="s">
        <v>6829</v>
      </c>
      <c r="K214" s="50" t="s">
        <v>11760</v>
      </c>
      <c r="L214" s="50" t="s">
        <v>11765</v>
      </c>
      <c r="M214" s="50" t="s">
        <v>9349</v>
      </c>
      <c r="N214" s="51">
        <v>43752</v>
      </c>
      <c r="O214" s="50" t="s">
        <v>9350</v>
      </c>
      <c r="P214" s="51">
        <v>43752</v>
      </c>
      <c r="Q214" s="51">
        <v>43752</v>
      </c>
      <c r="R214" s="52">
        <v>43752</v>
      </c>
      <c r="S214" s="33" t="s">
        <v>9357</v>
      </c>
      <c r="T214" s="34" t="s">
        <v>9350</v>
      </c>
      <c r="U214" s="35">
        <v>43754</v>
      </c>
      <c r="V214" s="34" t="s">
        <v>11762</v>
      </c>
      <c r="W214" s="34">
        <v>1</v>
      </c>
      <c r="X214" s="34" t="s">
        <v>5683</v>
      </c>
      <c r="Y214" s="34" t="s">
        <v>4999</v>
      </c>
      <c r="Z214" s="36">
        <v>43760</v>
      </c>
      <c r="AA214" s="44" t="s">
        <v>264</v>
      </c>
      <c r="AB214" s="38">
        <v>43760</v>
      </c>
      <c r="AC214" s="39">
        <v>43760</v>
      </c>
      <c r="AD214" s="45" t="e">
        <v>#VALUE!</v>
      </c>
      <c r="AE214" s="46" t="e">
        <v>#VALUE!</v>
      </c>
      <c r="AF214" s="53"/>
      <c r="AG214" s="54" t="s">
        <v>4999</v>
      </c>
      <c r="AH214" s="67"/>
    </row>
    <row r="215" spans="1:35" s="2" customFormat="1" ht="17.25" customHeight="1" thickBot="1" x14ac:dyDescent="0.25">
      <c r="A215" s="221" t="str">
        <f t="shared" si="9"/>
        <v>OK</v>
      </c>
      <c r="B215" s="222" t="str">
        <f t="shared" si="10"/>
        <v>OK</v>
      </c>
      <c r="C215" s="223" t="str">
        <f t="shared" si="11"/>
        <v>OK</v>
      </c>
      <c r="D215" s="28">
        <v>0</v>
      </c>
      <c r="E215" s="29" t="s">
        <v>11766</v>
      </c>
      <c r="F215" s="30" t="s">
        <v>9377</v>
      </c>
      <c r="G215" s="30">
        <v>180586</v>
      </c>
      <c r="H215" s="30" t="s">
        <v>11767</v>
      </c>
      <c r="I215" s="30" t="s">
        <v>6820</v>
      </c>
      <c r="J215" s="30" t="s">
        <v>6829</v>
      </c>
      <c r="K215" s="30" t="s">
        <v>8391</v>
      </c>
      <c r="L215" s="30" t="s">
        <v>11768</v>
      </c>
      <c r="M215" s="30" t="s">
        <v>11769</v>
      </c>
      <c r="N215" s="31">
        <v>43749</v>
      </c>
      <c r="O215" s="30" t="s">
        <v>9350</v>
      </c>
      <c r="P215" s="31">
        <v>43749</v>
      </c>
      <c r="Q215" s="31">
        <v>43749</v>
      </c>
      <c r="R215" s="32">
        <v>43749</v>
      </c>
      <c r="S215" s="33" t="s">
        <v>11660</v>
      </c>
      <c r="T215" s="34" t="s">
        <v>9350</v>
      </c>
      <c r="U215" s="35">
        <v>43753</v>
      </c>
      <c r="V215" s="34" t="s">
        <v>11770</v>
      </c>
      <c r="W215" s="34">
        <v>4</v>
      </c>
      <c r="X215" s="34" t="s">
        <v>5683</v>
      </c>
      <c r="Y215" s="34" t="s">
        <v>4999</v>
      </c>
      <c r="Z215" s="36">
        <v>43754</v>
      </c>
      <c r="AA215" s="44" t="s">
        <v>264</v>
      </c>
      <c r="AB215" s="38">
        <v>43754</v>
      </c>
      <c r="AC215" s="39">
        <v>43754</v>
      </c>
      <c r="AD215" s="45" t="e">
        <v>#VALUE!</v>
      </c>
      <c r="AE215" s="46" t="e">
        <v>#VALUE!</v>
      </c>
      <c r="AF215" s="25"/>
      <c r="AG215" s="42" t="s">
        <v>4999</v>
      </c>
      <c r="AH215" s="26"/>
      <c r="AI215" s="27"/>
    </row>
    <row r="216" spans="1:35" s="2" customFormat="1" ht="17.25" customHeight="1" thickBot="1" x14ac:dyDescent="0.25">
      <c r="A216" s="221" t="str">
        <f t="shared" si="9"/>
        <v>OK</v>
      </c>
      <c r="B216" s="222" t="str">
        <f t="shared" si="10"/>
        <v>OK</v>
      </c>
      <c r="C216" s="223" t="str">
        <f t="shared" si="11"/>
        <v>OK</v>
      </c>
      <c r="D216" s="28">
        <v>0</v>
      </c>
      <c r="E216" s="29" t="s">
        <v>11771</v>
      </c>
      <c r="F216" s="30" t="s">
        <v>9377</v>
      </c>
      <c r="G216" s="30">
        <v>180590</v>
      </c>
      <c r="H216" s="30" t="s">
        <v>11772</v>
      </c>
      <c r="I216" s="30" t="s">
        <v>6820</v>
      </c>
      <c r="J216" s="30" t="s">
        <v>6829</v>
      </c>
      <c r="K216" s="30" t="s">
        <v>11535</v>
      </c>
      <c r="L216" s="30" t="s">
        <v>11483</v>
      </c>
      <c r="M216" s="30" t="s">
        <v>9712</v>
      </c>
      <c r="N216" s="31">
        <v>43752</v>
      </c>
      <c r="O216" s="30" t="s">
        <v>9350</v>
      </c>
      <c r="P216" s="31">
        <v>43752</v>
      </c>
      <c r="Q216" s="31">
        <v>43752</v>
      </c>
      <c r="R216" s="32">
        <v>43752</v>
      </c>
      <c r="S216" s="33" t="s">
        <v>11660</v>
      </c>
      <c r="T216" s="34" t="s">
        <v>9350</v>
      </c>
      <c r="U216" s="35">
        <v>43753</v>
      </c>
      <c r="V216" s="34" t="s">
        <v>11007</v>
      </c>
      <c r="W216" s="34">
        <v>2</v>
      </c>
      <c r="X216" s="34" t="s">
        <v>5683</v>
      </c>
      <c r="Y216" s="34" t="s">
        <v>4999</v>
      </c>
      <c r="Z216" s="36">
        <v>43755</v>
      </c>
      <c r="AA216" s="44" t="s">
        <v>264</v>
      </c>
      <c r="AB216" s="38">
        <v>43756</v>
      </c>
      <c r="AC216" s="39">
        <v>43756</v>
      </c>
      <c r="AD216" s="45" t="e">
        <v>#VALUE!</v>
      </c>
      <c r="AE216" s="46" t="e">
        <v>#VALUE!</v>
      </c>
      <c r="AF216" s="25"/>
      <c r="AG216" s="42" t="s">
        <v>4999</v>
      </c>
      <c r="AH216" s="26"/>
      <c r="AI216" s="27"/>
    </row>
    <row r="217" spans="1:35" s="6" customFormat="1" ht="17.25" customHeight="1" thickBot="1" x14ac:dyDescent="0.25">
      <c r="A217" s="221" t="str">
        <f t="shared" si="9"/>
        <v>OK</v>
      </c>
      <c r="B217" s="222" t="str">
        <f t="shared" si="10"/>
        <v>OK</v>
      </c>
      <c r="C217" s="223" t="str">
        <f t="shared" si="11"/>
        <v>OK</v>
      </c>
      <c r="D217" s="28">
        <v>0</v>
      </c>
      <c r="E217" s="49" t="s">
        <v>11773</v>
      </c>
      <c r="F217" s="50" t="s">
        <v>9478</v>
      </c>
      <c r="G217" s="50">
        <v>180596</v>
      </c>
      <c r="H217" s="50" t="s">
        <v>11774</v>
      </c>
      <c r="I217" s="50" t="s">
        <v>6820</v>
      </c>
      <c r="J217" s="50" t="s">
        <v>6829</v>
      </c>
      <c r="K217" s="50" t="s">
        <v>8676</v>
      </c>
      <c r="L217" s="50" t="s">
        <v>11775</v>
      </c>
      <c r="M217" s="50" t="s">
        <v>11776</v>
      </c>
      <c r="N217" s="51">
        <v>43754</v>
      </c>
      <c r="O217" s="50" t="s">
        <v>9350</v>
      </c>
      <c r="P217" s="51">
        <v>43754</v>
      </c>
      <c r="Q217" s="51">
        <v>43754</v>
      </c>
      <c r="R217" s="52">
        <v>43755</v>
      </c>
      <c r="S217" s="33" t="s">
        <v>9357</v>
      </c>
      <c r="T217" s="34" t="s">
        <v>9350</v>
      </c>
      <c r="U217" s="35">
        <v>43748</v>
      </c>
      <c r="V217" s="34" t="s">
        <v>11777</v>
      </c>
      <c r="W217" s="34">
        <v>1</v>
      </c>
      <c r="X217" s="34" t="s">
        <v>5683</v>
      </c>
      <c r="Y217" s="34" t="s">
        <v>4999</v>
      </c>
      <c r="Z217" s="36">
        <v>43788</v>
      </c>
      <c r="AA217" s="44" t="s">
        <v>264</v>
      </c>
      <c r="AB217" s="38">
        <v>43788</v>
      </c>
      <c r="AC217" s="39">
        <v>43788</v>
      </c>
      <c r="AD217" s="45" t="e">
        <v>#VALUE!</v>
      </c>
      <c r="AE217" s="46" t="e">
        <v>#VALUE!</v>
      </c>
      <c r="AF217" s="53"/>
      <c r="AG217" s="53" t="s">
        <v>4999</v>
      </c>
      <c r="AH217" s="67"/>
      <c r="AI217" s="2"/>
    </row>
    <row r="218" spans="1:35" s="2" customFormat="1" ht="17.25" customHeight="1" thickBot="1" x14ac:dyDescent="0.25">
      <c r="A218" s="221" t="str">
        <f t="shared" si="9"/>
        <v>OK</v>
      </c>
      <c r="B218" s="222" t="str">
        <f t="shared" si="10"/>
        <v>OK</v>
      </c>
      <c r="C218" s="223" t="str">
        <f t="shared" si="11"/>
        <v>OK</v>
      </c>
      <c r="D218" s="28">
        <v>0</v>
      </c>
      <c r="E218" s="29" t="s">
        <v>11778</v>
      </c>
      <c r="F218" s="30" t="s">
        <v>9377</v>
      </c>
      <c r="G218" s="30">
        <v>180595</v>
      </c>
      <c r="H218" s="30" t="s">
        <v>11779</v>
      </c>
      <c r="I218" s="30" t="s">
        <v>6820</v>
      </c>
      <c r="J218" s="30" t="s">
        <v>6829</v>
      </c>
      <c r="K218" s="30" t="s">
        <v>1544</v>
      </c>
      <c r="L218" s="30" t="s">
        <v>11780</v>
      </c>
      <c r="M218" s="30" t="s">
        <v>9712</v>
      </c>
      <c r="N218" s="31">
        <v>43754</v>
      </c>
      <c r="O218" s="30" t="s">
        <v>9350</v>
      </c>
      <c r="P218" s="31">
        <v>43754</v>
      </c>
      <c r="Q218" s="31">
        <v>43754</v>
      </c>
      <c r="R218" s="32">
        <v>43755</v>
      </c>
      <c r="S218" s="33" t="s">
        <v>11660</v>
      </c>
      <c r="T218" s="34" t="s">
        <v>9350</v>
      </c>
      <c r="U218" s="35">
        <v>43755</v>
      </c>
      <c r="V218" s="34" t="s">
        <v>11781</v>
      </c>
      <c r="W218" s="34">
        <v>2</v>
      </c>
      <c r="X218" s="34" t="s">
        <v>5683</v>
      </c>
      <c r="Y218" s="34" t="s">
        <v>4999</v>
      </c>
      <c r="Z218" s="36">
        <v>43756</v>
      </c>
      <c r="AA218" s="44" t="s">
        <v>264</v>
      </c>
      <c r="AB218" s="38">
        <v>43756</v>
      </c>
      <c r="AC218" s="39">
        <v>43756</v>
      </c>
      <c r="AD218" s="45" t="e">
        <v>#VALUE!</v>
      </c>
      <c r="AE218" s="46" t="e">
        <v>#VALUE!</v>
      </c>
      <c r="AF218" s="25"/>
      <c r="AG218" s="42" t="s">
        <v>4999</v>
      </c>
      <c r="AH218" s="26"/>
      <c r="AI218" s="27"/>
    </row>
    <row r="219" spans="1:35" s="2" customFormat="1" ht="17.25" customHeight="1" thickBot="1" x14ac:dyDescent="0.25">
      <c r="A219" s="221" t="str">
        <f t="shared" si="9"/>
        <v>OK</v>
      </c>
      <c r="B219" s="222" t="str">
        <f t="shared" si="10"/>
        <v>OK</v>
      </c>
      <c r="C219" s="223" t="str">
        <f t="shared" si="11"/>
        <v>OK</v>
      </c>
      <c r="D219" s="28">
        <v>0</v>
      </c>
      <c r="E219" s="29" t="s">
        <v>11782</v>
      </c>
      <c r="F219" s="30" t="s">
        <v>9024</v>
      </c>
      <c r="G219" s="30">
        <v>180597</v>
      </c>
      <c r="H219" s="30" t="s">
        <v>11783</v>
      </c>
      <c r="I219" s="30" t="s">
        <v>6820</v>
      </c>
      <c r="J219" s="30" t="s">
        <v>6829</v>
      </c>
      <c r="K219" s="30" t="s">
        <v>11270</v>
      </c>
      <c r="L219" s="30" t="s">
        <v>11784</v>
      </c>
      <c r="M219" s="30" t="s">
        <v>11272</v>
      </c>
      <c r="N219" s="31">
        <v>43754</v>
      </c>
      <c r="O219" s="30" t="s">
        <v>9350</v>
      </c>
      <c r="P219" s="31">
        <v>43754</v>
      </c>
      <c r="Q219" s="31">
        <v>43754</v>
      </c>
      <c r="R219" s="32">
        <v>43755</v>
      </c>
      <c r="S219" s="33" t="s">
        <v>9357</v>
      </c>
      <c r="T219" s="34" t="s">
        <v>9350</v>
      </c>
      <c r="U219" s="35">
        <v>43756</v>
      </c>
      <c r="V219" s="34" t="s">
        <v>11273</v>
      </c>
      <c r="W219" s="34">
        <v>2</v>
      </c>
      <c r="X219" s="34" t="s">
        <v>5683</v>
      </c>
      <c r="Y219" s="34" t="s">
        <v>4999</v>
      </c>
      <c r="Z219" s="36">
        <v>43760</v>
      </c>
      <c r="AA219" s="44" t="s">
        <v>264</v>
      </c>
      <c r="AB219" s="38">
        <v>43761</v>
      </c>
      <c r="AC219" s="39">
        <v>43761</v>
      </c>
      <c r="AD219" s="45" t="e">
        <v>#VALUE!</v>
      </c>
      <c r="AE219" s="46" t="e">
        <v>#VALUE!</v>
      </c>
      <c r="AF219" s="25"/>
      <c r="AG219" s="42" t="s">
        <v>4999</v>
      </c>
      <c r="AH219" s="26"/>
      <c r="AI219" s="27"/>
    </row>
    <row r="220" spans="1:35" s="2" customFormat="1" ht="17.25" customHeight="1" thickBot="1" x14ac:dyDescent="0.25">
      <c r="A220" s="221" t="str">
        <f t="shared" si="9"/>
        <v>OK</v>
      </c>
      <c r="B220" s="222" t="str">
        <f t="shared" si="10"/>
        <v>OK</v>
      </c>
      <c r="C220" s="223" t="str">
        <f t="shared" si="11"/>
        <v>OK</v>
      </c>
      <c r="D220" s="28">
        <v>0</v>
      </c>
      <c r="E220" s="29" t="s">
        <v>11785</v>
      </c>
      <c r="F220" s="30" t="s">
        <v>9024</v>
      </c>
      <c r="G220" s="30">
        <v>180597</v>
      </c>
      <c r="H220" s="30" t="s">
        <v>11786</v>
      </c>
      <c r="I220" s="30" t="s">
        <v>6820</v>
      </c>
      <c r="J220" s="30" t="s">
        <v>6829</v>
      </c>
      <c r="K220" s="30" t="s">
        <v>11787</v>
      </c>
      <c r="L220" s="30" t="s">
        <v>11788</v>
      </c>
      <c r="M220" s="30" t="s">
        <v>11272</v>
      </c>
      <c r="N220" s="31">
        <v>43754</v>
      </c>
      <c r="O220" s="57" t="s">
        <v>9350</v>
      </c>
      <c r="P220" s="31">
        <v>43754</v>
      </c>
      <c r="Q220" s="31">
        <v>43754</v>
      </c>
      <c r="R220" s="32">
        <v>43755</v>
      </c>
      <c r="S220" s="33" t="s">
        <v>9357</v>
      </c>
      <c r="T220" s="34" t="s">
        <v>9350</v>
      </c>
      <c r="U220" s="35">
        <v>43756</v>
      </c>
      <c r="V220" s="34" t="s">
        <v>11789</v>
      </c>
      <c r="W220" s="34">
        <v>1</v>
      </c>
      <c r="X220" s="34" t="s">
        <v>5683</v>
      </c>
      <c r="Y220" s="34" t="s">
        <v>4999</v>
      </c>
      <c r="Z220" s="36">
        <v>43761</v>
      </c>
      <c r="AA220" s="44" t="s">
        <v>264</v>
      </c>
      <c r="AB220" s="38">
        <v>43761</v>
      </c>
      <c r="AC220" s="39">
        <v>43761</v>
      </c>
      <c r="AD220" s="45" t="e">
        <v>#VALUE!</v>
      </c>
      <c r="AE220" s="46" t="e">
        <v>#VALUE!</v>
      </c>
      <c r="AF220" s="25"/>
      <c r="AG220" s="42" t="s">
        <v>4999</v>
      </c>
      <c r="AH220" s="26"/>
      <c r="AI220" s="27"/>
    </row>
    <row r="221" spans="1:35" s="2" customFormat="1" ht="17.25" customHeight="1" thickBot="1" x14ac:dyDescent="0.25">
      <c r="A221" s="221" t="str">
        <f t="shared" si="9"/>
        <v>OK</v>
      </c>
      <c r="B221" s="222" t="str">
        <f t="shared" si="10"/>
        <v>OK</v>
      </c>
      <c r="C221" s="223" t="str">
        <f t="shared" si="11"/>
        <v>OK</v>
      </c>
      <c r="D221" s="28">
        <v>0</v>
      </c>
      <c r="E221" s="49" t="s">
        <v>11790</v>
      </c>
      <c r="F221" s="50" t="s">
        <v>6169</v>
      </c>
      <c r="G221" s="50">
        <v>180585</v>
      </c>
      <c r="H221" s="50" t="s">
        <v>11791</v>
      </c>
      <c r="I221" s="50" t="s">
        <v>6820</v>
      </c>
      <c r="J221" s="50" t="s">
        <v>6829</v>
      </c>
      <c r="K221" s="50" t="s">
        <v>11792</v>
      </c>
      <c r="L221" s="50" t="s">
        <v>11793</v>
      </c>
      <c r="M221" s="50" t="s">
        <v>6579</v>
      </c>
      <c r="N221" s="51">
        <v>43748</v>
      </c>
      <c r="O221" s="51" t="s">
        <v>9350</v>
      </c>
      <c r="P221" s="51">
        <v>43748</v>
      </c>
      <c r="Q221" s="51">
        <v>43748</v>
      </c>
      <c r="R221" s="52">
        <v>43754</v>
      </c>
      <c r="S221" s="33" t="s">
        <v>9357</v>
      </c>
      <c r="T221" s="34" t="s">
        <v>9357</v>
      </c>
      <c r="U221" s="35">
        <v>43756</v>
      </c>
      <c r="V221" s="34" t="s">
        <v>11794</v>
      </c>
      <c r="W221" s="34">
        <v>1</v>
      </c>
      <c r="X221" s="34" t="s">
        <v>5683</v>
      </c>
      <c r="Y221" s="34" t="s">
        <v>4999</v>
      </c>
      <c r="Z221" s="36">
        <v>43756</v>
      </c>
      <c r="AA221" s="44" t="s">
        <v>264</v>
      </c>
      <c r="AB221" s="38">
        <v>43756</v>
      </c>
      <c r="AC221" s="39">
        <v>43756</v>
      </c>
      <c r="AD221" s="45" t="e">
        <v>#VALUE!</v>
      </c>
      <c r="AE221" s="46" t="e">
        <v>#VALUE!</v>
      </c>
      <c r="AF221" s="53"/>
      <c r="AG221" s="54" t="s">
        <v>4999</v>
      </c>
      <c r="AH221" s="67"/>
    </row>
    <row r="222" spans="1:35" s="2" customFormat="1" ht="17.25" customHeight="1" thickBot="1" x14ac:dyDescent="0.25">
      <c r="A222" s="221" t="str">
        <f t="shared" si="9"/>
        <v>OK</v>
      </c>
      <c r="B222" s="222" t="str">
        <f t="shared" si="10"/>
        <v>OK</v>
      </c>
      <c r="C222" s="223" t="str">
        <f t="shared" si="11"/>
        <v>OK</v>
      </c>
      <c r="D222" s="28">
        <v>0</v>
      </c>
      <c r="E222" s="49" t="s">
        <v>11795</v>
      </c>
      <c r="F222" s="50" t="s">
        <v>6169</v>
      </c>
      <c r="G222" s="50">
        <v>180594</v>
      </c>
      <c r="H222" s="50" t="s">
        <v>11796</v>
      </c>
      <c r="I222" s="50" t="s">
        <v>6820</v>
      </c>
      <c r="J222" s="50" t="s">
        <v>6829</v>
      </c>
      <c r="K222" s="50" t="s">
        <v>11797</v>
      </c>
      <c r="L222" s="50" t="s">
        <v>11798</v>
      </c>
      <c r="M222" s="50" t="s">
        <v>6579</v>
      </c>
      <c r="N222" s="51">
        <v>43752</v>
      </c>
      <c r="O222" s="51" t="s">
        <v>9350</v>
      </c>
      <c r="P222" s="51">
        <v>43752</v>
      </c>
      <c r="Q222" s="51">
        <v>43753</v>
      </c>
      <c r="R222" s="52">
        <v>43755</v>
      </c>
      <c r="S222" s="33" t="s">
        <v>9357</v>
      </c>
      <c r="T222" s="34" t="s">
        <v>9357</v>
      </c>
      <c r="U222" s="35">
        <v>43756</v>
      </c>
      <c r="V222" s="34" t="s">
        <v>3201</v>
      </c>
      <c r="W222" s="34">
        <v>2</v>
      </c>
      <c r="X222" s="34" t="s">
        <v>5683</v>
      </c>
      <c r="Y222" s="34" t="s">
        <v>4999</v>
      </c>
      <c r="Z222" s="36">
        <v>43769</v>
      </c>
      <c r="AA222" s="44" t="s">
        <v>264</v>
      </c>
      <c r="AB222" s="38">
        <v>43769</v>
      </c>
      <c r="AC222" s="39">
        <v>43769</v>
      </c>
      <c r="AD222" s="45" t="e">
        <v>#VALUE!</v>
      </c>
      <c r="AE222" s="46" t="e">
        <v>#VALUE!</v>
      </c>
      <c r="AF222" s="53"/>
      <c r="AG222" s="54" t="s">
        <v>4999</v>
      </c>
      <c r="AH222" s="67"/>
    </row>
    <row r="223" spans="1:35" s="2" customFormat="1" ht="17.25" customHeight="1" thickBot="1" x14ac:dyDescent="0.25">
      <c r="A223" s="221" t="str">
        <f t="shared" si="9"/>
        <v>OK</v>
      </c>
      <c r="B223" s="222" t="str">
        <f t="shared" si="10"/>
        <v>OK</v>
      </c>
      <c r="C223" s="223" t="str">
        <f t="shared" si="11"/>
        <v>OK</v>
      </c>
      <c r="D223" s="28">
        <v>0</v>
      </c>
      <c r="E223" s="49" t="s">
        <v>11799</v>
      </c>
      <c r="F223" s="50" t="s">
        <v>9414</v>
      </c>
      <c r="G223" s="50">
        <v>180553</v>
      </c>
      <c r="H223" s="50" t="s">
        <v>11800</v>
      </c>
      <c r="I223" s="50" t="s">
        <v>6820</v>
      </c>
      <c r="J223" s="50" t="s">
        <v>6829</v>
      </c>
      <c r="K223" s="50" t="s">
        <v>11801</v>
      </c>
      <c r="L223" s="50" t="s">
        <v>11442</v>
      </c>
      <c r="M223" s="50" t="s">
        <v>9417</v>
      </c>
      <c r="N223" s="51" t="s">
        <v>11802</v>
      </c>
      <c r="O223" s="50" t="s">
        <v>9350</v>
      </c>
      <c r="P223" s="51">
        <v>43727</v>
      </c>
      <c r="Q223" s="51">
        <v>43727</v>
      </c>
      <c r="R223" s="52">
        <v>43728</v>
      </c>
      <c r="S223" s="33" t="s">
        <v>9357</v>
      </c>
      <c r="T223" s="34" t="s">
        <v>9350</v>
      </c>
      <c r="U223" s="35">
        <v>43756</v>
      </c>
      <c r="V223" s="34" t="s">
        <v>11424</v>
      </c>
      <c r="W223" s="34">
        <v>10</v>
      </c>
      <c r="X223" s="34" t="s">
        <v>5683</v>
      </c>
      <c r="Y223" s="34" t="s">
        <v>4999</v>
      </c>
      <c r="Z223" s="36">
        <v>43761</v>
      </c>
      <c r="AA223" s="44" t="s">
        <v>264</v>
      </c>
      <c r="AB223" s="38">
        <v>43761</v>
      </c>
      <c r="AC223" s="38">
        <v>43761</v>
      </c>
      <c r="AD223" s="45" t="e">
        <v>#VALUE!</v>
      </c>
      <c r="AE223" s="46" t="e">
        <v>#VALUE!</v>
      </c>
      <c r="AF223" s="53" t="s">
        <v>11468</v>
      </c>
      <c r="AG223" s="54" t="s">
        <v>4999</v>
      </c>
      <c r="AH223" s="67"/>
    </row>
    <row r="224" spans="1:35" s="2" customFormat="1" ht="17.25" customHeight="1" thickBot="1" x14ac:dyDescent="0.25">
      <c r="A224" s="221" t="str">
        <f t="shared" si="9"/>
        <v>OK</v>
      </c>
      <c r="B224" s="222" t="str">
        <f t="shared" si="10"/>
        <v>OK</v>
      </c>
      <c r="C224" s="223" t="str">
        <f t="shared" si="11"/>
        <v>OK</v>
      </c>
      <c r="D224" s="28">
        <v>0</v>
      </c>
      <c r="E224" s="49" t="s">
        <v>11803</v>
      </c>
      <c r="F224" s="50" t="s">
        <v>9414</v>
      </c>
      <c r="G224" s="50">
        <v>180553</v>
      </c>
      <c r="H224" s="50" t="s">
        <v>11804</v>
      </c>
      <c r="I224" s="50" t="s">
        <v>6820</v>
      </c>
      <c r="J224" s="50" t="s">
        <v>6829</v>
      </c>
      <c r="K224" s="50" t="s">
        <v>11417</v>
      </c>
      <c r="L224" s="50" t="s">
        <v>11805</v>
      </c>
      <c r="M224" s="50" t="s">
        <v>9417</v>
      </c>
      <c r="N224" s="51" t="s">
        <v>11802</v>
      </c>
      <c r="O224" s="50" t="s">
        <v>9350</v>
      </c>
      <c r="P224" s="51">
        <v>43727</v>
      </c>
      <c r="Q224" s="51">
        <v>43727</v>
      </c>
      <c r="R224" s="52">
        <v>43728</v>
      </c>
      <c r="S224" s="33" t="s">
        <v>9357</v>
      </c>
      <c r="T224" s="34" t="s">
        <v>9350</v>
      </c>
      <c r="U224" s="35">
        <v>43756</v>
      </c>
      <c r="V224" s="34" t="s">
        <v>9418</v>
      </c>
      <c r="W224" s="34">
        <v>10</v>
      </c>
      <c r="X224" s="34" t="s">
        <v>5683</v>
      </c>
      <c r="Y224" s="34" t="s">
        <v>4999</v>
      </c>
      <c r="Z224" s="36">
        <v>43761</v>
      </c>
      <c r="AA224" s="44" t="s">
        <v>264</v>
      </c>
      <c r="AB224" s="38">
        <v>43761</v>
      </c>
      <c r="AC224" s="39">
        <v>43761</v>
      </c>
      <c r="AD224" s="45" t="e">
        <v>#VALUE!</v>
      </c>
      <c r="AE224" s="46" t="e">
        <v>#VALUE!</v>
      </c>
      <c r="AF224" s="53" t="s">
        <v>11468</v>
      </c>
      <c r="AG224" s="54" t="s">
        <v>4999</v>
      </c>
      <c r="AH224" s="67"/>
    </row>
    <row r="225" spans="1:35" s="2" customFormat="1" ht="17.25" customHeight="1" thickBot="1" x14ac:dyDescent="0.25">
      <c r="A225" s="221" t="str">
        <f t="shared" si="9"/>
        <v>OK</v>
      </c>
      <c r="B225" s="222" t="str">
        <f t="shared" si="10"/>
        <v>OK</v>
      </c>
      <c r="C225" s="223" t="str">
        <f t="shared" si="11"/>
        <v>OK</v>
      </c>
      <c r="D225" s="28">
        <v>0</v>
      </c>
      <c r="E225" s="49" t="s">
        <v>11806</v>
      </c>
      <c r="F225" s="50" t="s">
        <v>9414</v>
      </c>
      <c r="G225" s="50">
        <v>180601</v>
      </c>
      <c r="H225" s="50" t="s">
        <v>11807</v>
      </c>
      <c r="I225" s="50" t="s">
        <v>6820</v>
      </c>
      <c r="J225" s="50" t="s">
        <v>6829</v>
      </c>
      <c r="K225" s="50" t="s">
        <v>11456</v>
      </c>
      <c r="L225" s="50" t="s">
        <v>11808</v>
      </c>
      <c r="M225" s="50" t="s">
        <v>9417</v>
      </c>
      <c r="N225" s="51">
        <v>43755</v>
      </c>
      <c r="O225" s="50" t="s">
        <v>9350</v>
      </c>
      <c r="P225" s="51">
        <v>43755</v>
      </c>
      <c r="Q225" s="51">
        <v>43755</v>
      </c>
      <c r="R225" s="52">
        <v>43761</v>
      </c>
      <c r="S225" s="33" t="s">
        <v>9357</v>
      </c>
      <c r="T225" s="34" t="s">
        <v>9350</v>
      </c>
      <c r="U225" s="35">
        <v>43770</v>
      </c>
      <c r="V225" s="34" t="s">
        <v>11809</v>
      </c>
      <c r="W225" s="34">
        <v>2</v>
      </c>
      <c r="X225" s="34" t="s">
        <v>5683</v>
      </c>
      <c r="Y225" s="34" t="s">
        <v>4999</v>
      </c>
      <c r="Z225" s="36">
        <v>43774</v>
      </c>
      <c r="AA225" s="44" t="s">
        <v>264</v>
      </c>
      <c r="AB225" s="38">
        <v>43774</v>
      </c>
      <c r="AC225" s="39">
        <v>43774</v>
      </c>
      <c r="AD225" s="45" t="e">
        <v>#VALUE!</v>
      </c>
      <c r="AE225" s="46" t="e">
        <v>#VALUE!</v>
      </c>
      <c r="AF225" s="53"/>
      <c r="AG225" s="54" t="s">
        <v>4999</v>
      </c>
      <c r="AH225" s="67"/>
    </row>
    <row r="226" spans="1:35" s="2" customFormat="1" ht="17.25" customHeight="1" thickBot="1" x14ac:dyDescent="0.25">
      <c r="A226" s="221" t="str">
        <f t="shared" si="9"/>
        <v>OK</v>
      </c>
      <c r="B226" s="222" t="str">
        <f t="shared" si="10"/>
        <v>OK</v>
      </c>
      <c r="C226" s="223" t="str">
        <f t="shared" si="11"/>
        <v>OK</v>
      </c>
      <c r="D226" s="28">
        <v>0</v>
      </c>
      <c r="E226" s="49" t="s">
        <v>11810</v>
      </c>
      <c r="F226" s="50" t="s">
        <v>9414</v>
      </c>
      <c r="G226" s="50">
        <v>180623</v>
      </c>
      <c r="H226" s="50" t="s">
        <v>11811</v>
      </c>
      <c r="I226" s="50" t="s">
        <v>6820</v>
      </c>
      <c r="J226" s="50" t="s">
        <v>6829</v>
      </c>
      <c r="K226" s="50" t="s">
        <v>11812</v>
      </c>
      <c r="L226" s="50" t="s">
        <v>11813</v>
      </c>
      <c r="M226" s="50" t="s">
        <v>9744</v>
      </c>
      <c r="N226" s="51">
        <v>43768</v>
      </c>
      <c r="O226" s="50" t="s">
        <v>9350</v>
      </c>
      <c r="P226" s="51">
        <v>43768</v>
      </c>
      <c r="Q226" s="51">
        <v>43768</v>
      </c>
      <c r="R226" s="52">
        <v>43768</v>
      </c>
      <c r="S226" s="33" t="s">
        <v>9357</v>
      </c>
      <c r="T226" s="34" t="s">
        <v>9350</v>
      </c>
      <c r="U226" s="35">
        <v>43795</v>
      </c>
      <c r="V226" s="34" t="s">
        <v>11814</v>
      </c>
      <c r="W226" s="34">
        <v>2</v>
      </c>
      <c r="X226" s="34" t="s">
        <v>5683</v>
      </c>
      <c r="Y226" s="34" t="s">
        <v>4999</v>
      </c>
      <c r="Z226" s="36">
        <v>43796</v>
      </c>
      <c r="AA226" s="44" t="s">
        <v>264</v>
      </c>
      <c r="AB226" s="38">
        <v>43796</v>
      </c>
      <c r="AC226" s="39">
        <v>43796</v>
      </c>
      <c r="AD226" s="45" t="e">
        <v>#VALUE!</v>
      </c>
      <c r="AE226" s="46" t="e">
        <v>#VALUE!</v>
      </c>
      <c r="AF226" s="53" t="s">
        <v>11468</v>
      </c>
      <c r="AG226" s="54" t="s">
        <v>4999</v>
      </c>
      <c r="AH226" s="67"/>
    </row>
    <row r="227" spans="1:35" s="2" customFormat="1" ht="17.25" customHeight="1" thickBot="1" x14ac:dyDescent="0.25">
      <c r="A227" s="221" t="str">
        <f t="shared" si="9"/>
        <v>OK</v>
      </c>
      <c r="B227" s="222" t="str">
        <f t="shared" si="10"/>
        <v>OK</v>
      </c>
      <c r="C227" s="223" t="str">
        <f t="shared" si="11"/>
        <v>OK</v>
      </c>
      <c r="D227" s="28">
        <v>0</v>
      </c>
      <c r="E227" s="49" t="s">
        <v>11815</v>
      </c>
      <c r="F227" s="50" t="s">
        <v>5652</v>
      </c>
      <c r="G227" s="50">
        <v>180657</v>
      </c>
      <c r="H227" s="50" t="s">
        <v>11816</v>
      </c>
      <c r="I227" s="50" t="s">
        <v>6820</v>
      </c>
      <c r="J227" s="50" t="s">
        <v>6829</v>
      </c>
      <c r="K227" s="50" t="s">
        <v>1874</v>
      </c>
      <c r="L227" s="50" t="s">
        <v>11817</v>
      </c>
      <c r="M227" s="50" t="s">
        <v>8539</v>
      </c>
      <c r="N227" s="51">
        <v>43790</v>
      </c>
      <c r="O227" s="50" t="s">
        <v>7729</v>
      </c>
      <c r="P227" s="51">
        <v>43791</v>
      </c>
      <c r="Q227" s="51">
        <v>43791</v>
      </c>
      <c r="R227" s="52">
        <v>43795</v>
      </c>
      <c r="S227" s="33" t="s">
        <v>11452</v>
      </c>
      <c r="T227" s="34" t="s">
        <v>9350</v>
      </c>
      <c r="U227" s="35">
        <v>43797</v>
      </c>
      <c r="V227" s="34" t="s">
        <v>8540</v>
      </c>
      <c r="W227" s="34">
        <v>20</v>
      </c>
      <c r="X227" s="34" t="s">
        <v>5683</v>
      </c>
      <c r="Y227" s="34" t="s">
        <v>4999</v>
      </c>
      <c r="Z227" s="36">
        <v>43801</v>
      </c>
      <c r="AA227" s="44" t="s">
        <v>264</v>
      </c>
      <c r="AB227" s="38">
        <v>43818</v>
      </c>
      <c r="AC227" s="39">
        <v>43818</v>
      </c>
      <c r="AD227" s="45"/>
      <c r="AE227" s="46"/>
      <c r="AF227" s="53" t="s">
        <v>11468</v>
      </c>
      <c r="AG227" s="54" t="s">
        <v>4999</v>
      </c>
      <c r="AH227" s="67"/>
    </row>
    <row r="228" spans="1:35" s="2" customFormat="1" ht="17.25" customHeight="1" thickBot="1" x14ac:dyDescent="0.25">
      <c r="A228" s="221" t="str">
        <f t="shared" si="9"/>
        <v>OK</v>
      </c>
      <c r="B228" s="222" t="str">
        <f t="shared" si="10"/>
        <v>P</v>
      </c>
      <c r="C228" s="223" t="str">
        <f t="shared" si="11"/>
        <v>P</v>
      </c>
      <c r="D228" s="28">
        <v>0</v>
      </c>
      <c r="E228" s="49" t="s">
        <v>11815</v>
      </c>
      <c r="F228" s="50" t="s">
        <v>8272</v>
      </c>
      <c r="G228" s="50">
        <v>180562</v>
      </c>
      <c r="H228" s="50" t="s">
        <v>11818</v>
      </c>
      <c r="I228" s="50" t="s">
        <v>6820</v>
      </c>
      <c r="J228" s="50" t="s">
        <v>6829</v>
      </c>
      <c r="K228" s="50" t="s">
        <v>11819</v>
      </c>
      <c r="L228" s="50" t="s">
        <v>11819</v>
      </c>
      <c r="M228" s="50" t="s">
        <v>2618</v>
      </c>
      <c r="N228" s="51">
        <v>43734</v>
      </c>
      <c r="O228" s="50" t="s">
        <v>7729</v>
      </c>
      <c r="P228" s="51">
        <v>43734</v>
      </c>
      <c r="Q228" s="51">
        <v>43755</v>
      </c>
      <c r="R228" s="52">
        <v>43755</v>
      </c>
      <c r="S228" s="33"/>
      <c r="T228" s="34"/>
      <c r="U228" s="35"/>
      <c r="V228" s="34"/>
      <c r="W228" s="34"/>
      <c r="X228" s="34"/>
      <c r="Y228" s="34"/>
      <c r="Z228" s="36"/>
      <c r="AA228" s="44"/>
      <c r="AB228" s="38"/>
      <c r="AC228" s="39"/>
      <c r="AD228" s="45"/>
      <c r="AE228" s="46"/>
      <c r="AF228" s="53"/>
      <c r="AG228" s="54"/>
      <c r="AH228" s="67"/>
    </row>
    <row r="229" spans="1:35" s="2" customFormat="1" ht="17.25" customHeight="1" thickBot="1" x14ac:dyDescent="0.25">
      <c r="A229" s="221" t="str">
        <f t="shared" si="9"/>
        <v>OK</v>
      </c>
      <c r="B229" s="222" t="str">
        <f t="shared" si="10"/>
        <v>OK</v>
      </c>
      <c r="C229" s="223" t="str">
        <f t="shared" si="11"/>
        <v>OK</v>
      </c>
      <c r="D229" s="28">
        <v>0</v>
      </c>
      <c r="E229" s="49" t="s">
        <v>11820</v>
      </c>
      <c r="F229" s="50" t="s">
        <v>8272</v>
      </c>
      <c r="G229" s="50">
        <v>180562</v>
      </c>
      <c r="H229" s="50" t="s">
        <v>11821</v>
      </c>
      <c r="I229" s="50" t="s">
        <v>6820</v>
      </c>
      <c r="J229" s="50" t="s">
        <v>6829</v>
      </c>
      <c r="K229" s="50" t="s">
        <v>11822</v>
      </c>
      <c r="L229" s="50" t="s">
        <v>11822</v>
      </c>
      <c r="M229" s="50" t="s">
        <v>2618</v>
      </c>
      <c r="N229" s="51">
        <v>43734</v>
      </c>
      <c r="O229" s="50" t="s">
        <v>7729</v>
      </c>
      <c r="P229" s="51">
        <v>43734</v>
      </c>
      <c r="Q229" s="51">
        <v>43755</v>
      </c>
      <c r="R229" s="52">
        <v>43755</v>
      </c>
      <c r="S229" s="33" t="s">
        <v>8254</v>
      </c>
      <c r="T229" s="34" t="s">
        <v>8254</v>
      </c>
      <c r="U229" s="35">
        <v>44183</v>
      </c>
      <c r="V229" s="34" t="s">
        <v>11823</v>
      </c>
      <c r="W229" s="34">
        <v>1</v>
      </c>
      <c r="X229" s="34" t="s">
        <v>5683</v>
      </c>
      <c r="Y229" s="34" t="s">
        <v>4999</v>
      </c>
      <c r="Z229" s="36">
        <v>44215</v>
      </c>
      <c r="AA229" s="44" t="s">
        <v>8250</v>
      </c>
      <c r="AB229" s="38">
        <v>44217</v>
      </c>
      <c r="AC229" s="38">
        <v>44217</v>
      </c>
      <c r="AD229" s="45"/>
      <c r="AE229" s="46"/>
      <c r="AF229" s="53"/>
      <c r="AG229" s="54"/>
      <c r="AH229" s="67"/>
    </row>
    <row r="230" spans="1:35" s="2" customFormat="1" ht="17.25" customHeight="1" thickBot="1" x14ac:dyDescent="0.25">
      <c r="A230" s="221" t="str">
        <f t="shared" si="9"/>
        <v>OK</v>
      </c>
      <c r="B230" s="222" t="str">
        <f t="shared" si="10"/>
        <v>OK</v>
      </c>
      <c r="C230" s="223" t="str">
        <f t="shared" si="11"/>
        <v>OK</v>
      </c>
      <c r="D230" s="28">
        <v>0</v>
      </c>
      <c r="E230" s="49" t="s">
        <v>11824</v>
      </c>
      <c r="F230" s="50" t="s">
        <v>11825</v>
      </c>
      <c r="G230" s="50">
        <v>180587</v>
      </c>
      <c r="H230" s="50" t="s">
        <v>11826</v>
      </c>
      <c r="I230" s="50" t="s">
        <v>6820</v>
      </c>
      <c r="J230" s="50" t="s">
        <v>6829</v>
      </c>
      <c r="K230" s="50" t="s">
        <v>11827</v>
      </c>
      <c r="L230" s="50" t="s">
        <v>11828</v>
      </c>
      <c r="M230" s="50" t="s">
        <v>11829</v>
      </c>
      <c r="N230" s="51">
        <v>43749</v>
      </c>
      <c r="O230" s="50" t="s">
        <v>7729</v>
      </c>
      <c r="P230" s="51">
        <v>43749</v>
      </c>
      <c r="Q230" s="51">
        <v>43749</v>
      </c>
      <c r="R230" s="52">
        <v>43749</v>
      </c>
      <c r="S230" s="33" t="s">
        <v>9357</v>
      </c>
      <c r="T230" s="34" t="s">
        <v>7729</v>
      </c>
      <c r="U230" s="35">
        <v>43756</v>
      </c>
      <c r="V230" s="34" t="s">
        <v>11830</v>
      </c>
      <c r="W230" s="34">
        <v>2</v>
      </c>
      <c r="X230" s="34" t="s">
        <v>5683</v>
      </c>
      <c r="Y230" s="34" t="s">
        <v>4999</v>
      </c>
      <c r="Z230" s="36">
        <v>43767</v>
      </c>
      <c r="AA230" s="44" t="s">
        <v>264</v>
      </c>
      <c r="AB230" s="38">
        <v>43767</v>
      </c>
      <c r="AC230" s="39">
        <v>43767</v>
      </c>
      <c r="AD230" s="45"/>
      <c r="AE230" s="46"/>
      <c r="AF230" s="53" t="s">
        <v>11468</v>
      </c>
      <c r="AG230" s="54" t="s">
        <v>4999</v>
      </c>
      <c r="AH230" s="67"/>
    </row>
    <row r="231" spans="1:35" s="2" customFormat="1" ht="17.25" customHeight="1" thickBot="1" x14ac:dyDescent="0.25">
      <c r="A231" s="221" t="str">
        <f t="shared" si="9"/>
        <v>OK</v>
      </c>
      <c r="B231" s="222" t="str">
        <f t="shared" si="10"/>
        <v>OK</v>
      </c>
      <c r="C231" s="223" t="str">
        <f t="shared" si="11"/>
        <v>OK</v>
      </c>
      <c r="D231" s="28">
        <v>0</v>
      </c>
      <c r="E231" s="49" t="s">
        <v>11824</v>
      </c>
      <c r="F231" s="50" t="s">
        <v>8369</v>
      </c>
      <c r="G231" s="50">
        <v>180656</v>
      </c>
      <c r="H231" s="50" t="s">
        <v>11831</v>
      </c>
      <c r="I231" s="50" t="s">
        <v>6820</v>
      </c>
      <c r="J231" s="50" t="s">
        <v>6829</v>
      </c>
      <c r="K231" s="50" t="s">
        <v>11832</v>
      </c>
      <c r="L231" s="50" t="s">
        <v>11833</v>
      </c>
      <c r="M231" s="50" t="s">
        <v>11834</v>
      </c>
      <c r="N231" s="51">
        <v>43790</v>
      </c>
      <c r="O231" s="50" t="s">
        <v>9350</v>
      </c>
      <c r="P231" s="51">
        <v>43790</v>
      </c>
      <c r="Q231" s="51">
        <v>43791</v>
      </c>
      <c r="R231" s="52">
        <v>43794</v>
      </c>
      <c r="S231" s="33" t="s">
        <v>11835</v>
      </c>
      <c r="T231" s="34" t="s">
        <v>9350</v>
      </c>
      <c r="U231" s="35">
        <v>43797</v>
      </c>
      <c r="V231" s="34" t="s">
        <v>11836</v>
      </c>
      <c r="W231" s="34">
        <v>1</v>
      </c>
      <c r="X231" s="34" t="s">
        <v>5683</v>
      </c>
      <c r="Y231" s="34" t="s">
        <v>4999</v>
      </c>
      <c r="Z231" s="36">
        <v>43801</v>
      </c>
      <c r="AA231" s="44" t="s">
        <v>264</v>
      </c>
      <c r="AB231" s="38">
        <v>43801</v>
      </c>
      <c r="AC231" s="39">
        <v>43801</v>
      </c>
      <c r="AD231" s="45"/>
      <c r="AE231" s="46"/>
      <c r="AF231" s="53"/>
      <c r="AG231" s="54"/>
      <c r="AH231" s="67"/>
    </row>
    <row r="232" spans="1:35" s="2" customFormat="1" ht="17.25" customHeight="1" thickBot="1" x14ac:dyDescent="0.25">
      <c r="A232" s="221" t="str">
        <f t="shared" si="9"/>
        <v>OK</v>
      </c>
      <c r="B232" s="222" t="str">
        <f t="shared" si="10"/>
        <v>P</v>
      </c>
      <c r="C232" s="223" t="str">
        <f t="shared" si="11"/>
        <v>P</v>
      </c>
      <c r="D232" s="28">
        <v>0</v>
      </c>
      <c r="E232" s="49" t="s">
        <v>11837</v>
      </c>
      <c r="F232" s="30" t="s">
        <v>9580</v>
      </c>
      <c r="G232" s="30">
        <v>180588</v>
      </c>
      <c r="H232" s="30" t="s">
        <v>9581</v>
      </c>
      <c r="I232" s="30" t="s">
        <v>6820</v>
      </c>
      <c r="J232" s="30" t="s">
        <v>6829</v>
      </c>
      <c r="K232" s="30" t="s">
        <v>11838</v>
      </c>
      <c r="L232" s="30" t="s">
        <v>11839</v>
      </c>
      <c r="M232" s="30" t="s">
        <v>5638</v>
      </c>
      <c r="N232" s="31">
        <v>43748</v>
      </c>
      <c r="O232" s="50" t="s">
        <v>9350</v>
      </c>
      <c r="P232" s="31">
        <v>43748</v>
      </c>
      <c r="Q232" s="31">
        <v>43754</v>
      </c>
      <c r="R232" s="32">
        <v>43756</v>
      </c>
      <c r="S232" s="33"/>
      <c r="T232" s="34"/>
      <c r="U232" s="35"/>
      <c r="V232" s="34"/>
      <c r="W232" s="34"/>
      <c r="X232" s="34"/>
      <c r="Y232" s="34"/>
      <c r="Z232" s="36"/>
      <c r="AA232" s="44"/>
      <c r="AB232" s="38"/>
      <c r="AC232" s="39"/>
      <c r="AD232" s="45"/>
      <c r="AE232" s="46"/>
      <c r="AF232" s="25"/>
      <c r="AG232" s="42"/>
      <c r="AH232" s="26"/>
      <c r="AI232" s="27"/>
    </row>
    <row r="233" spans="1:35" s="2" customFormat="1" ht="17.25" customHeight="1" thickBot="1" x14ac:dyDescent="0.25">
      <c r="A233" s="221" t="str">
        <f t="shared" si="9"/>
        <v>OK</v>
      </c>
      <c r="B233" s="222" t="str">
        <f t="shared" si="10"/>
        <v>OK</v>
      </c>
      <c r="C233" s="223" t="str">
        <f t="shared" si="11"/>
        <v>OK</v>
      </c>
      <c r="D233" s="28">
        <v>0</v>
      </c>
      <c r="E233" s="49" t="s">
        <v>11840</v>
      </c>
      <c r="F233" s="1" t="s">
        <v>9396</v>
      </c>
      <c r="G233" s="50">
        <v>180621</v>
      </c>
      <c r="H233" s="50" t="s">
        <v>11841</v>
      </c>
      <c r="I233" s="50" t="s">
        <v>6820</v>
      </c>
      <c r="J233" s="50" t="s">
        <v>6829</v>
      </c>
      <c r="K233" s="50" t="s">
        <v>2761</v>
      </c>
      <c r="L233" s="50" t="s">
        <v>11842</v>
      </c>
      <c r="M233" s="50" t="s">
        <v>9718</v>
      </c>
      <c r="N233" s="51">
        <v>43767</v>
      </c>
      <c r="O233" s="50" t="s">
        <v>7729</v>
      </c>
      <c r="P233" s="51">
        <v>43767</v>
      </c>
      <c r="Q233" s="51">
        <v>43767</v>
      </c>
      <c r="R233" s="52">
        <v>43774</v>
      </c>
      <c r="S233" s="33" t="s">
        <v>9357</v>
      </c>
      <c r="T233" s="34" t="s">
        <v>7729</v>
      </c>
      <c r="U233" s="35">
        <v>43768</v>
      </c>
      <c r="V233" s="34" t="s">
        <v>293</v>
      </c>
      <c r="W233" s="34">
        <v>2</v>
      </c>
      <c r="X233" s="34" t="s">
        <v>5683</v>
      </c>
      <c r="Y233" s="34" t="s">
        <v>4999</v>
      </c>
      <c r="Z233" s="36">
        <v>43774</v>
      </c>
      <c r="AA233" s="44" t="s">
        <v>264</v>
      </c>
      <c r="AB233" s="38">
        <v>43775</v>
      </c>
      <c r="AC233" s="39">
        <v>43775</v>
      </c>
      <c r="AD233" s="45"/>
      <c r="AE233" s="46"/>
      <c r="AF233" s="53"/>
      <c r="AG233" s="54" t="s">
        <v>4999</v>
      </c>
      <c r="AH233" s="67"/>
    </row>
    <row r="234" spans="1:35" s="2" customFormat="1" ht="17.25" customHeight="1" thickBot="1" x14ac:dyDescent="0.25">
      <c r="A234" s="221" t="str">
        <f t="shared" si="9"/>
        <v>OK</v>
      </c>
      <c r="B234" s="222" t="str">
        <f t="shared" si="10"/>
        <v>OK</v>
      </c>
      <c r="C234" s="223" t="str">
        <f t="shared" si="11"/>
        <v>OK</v>
      </c>
      <c r="D234" s="28">
        <v>0</v>
      </c>
      <c r="E234" s="29" t="s">
        <v>11843</v>
      </c>
      <c r="F234" s="30" t="s">
        <v>9377</v>
      </c>
      <c r="G234" s="30">
        <v>180622</v>
      </c>
      <c r="H234" s="30" t="s">
        <v>11844</v>
      </c>
      <c r="I234" s="30" t="s">
        <v>6820</v>
      </c>
      <c r="J234" s="30" t="s">
        <v>6829</v>
      </c>
      <c r="K234" s="30" t="s">
        <v>11845</v>
      </c>
      <c r="L234" s="30" t="s">
        <v>11846</v>
      </c>
      <c r="M234" s="30" t="s">
        <v>11319</v>
      </c>
      <c r="N234" s="31">
        <v>43767</v>
      </c>
      <c r="O234" s="30" t="s">
        <v>9350</v>
      </c>
      <c r="P234" s="31">
        <v>43767</v>
      </c>
      <c r="Q234" s="31">
        <v>43767</v>
      </c>
      <c r="R234" s="32">
        <v>43767</v>
      </c>
      <c r="S234" s="33" t="s">
        <v>9357</v>
      </c>
      <c r="T234" s="34" t="s">
        <v>7729</v>
      </c>
      <c r="U234" s="35">
        <v>43768</v>
      </c>
      <c r="V234" s="34" t="s">
        <v>11320</v>
      </c>
      <c r="W234" s="34">
        <v>4</v>
      </c>
      <c r="X234" s="34" t="s">
        <v>5683</v>
      </c>
      <c r="Y234" s="34" t="s">
        <v>4999</v>
      </c>
      <c r="Z234" s="36">
        <v>43768</v>
      </c>
      <c r="AA234" s="44" t="s">
        <v>264</v>
      </c>
      <c r="AB234" s="38">
        <v>43769</v>
      </c>
      <c r="AC234" s="39">
        <v>43769</v>
      </c>
      <c r="AD234" s="45"/>
      <c r="AE234" s="46"/>
      <c r="AF234" s="25"/>
      <c r="AG234" s="42" t="s">
        <v>4999</v>
      </c>
      <c r="AH234" s="26"/>
      <c r="AI234" s="27"/>
    </row>
    <row r="235" spans="1:35" s="2" customFormat="1" ht="17.25" customHeight="1" thickBot="1" x14ac:dyDescent="0.25">
      <c r="A235" s="221" t="str">
        <f t="shared" si="9"/>
        <v>OK</v>
      </c>
      <c r="B235" s="222" t="str">
        <f t="shared" si="10"/>
        <v>OK</v>
      </c>
      <c r="C235" s="223" t="str">
        <f t="shared" si="11"/>
        <v>OK</v>
      </c>
      <c r="D235" s="28">
        <v>0</v>
      </c>
      <c r="E235" s="29" t="s">
        <v>11847</v>
      </c>
      <c r="F235" s="30" t="s">
        <v>8326</v>
      </c>
      <c r="G235" s="30">
        <v>180620</v>
      </c>
      <c r="H235" s="30" t="s">
        <v>11848</v>
      </c>
      <c r="I235" s="30" t="s">
        <v>6820</v>
      </c>
      <c r="J235" s="30" t="s">
        <v>6829</v>
      </c>
      <c r="K235" s="30" t="s">
        <v>11849</v>
      </c>
      <c r="L235" s="30" t="s">
        <v>11562</v>
      </c>
      <c r="M235" s="30" t="s">
        <v>10556</v>
      </c>
      <c r="N235" s="31">
        <v>43766</v>
      </c>
      <c r="O235" s="30" t="s">
        <v>9350</v>
      </c>
      <c r="P235" s="31">
        <v>43766</v>
      </c>
      <c r="Q235" s="31">
        <v>43766</v>
      </c>
      <c r="R235" s="32">
        <v>43769</v>
      </c>
      <c r="S235" s="33" t="s">
        <v>9357</v>
      </c>
      <c r="T235" s="34" t="s">
        <v>7729</v>
      </c>
      <c r="U235" s="35">
        <v>43775</v>
      </c>
      <c r="V235" s="34" t="s">
        <v>11850</v>
      </c>
      <c r="W235" s="34">
        <v>6</v>
      </c>
      <c r="X235" s="34" t="s">
        <v>5683</v>
      </c>
      <c r="Y235" s="34" t="s">
        <v>4999</v>
      </c>
      <c r="Z235" s="36">
        <v>43780</v>
      </c>
      <c r="AA235" s="44" t="s">
        <v>264</v>
      </c>
      <c r="AB235" s="38">
        <v>43781</v>
      </c>
      <c r="AC235" s="39">
        <v>43781</v>
      </c>
      <c r="AD235" s="45"/>
      <c r="AE235" s="46"/>
      <c r="AF235" s="53" t="s">
        <v>11468</v>
      </c>
      <c r="AG235" s="42" t="s">
        <v>4999</v>
      </c>
      <c r="AH235" s="26"/>
      <c r="AI235" s="27"/>
    </row>
    <row r="236" spans="1:35" s="2" customFormat="1" ht="17.25" customHeight="1" thickBot="1" x14ac:dyDescent="0.25">
      <c r="A236" s="221" t="str">
        <f t="shared" si="9"/>
        <v>OK</v>
      </c>
      <c r="B236" s="222" t="str">
        <f t="shared" si="10"/>
        <v>OK</v>
      </c>
      <c r="C236" s="223" t="str">
        <f t="shared" si="11"/>
        <v>OK</v>
      </c>
      <c r="D236" s="28">
        <v>0</v>
      </c>
      <c r="E236" s="29" t="s">
        <v>11851</v>
      </c>
      <c r="F236" s="30" t="s">
        <v>3386</v>
      </c>
      <c r="G236" s="30">
        <v>180624</v>
      </c>
      <c r="H236" s="30" t="s">
        <v>11852</v>
      </c>
      <c r="I236" s="30" t="s">
        <v>6820</v>
      </c>
      <c r="J236" s="30" t="s">
        <v>6829</v>
      </c>
      <c r="K236" s="30" t="s">
        <v>11853</v>
      </c>
      <c r="L236" s="30" t="s">
        <v>11854</v>
      </c>
      <c r="M236" s="30" t="s">
        <v>11855</v>
      </c>
      <c r="N236" s="31">
        <v>43768</v>
      </c>
      <c r="O236" s="30" t="s">
        <v>9350</v>
      </c>
      <c r="P236" s="31">
        <v>43768</v>
      </c>
      <c r="Q236" s="31">
        <v>43768</v>
      </c>
      <c r="R236" s="32">
        <v>43768</v>
      </c>
      <c r="S236" s="33" t="s">
        <v>9357</v>
      </c>
      <c r="T236" s="34" t="s">
        <v>9350</v>
      </c>
      <c r="U236" s="35">
        <v>43770</v>
      </c>
      <c r="V236" s="34" t="s">
        <v>11856</v>
      </c>
      <c r="W236" s="34">
        <v>12</v>
      </c>
      <c r="X236" s="34" t="s">
        <v>5683</v>
      </c>
      <c r="Y236" s="34" t="s">
        <v>4999</v>
      </c>
      <c r="Z236" s="36">
        <v>43777</v>
      </c>
      <c r="AA236" s="44" t="s">
        <v>264</v>
      </c>
      <c r="AB236" s="38">
        <v>43777</v>
      </c>
      <c r="AC236" s="39">
        <v>43777</v>
      </c>
      <c r="AD236" s="45"/>
      <c r="AE236" s="46"/>
      <c r="AF236" s="25"/>
      <c r="AG236" s="42" t="s">
        <v>4999</v>
      </c>
      <c r="AH236" s="63"/>
      <c r="AI236" s="27"/>
    </row>
    <row r="237" spans="1:35" s="2" customFormat="1" ht="17.25" customHeight="1" thickBot="1" x14ac:dyDescent="0.25">
      <c r="A237" s="221" t="str">
        <f t="shared" si="9"/>
        <v>OK</v>
      </c>
      <c r="B237" s="222" t="str">
        <f t="shared" si="10"/>
        <v>OK</v>
      </c>
      <c r="C237" s="223" t="str">
        <f t="shared" si="11"/>
        <v>OK</v>
      </c>
      <c r="D237" s="28">
        <v>0</v>
      </c>
      <c r="E237" s="49" t="s">
        <v>11857</v>
      </c>
      <c r="F237" s="50" t="s">
        <v>6169</v>
      </c>
      <c r="G237" s="50">
        <v>180607</v>
      </c>
      <c r="H237" s="50" t="s">
        <v>11858</v>
      </c>
      <c r="I237" s="50" t="s">
        <v>6820</v>
      </c>
      <c r="J237" s="50" t="s">
        <v>6829</v>
      </c>
      <c r="K237" s="50" t="s">
        <v>11859</v>
      </c>
      <c r="L237" s="50" t="s">
        <v>11860</v>
      </c>
      <c r="M237" s="50" t="s">
        <v>8789</v>
      </c>
      <c r="N237" s="51">
        <v>43761</v>
      </c>
      <c r="O237" s="51" t="s">
        <v>9350</v>
      </c>
      <c r="P237" s="51">
        <v>43761</v>
      </c>
      <c r="Q237" s="51">
        <v>43761</v>
      </c>
      <c r="R237" s="52">
        <v>43761</v>
      </c>
      <c r="S237" s="33" t="s">
        <v>9357</v>
      </c>
      <c r="T237" s="34" t="s">
        <v>7729</v>
      </c>
      <c r="U237" s="35">
        <v>43773</v>
      </c>
      <c r="V237" s="34" t="s">
        <v>3416</v>
      </c>
      <c r="W237" s="34">
        <v>2</v>
      </c>
      <c r="X237" s="34" t="s">
        <v>5683</v>
      </c>
      <c r="Y237" s="34" t="s">
        <v>4999</v>
      </c>
      <c r="Z237" s="36">
        <v>43777</v>
      </c>
      <c r="AA237" s="44" t="s">
        <v>264</v>
      </c>
      <c r="AB237" s="38">
        <v>43777</v>
      </c>
      <c r="AC237" s="39">
        <v>43777</v>
      </c>
      <c r="AD237" s="45"/>
      <c r="AE237" s="46"/>
      <c r="AF237" s="53"/>
      <c r="AG237" s="54" t="s">
        <v>4999</v>
      </c>
      <c r="AH237" s="67"/>
    </row>
    <row r="238" spans="1:35" s="2" customFormat="1" ht="17.25" customHeight="1" thickBot="1" x14ac:dyDescent="0.25">
      <c r="A238" s="221" t="str">
        <f t="shared" si="9"/>
        <v>OK</v>
      </c>
      <c r="B238" s="222" t="str">
        <f t="shared" si="10"/>
        <v>OK</v>
      </c>
      <c r="C238" s="223" t="str">
        <f t="shared" si="11"/>
        <v>OK</v>
      </c>
      <c r="D238" s="28">
        <v>0</v>
      </c>
      <c r="E238" s="49" t="s">
        <v>11861</v>
      </c>
      <c r="F238" s="50" t="s">
        <v>6169</v>
      </c>
      <c r="G238" s="50">
        <v>180608</v>
      </c>
      <c r="H238" s="50" t="s">
        <v>11862</v>
      </c>
      <c r="I238" s="50" t="s">
        <v>6820</v>
      </c>
      <c r="J238" s="50" t="s">
        <v>6829</v>
      </c>
      <c r="K238" s="50" t="s">
        <v>1682</v>
      </c>
      <c r="L238" s="50" t="s">
        <v>11863</v>
      </c>
      <c r="M238" s="50" t="s">
        <v>9107</v>
      </c>
      <c r="N238" s="51">
        <v>43761</v>
      </c>
      <c r="O238" s="51" t="s">
        <v>9350</v>
      </c>
      <c r="P238" s="51">
        <v>43761</v>
      </c>
      <c r="Q238" s="51">
        <v>43761</v>
      </c>
      <c r="R238" s="52">
        <v>43761</v>
      </c>
      <c r="S238" s="33" t="s">
        <v>9357</v>
      </c>
      <c r="T238" s="34" t="s">
        <v>9357</v>
      </c>
      <c r="U238" s="35">
        <v>43818</v>
      </c>
      <c r="V238" s="34" t="s">
        <v>11864</v>
      </c>
      <c r="W238" s="34">
        <v>1</v>
      </c>
      <c r="X238" s="34" t="s">
        <v>5683</v>
      </c>
      <c r="Y238" s="34" t="s">
        <v>4999</v>
      </c>
      <c r="Z238" s="36">
        <v>43819</v>
      </c>
      <c r="AA238" s="44" t="s">
        <v>264</v>
      </c>
      <c r="AB238" s="38">
        <v>43819</v>
      </c>
      <c r="AC238" s="39">
        <v>43819</v>
      </c>
      <c r="AD238" s="45"/>
      <c r="AE238" s="46"/>
      <c r="AF238" s="53" t="s">
        <v>11468</v>
      </c>
      <c r="AG238" s="54" t="s">
        <v>4999</v>
      </c>
      <c r="AH238" s="67"/>
    </row>
    <row r="239" spans="1:35" s="2" customFormat="1" ht="17.25" customHeight="1" thickBot="1" x14ac:dyDescent="0.25">
      <c r="A239" s="221" t="str">
        <f t="shared" si="9"/>
        <v>OK</v>
      </c>
      <c r="B239" s="222" t="str">
        <f t="shared" si="10"/>
        <v>OK</v>
      </c>
      <c r="C239" s="223" t="str">
        <f t="shared" si="11"/>
        <v>OK</v>
      </c>
      <c r="D239" s="28">
        <v>0</v>
      </c>
      <c r="E239" s="49" t="s">
        <v>11865</v>
      </c>
      <c r="F239" s="50" t="s">
        <v>6169</v>
      </c>
      <c r="G239" s="50">
        <v>180609</v>
      </c>
      <c r="H239" s="50" t="s">
        <v>11866</v>
      </c>
      <c r="I239" s="50" t="s">
        <v>6820</v>
      </c>
      <c r="J239" s="50" t="s">
        <v>6829</v>
      </c>
      <c r="K239" s="50" t="s">
        <v>6277</v>
      </c>
      <c r="L239" s="50">
        <v>200350</v>
      </c>
      <c r="M239" s="50" t="s">
        <v>1684</v>
      </c>
      <c r="N239" s="51">
        <v>43761</v>
      </c>
      <c r="O239" s="51" t="s">
        <v>9350</v>
      </c>
      <c r="P239" s="51">
        <v>43761</v>
      </c>
      <c r="Q239" s="51">
        <v>43761</v>
      </c>
      <c r="R239" s="52">
        <v>43761</v>
      </c>
      <c r="S239" s="33" t="s">
        <v>9357</v>
      </c>
      <c r="T239" s="34" t="s">
        <v>9357</v>
      </c>
      <c r="U239" s="35">
        <v>43818</v>
      </c>
      <c r="V239" s="34" t="s">
        <v>11430</v>
      </c>
      <c r="W239" s="34">
        <v>2</v>
      </c>
      <c r="X239" s="34" t="s">
        <v>5683</v>
      </c>
      <c r="Y239" s="34" t="s">
        <v>1687</v>
      </c>
      <c r="Z239" s="36">
        <v>43819</v>
      </c>
      <c r="AA239" s="44" t="s">
        <v>264</v>
      </c>
      <c r="AB239" s="38">
        <v>43819</v>
      </c>
      <c r="AC239" s="39">
        <v>43819</v>
      </c>
      <c r="AD239" s="45"/>
      <c r="AE239" s="46"/>
      <c r="AF239" s="53" t="s">
        <v>11468</v>
      </c>
      <c r="AG239" s="54" t="s">
        <v>4999</v>
      </c>
      <c r="AH239" s="67"/>
    </row>
    <row r="240" spans="1:35" s="2" customFormat="1" ht="17.25" customHeight="1" thickBot="1" x14ac:dyDescent="0.25">
      <c r="A240" s="221" t="str">
        <f t="shared" si="9"/>
        <v>OK</v>
      </c>
      <c r="B240" s="222" t="str">
        <f t="shared" si="10"/>
        <v>OK</v>
      </c>
      <c r="C240" s="223" t="str">
        <f t="shared" si="11"/>
        <v>OK</v>
      </c>
      <c r="D240" s="28">
        <v>0</v>
      </c>
      <c r="E240" s="49" t="s">
        <v>11867</v>
      </c>
      <c r="F240" s="50" t="s">
        <v>8369</v>
      </c>
      <c r="G240" s="50">
        <v>180635</v>
      </c>
      <c r="H240" s="50" t="s">
        <v>11868</v>
      </c>
      <c r="I240" s="50" t="s">
        <v>6820</v>
      </c>
      <c r="J240" s="50" t="s">
        <v>6829</v>
      </c>
      <c r="K240" s="50" t="s">
        <v>11869</v>
      </c>
      <c r="L240" s="50" t="s">
        <v>11870</v>
      </c>
      <c r="M240" s="50" t="s">
        <v>6232</v>
      </c>
      <c r="N240" s="51">
        <v>43776</v>
      </c>
      <c r="O240" s="50" t="s">
        <v>9350</v>
      </c>
      <c r="P240" s="51">
        <v>43776</v>
      </c>
      <c r="Q240" s="51" t="s">
        <v>11871</v>
      </c>
      <c r="R240" s="52">
        <v>43777</v>
      </c>
      <c r="S240" s="33" t="s">
        <v>9357</v>
      </c>
      <c r="T240" s="34" t="s">
        <v>9357</v>
      </c>
      <c r="U240" s="35">
        <v>43780</v>
      </c>
      <c r="V240" s="34" t="s">
        <v>11517</v>
      </c>
      <c r="W240" s="34">
        <v>1</v>
      </c>
      <c r="X240" s="34" t="s">
        <v>5683</v>
      </c>
      <c r="Y240" s="34" t="s">
        <v>4999</v>
      </c>
      <c r="Z240" s="36">
        <v>43781</v>
      </c>
      <c r="AA240" s="44" t="s">
        <v>264</v>
      </c>
      <c r="AB240" s="38">
        <v>43782</v>
      </c>
      <c r="AC240" s="39">
        <v>43782</v>
      </c>
      <c r="AD240" s="45"/>
      <c r="AE240" s="46"/>
      <c r="AF240" s="53"/>
      <c r="AG240" s="54" t="s">
        <v>4999</v>
      </c>
      <c r="AH240" s="67"/>
    </row>
    <row r="241" spans="1:35" s="2" customFormat="1" ht="17.25" customHeight="1" thickBot="1" x14ac:dyDescent="0.25">
      <c r="A241" s="221" t="str">
        <f t="shared" si="9"/>
        <v>P</v>
      </c>
      <c r="B241" s="222" t="str">
        <f t="shared" si="10"/>
        <v>P</v>
      </c>
      <c r="C241" s="223" t="str">
        <f t="shared" si="11"/>
        <v>P</v>
      </c>
      <c r="D241" s="28">
        <v>0</v>
      </c>
      <c r="E241" s="49" t="s">
        <v>11872</v>
      </c>
      <c r="F241" s="50"/>
      <c r="G241" s="50"/>
      <c r="H241" s="50"/>
      <c r="I241" s="50" t="s">
        <v>6820</v>
      </c>
      <c r="J241" s="50" t="s">
        <v>6829</v>
      </c>
      <c r="K241" s="50"/>
      <c r="L241" s="50"/>
      <c r="M241" s="50"/>
      <c r="N241" s="51"/>
      <c r="O241" s="50"/>
      <c r="P241" s="51"/>
      <c r="Q241" s="51"/>
      <c r="R241" s="52"/>
      <c r="S241" s="33"/>
      <c r="T241" s="34"/>
      <c r="U241" s="35"/>
      <c r="V241" s="34"/>
      <c r="W241" s="34"/>
      <c r="X241" s="34" t="s">
        <v>5683</v>
      </c>
      <c r="Y241" s="34"/>
      <c r="Z241" s="36"/>
      <c r="AA241" s="44"/>
      <c r="AB241" s="38"/>
      <c r="AC241" s="39"/>
      <c r="AD241" s="45" t="e">
        <v>#VALUE!</v>
      </c>
      <c r="AE241" s="46" t="e">
        <v>#VALUE!</v>
      </c>
      <c r="AF241" s="53"/>
      <c r="AG241" s="54"/>
      <c r="AH241" s="67"/>
    </row>
    <row r="242" spans="1:35" s="2" customFormat="1" ht="17.25" customHeight="1" thickBot="1" x14ac:dyDescent="0.25">
      <c r="A242" s="221" t="str">
        <f t="shared" si="9"/>
        <v>OK</v>
      </c>
      <c r="B242" s="222" t="str">
        <f t="shared" si="10"/>
        <v>OK</v>
      </c>
      <c r="C242" s="223" t="str">
        <f t="shared" si="11"/>
        <v>OK</v>
      </c>
      <c r="D242" s="28">
        <v>0</v>
      </c>
      <c r="E242" s="49" t="s">
        <v>11873</v>
      </c>
      <c r="F242" s="50" t="s">
        <v>2762</v>
      </c>
      <c r="G242" s="50">
        <v>180602</v>
      </c>
      <c r="H242" s="50" t="s">
        <v>11874</v>
      </c>
      <c r="I242" s="50" t="s">
        <v>6820</v>
      </c>
      <c r="J242" s="50" t="s">
        <v>6829</v>
      </c>
      <c r="K242" s="50" t="s">
        <v>11875</v>
      </c>
      <c r="L242" s="50" t="s">
        <v>11876</v>
      </c>
      <c r="M242" s="50" t="s">
        <v>11385</v>
      </c>
      <c r="N242" s="51">
        <v>43756</v>
      </c>
      <c r="O242" s="50" t="s">
        <v>9350</v>
      </c>
      <c r="P242" s="51">
        <v>43367</v>
      </c>
      <c r="Q242" s="51">
        <v>43756</v>
      </c>
      <c r="R242" s="52">
        <v>43780</v>
      </c>
      <c r="S242" s="33" t="s">
        <v>11835</v>
      </c>
      <c r="T242" s="34" t="s">
        <v>9357</v>
      </c>
      <c r="U242" s="35">
        <v>43815</v>
      </c>
      <c r="V242" s="34" t="s">
        <v>11877</v>
      </c>
      <c r="W242" s="34">
        <v>7</v>
      </c>
      <c r="X242" s="34" t="s">
        <v>5683</v>
      </c>
      <c r="Y242" s="34" t="s">
        <v>4999</v>
      </c>
      <c r="Z242" s="36">
        <v>43816</v>
      </c>
      <c r="AA242" s="44" t="s">
        <v>264</v>
      </c>
      <c r="AB242" s="38">
        <v>43816</v>
      </c>
      <c r="AC242" s="39">
        <v>43816</v>
      </c>
      <c r="AD242" s="45"/>
      <c r="AE242" s="46"/>
      <c r="AF242" s="53" t="s">
        <v>11468</v>
      </c>
      <c r="AG242" s="54" t="s">
        <v>4999</v>
      </c>
      <c r="AH242" s="67"/>
    </row>
    <row r="243" spans="1:35" s="2" customFormat="1" ht="17.25" customHeight="1" thickBot="1" x14ac:dyDescent="0.25">
      <c r="A243" s="221" t="str">
        <f t="shared" si="9"/>
        <v>OK</v>
      </c>
      <c r="B243" s="222" t="str">
        <f t="shared" si="10"/>
        <v>OK</v>
      </c>
      <c r="C243" s="223" t="str">
        <f t="shared" si="11"/>
        <v>OK</v>
      </c>
      <c r="D243" s="28">
        <v>0</v>
      </c>
      <c r="E243" s="29" t="s">
        <v>11878</v>
      </c>
      <c r="F243" s="30" t="s">
        <v>9377</v>
      </c>
      <c r="G243" s="30">
        <v>180641</v>
      </c>
      <c r="H243" s="30" t="s">
        <v>11879</v>
      </c>
      <c r="I243" s="30" t="s">
        <v>6820</v>
      </c>
      <c r="J243" s="30" t="s">
        <v>6829</v>
      </c>
      <c r="K243" s="30" t="s">
        <v>11880</v>
      </c>
      <c r="L243" s="30" t="s">
        <v>11881</v>
      </c>
      <c r="M243" s="30" t="s">
        <v>5736</v>
      </c>
      <c r="N243" s="51">
        <v>43781</v>
      </c>
      <c r="O243" s="30" t="s">
        <v>9350</v>
      </c>
      <c r="P243" s="31">
        <v>43781</v>
      </c>
      <c r="Q243" s="31">
        <v>43781</v>
      </c>
      <c r="R243" s="32">
        <v>43782</v>
      </c>
      <c r="S243" s="33" t="s">
        <v>9357</v>
      </c>
      <c r="T243" s="34" t="s">
        <v>9350</v>
      </c>
      <c r="U243" s="35">
        <v>43783</v>
      </c>
      <c r="V243" s="34" t="s">
        <v>5737</v>
      </c>
      <c r="W243" s="34">
        <v>2</v>
      </c>
      <c r="X243" s="34" t="s">
        <v>5683</v>
      </c>
      <c r="Y243" s="34" t="s">
        <v>4999</v>
      </c>
      <c r="Z243" s="36">
        <v>43787</v>
      </c>
      <c r="AA243" s="44" t="s">
        <v>264</v>
      </c>
      <c r="AB243" s="38">
        <v>43787</v>
      </c>
      <c r="AC243" s="38">
        <v>43787</v>
      </c>
      <c r="AD243" s="45"/>
      <c r="AE243" s="46"/>
      <c r="AF243" s="25"/>
      <c r="AG243" s="42" t="s">
        <v>4999</v>
      </c>
      <c r="AH243" s="26"/>
      <c r="AI243" s="27"/>
    </row>
    <row r="244" spans="1:35" s="2" customFormat="1" ht="17.25" customHeight="1" thickBot="1" x14ac:dyDescent="0.25">
      <c r="A244" s="221" t="str">
        <f t="shared" si="9"/>
        <v>OK</v>
      </c>
      <c r="B244" s="222" t="str">
        <f t="shared" si="10"/>
        <v>OK</v>
      </c>
      <c r="C244" s="223" t="str">
        <f t="shared" si="11"/>
        <v>OK</v>
      </c>
      <c r="D244" s="28">
        <v>0</v>
      </c>
      <c r="E244" s="29" t="s">
        <v>11882</v>
      </c>
      <c r="F244" s="30" t="s">
        <v>6792</v>
      </c>
      <c r="G244" s="30">
        <v>180642</v>
      </c>
      <c r="H244" s="30" t="s">
        <v>11883</v>
      </c>
      <c r="I244" s="30" t="s">
        <v>6820</v>
      </c>
      <c r="J244" s="30" t="s">
        <v>6829</v>
      </c>
      <c r="K244" s="30" t="s">
        <v>11884</v>
      </c>
      <c r="L244" s="30" t="s">
        <v>11885</v>
      </c>
      <c r="M244" s="30" t="s">
        <v>6795</v>
      </c>
      <c r="N244" s="31">
        <v>43780</v>
      </c>
      <c r="O244" s="30" t="s">
        <v>9350</v>
      </c>
      <c r="P244" s="31">
        <v>43780</v>
      </c>
      <c r="Q244" s="31">
        <v>43781</v>
      </c>
      <c r="R244" s="32">
        <v>43782</v>
      </c>
      <c r="S244" s="33" t="s">
        <v>9357</v>
      </c>
      <c r="T244" s="34" t="s">
        <v>9357</v>
      </c>
      <c r="U244" s="35">
        <v>43788</v>
      </c>
      <c r="V244" s="34" t="s">
        <v>11886</v>
      </c>
      <c r="W244" s="34">
        <v>19</v>
      </c>
      <c r="X244" s="34" t="s">
        <v>5683</v>
      </c>
      <c r="Y244" s="34" t="s">
        <v>4999</v>
      </c>
      <c r="Z244" s="36">
        <v>43791</v>
      </c>
      <c r="AA244" s="44" t="s">
        <v>264</v>
      </c>
      <c r="AB244" s="38">
        <v>43791</v>
      </c>
      <c r="AC244" s="39">
        <v>43791</v>
      </c>
      <c r="AD244" s="45"/>
      <c r="AE244" s="46"/>
      <c r="AF244" s="53" t="s">
        <v>11468</v>
      </c>
      <c r="AG244" s="42" t="s">
        <v>4999</v>
      </c>
      <c r="AH244" s="63"/>
      <c r="AI244" s="27"/>
    </row>
    <row r="245" spans="1:35" s="2" customFormat="1" ht="17.25" customHeight="1" thickBot="1" x14ac:dyDescent="0.25">
      <c r="A245" s="221" t="str">
        <f t="shared" si="9"/>
        <v>OK</v>
      </c>
      <c r="B245" s="222" t="str">
        <f t="shared" si="10"/>
        <v>OK</v>
      </c>
      <c r="C245" s="223" t="str">
        <f t="shared" si="11"/>
        <v>OK</v>
      </c>
      <c r="D245" s="28">
        <v>0</v>
      </c>
      <c r="E245" s="29" t="s">
        <v>11887</v>
      </c>
      <c r="F245" s="30" t="s">
        <v>9024</v>
      </c>
      <c r="G245" s="30">
        <v>180638</v>
      </c>
      <c r="H245" s="30" t="s">
        <v>11888</v>
      </c>
      <c r="I245" s="30" t="s">
        <v>7152</v>
      </c>
      <c r="J245" s="30" t="s">
        <v>6829</v>
      </c>
      <c r="K245" s="30" t="s">
        <v>11889</v>
      </c>
      <c r="L245" s="30" t="s">
        <v>11890</v>
      </c>
      <c r="M245" s="30" t="s">
        <v>2504</v>
      </c>
      <c r="N245" s="31">
        <v>43780</v>
      </c>
      <c r="O245" s="30" t="s">
        <v>7729</v>
      </c>
      <c r="P245" s="31">
        <v>43780</v>
      </c>
      <c r="Q245" s="31">
        <v>43780</v>
      </c>
      <c r="R245" s="32">
        <v>43781</v>
      </c>
      <c r="S245" s="33" t="s">
        <v>9357</v>
      </c>
      <c r="T245" s="34" t="s">
        <v>9350</v>
      </c>
      <c r="U245" s="35">
        <v>43783</v>
      </c>
      <c r="V245" s="34" t="s">
        <v>11891</v>
      </c>
      <c r="W245" s="34">
        <v>3</v>
      </c>
      <c r="X245" s="34" t="s">
        <v>5683</v>
      </c>
      <c r="Y245" s="34" t="s">
        <v>4999</v>
      </c>
      <c r="Z245" s="36">
        <v>43788</v>
      </c>
      <c r="AA245" s="44" t="s">
        <v>264</v>
      </c>
      <c r="AB245" s="38">
        <v>43788</v>
      </c>
      <c r="AC245" s="38">
        <v>43788</v>
      </c>
      <c r="AD245" s="45"/>
      <c r="AE245" s="46"/>
      <c r="AF245" s="25"/>
      <c r="AG245" s="42" t="s">
        <v>4999</v>
      </c>
      <c r="AH245" s="26"/>
      <c r="AI245" s="27"/>
    </row>
    <row r="246" spans="1:35" s="2" customFormat="1" ht="17.25" customHeight="1" thickBot="1" x14ac:dyDescent="0.25">
      <c r="A246" s="221" t="str">
        <f t="shared" si="9"/>
        <v>OK</v>
      </c>
      <c r="B246" s="222" t="str">
        <f t="shared" si="10"/>
        <v>OK</v>
      </c>
      <c r="C246" s="223" t="str">
        <f t="shared" si="11"/>
        <v>OK</v>
      </c>
      <c r="D246" s="28">
        <v>0</v>
      </c>
      <c r="E246" s="49" t="s">
        <v>11892</v>
      </c>
      <c r="F246" s="50" t="s">
        <v>8272</v>
      </c>
      <c r="G246" s="50">
        <v>180554</v>
      </c>
      <c r="H246" s="50" t="s">
        <v>11893</v>
      </c>
      <c r="I246" s="50" t="s">
        <v>6820</v>
      </c>
      <c r="J246" s="50" t="s">
        <v>6829</v>
      </c>
      <c r="K246" s="50" t="s">
        <v>5951</v>
      </c>
      <c r="L246" s="50" t="s">
        <v>11894</v>
      </c>
      <c r="M246" s="50" t="s">
        <v>504</v>
      </c>
      <c r="N246" s="51">
        <v>43728</v>
      </c>
      <c r="O246" s="50" t="s">
        <v>7729</v>
      </c>
      <c r="P246" s="51">
        <v>43731</v>
      </c>
      <c r="Q246" s="51">
        <v>43731</v>
      </c>
      <c r="R246" s="52">
        <v>43788</v>
      </c>
      <c r="S246" s="33" t="s">
        <v>9357</v>
      </c>
      <c r="T246" s="34" t="s">
        <v>9350</v>
      </c>
      <c r="U246" s="35">
        <v>43790</v>
      </c>
      <c r="V246" s="34" t="s">
        <v>505</v>
      </c>
      <c r="W246" s="34">
        <v>2</v>
      </c>
      <c r="X246" s="34" t="s">
        <v>5683</v>
      </c>
      <c r="Y246" s="34" t="s">
        <v>4999</v>
      </c>
      <c r="Z246" s="36">
        <v>43794</v>
      </c>
      <c r="AA246" s="44" t="s">
        <v>264</v>
      </c>
      <c r="AB246" s="38">
        <v>43795</v>
      </c>
      <c r="AC246" s="38">
        <v>43795</v>
      </c>
      <c r="AD246" s="45"/>
      <c r="AE246" s="46"/>
      <c r="AF246" s="53" t="s">
        <v>11468</v>
      </c>
      <c r="AG246" s="54" t="s">
        <v>4999</v>
      </c>
      <c r="AH246" s="67"/>
    </row>
    <row r="247" spans="1:35" s="2" customFormat="1" ht="17.25" customHeight="1" thickBot="1" x14ac:dyDescent="0.25">
      <c r="A247" s="221" t="str">
        <f t="shared" si="9"/>
        <v>P</v>
      </c>
      <c r="B247" s="222" t="str">
        <f t="shared" si="10"/>
        <v>P</v>
      </c>
      <c r="C247" s="223" t="str">
        <f t="shared" si="11"/>
        <v>P</v>
      </c>
      <c r="D247" s="28">
        <v>0</v>
      </c>
      <c r="E247" s="49" t="s">
        <v>11895</v>
      </c>
      <c r="F247" s="50"/>
      <c r="G247" s="50"/>
      <c r="H247" s="50"/>
      <c r="I247" s="50"/>
      <c r="J247" s="50" t="s">
        <v>6829</v>
      </c>
      <c r="K247" s="50"/>
      <c r="L247" s="50"/>
      <c r="M247" s="50" t="s">
        <v>11896</v>
      </c>
      <c r="N247" s="51"/>
      <c r="O247" s="50"/>
      <c r="P247" s="51"/>
      <c r="Q247" s="51"/>
      <c r="R247" s="52"/>
      <c r="S247" s="33"/>
      <c r="T247" s="34"/>
      <c r="U247" s="35"/>
      <c r="V247" s="34"/>
      <c r="W247" s="34"/>
      <c r="X247" s="34"/>
      <c r="Y247" s="34"/>
      <c r="Z247" s="36"/>
      <c r="AA247" s="44"/>
      <c r="AB247" s="38"/>
      <c r="AC247" s="39"/>
      <c r="AD247" s="45"/>
      <c r="AE247" s="46"/>
      <c r="AF247" s="76"/>
      <c r="AG247" s="77"/>
      <c r="AH247" s="7"/>
      <c r="AI247" s="6"/>
    </row>
    <row r="248" spans="1:35" s="2" customFormat="1" ht="17.25" customHeight="1" thickBot="1" x14ac:dyDescent="0.25">
      <c r="A248" s="221" t="str">
        <f t="shared" si="9"/>
        <v>OK</v>
      </c>
      <c r="B248" s="222" t="str">
        <f t="shared" si="10"/>
        <v>OK</v>
      </c>
      <c r="C248" s="223" t="str">
        <f t="shared" si="11"/>
        <v>OK</v>
      </c>
      <c r="D248" s="28">
        <v>0</v>
      </c>
      <c r="E248" s="49" t="s">
        <v>11897</v>
      </c>
      <c r="F248" s="50" t="s">
        <v>3449</v>
      </c>
      <c r="G248" s="50">
        <v>180645</v>
      </c>
      <c r="H248" s="50" t="s">
        <v>11898</v>
      </c>
      <c r="I248" s="50" t="s">
        <v>6820</v>
      </c>
      <c r="J248" s="50" t="s">
        <v>6829</v>
      </c>
      <c r="K248" s="50" t="s">
        <v>11899</v>
      </c>
      <c r="L248" s="50" t="s">
        <v>11900</v>
      </c>
      <c r="M248" s="50" t="s">
        <v>9475</v>
      </c>
      <c r="N248" s="51">
        <v>43783</v>
      </c>
      <c r="O248" s="50" t="s">
        <v>7729</v>
      </c>
      <c r="P248" s="51">
        <v>43783</v>
      </c>
      <c r="Q248" s="51">
        <v>43783</v>
      </c>
      <c r="R248" s="52">
        <v>43788</v>
      </c>
      <c r="S248" s="33" t="s">
        <v>9357</v>
      </c>
      <c r="T248" s="34" t="s">
        <v>7729</v>
      </c>
      <c r="U248" s="35">
        <v>43811</v>
      </c>
      <c r="V248" s="34" t="s">
        <v>11901</v>
      </c>
      <c r="W248" s="34">
        <v>2</v>
      </c>
      <c r="X248" s="34" t="s">
        <v>5683</v>
      </c>
      <c r="Y248" s="34" t="s">
        <v>4999</v>
      </c>
      <c r="Z248" s="36">
        <v>43815</v>
      </c>
      <c r="AA248" s="44" t="s">
        <v>264</v>
      </c>
      <c r="AB248" s="38">
        <v>43815</v>
      </c>
      <c r="AC248" s="38">
        <v>43815</v>
      </c>
      <c r="AD248" s="45"/>
      <c r="AE248" s="46"/>
      <c r="AF248" s="53" t="s">
        <v>11468</v>
      </c>
      <c r="AG248" s="78" t="s">
        <v>11902</v>
      </c>
      <c r="AH248" s="7"/>
      <c r="AI248" s="6"/>
    </row>
    <row r="249" spans="1:35" s="2" customFormat="1" ht="17.25" customHeight="1" thickBot="1" x14ac:dyDescent="0.25">
      <c r="A249" s="221" t="str">
        <f t="shared" si="9"/>
        <v>OK</v>
      </c>
      <c r="B249" s="222" t="str">
        <f t="shared" si="10"/>
        <v>OK</v>
      </c>
      <c r="C249" s="223" t="str">
        <f t="shared" si="11"/>
        <v>OK</v>
      </c>
      <c r="D249" s="28">
        <v>0</v>
      </c>
      <c r="E249" s="29" t="s">
        <v>11903</v>
      </c>
      <c r="F249" s="30" t="s">
        <v>9377</v>
      </c>
      <c r="G249" s="30">
        <v>180643</v>
      </c>
      <c r="H249" s="30" t="s">
        <v>11904</v>
      </c>
      <c r="I249" s="30" t="s">
        <v>6820</v>
      </c>
      <c r="J249" s="30" t="s">
        <v>6829</v>
      </c>
      <c r="K249" s="30" t="s">
        <v>11905</v>
      </c>
      <c r="L249" s="30" t="s">
        <v>11906</v>
      </c>
      <c r="M249" s="30" t="s">
        <v>8268</v>
      </c>
      <c r="N249" s="31">
        <v>43781</v>
      </c>
      <c r="O249" s="30" t="s">
        <v>9350</v>
      </c>
      <c r="P249" s="31">
        <v>43781</v>
      </c>
      <c r="Q249" s="31">
        <v>43781</v>
      </c>
      <c r="R249" s="32">
        <v>43782</v>
      </c>
      <c r="S249" s="33" t="s">
        <v>9357</v>
      </c>
      <c r="T249" s="34" t="s">
        <v>9350</v>
      </c>
      <c r="U249" s="35">
        <v>43796</v>
      </c>
      <c r="V249" s="34" t="s">
        <v>11907</v>
      </c>
      <c r="W249" s="34">
        <v>1</v>
      </c>
      <c r="X249" s="34" t="s">
        <v>5683</v>
      </c>
      <c r="Y249" s="34" t="s">
        <v>4999</v>
      </c>
      <c r="Z249" s="36">
        <v>43797</v>
      </c>
      <c r="AA249" s="44" t="s">
        <v>264</v>
      </c>
      <c r="AB249" s="38">
        <v>43797</v>
      </c>
      <c r="AC249" s="38">
        <v>43797</v>
      </c>
      <c r="AD249" s="45"/>
      <c r="AE249" s="46"/>
      <c r="AF249" s="53" t="s">
        <v>11468</v>
      </c>
      <c r="AG249" s="42" t="s">
        <v>4999</v>
      </c>
      <c r="AH249" s="26"/>
      <c r="AI249" s="27"/>
    </row>
    <row r="250" spans="1:35" s="2" customFormat="1" ht="17.25" customHeight="1" thickBot="1" x14ac:dyDescent="0.25">
      <c r="A250" s="221" t="str">
        <f t="shared" si="9"/>
        <v>OK</v>
      </c>
      <c r="B250" s="222" t="str">
        <f t="shared" si="10"/>
        <v>OK</v>
      </c>
      <c r="C250" s="223" t="str">
        <f t="shared" si="11"/>
        <v>OK</v>
      </c>
      <c r="D250" s="28">
        <v>0</v>
      </c>
      <c r="E250" s="29" t="s">
        <v>11908</v>
      </c>
      <c r="F250" s="30" t="s">
        <v>9024</v>
      </c>
      <c r="G250" s="30">
        <v>180654</v>
      </c>
      <c r="H250" s="30" t="s">
        <v>11909</v>
      </c>
      <c r="I250" s="30" t="s">
        <v>6820</v>
      </c>
      <c r="J250" s="30" t="s">
        <v>6829</v>
      </c>
      <c r="K250" s="30" t="s">
        <v>11705</v>
      </c>
      <c r="L250" s="30" t="s">
        <v>11910</v>
      </c>
      <c r="M250" s="30" t="s">
        <v>2504</v>
      </c>
      <c r="N250" s="31">
        <v>43788</v>
      </c>
      <c r="O250" s="30" t="s">
        <v>9350</v>
      </c>
      <c r="P250" s="31">
        <v>43788</v>
      </c>
      <c r="Q250" s="31">
        <v>43788</v>
      </c>
      <c r="R250" s="32">
        <v>43788</v>
      </c>
      <c r="S250" s="33" t="s">
        <v>11835</v>
      </c>
      <c r="T250" s="34" t="s">
        <v>9350</v>
      </c>
      <c r="U250" s="35">
        <v>43790</v>
      </c>
      <c r="V250" s="34" t="s">
        <v>9029</v>
      </c>
      <c r="W250" s="34">
        <v>2</v>
      </c>
      <c r="X250" s="34" t="s">
        <v>5683</v>
      </c>
      <c r="Y250" s="34" t="s">
        <v>4999</v>
      </c>
      <c r="Z250" s="36">
        <v>43797</v>
      </c>
      <c r="AA250" s="44" t="s">
        <v>264</v>
      </c>
      <c r="AB250" s="38">
        <v>43797</v>
      </c>
      <c r="AC250" s="39">
        <v>43797</v>
      </c>
      <c r="AD250" s="45"/>
      <c r="AE250" s="46"/>
      <c r="AF250" s="53" t="s">
        <v>11468</v>
      </c>
      <c r="AG250" s="42" t="s">
        <v>4999</v>
      </c>
      <c r="AH250" s="26"/>
      <c r="AI250" s="27"/>
    </row>
    <row r="251" spans="1:35" s="2" customFormat="1" ht="17.25" customHeight="1" thickBot="1" x14ac:dyDescent="0.25">
      <c r="A251" s="221" t="str">
        <f t="shared" si="9"/>
        <v>OK</v>
      </c>
      <c r="B251" s="222" t="str">
        <f t="shared" si="10"/>
        <v>OK</v>
      </c>
      <c r="C251" s="223" t="str">
        <f t="shared" si="11"/>
        <v>OK</v>
      </c>
      <c r="D251" s="28">
        <v>0</v>
      </c>
      <c r="E251" s="29" t="s">
        <v>11911</v>
      </c>
      <c r="F251" s="30" t="s">
        <v>9377</v>
      </c>
      <c r="G251" s="30">
        <v>180640</v>
      </c>
      <c r="H251" s="30" t="s">
        <v>11912</v>
      </c>
      <c r="I251" s="30" t="s">
        <v>6820</v>
      </c>
      <c r="J251" s="30" t="s">
        <v>6829</v>
      </c>
      <c r="K251" s="30" t="s">
        <v>11913</v>
      </c>
      <c r="L251" s="30" t="s">
        <v>11914</v>
      </c>
      <c r="M251" s="30" t="s">
        <v>11915</v>
      </c>
      <c r="N251" s="31">
        <v>43781</v>
      </c>
      <c r="O251" s="30" t="s">
        <v>9350</v>
      </c>
      <c r="P251" s="51">
        <v>43781</v>
      </c>
      <c r="Q251" s="51">
        <v>43781</v>
      </c>
      <c r="R251" s="32">
        <v>43791</v>
      </c>
      <c r="S251" s="33" t="s">
        <v>11835</v>
      </c>
      <c r="T251" s="34" t="s">
        <v>9350</v>
      </c>
      <c r="U251" s="35">
        <v>43795</v>
      </c>
      <c r="V251" s="34" t="s">
        <v>11916</v>
      </c>
      <c r="W251" s="34">
        <v>2</v>
      </c>
      <c r="X251" s="34" t="s">
        <v>5683</v>
      </c>
      <c r="Y251" s="34" t="s">
        <v>4999</v>
      </c>
      <c r="Z251" s="36">
        <v>43797</v>
      </c>
      <c r="AA251" s="44" t="s">
        <v>264</v>
      </c>
      <c r="AB251" s="38">
        <v>43797</v>
      </c>
      <c r="AC251" s="39">
        <v>43797</v>
      </c>
      <c r="AD251" s="45"/>
      <c r="AE251" s="46"/>
      <c r="AF251" s="53" t="s">
        <v>11468</v>
      </c>
      <c r="AG251" s="42" t="s">
        <v>4999</v>
      </c>
      <c r="AH251" s="26"/>
      <c r="AI251" s="27"/>
    </row>
    <row r="252" spans="1:35" s="2" customFormat="1" ht="17.25" customHeight="1" thickBot="1" x14ac:dyDescent="0.25">
      <c r="A252" s="221" t="str">
        <f t="shared" si="9"/>
        <v>OK</v>
      </c>
      <c r="B252" s="222" t="str">
        <f t="shared" si="10"/>
        <v>OK</v>
      </c>
      <c r="C252" s="223" t="str">
        <f t="shared" si="11"/>
        <v>OK</v>
      </c>
      <c r="D252" s="28">
        <v>0</v>
      </c>
      <c r="E252" s="49" t="s">
        <v>11917</v>
      </c>
      <c r="F252" s="50" t="s">
        <v>9172</v>
      </c>
      <c r="G252" s="50">
        <v>180646</v>
      </c>
      <c r="H252" s="50" t="s">
        <v>11918</v>
      </c>
      <c r="I252" s="50" t="s">
        <v>6820</v>
      </c>
      <c r="J252" s="50" t="s">
        <v>6829</v>
      </c>
      <c r="K252" s="50" t="s">
        <v>3519</v>
      </c>
      <c r="L252" s="50" t="s">
        <v>11919</v>
      </c>
      <c r="M252" s="50" t="s">
        <v>11745</v>
      </c>
      <c r="N252" s="51">
        <v>43789</v>
      </c>
      <c r="O252" s="50" t="s">
        <v>7729</v>
      </c>
      <c r="P252" s="51">
        <v>43791</v>
      </c>
      <c r="Q252" s="51">
        <v>43791</v>
      </c>
      <c r="R252" s="52">
        <v>43791</v>
      </c>
      <c r="S252" s="33" t="s">
        <v>9357</v>
      </c>
      <c r="T252" s="34" t="s">
        <v>9350</v>
      </c>
      <c r="U252" s="35">
        <v>43790</v>
      </c>
      <c r="V252" s="34" t="s">
        <v>11920</v>
      </c>
      <c r="W252" s="34">
        <v>5</v>
      </c>
      <c r="X252" s="34" t="s">
        <v>5683</v>
      </c>
      <c r="Y252" s="34" t="s">
        <v>4999</v>
      </c>
      <c r="Z252" s="36">
        <v>43796</v>
      </c>
      <c r="AA252" s="44" t="s">
        <v>264</v>
      </c>
      <c r="AB252" s="38">
        <v>43796</v>
      </c>
      <c r="AC252" s="39">
        <v>43796</v>
      </c>
      <c r="AD252" s="45"/>
      <c r="AE252" s="46"/>
      <c r="AF252" s="53" t="s">
        <v>11468</v>
      </c>
      <c r="AG252" s="42" t="s">
        <v>4999</v>
      </c>
      <c r="AH252" s="67"/>
    </row>
    <row r="253" spans="1:35" s="6" customFormat="1" ht="17.25" customHeight="1" thickBot="1" x14ac:dyDescent="0.25">
      <c r="A253" s="221" t="str">
        <f t="shared" si="9"/>
        <v>OK</v>
      </c>
      <c r="B253" s="222" t="str">
        <f t="shared" si="10"/>
        <v>OK</v>
      </c>
      <c r="C253" s="223" t="str">
        <f t="shared" si="11"/>
        <v>OK</v>
      </c>
      <c r="D253" s="28">
        <v>0</v>
      </c>
      <c r="E253" s="49" t="s">
        <v>11921</v>
      </c>
      <c r="F253" s="50" t="s">
        <v>9172</v>
      </c>
      <c r="G253" s="50">
        <v>180646</v>
      </c>
      <c r="H253" s="50" t="s">
        <v>11922</v>
      </c>
      <c r="I253" s="50" t="s">
        <v>6820</v>
      </c>
      <c r="J253" s="50" t="s">
        <v>6829</v>
      </c>
      <c r="K253" s="50" t="s">
        <v>11923</v>
      </c>
      <c r="L253" s="50" t="s">
        <v>11924</v>
      </c>
      <c r="M253" s="50" t="s">
        <v>1869</v>
      </c>
      <c r="N253" s="51">
        <v>43789</v>
      </c>
      <c r="O253" s="50" t="s">
        <v>7729</v>
      </c>
      <c r="P253" s="51">
        <v>43791</v>
      </c>
      <c r="Q253" s="51">
        <v>43791</v>
      </c>
      <c r="R253" s="52">
        <v>43791</v>
      </c>
      <c r="S253" s="33" t="s">
        <v>9357</v>
      </c>
      <c r="T253" s="34" t="s">
        <v>9350</v>
      </c>
      <c r="U253" s="35">
        <v>43790</v>
      </c>
      <c r="V253" s="34" t="s">
        <v>11925</v>
      </c>
      <c r="W253" s="34">
        <v>1</v>
      </c>
      <c r="X253" s="34" t="s">
        <v>5683</v>
      </c>
      <c r="Y253" s="34" t="s">
        <v>4999</v>
      </c>
      <c r="Z253" s="36">
        <v>43796</v>
      </c>
      <c r="AA253" s="44" t="s">
        <v>264</v>
      </c>
      <c r="AB253" s="38">
        <v>43796</v>
      </c>
      <c r="AC253" s="39">
        <v>43796</v>
      </c>
      <c r="AD253" s="45"/>
      <c r="AE253" s="46"/>
      <c r="AF253" s="53" t="s">
        <v>11468</v>
      </c>
      <c r="AG253" s="42" t="s">
        <v>4999</v>
      </c>
      <c r="AH253" s="67"/>
      <c r="AI253" s="2"/>
    </row>
    <row r="254" spans="1:35" s="6" customFormat="1" ht="17.25" customHeight="1" thickBot="1" x14ac:dyDescent="0.25">
      <c r="A254" s="221" t="str">
        <f t="shared" si="9"/>
        <v>OK</v>
      </c>
      <c r="B254" s="222" t="str">
        <f t="shared" si="10"/>
        <v>OK</v>
      </c>
      <c r="C254" s="223" t="str">
        <f t="shared" si="11"/>
        <v>OK</v>
      </c>
      <c r="D254" s="28">
        <v>0</v>
      </c>
      <c r="E254" s="49" t="s">
        <v>11926</v>
      </c>
      <c r="F254" s="50" t="s">
        <v>9172</v>
      </c>
      <c r="G254" s="50">
        <v>180646</v>
      </c>
      <c r="H254" s="50" t="s">
        <v>11927</v>
      </c>
      <c r="I254" s="50" t="s">
        <v>6820</v>
      </c>
      <c r="J254" s="50" t="s">
        <v>6829</v>
      </c>
      <c r="K254" s="50" t="s">
        <v>1406</v>
      </c>
      <c r="L254" s="50" t="s">
        <v>11928</v>
      </c>
      <c r="M254" s="50" t="s">
        <v>11745</v>
      </c>
      <c r="N254" s="51">
        <v>43789</v>
      </c>
      <c r="O254" s="50" t="s">
        <v>7729</v>
      </c>
      <c r="P254" s="51">
        <v>43791</v>
      </c>
      <c r="Q254" s="51">
        <v>43791</v>
      </c>
      <c r="R254" s="52">
        <v>43791</v>
      </c>
      <c r="S254" s="33" t="s">
        <v>9357</v>
      </c>
      <c r="T254" s="34" t="s">
        <v>9350</v>
      </c>
      <c r="U254" s="35">
        <v>43790</v>
      </c>
      <c r="V254" s="34" t="s">
        <v>5899</v>
      </c>
      <c r="W254" s="34">
        <v>6</v>
      </c>
      <c r="X254" s="34" t="s">
        <v>5683</v>
      </c>
      <c r="Y254" s="34" t="s">
        <v>4999</v>
      </c>
      <c r="Z254" s="36">
        <v>43794</v>
      </c>
      <c r="AA254" s="44" t="s">
        <v>264</v>
      </c>
      <c r="AB254" s="38">
        <v>43795</v>
      </c>
      <c r="AC254" s="38">
        <v>43795</v>
      </c>
      <c r="AD254" s="45"/>
      <c r="AE254" s="46"/>
      <c r="AF254" s="53" t="s">
        <v>11468</v>
      </c>
      <c r="AG254" s="42" t="s">
        <v>4999</v>
      </c>
      <c r="AH254" s="67"/>
      <c r="AI254" s="2"/>
    </row>
    <row r="255" spans="1:35" s="2" customFormat="1" ht="17.25" customHeight="1" thickBot="1" x14ac:dyDescent="0.25">
      <c r="A255" s="221" t="str">
        <f t="shared" si="9"/>
        <v>P</v>
      </c>
      <c r="B255" s="222" t="str">
        <f t="shared" si="10"/>
        <v>P</v>
      </c>
      <c r="C255" s="223" t="str">
        <f t="shared" si="11"/>
        <v>P</v>
      </c>
      <c r="D255" s="28">
        <v>0</v>
      </c>
      <c r="E255" s="29" t="s">
        <v>11929</v>
      </c>
      <c r="F255" s="30"/>
      <c r="G255" s="30"/>
      <c r="H255" s="30"/>
      <c r="I255" s="30"/>
      <c r="J255" s="30"/>
      <c r="K255" s="30"/>
      <c r="L255" s="30"/>
      <c r="M255" s="30"/>
      <c r="N255" s="31"/>
      <c r="O255" s="30"/>
      <c r="P255" s="31"/>
      <c r="Q255" s="31"/>
      <c r="R255" s="32"/>
      <c r="S255" s="33"/>
      <c r="T255" s="34"/>
      <c r="U255" s="35"/>
      <c r="V255" s="34"/>
      <c r="W255" s="34"/>
      <c r="X255" s="34"/>
      <c r="Y255" s="34"/>
      <c r="Z255" s="36"/>
      <c r="AA255" s="44"/>
      <c r="AB255" s="38"/>
      <c r="AC255" s="39"/>
      <c r="AD255" s="45"/>
      <c r="AE255" s="46"/>
      <c r="AF255" s="25"/>
      <c r="AG255" s="42"/>
      <c r="AH255" s="26"/>
      <c r="AI255" s="27"/>
    </row>
    <row r="256" spans="1:35" s="2" customFormat="1" ht="17.25" customHeight="1" thickBot="1" x14ac:dyDescent="0.25">
      <c r="A256" s="221" t="str">
        <f t="shared" si="9"/>
        <v>OK</v>
      </c>
      <c r="B256" s="222" t="str">
        <f t="shared" si="10"/>
        <v>OK</v>
      </c>
      <c r="C256" s="223" t="str">
        <f t="shared" si="11"/>
        <v>OK</v>
      </c>
      <c r="D256" s="28">
        <v>0</v>
      </c>
      <c r="E256" s="29" t="s">
        <v>11930</v>
      </c>
      <c r="F256" s="30" t="s">
        <v>8322</v>
      </c>
      <c r="G256" s="30">
        <v>180655</v>
      </c>
      <c r="H256" s="30" t="s">
        <v>11931</v>
      </c>
      <c r="I256" s="30" t="s">
        <v>6820</v>
      </c>
      <c r="J256" s="30" t="s">
        <v>6829</v>
      </c>
      <c r="K256" s="30" t="s">
        <v>11932</v>
      </c>
      <c r="L256" s="30" t="s">
        <v>11933</v>
      </c>
      <c r="M256" s="30" t="s">
        <v>5529</v>
      </c>
      <c r="N256" s="31">
        <v>43790</v>
      </c>
      <c r="O256" s="30" t="s">
        <v>9350</v>
      </c>
      <c r="P256" s="31">
        <v>43790</v>
      </c>
      <c r="Q256" s="31">
        <v>43791</v>
      </c>
      <c r="R256" s="32">
        <v>43796</v>
      </c>
      <c r="S256" s="33" t="s">
        <v>11835</v>
      </c>
      <c r="T256" s="34" t="s">
        <v>9357</v>
      </c>
      <c r="U256" s="35">
        <v>43798</v>
      </c>
      <c r="V256" s="34" t="s">
        <v>11934</v>
      </c>
      <c r="W256" s="34">
        <v>2</v>
      </c>
      <c r="X256" s="34" t="s">
        <v>5683</v>
      </c>
      <c r="Y256" s="34" t="s">
        <v>4999</v>
      </c>
      <c r="Z256" s="36">
        <v>43804</v>
      </c>
      <c r="AA256" s="44" t="s">
        <v>264</v>
      </c>
      <c r="AB256" s="38">
        <v>43805</v>
      </c>
      <c r="AC256" s="39">
        <v>43805</v>
      </c>
      <c r="AD256" s="45"/>
      <c r="AE256" s="46"/>
      <c r="AF256" s="53" t="s">
        <v>11468</v>
      </c>
      <c r="AG256" s="42" t="s">
        <v>4999</v>
      </c>
      <c r="AH256" s="26"/>
      <c r="AI256" s="27"/>
    </row>
    <row r="257" spans="1:35" s="2" customFormat="1" ht="17.25" customHeight="1" thickBot="1" x14ac:dyDescent="0.25">
      <c r="A257" s="221" t="str">
        <f t="shared" si="9"/>
        <v>OK</v>
      </c>
      <c r="B257" s="222" t="str">
        <f t="shared" si="10"/>
        <v>OK</v>
      </c>
      <c r="C257" s="223" t="str">
        <f t="shared" si="11"/>
        <v>OK</v>
      </c>
      <c r="D257" s="28">
        <v>0</v>
      </c>
      <c r="E257" s="29" t="s">
        <v>11935</v>
      </c>
      <c r="F257" s="30" t="s">
        <v>8322</v>
      </c>
      <c r="G257" s="30">
        <v>180655</v>
      </c>
      <c r="H257" s="30" t="s">
        <v>11936</v>
      </c>
      <c r="I257" s="30" t="s">
        <v>6820</v>
      </c>
      <c r="J257" s="30" t="s">
        <v>6829</v>
      </c>
      <c r="K257" s="30" t="s">
        <v>11937</v>
      </c>
      <c r="L257" s="30" t="s">
        <v>11938</v>
      </c>
      <c r="M257" s="30" t="s">
        <v>9460</v>
      </c>
      <c r="N257" s="31">
        <v>43790</v>
      </c>
      <c r="O257" s="30" t="s">
        <v>9350</v>
      </c>
      <c r="P257" s="31">
        <v>43790</v>
      </c>
      <c r="Q257" s="31">
        <v>43791</v>
      </c>
      <c r="R257" s="32">
        <v>43796</v>
      </c>
      <c r="S257" s="33" t="s">
        <v>9357</v>
      </c>
      <c r="T257" s="34" t="s">
        <v>9357</v>
      </c>
      <c r="U257" s="35">
        <v>43798</v>
      </c>
      <c r="V257" s="34" t="s">
        <v>11939</v>
      </c>
      <c r="W257" s="34">
        <v>10</v>
      </c>
      <c r="X257" s="34" t="s">
        <v>5683</v>
      </c>
      <c r="Y257" s="34" t="s">
        <v>4999</v>
      </c>
      <c r="Z257" s="36">
        <v>43810</v>
      </c>
      <c r="AA257" s="44" t="s">
        <v>264</v>
      </c>
      <c r="AB257" s="38">
        <v>43810</v>
      </c>
      <c r="AC257" s="39">
        <v>43810</v>
      </c>
      <c r="AD257" s="45"/>
      <c r="AE257" s="46"/>
      <c r="AF257" s="53" t="s">
        <v>11468</v>
      </c>
      <c r="AG257" s="42" t="s">
        <v>4999</v>
      </c>
      <c r="AH257" s="26"/>
      <c r="AI257" s="27"/>
    </row>
    <row r="258" spans="1:35" s="2" customFormat="1" ht="17.25" customHeight="1" x14ac:dyDescent="0.2">
      <c r="A258" s="221" t="str">
        <f t="shared" si="9"/>
        <v>P</v>
      </c>
      <c r="B258" s="222" t="str">
        <f t="shared" si="10"/>
        <v>P</v>
      </c>
      <c r="C258" s="223" t="str">
        <f t="shared" si="11"/>
        <v>P</v>
      </c>
      <c r="D258" s="28">
        <v>0</v>
      </c>
      <c r="E258" s="29" t="s">
        <v>11940</v>
      </c>
      <c r="F258" s="30"/>
      <c r="G258" s="30"/>
      <c r="H258" s="30"/>
      <c r="I258" s="30"/>
      <c r="J258" s="30"/>
      <c r="K258" s="30"/>
      <c r="L258" s="30"/>
      <c r="M258" s="30"/>
      <c r="N258" s="31"/>
      <c r="O258" s="30"/>
      <c r="P258" s="31"/>
      <c r="Q258" s="31"/>
      <c r="R258" s="32"/>
      <c r="S258" s="33"/>
      <c r="T258" s="34"/>
      <c r="U258" s="35"/>
      <c r="V258" s="34"/>
      <c r="W258" s="34"/>
      <c r="X258" s="34"/>
      <c r="Y258" s="34"/>
      <c r="Z258" s="36"/>
      <c r="AA258" s="44"/>
      <c r="AB258" s="38"/>
      <c r="AC258" s="39"/>
      <c r="AD258" s="45"/>
      <c r="AE258" s="46"/>
      <c r="AF258" s="25"/>
      <c r="AG258" s="42"/>
      <c r="AH258" s="63"/>
      <c r="AI258" s="27"/>
    </row>
    <row r="259" spans="1:35" s="86" customFormat="1" ht="17.25" customHeight="1" thickBot="1" x14ac:dyDescent="0.25">
      <c r="A259" s="452" t="s">
        <v>7575</v>
      </c>
      <c r="B259" s="453"/>
      <c r="C259" s="454"/>
      <c r="D259" s="79">
        <v>0</v>
      </c>
      <c r="E259" s="80" t="s">
        <v>11941</v>
      </c>
      <c r="F259" s="81" t="s">
        <v>8322</v>
      </c>
      <c r="G259" s="81">
        <v>180655</v>
      </c>
      <c r="H259" s="81" t="s">
        <v>9518</v>
      </c>
      <c r="I259" s="81" t="s">
        <v>6820</v>
      </c>
      <c r="J259" s="81" t="s">
        <v>6829</v>
      </c>
      <c r="K259" s="81" t="s">
        <v>5645</v>
      </c>
      <c r="L259" s="81"/>
      <c r="M259" s="81"/>
      <c r="N259" s="61"/>
      <c r="O259" s="81"/>
      <c r="P259" s="61"/>
      <c r="Q259" s="61"/>
      <c r="R259" s="62"/>
      <c r="S259" s="82"/>
      <c r="T259" s="81"/>
      <c r="U259" s="61"/>
      <c r="V259" s="81"/>
      <c r="W259" s="81"/>
      <c r="X259" s="81"/>
      <c r="Y259" s="81"/>
      <c r="Z259" s="62"/>
      <c r="AA259" s="83"/>
      <c r="AB259" s="61"/>
      <c r="AC259" s="62"/>
      <c r="AD259" s="101"/>
      <c r="AE259" s="102"/>
      <c r="AF259" s="82"/>
      <c r="AG259" s="84"/>
      <c r="AH259" s="99"/>
      <c r="AI259" s="85"/>
    </row>
    <row r="260" spans="1:35" s="86" customFormat="1" ht="17.25" customHeight="1" thickBot="1" x14ac:dyDescent="0.25">
      <c r="A260" s="221" t="str">
        <f t="shared" si="9"/>
        <v>OK</v>
      </c>
      <c r="B260" s="222" t="str">
        <f t="shared" si="10"/>
        <v>OK</v>
      </c>
      <c r="C260" s="223" t="str">
        <f t="shared" si="11"/>
        <v>OK</v>
      </c>
      <c r="D260" s="28">
        <v>0</v>
      </c>
      <c r="E260" s="49" t="s">
        <v>11942</v>
      </c>
      <c r="F260" s="50" t="s">
        <v>11943</v>
      </c>
      <c r="G260" s="50">
        <v>180644</v>
      </c>
      <c r="H260" s="50" t="s">
        <v>11944</v>
      </c>
      <c r="I260" s="50" t="s">
        <v>6820</v>
      </c>
      <c r="J260" s="50" t="s">
        <v>6829</v>
      </c>
      <c r="K260" s="50" t="s">
        <v>11945</v>
      </c>
      <c r="L260" s="50" t="s">
        <v>11946</v>
      </c>
      <c r="M260" s="50" t="s">
        <v>11947</v>
      </c>
      <c r="N260" s="51">
        <v>43782</v>
      </c>
      <c r="O260" s="50" t="s">
        <v>7729</v>
      </c>
      <c r="P260" s="51">
        <v>43783</v>
      </c>
      <c r="Q260" s="51">
        <v>43783</v>
      </c>
      <c r="R260" s="52">
        <v>43802</v>
      </c>
      <c r="S260" s="33" t="s">
        <v>9357</v>
      </c>
      <c r="T260" s="34" t="s">
        <v>9350</v>
      </c>
      <c r="U260" s="35">
        <v>43804</v>
      </c>
      <c r="V260" s="34" t="s">
        <v>11948</v>
      </c>
      <c r="W260" s="34">
        <v>1</v>
      </c>
      <c r="X260" s="34" t="s">
        <v>5683</v>
      </c>
      <c r="Y260" s="34" t="s">
        <v>4999</v>
      </c>
      <c r="Z260" s="36">
        <v>43809</v>
      </c>
      <c r="AA260" s="44" t="s">
        <v>264</v>
      </c>
      <c r="AB260" s="38">
        <v>43812</v>
      </c>
      <c r="AC260" s="39">
        <v>43812</v>
      </c>
      <c r="AD260" s="45" t="e">
        <v>#VALUE!</v>
      </c>
      <c r="AE260" s="46" t="e">
        <v>#VALUE!</v>
      </c>
      <c r="AF260" s="53" t="s">
        <v>11468</v>
      </c>
      <c r="AG260" s="54" t="s">
        <v>4999</v>
      </c>
      <c r="AH260" s="67"/>
      <c r="AI260" s="2"/>
    </row>
    <row r="261" spans="1:35" s="2" customFormat="1" ht="17.25" customHeight="1" thickBot="1" x14ac:dyDescent="0.25">
      <c r="A261" s="221" t="str">
        <f t="shared" si="9"/>
        <v>OK</v>
      </c>
      <c r="B261" s="222" t="str">
        <f t="shared" si="10"/>
        <v>OK</v>
      </c>
      <c r="C261" s="223" t="str">
        <f t="shared" si="11"/>
        <v>OK</v>
      </c>
      <c r="D261" s="28">
        <v>0</v>
      </c>
      <c r="E261" s="49" t="s">
        <v>11949</v>
      </c>
      <c r="F261" s="50" t="s">
        <v>11696</v>
      </c>
      <c r="G261" s="50">
        <v>180663</v>
      </c>
      <c r="H261" s="50" t="s">
        <v>11950</v>
      </c>
      <c r="I261" s="50" t="s">
        <v>6820</v>
      </c>
      <c r="J261" s="50" t="s">
        <v>6829</v>
      </c>
      <c r="K261" s="50" t="s">
        <v>9760</v>
      </c>
      <c r="L261" s="50" t="s">
        <v>11951</v>
      </c>
      <c r="M261" s="50" t="s">
        <v>11952</v>
      </c>
      <c r="N261" s="51">
        <v>43798</v>
      </c>
      <c r="O261" s="50" t="s">
        <v>7729</v>
      </c>
      <c r="P261" s="51">
        <v>43798</v>
      </c>
      <c r="Q261" s="51">
        <v>43798</v>
      </c>
      <c r="R261" s="52">
        <v>43801</v>
      </c>
      <c r="S261" s="33" t="s">
        <v>11835</v>
      </c>
      <c r="T261" s="34" t="s">
        <v>7729</v>
      </c>
      <c r="U261" s="35">
        <v>43811</v>
      </c>
      <c r="V261" s="34" t="s">
        <v>235</v>
      </c>
      <c r="W261" s="34">
        <v>12</v>
      </c>
      <c r="X261" s="34" t="s">
        <v>5683</v>
      </c>
      <c r="Y261" s="34" t="s">
        <v>4999</v>
      </c>
      <c r="Z261" s="36">
        <v>43811</v>
      </c>
      <c r="AA261" s="44" t="s">
        <v>264</v>
      </c>
      <c r="AB261" s="38">
        <v>43811</v>
      </c>
      <c r="AC261" s="39">
        <v>43811</v>
      </c>
      <c r="AD261" s="45" t="e">
        <v>#VALUE!</v>
      </c>
      <c r="AE261" s="46" t="e">
        <v>#VALUE!</v>
      </c>
      <c r="AF261" s="53" t="s">
        <v>11468</v>
      </c>
      <c r="AG261" s="54" t="s">
        <v>4999</v>
      </c>
      <c r="AH261" s="67"/>
    </row>
    <row r="262" spans="1:35" s="2" customFormat="1" ht="17.25" customHeight="1" thickBot="1" x14ac:dyDescent="0.25">
      <c r="A262" s="221" t="str">
        <f t="shared" ref="A262:A274" si="12">IF(OR(ISBLANK(D262),ISBLANK(E262),ISBLANK(F262),ISBLANK(G262),ISBLANK(H262),ISBLANK(I262),ISBLANK(J262),ISBLANK(K262),ISBLANK(L262),ISBLANK(M262),ISBLANK(N262),ISBLANK(O262),ISBLANK(P262),ISBLANK(Q262),ISBLANK(R262))=TRUE,"P","OK")</f>
        <v>OK</v>
      </c>
      <c r="B262" s="222" t="str">
        <f t="shared" si="10"/>
        <v>OK</v>
      </c>
      <c r="C262" s="223" t="str">
        <f t="shared" si="11"/>
        <v>OK</v>
      </c>
      <c r="D262" s="28">
        <v>0</v>
      </c>
      <c r="E262" s="49" t="s">
        <v>11953</v>
      </c>
      <c r="F262" s="50" t="s">
        <v>11696</v>
      </c>
      <c r="G262" s="50">
        <v>180663</v>
      </c>
      <c r="H262" s="50" t="s">
        <v>11954</v>
      </c>
      <c r="I262" s="50" t="s">
        <v>6820</v>
      </c>
      <c r="J262" s="50" t="s">
        <v>6829</v>
      </c>
      <c r="K262" s="50" t="s">
        <v>11955</v>
      </c>
      <c r="L262" s="50" t="s">
        <v>11956</v>
      </c>
      <c r="M262" s="50" t="s">
        <v>11957</v>
      </c>
      <c r="N262" s="51">
        <v>43798</v>
      </c>
      <c r="O262" s="50" t="s">
        <v>7729</v>
      </c>
      <c r="P262" s="51">
        <v>43798</v>
      </c>
      <c r="Q262" s="51">
        <v>43798</v>
      </c>
      <c r="R262" s="52">
        <v>43801</v>
      </c>
      <c r="S262" s="33" t="s">
        <v>11835</v>
      </c>
      <c r="T262" s="34" t="s">
        <v>7729</v>
      </c>
      <c r="U262" s="35">
        <v>43811</v>
      </c>
      <c r="V262" s="34" t="s">
        <v>11958</v>
      </c>
      <c r="W262" s="34">
        <v>2</v>
      </c>
      <c r="X262" s="34" t="s">
        <v>5683</v>
      </c>
      <c r="Y262" s="34" t="s">
        <v>4999</v>
      </c>
      <c r="Z262" s="36">
        <v>43811</v>
      </c>
      <c r="AA262" s="44" t="s">
        <v>264</v>
      </c>
      <c r="AB262" s="38">
        <v>43811</v>
      </c>
      <c r="AC262" s="39">
        <v>43811</v>
      </c>
      <c r="AD262" s="45" t="e">
        <v>#VALUE!</v>
      </c>
      <c r="AE262" s="46" t="e">
        <v>#VALUE!</v>
      </c>
      <c r="AF262" s="53" t="s">
        <v>11468</v>
      </c>
      <c r="AG262" s="54" t="s">
        <v>4999</v>
      </c>
      <c r="AH262" s="67"/>
    </row>
    <row r="263" spans="1:35" s="2" customFormat="1" ht="17.25" customHeight="1" thickBot="1" x14ac:dyDescent="0.25">
      <c r="A263" s="221" t="str">
        <f t="shared" si="12"/>
        <v>P</v>
      </c>
      <c r="B263" s="222" t="str">
        <f t="shared" ref="B263:B274" si="13">IF(OR(ISBLANK(S263),ISBLANK(T263),ISBLANK(U263),ISBLANK(V263),ISBLANK(W263),ISBLANK(X263),ISBLANK(Y263),ISBLANK(Z263))=TRUE,"P","OK")</f>
        <v>P</v>
      </c>
      <c r="C263" s="223" t="str">
        <f t="shared" ref="C263:C274" si="14">IF(OR(ISBLANK(AA263),ISBLANK(AB263),ISBLANK(AC263))=TRUE,"P","OK")</f>
        <v>P</v>
      </c>
      <c r="D263" s="28">
        <v>0</v>
      </c>
      <c r="E263" s="49" t="s">
        <v>11959</v>
      </c>
      <c r="F263" s="50"/>
      <c r="G263" s="50"/>
      <c r="H263" s="50"/>
      <c r="I263" s="50"/>
      <c r="J263" s="50"/>
      <c r="K263" s="50"/>
      <c r="L263" s="50"/>
      <c r="M263" s="50"/>
      <c r="N263" s="51"/>
      <c r="O263" s="50"/>
      <c r="P263" s="51"/>
      <c r="Q263" s="51"/>
      <c r="R263" s="52"/>
      <c r="S263" s="33"/>
      <c r="T263" s="34"/>
      <c r="U263" s="35"/>
      <c r="V263" s="34"/>
      <c r="W263" s="34"/>
      <c r="X263" s="34"/>
      <c r="Y263" s="34"/>
      <c r="Z263" s="36"/>
      <c r="AA263" s="44"/>
      <c r="AB263" s="38"/>
      <c r="AC263" s="39"/>
      <c r="AD263" s="45"/>
      <c r="AE263" s="46"/>
      <c r="AF263" s="53"/>
      <c r="AG263" s="54"/>
      <c r="AH263" s="67"/>
    </row>
    <row r="264" spans="1:35" s="2" customFormat="1" ht="17.25" customHeight="1" thickBot="1" x14ac:dyDescent="0.25">
      <c r="A264" s="221" t="str">
        <f t="shared" si="12"/>
        <v>P</v>
      </c>
      <c r="B264" s="222" t="str">
        <f t="shared" si="13"/>
        <v>OK</v>
      </c>
      <c r="C264" s="223" t="str">
        <f t="shared" si="14"/>
        <v>OK</v>
      </c>
      <c r="D264" s="28">
        <v>0</v>
      </c>
      <c r="E264" s="49" t="s">
        <v>11960</v>
      </c>
      <c r="F264" s="50" t="s">
        <v>8369</v>
      </c>
      <c r="G264" s="50">
        <v>180675</v>
      </c>
      <c r="H264" s="50" t="s">
        <v>11961</v>
      </c>
      <c r="I264" s="50" t="s">
        <v>6820</v>
      </c>
      <c r="J264" s="50" t="s">
        <v>6829</v>
      </c>
      <c r="K264" s="50" t="s">
        <v>1888</v>
      </c>
      <c r="L264" s="50" t="s">
        <v>11962</v>
      </c>
      <c r="M264" s="50" t="s">
        <v>11963</v>
      </c>
      <c r="N264" s="51">
        <v>43803</v>
      </c>
      <c r="O264" s="50"/>
      <c r="P264" s="51"/>
      <c r="Q264" s="51"/>
      <c r="R264" s="52"/>
      <c r="S264" s="33" t="s">
        <v>9357</v>
      </c>
      <c r="T264" s="34" t="s">
        <v>9357</v>
      </c>
      <c r="U264" s="35">
        <v>43804</v>
      </c>
      <c r="V264" s="34" t="s">
        <v>1891</v>
      </c>
      <c r="W264" s="34">
        <v>4</v>
      </c>
      <c r="X264" s="34" t="s">
        <v>5683</v>
      </c>
      <c r="Y264" s="34" t="s">
        <v>4999</v>
      </c>
      <c r="Z264" s="36">
        <v>43805</v>
      </c>
      <c r="AA264" s="44" t="s">
        <v>264</v>
      </c>
      <c r="AB264" s="38">
        <v>43810</v>
      </c>
      <c r="AC264" s="38">
        <v>43810</v>
      </c>
      <c r="AD264" s="45"/>
      <c r="AE264" s="46"/>
      <c r="AF264" s="53" t="s">
        <v>11468</v>
      </c>
      <c r="AG264" s="54" t="s">
        <v>4999</v>
      </c>
      <c r="AH264" s="67"/>
    </row>
    <row r="265" spans="1:35" s="2" customFormat="1" ht="17.25" customHeight="1" thickBot="1" x14ac:dyDescent="0.25">
      <c r="A265" s="221" t="str">
        <f t="shared" si="12"/>
        <v>P</v>
      </c>
      <c r="B265" s="222" t="str">
        <f t="shared" si="13"/>
        <v>OK</v>
      </c>
      <c r="C265" s="223" t="str">
        <f t="shared" si="14"/>
        <v>OK</v>
      </c>
      <c r="D265" s="28">
        <v>0</v>
      </c>
      <c r="E265" s="49" t="s">
        <v>11964</v>
      </c>
      <c r="F265" s="50" t="s">
        <v>8326</v>
      </c>
      <c r="G265" s="50">
        <v>180672</v>
      </c>
      <c r="H265" s="50" t="s">
        <v>11965</v>
      </c>
      <c r="I265" s="50" t="s">
        <v>6820</v>
      </c>
      <c r="J265" s="50" t="s">
        <v>6829</v>
      </c>
      <c r="K265" s="50" t="s">
        <v>547</v>
      </c>
      <c r="L265" s="50" t="s">
        <v>11966</v>
      </c>
      <c r="M265" s="50" t="s">
        <v>11567</v>
      </c>
      <c r="N265" s="51"/>
      <c r="O265" s="50"/>
      <c r="P265" s="51"/>
      <c r="Q265" s="51">
        <v>43803</v>
      </c>
      <c r="R265" s="52"/>
      <c r="S265" s="33" t="s">
        <v>9357</v>
      </c>
      <c r="T265" s="34" t="s">
        <v>9357</v>
      </c>
      <c r="U265" s="35">
        <v>43809</v>
      </c>
      <c r="V265" s="34" t="s">
        <v>6841</v>
      </c>
      <c r="W265" s="34">
        <v>7</v>
      </c>
      <c r="X265" s="34" t="s">
        <v>5683</v>
      </c>
      <c r="Y265" s="34" t="s">
        <v>4999</v>
      </c>
      <c r="Z265" s="36">
        <v>43816</v>
      </c>
      <c r="AA265" s="44" t="s">
        <v>264</v>
      </c>
      <c r="AB265" s="38">
        <v>43816</v>
      </c>
      <c r="AC265" s="38">
        <v>43816</v>
      </c>
      <c r="AD265" s="45"/>
      <c r="AE265" s="46"/>
      <c r="AF265" s="53" t="s">
        <v>11468</v>
      </c>
      <c r="AG265" s="54" t="s">
        <v>4999</v>
      </c>
      <c r="AH265" s="67"/>
    </row>
    <row r="266" spans="1:35" s="2" customFormat="1" ht="17.25" customHeight="1" thickBot="1" x14ac:dyDescent="0.25">
      <c r="A266" s="221" t="str">
        <f t="shared" si="12"/>
        <v>OK</v>
      </c>
      <c r="B266" s="222" t="str">
        <f t="shared" si="13"/>
        <v>OK</v>
      </c>
      <c r="C266" s="223" t="str">
        <f t="shared" si="14"/>
        <v>OK</v>
      </c>
      <c r="D266" s="28">
        <v>0</v>
      </c>
      <c r="E266" s="49" t="s">
        <v>11967</v>
      </c>
      <c r="F266" s="50" t="s">
        <v>10368</v>
      </c>
      <c r="G266" s="50">
        <v>180557</v>
      </c>
      <c r="H266" s="50" t="s">
        <v>11968</v>
      </c>
      <c r="I266" s="50" t="s">
        <v>6820</v>
      </c>
      <c r="J266" s="50" t="s">
        <v>6829</v>
      </c>
      <c r="K266" s="50" t="s">
        <v>11969</v>
      </c>
      <c r="L266" s="50" t="s">
        <v>7376</v>
      </c>
      <c r="M266" s="50" t="s">
        <v>10366</v>
      </c>
      <c r="N266" s="51">
        <v>43819</v>
      </c>
      <c r="O266" s="50" t="s">
        <v>9350</v>
      </c>
      <c r="P266" s="51" t="s">
        <v>11970</v>
      </c>
      <c r="Q266" s="51">
        <v>43731</v>
      </c>
      <c r="R266" s="52">
        <v>43809</v>
      </c>
      <c r="S266" s="33" t="s">
        <v>9357</v>
      </c>
      <c r="T266" s="34" t="s">
        <v>9350</v>
      </c>
      <c r="U266" s="35">
        <v>43810</v>
      </c>
      <c r="V266" s="34" t="s">
        <v>7378</v>
      </c>
      <c r="W266" s="34">
        <v>1</v>
      </c>
      <c r="X266" s="34" t="s">
        <v>5683</v>
      </c>
      <c r="Y266" s="34" t="s">
        <v>4999</v>
      </c>
      <c r="Z266" s="36">
        <v>43839</v>
      </c>
      <c r="AA266" s="44" t="s">
        <v>264</v>
      </c>
      <c r="AB266" s="38">
        <v>43839</v>
      </c>
      <c r="AC266" s="39">
        <v>43839</v>
      </c>
      <c r="AD266" s="45"/>
      <c r="AE266" s="46"/>
      <c r="AF266" s="53" t="s">
        <v>11468</v>
      </c>
      <c r="AG266" s="54" t="s">
        <v>4999</v>
      </c>
      <c r="AH266" s="67"/>
    </row>
    <row r="267" spans="1:35" s="2" customFormat="1" ht="17.25" customHeight="1" thickBot="1" x14ac:dyDescent="0.25">
      <c r="A267" s="221" t="str">
        <f t="shared" si="12"/>
        <v>OK</v>
      </c>
      <c r="B267" s="222" t="str">
        <f t="shared" si="13"/>
        <v>OK</v>
      </c>
      <c r="C267" s="223" t="str">
        <f t="shared" si="14"/>
        <v>OK</v>
      </c>
      <c r="D267" s="28">
        <v>0</v>
      </c>
      <c r="E267" s="49" t="s">
        <v>11971</v>
      </c>
      <c r="F267" s="50" t="s">
        <v>9024</v>
      </c>
      <c r="G267" s="50">
        <v>180687</v>
      </c>
      <c r="H267" s="50" t="s">
        <v>11972</v>
      </c>
      <c r="I267" s="50" t="s">
        <v>6820</v>
      </c>
      <c r="J267" s="50" t="s">
        <v>6829</v>
      </c>
      <c r="K267" s="50" t="s">
        <v>11973</v>
      </c>
      <c r="L267" s="50" t="s">
        <v>7025</v>
      </c>
      <c r="M267" s="50" t="s">
        <v>11974</v>
      </c>
      <c r="N267" s="51">
        <v>43809</v>
      </c>
      <c r="O267" s="50" t="s">
        <v>9350</v>
      </c>
      <c r="P267" s="51">
        <v>43809</v>
      </c>
      <c r="Q267" s="51">
        <v>43810</v>
      </c>
      <c r="R267" s="52">
        <v>43810</v>
      </c>
      <c r="S267" s="33" t="s">
        <v>9357</v>
      </c>
      <c r="T267" s="34" t="s">
        <v>7729</v>
      </c>
      <c r="U267" s="35">
        <v>43811</v>
      </c>
      <c r="V267" s="34" t="s">
        <v>8664</v>
      </c>
      <c r="W267" s="34">
        <v>1</v>
      </c>
      <c r="X267" s="34" t="s">
        <v>5683</v>
      </c>
      <c r="Y267" s="34" t="s">
        <v>4999</v>
      </c>
      <c r="Z267" s="36">
        <v>43816</v>
      </c>
      <c r="AA267" s="44" t="s">
        <v>264</v>
      </c>
      <c r="AB267" s="38">
        <v>43818</v>
      </c>
      <c r="AC267" s="38">
        <v>43818</v>
      </c>
      <c r="AD267" s="45"/>
      <c r="AE267" s="46"/>
      <c r="AF267" s="53"/>
      <c r="AG267" s="54" t="s">
        <v>4999</v>
      </c>
      <c r="AH267" s="67"/>
    </row>
    <row r="268" spans="1:35" s="2" customFormat="1" ht="17.25" customHeight="1" thickBot="1" x14ac:dyDescent="0.25">
      <c r="A268" s="221" t="str">
        <f t="shared" si="12"/>
        <v>OK</v>
      </c>
      <c r="B268" s="222" t="str">
        <f t="shared" si="13"/>
        <v>OK</v>
      </c>
      <c r="C268" s="223" t="str">
        <f t="shared" si="14"/>
        <v>OK</v>
      </c>
      <c r="D268" s="28">
        <v>0</v>
      </c>
      <c r="E268" s="49" t="s">
        <v>11975</v>
      </c>
      <c r="F268" s="50" t="s">
        <v>9024</v>
      </c>
      <c r="G268" s="50">
        <v>180687</v>
      </c>
      <c r="H268" s="50" t="s">
        <v>11976</v>
      </c>
      <c r="I268" s="50" t="s">
        <v>6820</v>
      </c>
      <c r="J268" s="50" t="s">
        <v>6829</v>
      </c>
      <c r="K268" s="50" t="s">
        <v>11977</v>
      </c>
      <c r="L268" s="50" t="s">
        <v>11978</v>
      </c>
      <c r="M268" s="50" t="s">
        <v>11974</v>
      </c>
      <c r="N268" s="51">
        <v>43809</v>
      </c>
      <c r="O268" s="50" t="s">
        <v>9350</v>
      </c>
      <c r="P268" s="51">
        <v>43809</v>
      </c>
      <c r="Q268" s="51">
        <v>43810</v>
      </c>
      <c r="R268" s="52">
        <v>43810</v>
      </c>
      <c r="S268" s="33" t="s">
        <v>9357</v>
      </c>
      <c r="T268" s="34" t="s">
        <v>7729</v>
      </c>
      <c r="U268" s="35">
        <v>43811</v>
      </c>
      <c r="V268" s="34" t="s">
        <v>11979</v>
      </c>
      <c r="W268" s="34">
        <v>1</v>
      </c>
      <c r="X268" s="34" t="s">
        <v>5683</v>
      </c>
      <c r="Y268" s="34" t="s">
        <v>4999</v>
      </c>
      <c r="Z268" s="36">
        <v>43816</v>
      </c>
      <c r="AA268" s="44" t="s">
        <v>264</v>
      </c>
      <c r="AB268" s="38">
        <v>43818</v>
      </c>
      <c r="AC268" s="38">
        <v>43818</v>
      </c>
      <c r="AD268" s="45"/>
      <c r="AE268" s="46"/>
      <c r="AF268" s="53" t="s">
        <v>11468</v>
      </c>
      <c r="AG268" s="54" t="s">
        <v>4999</v>
      </c>
      <c r="AH268" s="67"/>
    </row>
    <row r="269" spans="1:35" s="2" customFormat="1" ht="17.25" customHeight="1" thickBot="1" x14ac:dyDescent="0.25">
      <c r="A269" s="221" t="str">
        <f t="shared" si="12"/>
        <v>OK</v>
      </c>
      <c r="B269" s="222" t="str">
        <f t="shared" si="13"/>
        <v>OK</v>
      </c>
      <c r="C269" s="223" t="str">
        <f t="shared" si="14"/>
        <v>OK</v>
      </c>
      <c r="D269" s="28">
        <v>0</v>
      </c>
      <c r="E269" s="49" t="s">
        <v>11980</v>
      </c>
      <c r="F269" s="50" t="s">
        <v>9377</v>
      </c>
      <c r="G269" s="50">
        <v>180688</v>
      </c>
      <c r="H269" s="50" t="s">
        <v>11981</v>
      </c>
      <c r="I269" s="50" t="s">
        <v>6820</v>
      </c>
      <c r="J269" s="50" t="s">
        <v>6829</v>
      </c>
      <c r="K269" s="50" t="s">
        <v>11982</v>
      </c>
      <c r="L269" s="50" t="s">
        <v>10026</v>
      </c>
      <c r="M269" s="50" t="s">
        <v>9712</v>
      </c>
      <c r="N269" s="51">
        <v>43810</v>
      </c>
      <c r="O269" s="50" t="s">
        <v>9350</v>
      </c>
      <c r="P269" s="51">
        <v>43810</v>
      </c>
      <c r="Q269" s="51">
        <v>43810</v>
      </c>
      <c r="R269" s="52">
        <v>43810</v>
      </c>
      <c r="S269" s="33" t="s">
        <v>9351</v>
      </c>
      <c r="T269" s="34" t="s">
        <v>7729</v>
      </c>
      <c r="U269" s="35">
        <v>43811</v>
      </c>
      <c r="V269" s="34" t="s">
        <v>11983</v>
      </c>
      <c r="W269" s="34">
        <v>15</v>
      </c>
      <c r="X269" s="34" t="s">
        <v>5683</v>
      </c>
      <c r="Y269" s="34" t="s">
        <v>4999</v>
      </c>
      <c r="Z269" s="36">
        <v>43816</v>
      </c>
      <c r="AA269" s="44" t="s">
        <v>264</v>
      </c>
      <c r="AB269" s="38">
        <v>43816</v>
      </c>
      <c r="AC269" s="38">
        <v>43816</v>
      </c>
      <c r="AD269" s="45"/>
      <c r="AE269" s="46"/>
      <c r="AF269" s="53" t="s">
        <v>11468</v>
      </c>
      <c r="AG269" s="54" t="s">
        <v>4999</v>
      </c>
      <c r="AH269" s="67"/>
    </row>
    <row r="270" spans="1:35" s="2" customFormat="1" ht="17.25" customHeight="1" thickBot="1" x14ac:dyDescent="0.25">
      <c r="A270" s="221" t="str">
        <f t="shared" si="12"/>
        <v>OK</v>
      </c>
      <c r="B270" s="222" t="str">
        <f t="shared" si="13"/>
        <v>OK</v>
      </c>
      <c r="C270" s="223" t="str">
        <f t="shared" si="14"/>
        <v>OK</v>
      </c>
      <c r="D270" s="28">
        <v>0</v>
      </c>
      <c r="E270" s="49" t="s">
        <v>11984</v>
      </c>
      <c r="F270" s="50" t="s">
        <v>11985</v>
      </c>
      <c r="G270" s="50">
        <v>180673</v>
      </c>
      <c r="H270" s="50" t="s">
        <v>11986</v>
      </c>
      <c r="I270" s="50" t="s">
        <v>6820</v>
      </c>
      <c r="J270" s="50" t="s">
        <v>6829</v>
      </c>
      <c r="K270" s="50" t="s">
        <v>11987</v>
      </c>
      <c r="L270" s="87" t="s">
        <v>11988</v>
      </c>
      <c r="M270" s="50" t="s">
        <v>11989</v>
      </c>
      <c r="N270" s="51">
        <v>43810</v>
      </c>
      <c r="O270" s="50" t="s">
        <v>7729</v>
      </c>
      <c r="P270" s="51">
        <v>43810</v>
      </c>
      <c r="Q270" s="51">
        <v>43812</v>
      </c>
      <c r="R270" s="52">
        <v>43812</v>
      </c>
      <c r="S270" s="33" t="s">
        <v>9351</v>
      </c>
      <c r="T270" s="34" t="s">
        <v>7729</v>
      </c>
      <c r="U270" s="35">
        <v>43815</v>
      </c>
      <c r="V270" s="34" t="s">
        <v>11990</v>
      </c>
      <c r="W270" s="34">
        <v>1</v>
      </c>
      <c r="X270" s="34" t="s">
        <v>5683</v>
      </c>
      <c r="Y270" s="34" t="s">
        <v>4999</v>
      </c>
      <c r="Z270" s="36">
        <v>43818</v>
      </c>
      <c r="AA270" s="44" t="s">
        <v>264</v>
      </c>
      <c r="AB270" s="38">
        <v>43818</v>
      </c>
      <c r="AC270" s="39">
        <v>43818</v>
      </c>
      <c r="AD270" s="45"/>
      <c r="AE270" s="46"/>
      <c r="AF270" s="53" t="s">
        <v>11468</v>
      </c>
      <c r="AG270" s="54" t="s">
        <v>4999</v>
      </c>
      <c r="AH270" s="67"/>
    </row>
    <row r="271" spans="1:35" s="2" customFormat="1" ht="17.25" customHeight="1" thickBot="1" x14ac:dyDescent="0.25">
      <c r="A271" s="221" t="str">
        <f t="shared" si="12"/>
        <v>OK</v>
      </c>
      <c r="B271" s="222" t="str">
        <f t="shared" si="13"/>
        <v>OK</v>
      </c>
      <c r="C271" s="223" t="str">
        <f t="shared" si="14"/>
        <v>OK</v>
      </c>
      <c r="D271" s="28">
        <v>0</v>
      </c>
      <c r="E271" s="49" t="s">
        <v>11991</v>
      </c>
      <c r="F271" s="50" t="s">
        <v>9172</v>
      </c>
      <c r="G271" s="50">
        <v>180692</v>
      </c>
      <c r="H271" s="50" t="s">
        <v>11992</v>
      </c>
      <c r="I271" s="50" t="s">
        <v>6820</v>
      </c>
      <c r="J271" s="50" t="s">
        <v>6829</v>
      </c>
      <c r="K271" s="50" t="s">
        <v>34</v>
      </c>
      <c r="L271" s="50" t="s">
        <v>11993</v>
      </c>
      <c r="M271" s="30" t="s">
        <v>11745</v>
      </c>
      <c r="N271" s="51">
        <v>43812</v>
      </c>
      <c r="O271" s="50" t="s">
        <v>7729</v>
      </c>
      <c r="P271" s="51">
        <v>43812</v>
      </c>
      <c r="Q271" s="51">
        <v>43812</v>
      </c>
      <c r="R271" s="52">
        <v>43815</v>
      </c>
      <c r="S271" s="33" t="s">
        <v>9357</v>
      </c>
      <c r="T271" s="34" t="s">
        <v>9357</v>
      </c>
      <c r="U271" s="35">
        <v>43815</v>
      </c>
      <c r="V271" s="34" t="s">
        <v>6782</v>
      </c>
      <c r="W271" s="34">
        <v>2</v>
      </c>
      <c r="X271" s="34" t="s">
        <v>5683</v>
      </c>
      <c r="Y271" s="34" t="s">
        <v>4999</v>
      </c>
      <c r="Z271" s="36">
        <v>43816</v>
      </c>
      <c r="AA271" s="44" t="s">
        <v>264</v>
      </c>
      <c r="AB271" s="38">
        <v>43816</v>
      </c>
      <c r="AC271" s="38">
        <v>43816</v>
      </c>
      <c r="AD271" s="45"/>
      <c r="AE271" s="46"/>
      <c r="AF271" s="53" t="s">
        <v>11468</v>
      </c>
      <c r="AG271" s="54" t="s">
        <v>4999</v>
      </c>
      <c r="AH271" s="67"/>
    </row>
    <row r="272" spans="1:35" s="2" customFormat="1" ht="26.25" thickBot="1" x14ac:dyDescent="0.25">
      <c r="A272" s="221" t="str">
        <f t="shared" si="12"/>
        <v>P</v>
      </c>
      <c r="B272" s="222" t="str">
        <f t="shared" si="13"/>
        <v>OK</v>
      </c>
      <c r="C272" s="223" t="str">
        <f t="shared" si="14"/>
        <v>OK</v>
      </c>
      <c r="D272" s="28">
        <v>0</v>
      </c>
      <c r="E272" s="49" t="s">
        <v>11994</v>
      </c>
      <c r="F272" s="50" t="s">
        <v>6169</v>
      </c>
      <c r="G272" s="50">
        <v>180679</v>
      </c>
      <c r="H272" s="50" t="s">
        <v>11995</v>
      </c>
      <c r="I272" s="50" t="s">
        <v>6820</v>
      </c>
      <c r="J272" s="50" t="s">
        <v>6829</v>
      </c>
      <c r="K272" s="50" t="s">
        <v>11520</v>
      </c>
      <c r="L272" s="87" t="s">
        <v>11996</v>
      </c>
      <c r="M272" s="50" t="s">
        <v>6579</v>
      </c>
      <c r="N272" s="51">
        <v>43805</v>
      </c>
      <c r="O272" s="51" t="s">
        <v>9350</v>
      </c>
      <c r="P272" s="51"/>
      <c r="Q272" s="51"/>
      <c r="R272" s="52"/>
      <c r="S272" s="33" t="s">
        <v>9357</v>
      </c>
      <c r="T272" s="34" t="s">
        <v>264</v>
      </c>
      <c r="U272" s="35">
        <v>43822</v>
      </c>
      <c r="V272" s="34" t="s">
        <v>5683</v>
      </c>
      <c r="W272" s="34">
        <v>1</v>
      </c>
      <c r="X272" s="35" t="s">
        <v>5683</v>
      </c>
      <c r="Y272" s="34" t="s">
        <v>4999</v>
      </c>
      <c r="Z272" s="36">
        <v>43825</v>
      </c>
      <c r="AA272" s="44" t="s">
        <v>264</v>
      </c>
      <c r="AB272" s="38">
        <v>43829</v>
      </c>
      <c r="AC272" s="38">
        <v>43829</v>
      </c>
      <c r="AD272" s="45"/>
      <c r="AE272" s="46"/>
      <c r="AF272" s="53" t="s">
        <v>11468</v>
      </c>
      <c r="AG272" s="54" t="s">
        <v>4999</v>
      </c>
      <c r="AH272" s="67"/>
    </row>
    <row r="273" spans="1:34" s="2" customFormat="1" ht="25.5" x14ac:dyDescent="0.2">
      <c r="A273" s="221" t="str">
        <f t="shared" si="12"/>
        <v>P</v>
      </c>
      <c r="B273" s="268" t="str">
        <f t="shared" si="13"/>
        <v>P</v>
      </c>
      <c r="C273" s="269" t="str">
        <f t="shared" si="14"/>
        <v>P</v>
      </c>
      <c r="D273" s="273">
        <v>0</v>
      </c>
      <c r="E273" s="49" t="s">
        <v>11997</v>
      </c>
      <c r="F273" s="50"/>
      <c r="G273" s="50"/>
      <c r="H273" s="50"/>
      <c r="I273" s="50"/>
      <c r="J273" s="50"/>
      <c r="K273" s="50"/>
      <c r="L273" s="50"/>
      <c r="M273" s="50"/>
      <c r="N273" s="51"/>
      <c r="O273" s="50"/>
      <c r="P273" s="51"/>
      <c r="Q273" s="51"/>
      <c r="R273" s="52"/>
      <c r="S273" s="33"/>
      <c r="T273" s="34"/>
      <c r="U273" s="35"/>
      <c r="V273" s="34"/>
      <c r="W273" s="34"/>
      <c r="X273" s="34"/>
      <c r="Y273" s="34"/>
      <c r="Z273" s="36"/>
      <c r="AA273" s="44"/>
      <c r="AB273" s="38"/>
      <c r="AC273" s="39"/>
      <c r="AD273" s="45"/>
      <c r="AE273" s="46"/>
      <c r="AF273" s="53"/>
      <c r="AG273" s="54"/>
      <c r="AH273" s="67"/>
    </row>
    <row r="274" spans="1:34" s="2" customFormat="1" ht="26.25" thickBot="1" x14ac:dyDescent="0.25">
      <c r="A274" s="156" t="str">
        <f t="shared" si="12"/>
        <v>P</v>
      </c>
      <c r="B274" s="222" t="str">
        <f t="shared" si="13"/>
        <v>P</v>
      </c>
      <c r="C274" s="274" t="str">
        <f t="shared" si="14"/>
        <v>P</v>
      </c>
      <c r="D274" s="50">
        <v>0</v>
      </c>
      <c r="E274" s="49" t="s">
        <v>11998</v>
      </c>
      <c r="F274" s="50"/>
      <c r="G274" s="50"/>
      <c r="H274" s="50"/>
      <c r="I274" s="50"/>
      <c r="J274" s="50"/>
      <c r="K274" s="50"/>
      <c r="L274" s="50"/>
      <c r="M274" s="50"/>
      <c r="N274" s="50"/>
      <c r="O274" s="50"/>
      <c r="P274" s="50"/>
      <c r="Q274" s="50"/>
      <c r="R274" s="88"/>
      <c r="S274" s="33"/>
      <c r="T274" s="34"/>
      <c r="U274" s="34"/>
      <c r="V274" s="34"/>
      <c r="W274" s="34"/>
      <c r="X274" s="34"/>
      <c r="Y274" s="34"/>
      <c r="Z274" s="69"/>
      <c r="AA274" s="74"/>
      <c r="AB274" s="38"/>
      <c r="AC274" s="39"/>
      <c r="AD274" s="89"/>
      <c r="AE274" s="90"/>
      <c r="AF274" s="53"/>
      <c r="AG274" s="54"/>
      <c r="AH274" s="67"/>
    </row>
    <row r="275" spans="1:34" x14ac:dyDescent="0.25">
      <c r="A275" s="270"/>
      <c r="B275" s="271"/>
      <c r="C275" s="272"/>
    </row>
    <row r="276" spans="1:34" x14ac:dyDescent="0.25">
      <c r="A276" s="270"/>
      <c r="B276" s="271"/>
      <c r="C276" s="272"/>
    </row>
    <row r="277" spans="1:34" x14ac:dyDescent="0.25">
      <c r="A277" s="270"/>
      <c r="B277" s="271"/>
      <c r="C277" s="272"/>
    </row>
    <row r="278" spans="1:34" x14ac:dyDescent="0.25">
      <c r="A278" s="270"/>
      <c r="B278" s="271"/>
      <c r="C278" s="272"/>
    </row>
    <row r="279" spans="1:34" x14ac:dyDescent="0.25">
      <c r="A279" s="270"/>
      <c r="B279" s="271"/>
      <c r="C279" s="272"/>
    </row>
    <row r="280" spans="1:34" x14ac:dyDescent="0.25">
      <c r="A280" s="270"/>
      <c r="B280" s="271"/>
      <c r="C280" s="272"/>
    </row>
    <row r="281" spans="1:34" x14ac:dyDescent="0.25">
      <c r="A281" s="270"/>
      <c r="B281" s="271"/>
      <c r="C281" s="272"/>
    </row>
    <row r="282" spans="1:34" x14ac:dyDescent="0.25">
      <c r="A282" s="270"/>
      <c r="B282" s="271"/>
      <c r="C282" s="272"/>
    </row>
    <row r="283" spans="1:34" x14ac:dyDescent="0.25">
      <c r="A283" s="270"/>
      <c r="B283" s="271"/>
      <c r="C283" s="272"/>
    </row>
    <row r="284" spans="1:34" x14ac:dyDescent="0.25">
      <c r="A284" s="270"/>
      <c r="B284" s="271"/>
      <c r="C284" s="272"/>
    </row>
    <row r="285" spans="1:34" x14ac:dyDescent="0.25">
      <c r="A285" s="270"/>
      <c r="B285" s="271"/>
      <c r="C285" s="272"/>
    </row>
    <row r="286" spans="1:34" x14ac:dyDescent="0.25">
      <c r="A286" s="481"/>
      <c r="B286" s="481"/>
      <c r="C286" s="481"/>
    </row>
    <row r="287" spans="1:34" x14ac:dyDescent="0.25">
      <c r="A287" s="270"/>
      <c r="B287" s="271"/>
      <c r="C287" s="272"/>
    </row>
    <row r="288" spans="1:34" x14ac:dyDescent="0.25">
      <c r="A288" s="481"/>
      <c r="B288" s="481"/>
      <c r="C288" s="481"/>
    </row>
    <row r="289" spans="1:3" x14ac:dyDescent="0.25">
      <c r="A289" s="270"/>
      <c r="B289" s="271"/>
      <c r="C289" s="272"/>
    </row>
    <row r="290" spans="1:3" x14ac:dyDescent="0.25">
      <c r="A290" s="270"/>
      <c r="B290" s="271"/>
      <c r="C290" s="272"/>
    </row>
    <row r="291" spans="1:3" x14ac:dyDescent="0.25">
      <c r="A291" s="270"/>
      <c r="B291" s="271"/>
      <c r="C291" s="272"/>
    </row>
    <row r="292" spans="1:3" x14ac:dyDescent="0.25">
      <c r="A292" s="270"/>
      <c r="B292" s="271"/>
      <c r="C292" s="272"/>
    </row>
    <row r="293" spans="1:3" x14ac:dyDescent="0.25">
      <c r="A293" s="270"/>
      <c r="B293" s="271"/>
      <c r="C293" s="272"/>
    </row>
    <row r="294" spans="1:3" x14ac:dyDescent="0.25">
      <c r="A294" s="270"/>
      <c r="B294" s="271"/>
      <c r="C294" s="272"/>
    </row>
    <row r="295" spans="1:3" x14ac:dyDescent="0.25">
      <c r="A295" s="270"/>
      <c r="B295" s="271"/>
      <c r="C295" s="272"/>
    </row>
    <row r="296" spans="1:3" x14ac:dyDescent="0.25">
      <c r="A296" s="270"/>
      <c r="B296" s="271"/>
      <c r="C296" s="272"/>
    </row>
    <row r="297" spans="1:3" x14ac:dyDescent="0.25">
      <c r="A297" s="270"/>
      <c r="B297" s="271"/>
      <c r="C297" s="272"/>
    </row>
    <row r="298" spans="1:3" x14ac:dyDescent="0.25">
      <c r="A298" s="270"/>
      <c r="B298" s="271"/>
      <c r="C298" s="272"/>
    </row>
    <row r="299" spans="1:3" x14ac:dyDescent="0.25">
      <c r="A299" s="481"/>
      <c r="B299" s="481"/>
      <c r="C299" s="481"/>
    </row>
    <row r="300" spans="1:3" x14ac:dyDescent="0.25">
      <c r="A300" s="270"/>
      <c r="B300" s="271"/>
      <c r="C300" s="272"/>
    </row>
    <row r="301" spans="1:3" x14ac:dyDescent="0.25">
      <c r="A301" s="270"/>
      <c r="B301" s="271"/>
      <c r="C301" s="272"/>
    </row>
    <row r="302" spans="1:3" x14ac:dyDescent="0.25">
      <c r="A302" s="270"/>
      <c r="B302" s="271"/>
      <c r="C302" s="272"/>
    </row>
    <row r="303" spans="1:3" x14ac:dyDescent="0.25">
      <c r="A303" s="270"/>
      <c r="B303" s="271"/>
      <c r="C303" s="272"/>
    </row>
    <row r="304" spans="1:3" x14ac:dyDescent="0.25">
      <c r="A304" s="270"/>
      <c r="B304" s="271"/>
      <c r="C304" s="272"/>
    </row>
    <row r="305" spans="1:3" x14ac:dyDescent="0.25">
      <c r="A305" s="270"/>
      <c r="B305" s="271"/>
      <c r="C305" s="272"/>
    </row>
    <row r="306" spans="1:3" x14ac:dyDescent="0.25">
      <c r="A306" s="270"/>
      <c r="B306" s="271"/>
      <c r="C306" s="272"/>
    </row>
    <row r="307" spans="1:3" x14ac:dyDescent="0.25">
      <c r="A307" s="270"/>
      <c r="B307" s="271"/>
      <c r="C307" s="272"/>
    </row>
    <row r="308" spans="1:3" x14ac:dyDescent="0.25">
      <c r="A308" s="270"/>
      <c r="B308" s="271"/>
      <c r="C308" s="272"/>
    </row>
    <row r="309" spans="1:3" x14ac:dyDescent="0.25">
      <c r="A309" s="270"/>
      <c r="B309" s="271"/>
      <c r="C309" s="272"/>
    </row>
    <row r="310" spans="1:3" x14ac:dyDescent="0.25">
      <c r="A310" s="270"/>
      <c r="B310" s="271"/>
      <c r="C310" s="272"/>
    </row>
    <row r="311" spans="1:3" x14ac:dyDescent="0.25">
      <c r="A311" s="270"/>
      <c r="B311" s="271"/>
      <c r="C311" s="272"/>
    </row>
    <row r="312" spans="1:3" x14ac:dyDescent="0.25">
      <c r="A312" s="270"/>
      <c r="B312" s="271"/>
      <c r="C312" s="272"/>
    </row>
    <row r="313" spans="1:3" x14ac:dyDescent="0.25">
      <c r="A313" s="270"/>
      <c r="B313" s="271"/>
      <c r="C313" s="272"/>
    </row>
    <row r="314" spans="1:3" x14ac:dyDescent="0.25">
      <c r="A314" s="270"/>
      <c r="B314" s="271"/>
      <c r="C314" s="272"/>
    </row>
    <row r="315" spans="1:3" x14ac:dyDescent="0.25">
      <c r="A315" s="270"/>
      <c r="B315" s="271"/>
      <c r="C315" s="272"/>
    </row>
    <row r="316" spans="1:3" x14ac:dyDescent="0.25">
      <c r="A316" s="270"/>
      <c r="B316" s="271"/>
      <c r="C316" s="272"/>
    </row>
    <row r="317" spans="1:3" x14ac:dyDescent="0.25">
      <c r="A317" s="270"/>
      <c r="B317" s="271"/>
      <c r="C317" s="272"/>
    </row>
    <row r="318" spans="1:3" x14ac:dyDescent="0.25">
      <c r="A318" s="270"/>
      <c r="B318" s="271"/>
      <c r="C318" s="272"/>
    </row>
    <row r="319" spans="1:3" x14ac:dyDescent="0.25">
      <c r="A319" s="270"/>
      <c r="B319" s="271"/>
      <c r="C319" s="272"/>
    </row>
    <row r="320" spans="1:3" x14ac:dyDescent="0.25">
      <c r="A320" s="270"/>
      <c r="B320" s="271"/>
      <c r="C320" s="272"/>
    </row>
    <row r="321" spans="1:3" x14ac:dyDescent="0.25">
      <c r="A321" s="270"/>
      <c r="B321" s="271"/>
      <c r="C321" s="272"/>
    </row>
    <row r="322" spans="1:3" x14ac:dyDescent="0.25">
      <c r="A322" s="270"/>
      <c r="B322" s="271"/>
      <c r="C322" s="272"/>
    </row>
    <row r="323" spans="1:3" x14ac:dyDescent="0.25">
      <c r="A323" s="270"/>
      <c r="B323" s="271"/>
      <c r="C323" s="272"/>
    </row>
    <row r="324" spans="1:3" x14ac:dyDescent="0.25">
      <c r="A324" s="270"/>
      <c r="B324" s="271"/>
      <c r="C324" s="272"/>
    </row>
    <row r="325" spans="1:3" x14ac:dyDescent="0.25">
      <c r="A325" s="270"/>
      <c r="B325" s="271"/>
      <c r="C325" s="272"/>
    </row>
    <row r="326" spans="1:3" x14ac:dyDescent="0.25">
      <c r="A326" s="270"/>
      <c r="B326" s="271"/>
      <c r="C326" s="272"/>
    </row>
    <row r="327" spans="1:3" x14ac:dyDescent="0.25">
      <c r="A327" s="270"/>
      <c r="B327" s="271"/>
      <c r="C327" s="272"/>
    </row>
    <row r="328" spans="1:3" x14ac:dyDescent="0.25">
      <c r="A328" s="270"/>
      <c r="B328" s="271"/>
      <c r="C328" s="272"/>
    </row>
    <row r="329" spans="1:3" x14ac:dyDescent="0.25">
      <c r="A329" s="270"/>
      <c r="B329" s="271"/>
      <c r="C329" s="272"/>
    </row>
    <row r="330" spans="1:3" x14ac:dyDescent="0.25">
      <c r="A330" s="270"/>
      <c r="B330" s="271"/>
      <c r="C330" s="272"/>
    </row>
    <row r="331" spans="1:3" x14ac:dyDescent="0.25">
      <c r="A331" s="270"/>
      <c r="B331" s="271"/>
      <c r="C331" s="272"/>
    </row>
    <row r="332" spans="1:3" x14ac:dyDescent="0.25">
      <c r="A332" s="270"/>
      <c r="B332" s="271"/>
      <c r="C332" s="272"/>
    </row>
    <row r="333" spans="1:3" x14ac:dyDescent="0.25">
      <c r="A333" s="270"/>
      <c r="B333" s="271"/>
      <c r="C333" s="272"/>
    </row>
    <row r="334" spans="1:3" x14ac:dyDescent="0.25">
      <c r="A334" s="270"/>
      <c r="B334" s="271"/>
      <c r="C334" s="272"/>
    </row>
    <row r="335" spans="1:3" x14ac:dyDescent="0.25">
      <c r="A335" s="270"/>
      <c r="B335" s="271"/>
      <c r="C335" s="272"/>
    </row>
    <row r="336" spans="1:3" x14ac:dyDescent="0.25">
      <c r="A336" s="270"/>
      <c r="B336" s="271"/>
      <c r="C336" s="272"/>
    </row>
    <row r="337" spans="1:3" x14ac:dyDescent="0.25">
      <c r="A337" s="270"/>
      <c r="B337" s="271"/>
      <c r="C337" s="272"/>
    </row>
    <row r="338" spans="1:3" x14ac:dyDescent="0.25">
      <c r="A338" s="270"/>
      <c r="B338" s="271"/>
      <c r="C338" s="272"/>
    </row>
    <row r="339" spans="1:3" x14ac:dyDescent="0.25">
      <c r="A339" s="270"/>
      <c r="B339" s="271"/>
      <c r="C339" s="272"/>
    </row>
    <row r="340" spans="1:3" x14ac:dyDescent="0.25">
      <c r="A340" s="270"/>
      <c r="B340" s="271"/>
      <c r="C340" s="272"/>
    </row>
    <row r="341" spans="1:3" x14ac:dyDescent="0.25">
      <c r="A341" s="270"/>
      <c r="B341" s="271"/>
      <c r="C341" s="272"/>
    </row>
    <row r="342" spans="1:3" x14ac:dyDescent="0.25">
      <c r="A342" s="270"/>
      <c r="B342" s="271"/>
      <c r="C342" s="272"/>
    </row>
    <row r="343" spans="1:3" x14ac:dyDescent="0.25">
      <c r="A343" s="270"/>
      <c r="B343" s="271"/>
      <c r="C343" s="272"/>
    </row>
    <row r="344" spans="1:3" x14ac:dyDescent="0.25">
      <c r="A344" s="270"/>
      <c r="B344" s="271"/>
      <c r="C344" s="272"/>
    </row>
    <row r="345" spans="1:3" x14ac:dyDescent="0.25">
      <c r="A345" s="270"/>
      <c r="B345" s="271"/>
      <c r="C345" s="272"/>
    </row>
    <row r="346" spans="1:3" x14ac:dyDescent="0.25">
      <c r="A346" s="270"/>
      <c r="B346" s="271"/>
      <c r="C346" s="272"/>
    </row>
    <row r="347" spans="1:3" x14ac:dyDescent="0.25">
      <c r="A347" s="270"/>
      <c r="B347" s="271"/>
      <c r="C347" s="272"/>
    </row>
    <row r="348" spans="1:3" x14ac:dyDescent="0.25">
      <c r="A348" s="270"/>
      <c r="B348" s="271"/>
      <c r="C348" s="272"/>
    </row>
    <row r="349" spans="1:3" x14ac:dyDescent="0.25">
      <c r="A349" s="270"/>
      <c r="B349" s="271"/>
      <c r="C349" s="272"/>
    </row>
    <row r="350" spans="1:3" x14ac:dyDescent="0.25">
      <c r="A350" s="270"/>
      <c r="B350" s="271"/>
      <c r="C350" s="272"/>
    </row>
    <row r="351" spans="1:3" x14ac:dyDescent="0.25">
      <c r="A351" s="270"/>
      <c r="B351" s="271"/>
      <c r="C351" s="272"/>
    </row>
    <row r="352" spans="1:3" x14ac:dyDescent="0.25">
      <c r="A352" s="270"/>
      <c r="B352" s="271"/>
      <c r="C352" s="272"/>
    </row>
    <row r="353" spans="1:3" x14ac:dyDescent="0.25">
      <c r="A353" s="270"/>
      <c r="B353" s="271"/>
      <c r="C353" s="272"/>
    </row>
    <row r="354" spans="1:3" x14ac:dyDescent="0.25">
      <c r="A354" s="270"/>
      <c r="B354" s="271"/>
      <c r="C354" s="272"/>
    </row>
    <row r="355" spans="1:3" x14ac:dyDescent="0.25">
      <c r="A355" s="270"/>
      <c r="B355" s="271"/>
      <c r="C355" s="272"/>
    </row>
    <row r="356" spans="1:3" x14ac:dyDescent="0.25">
      <c r="A356" s="270"/>
      <c r="B356" s="271"/>
      <c r="C356" s="272"/>
    </row>
    <row r="357" spans="1:3" x14ac:dyDescent="0.25">
      <c r="A357" s="270"/>
      <c r="B357" s="271"/>
      <c r="C357" s="272"/>
    </row>
    <row r="358" spans="1:3" x14ac:dyDescent="0.25">
      <c r="A358" s="270"/>
      <c r="B358" s="271"/>
      <c r="C358" s="272"/>
    </row>
    <row r="359" spans="1:3" x14ac:dyDescent="0.25">
      <c r="A359" s="270"/>
      <c r="B359" s="271"/>
      <c r="C359" s="272"/>
    </row>
    <row r="360" spans="1:3" x14ac:dyDescent="0.25">
      <c r="A360" s="270"/>
      <c r="B360" s="271"/>
      <c r="C360" s="272"/>
    </row>
    <row r="361" spans="1:3" x14ac:dyDescent="0.25">
      <c r="A361" s="270"/>
      <c r="B361" s="271"/>
      <c r="C361" s="272"/>
    </row>
    <row r="362" spans="1:3" x14ac:dyDescent="0.25">
      <c r="A362" s="270"/>
      <c r="B362" s="271"/>
      <c r="C362" s="272"/>
    </row>
    <row r="363" spans="1:3" x14ac:dyDescent="0.25">
      <c r="A363" s="270"/>
      <c r="B363" s="271"/>
      <c r="C363" s="272"/>
    </row>
    <row r="364" spans="1:3" x14ac:dyDescent="0.25">
      <c r="A364" s="270"/>
      <c r="B364" s="271"/>
      <c r="C364" s="272"/>
    </row>
    <row r="365" spans="1:3" x14ac:dyDescent="0.25">
      <c r="A365" s="270"/>
      <c r="B365" s="271"/>
      <c r="C365" s="272"/>
    </row>
    <row r="366" spans="1:3" x14ac:dyDescent="0.25">
      <c r="A366" s="270"/>
      <c r="B366" s="271"/>
      <c r="C366" s="272"/>
    </row>
    <row r="367" spans="1:3" x14ac:dyDescent="0.25">
      <c r="A367" s="270"/>
      <c r="B367" s="271"/>
      <c r="C367" s="272"/>
    </row>
    <row r="368" spans="1:3" x14ac:dyDescent="0.25">
      <c r="A368" s="270"/>
      <c r="B368" s="271"/>
      <c r="C368" s="272"/>
    </row>
    <row r="369" spans="1:3" x14ac:dyDescent="0.25">
      <c r="A369" s="270"/>
      <c r="B369" s="271"/>
      <c r="C369" s="272"/>
    </row>
    <row r="370" spans="1:3" x14ac:dyDescent="0.25">
      <c r="A370" s="270"/>
      <c r="B370" s="271"/>
      <c r="C370" s="272"/>
    </row>
    <row r="371" spans="1:3" x14ac:dyDescent="0.25">
      <c r="A371" s="270"/>
      <c r="B371" s="271"/>
      <c r="C371" s="272"/>
    </row>
    <row r="372" spans="1:3" x14ac:dyDescent="0.25">
      <c r="A372" s="270"/>
      <c r="B372" s="271"/>
      <c r="C372" s="272"/>
    </row>
    <row r="373" spans="1:3" x14ac:dyDescent="0.25">
      <c r="A373" s="270"/>
      <c r="B373" s="271"/>
      <c r="C373" s="272"/>
    </row>
    <row r="374" spans="1:3" x14ac:dyDescent="0.25">
      <c r="A374" s="270"/>
      <c r="B374" s="271"/>
      <c r="C374" s="272"/>
    </row>
    <row r="375" spans="1:3" x14ac:dyDescent="0.25">
      <c r="A375" s="270"/>
      <c r="B375" s="271"/>
      <c r="C375" s="272"/>
    </row>
    <row r="376" spans="1:3" x14ac:dyDescent="0.25">
      <c r="A376" s="270"/>
      <c r="B376" s="271"/>
      <c r="C376" s="272"/>
    </row>
    <row r="377" spans="1:3" x14ac:dyDescent="0.25">
      <c r="A377" s="270"/>
      <c r="B377" s="271"/>
      <c r="C377" s="272"/>
    </row>
    <row r="378" spans="1:3" x14ac:dyDescent="0.25">
      <c r="A378" s="270"/>
      <c r="B378" s="271"/>
      <c r="C378" s="272"/>
    </row>
    <row r="379" spans="1:3" x14ac:dyDescent="0.25">
      <c r="A379" s="270"/>
      <c r="B379" s="271"/>
      <c r="C379" s="272"/>
    </row>
    <row r="380" spans="1:3" x14ac:dyDescent="0.25">
      <c r="A380" s="270"/>
      <c r="B380" s="271"/>
      <c r="C380" s="272"/>
    </row>
    <row r="381" spans="1:3" x14ac:dyDescent="0.25">
      <c r="A381" s="270"/>
      <c r="B381" s="271"/>
      <c r="C381" s="272"/>
    </row>
    <row r="382" spans="1:3" x14ac:dyDescent="0.25">
      <c r="A382" s="270"/>
      <c r="B382" s="271"/>
      <c r="C382" s="272"/>
    </row>
    <row r="383" spans="1:3" x14ac:dyDescent="0.25">
      <c r="A383" s="270"/>
      <c r="B383" s="271"/>
      <c r="C383" s="272"/>
    </row>
    <row r="384" spans="1:3" x14ac:dyDescent="0.25">
      <c r="A384" s="270"/>
      <c r="B384" s="271"/>
      <c r="C384" s="272"/>
    </row>
    <row r="385" spans="1:3" x14ac:dyDescent="0.25">
      <c r="A385" s="270"/>
      <c r="B385" s="271"/>
      <c r="C385" s="272"/>
    </row>
    <row r="386" spans="1:3" x14ac:dyDescent="0.25">
      <c r="A386" s="270"/>
      <c r="B386" s="271"/>
      <c r="C386" s="272"/>
    </row>
    <row r="387" spans="1:3" x14ac:dyDescent="0.25">
      <c r="A387" s="270"/>
      <c r="B387" s="271"/>
      <c r="C387" s="272"/>
    </row>
    <row r="388" spans="1:3" x14ac:dyDescent="0.25">
      <c r="A388" s="270"/>
      <c r="B388" s="271"/>
      <c r="C388" s="272"/>
    </row>
    <row r="389" spans="1:3" x14ac:dyDescent="0.25">
      <c r="A389" s="270"/>
      <c r="B389" s="271"/>
      <c r="C389" s="272"/>
    </row>
    <row r="390" spans="1:3" x14ac:dyDescent="0.25">
      <c r="A390" s="270"/>
      <c r="B390" s="271"/>
      <c r="C390" s="272"/>
    </row>
    <row r="391" spans="1:3" x14ac:dyDescent="0.25">
      <c r="A391" s="270"/>
      <c r="B391" s="271"/>
      <c r="C391" s="272"/>
    </row>
    <row r="392" spans="1:3" x14ac:dyDescent="0.25">
      <c r="A392" s="270"/>
      <c r="B392" s="271"/>
      <c r="C392" s="272"/>
    </row>
    <row r="393" spans="1:3" x14ac:dyDescent="0.25">
      <c r="A393" s="270"/>
      <c r="B393" s="271"/>
      <c r="C393" s="272"/>
    </row>
    <row r="394" spans="1:3" x14ac:dyDescent="0.25">
      <c r="A394" s="270"/>
      <c r="B394" s="271"/>
      <c r="C394" s="272"/>
    </row>
  </sheetData>
  <autoFilter ref="A5:AI274" xr:uid="{B372A5D4-267B-4264-A960-3E07BD4FD1DC}"/>
  <mergeCells count="14">
    <mergeCell ref="D4:R4"/>
    <mergeCell ref="S4:Z4"/>
    <mergeCell ref="AA4:AE4"/>
    <mergeCell ref="D1:AH3"/>
    <mergeCell ref="A288:C288"/>
    <mergeCell ref="A299:C299"/>
    <mergeCell ref="A4:C4"/>
    <mergeCell ref="A148:C148"/>
    <mergeCell ref="A109:C109"/>
    <mergeCell ref="A126:C126"/>
    <mergeCell ref="A165:C165"/>
    <mergeCell ref="A166:C166"/>
    <mergeCell ref="A259:C259"/>
    <mergeCell ref="A286:C286"/>
  </mergeCell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91C34-8DA5-42D1-8D22-78BE2150A73D}">
  <sheetPr codeName="Planilha4"/>
  <dimension ref="A1:AF204"/>
  <sheetViews>
    <sheetView showGridLines="0" topLeftCell="A173" zoomScaleNormal="100" workbookViewId="0">
      <selection activeCell="H5" sqref="H5"/>
    </sheetView>
  </sheetViews>
  <sheetFormatPr defaultRowHeight="15" x14ac:dyDescent="0.25"/>
  <cols>
    <col min="1" max="1" width="7.5703125" bestFit="1" customWidth="1"/>
    <col min="2" max="2" width="13.5703125" bestFit="1" customWidth="1"/>
    <col min="3" max="3" width="15.42578125" bestFit="1" customWidth="1"/>
    <col min="4" max="4" width="8.5703125" bestFit="1" customWidth="1"/>
    <col min="5" max="5" width="11.42578125" bestFit="1" customWidth="1"/>
    <col min="6" max="6" width="7.5703125" bestFit="1" customWidth="1"/>
    <col min="7" max="7" width="11" bestFit="1" customWidth="1"/>
    <col min="8" max="8" width="78.5703125" bestFit="1" customWidth="1"/>
    <col min="9" max="9" width="41.5703125" bestFit="1" customWidth="1"/>
    <col min="10" max="10" width="54.5703125" bestFit="1" customWidth="1"/>
    <col min="11" max="11" width="10.42578125" bestFit="1" customWidth="1"/>
    <col min="12" max="12" width="19.5703125" bestFit="1" customWidth="1"/>
    <col min="13" max="13" width="18.42578125" bestFit="1" customWidth="1"/>
    <col min="14" max="14" width="10.42578125" bestFit="1" customWidth="1"/>
    <col min="15" max="17" width="12.42578125" bestFit="1" customWidth="1"/>
    <col min="18" max="18" width="17.5703125" bestFit="1" customWidth="1"/>
    <col min="19" max="19" width="38" bestFit="1" customWidth="1"/>
    <col min="20" max="21" width="12.42578125" bestFit="1" customWidth="1"/>
    <col min="22" max="22" width="255.5703125" bestFit="1" customWidth="1"/>
    <col min="23" max="23" width="16.5703125" bestFit="1" customWidth="1"/>
    <col min="24" max="25" width="12.42578125" bestFit="1" customWidth="1"/>
    <col min="26" max="26" width="12.5703125" bestFit="1" customWidth="1"/>
    <col min="27" max="28" width="8.5703125" bestFit="1" customWidth="1"/>
    <col min="29" max="29" width="96.5703125" bestFit="1" customWidth="1"/>
    <col min="30" max="30" width="12.42578125" bestFit="1" customWidth="1"/>
    <col min="31" max="31" width="177.42578125" bestFit="1" customWidth="1"/>
    <col min="32" max="32" width="96.42578125" bestFit="1" customWidth="1"/>
  </cols>
  <sheetData>
    <row r="1" spans="1:32" s="6" customFormat="1" ht="15" customHeight="1" x14ac:dyDescent="0.2">
      <c r="A1" s="482" t="s">
        <v>9340</v>
      </c>
      <c r="B1" s="455"/>
      <c r="C1" s="455"/>
      <c r="D1" s="455"/>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c r="AF1" s="455"/>
    </row>
    <row r="2" spans="1:32" s="6" customFormat="1" ht="15" customHeight="1" x14ac:dyDescent="0.2">
      <c r="A2" s="482"/>
      <c r="B2" s="455"/>
      <c r="C2" s="455"/>
      <c r="D2" s="455"/>
      <c r="E2" s="455"/>
      <c r="F2" s="455"/>
      <c r="G2" s="455"/>
      <c r="H2" s="455"/>
      <c r="I2" s="455"/>
      <c r="J2" s="455"/>
      <c r="K2" s="455"/>
      <c r="L2" s="455"/>
      <c r="M2" s="455"/>
      <c r="N2" s="455"/>
      <c r="O2" s="455"/>
      <c r="P2" s="455"/>
      <c r="Q2" s="455"/>
      <c r="R2" s="455"/>
      <c r="S2" s="455"/>
      <c r="T2" s="455"/>
      <c r="U2" s="455"/>
      <c r="V2" s="455"/>
      <c r="W2" s="455"/>
      <c r="X2" s="455"/>
      <c r="Y2" s="455"/>
      <c r="Z2" s="455"/>
      <c r="AA2" s="455"/>
      <c r="AB2" s="455"/>
      <c r="AC2" s="455"/>
      <c r="AD2" s="455"/>
      <c r="AE2" s="455"/>
      <c r="AF2" s="455"/>
    </row>
    <row r="3" spans="1:32" s="6" customFormat="1" ht="15" customHeight="1" thickBot="1" x14ac:dyDescent="0.25">
      <c r="A3" s="482"/>
      <c r="B3" s="455"/>
      <c r="C3" s="455"/>
      <c r="D3" s="455"/>
      <c r="E3" s="455"/>
      <c r="F3" s="455"/>
      <c r="G3" s="455"/>
      <c r="H3" s="455"/>
      <c r="I3" s="455"/>
      <c r="J3" s="455"/>
      <c r="K3" s="455"/>
      <c r="L3" s="455"/>
      <c r="M3" s="455"/>
      <c r="N3" s="455"/>
      <c r="O3" s="455"/>
      <c r="P3" s="455"/>
      <c r="Q3" s="455"/>
      <c r="R3" s="455"/>
      <c r="S3" s="455"/>
      <c r="T3" s="455"/>
      <c r="U3" s="455"/>
      <c r="V3" s="455"/>
      <c r="W3" s="455"/>
      <c r="X3" s="455"/>
      <c r="Y3" s="455"/>
      <c r="Z3" s="455"/>
      <c r="AA3" s="455"/>
      <c r="AB3" s="455"/>
      <c r="AC3" s="455"/>
      <c r="AD3" s="455"/>
      <c r="AE3" s="455"/>
      <c r="AF3" s="455"/>
    </row>
    <row r="4" spans="1:32" s="6" customFormat="1" ht="14.25" thickTop="1" thickBot="1" x14ac:dyDescent="0.25">
      <c r="A4" s="457" t="s">
        <v>0</v>
      </c>
      <c r="B4" s="458"/>
      <c r="C4" s="458"/>
      <c r="D4" s="458"/>
      <c r="E4" s="458"/>
      <c r="F4" s="458"/>
      <c r="G4" s="458"/>
      <c r="H4" s="458"/>
      <c r="I4" s="458"/>
      <c r="J4" s="458"/>
      <c r="K4" s="458"/>
      <c r="L4" s="458"/>
      <c r="M4" s="458"/>
      <c r="N4" s="458"/>
      <c r="O4" s="459"/>
      <c r="P4" s="460" t="s">
        <v>1</v>
      </c>
      <c r="Q4" s="461"/>
      <c r="R4" s="461"/>
      <c r="S4" s="461"/>
      <c r="T4" s="461"/>
      <c r="U4" s="461"/>
      <c r="V4" s="461"/>
      <c r="W4" s="462"/>
      <c r="X4" s="463" t="s">
        <v>2</v>
      </c>
      <c r="Y4" s="464"/>
      <c r="Z4" s="464"/>
      <c r="AA4" s="464"/>
      <c r="AB4" s="465"/>
      <c r="AE4" s="7"/>
    </row>
    <row r="5" spans="1:32" s="6" customFormat="1" ht="37.15" customHeight="1" thickTop="1" x14ac:dyDescent="0.2">
      <c r="A5" s="10" t="s">
        <v>6810</v>
      </c>
      <c r="B5" s="11" t="s">
        <v>4</v>
      </c>
      <c r="C5" s="12" t="s">
        <v>5</v>
      </c>
      <c r="D5" s="12" t="s">
        <v>7</v>
      </c>
      <c r="E5" s="12" t="s">
        <v>8</v>
      </c>
      <c r="F5" s="12" t="s">
        <v>6811</v>
      </c>
      <c r="G5" s="12" t="s">
        <v>4992</v>
      </c>
      <c r="H5" s="13" t="s">
        <v>9</v>
      </c>
      <c r="I5" s="12" t="s">
        <v>4993</v>
      </c>
      <c r="J5" s="12" t="s">
        <v>11</v>
      </c>
      <c r="K5" s="14" t="s">
        <v>12</v>
      </c>
      <c r="L5" s="14" t="s">
        <v>6812</v>
      </c>
      <c r="M5" s="14" t="s">
        <v>6813</v>
      </c>
      <c r="N5" s="14" t="s">
        <v>6814</v>
      </c>
      <c r="O5" s="15" t="s">
        <v>13</v>
      </c>
      <c r="P5" s="16" t="s">
        <v>14</v>
      </c>
      <c r="Q5" s="17" t="s">
        <v>8237</v>
      </c>
      <c r="R5" s="18" t="s">
        <v>8238</v>
      </c>
      <c r="S5" s="17" t="s">
        <v>6815</v>
      </c>
      <c r="T5" s="17" t="s">
        <v>8239</v>
      </c>
      <c r="U5" s="19" t="s">
        <v>8240</v>
      </c>
      <c r="V5" s="17" t="s">
        <v>6816</v>
      </c>
      <c r="W5" s="20" t="s">
        <v>17</v>
      </c>
      <c r="X5" s="21" t="s">
        <v>18</v>
      </c>
      <c r="Y5" s="22" t="s">
        <v>19</v>
      </c>
      <c r="Z5" s="22" t="s">
        <v>20</v>
      </c>
      <c r="AA5" s="23" t="s">
        <v>8241</v>
      </c>
      <c r="AB5" s="24" t="s">
        <v>8242</v>
      </c>
      <c r="AC5" s="120" t="s">
        <v>8243</v>
      </c>
      <c r="AD5" s="120" t="s">
        <v>21</v>
      </c>
      <c r="AE5" s="7"/>
    </row>
    <row r="6" spans="1:32" s="2" customFormat="1" ht="12.75" x14ac:dyDescent="0.2">
      <c r="A6" s="28">
        <v>1</v>
      </c>
      <c r="B6" s="29" t="s">
        <v>11999</v>
      </c>
      <c r="C6" s="30" t="s">
        <v>12000</v>
      </c>
      <c r="D6" s="30" t="s">
        <v>5683</v>
      </c>
      <c r="E6" s="30" t="s">
        <v>12001</v>
      </c>
      <c r="F6" s="30" t="s">
        <v>6820</v>
      </c>
      <c r="G6" s="30" t="s">
        <v>6829</v>
      </c>
      <c r="H6" s="30" t="s">
        <v>12002</v>
      </c>
      <c r="I6" s="30" t="s">
        <v>12003</v>
      </c>
      <c r="J6" s="30" t="s">
        <v>11438</v>
      </c>
      <c r="K6" s="31" t="s">
        <v>5683</v>
      </c>
      <c r="L6" s="30" t="s">
        <v>5683</v>
      </c>
      <c r="M6" s="31" t="s">
        <v>5683</v>
      </c>
      <c r="N6" s="31" t="s">
        <v>5683</v>
      </c>
      <c r="O6" s="32" t="s">
        <v>5683</v>
      </c>
      <c r="P6" s="33" t="s">
        <v>10852</v>
      </c>
      <c r="Q6" s="34" t="s">
        <v>5683</v>
      </c>
      <c r="R6" s="35" t="s">
        <v>5683</v>
      </c>
      <c r="S6" s="34" t="s">
        <v>5683</v>
      </c>
      <c r="T6" s="34" t="s">
        <v>5683</v>
      </c>
      <c r="U6" s="34" t="s">
        <v>5683</v>
      </c>
      <c r="V6" s="34" t="s">
        <v>4999</v>
      </c>
      <c r="W6" s="36">
        <v>43486</v>
      </c>
      <c r="X6" s="44" t="s">
        <v>6850</v>
      </c>
      <c r="Y6" s="38">
        <v>43147</v>
      </c>
      <c r="Z6" s="38">
        <v>43147</v>
      </c>
      <c r="AA6" s="45" t="e">
        <v>#VALUE!</v>
      </c>
      <c r="AB6" s="46" t="e">
        <v>#VALUE!</v>
      </c>
      <c r="AC6" s="25"/>
      <c r="AD6" s="42"/>
      <c r="AE6" s="43"/>
      <c r="AF6" s="27"/>
    </row>
    <row r="7" spans="1:32" s="2" customFormat="1" ht="12.75" x14ac:dyDescent="0.2">
      <c r="A7" s="28">
        <v>1</v>
      </c>
      <c r="B7" s="29" t="s">
        <v>11999</v>
      </c>
      <c r="C7" s="30" t="s">
        <v>12000</v>
      </c>
      <c r="D7" s="30" t="s">
        <v>5683</v>
      </c>
      <c r="E7" s="30" t="s">
        <v>12004</v>
      </c>
      <c r="F7" s="30" t="s">
        <v>6820</v>
      </c>
      <c r="G7" s="30" t="s">
        <v>6829</v>
      </c>
      <c r="H7" s="30" t="s">
        <v>12005</v>
      </c>
      <c r="I7" s="30" t="s">
        <v>12006</v>
      </c>
      <c r="J7" s="30" t="s">
        <v>12007</v>
      </c>
      <c r="K7" s="31" t="s">
        <v>5683</v>
      </c>
      <c r="L7" s="57" t="s">
        <v>5683</v>
      </c>
      <c r="M7" s="31" t="s">
        <v>5683</v>
      </c>
      <c r="N7" s="31" t="s">
        <v>5683</v>
      </c>
      <c r="O7" s="32" t="s">
        <v>5683</v>
      </c>
      <c r="P7" s="33" t="s">
        <v>10852</v>
      </c>
      <c r="Q7" s="34" t="s">
        <v>5683</v>
      </c>
      <c r="R7" s="35" t="s">
        <v>5683</v>
      </c>
      <c r="S7" s="34" t="s">
        <v>5683</v>
      </c>
      <c r="T7" s="34" t="s">
        <v>5683</v>
      </c>
      <c r="U7" s="34" t="s">
        <v>5683</v>
      </c>
      <c r="V7" s="34" t="s">
        <v>4999</v>
      </c>
      <c r="W7" s="36">
        <v>43486</v>
      </c>
      <c r="X7" s="44" t="s">
        <v>6850</v>
      </c>
      <c r="Y7" s="38">
        <v>43146</v>
      </c>
      <c r="Z7" s="38">
        <v>43147</v>
      </c>
      <c r="AA7" s="45" t="e">
        <v>#VALUE!</v>
      </c>
      <c r="AB7" s="46" t="e">
        <v>#VALUE!</v>
      </c>
      <c r="AC7" s="25"/>
      <c r="AD7" s="42"/>
      <c r="AE7" s="43"/>
      <c r="AF7" s="27"/>
    </row>
    <row r="8" spans="1:32" s="2" customFormat="1" ht="12.75" x14ac:dyDescent="0.2">
      <c r="A8" s="28">
        <v>0</v>
      </c>
      <c r="B8" s="29" t="s">
        <v>11999</v>
      </c>
      <c r="C8" s="30" t="s">
        <v>12000</v>
      </c>
      <c r="D8" s="30">
        <v>170032</v>
      </c>
      <c r="E8" s="30" t="s">
        <v>12008</v>
      </c>
      <c r="F8" s="30" t="s">
        <v>6820</v>
      </c>
      <c r="G8" s="30" t="s">
        <v>6829</v>
      </c>
      <c r="H8" s="30" t="s">
        <v>12005</v>
      </c>
      <c r="I8" s="30" t="s">
        <v>12006</v>
      </c>
      <c r="J8" s="30" t="s">
        <v>12007</v>
      </c>
      <c r="K8" s="31">
        <v>43025</v>
      </c>
      <c r="L8" s="30" t="s">
        <v>264</v>
      </c>
      <c r="M8" s="31">
        <v>43025</v>
      </c>
      <c r="N8" s="31">
        <v>43027</v>
      </c>
      <c r="O8" s="32">
        <v>43034</v>
      </c>
      <c r="P8" s="33" t="s">
        <v>10852</v>
      </c>
      <c r="Q8" s="34" t="s">
        <v>10852</v>
      </c>
      <c r="R8" s="35" t="s">
        <v>12009</v>
      </c>
      <c r="S8" s="34" t="s">
        <v>12010</v>
      </c>
      <c r="T8" s="34">
        <v>1</v>
      </c>
      <c r="U8" s="34" t="s">
        <v>5683</v>
      </c>
      <c r="V8" s="34" t="s">
        <v>4999</v>
      </c>
      <c r="W8" s="36">
        <v>43145</v>
      </c>
      <c r="X8" s="44" t="s">
        <v>6850</v>
      </c>
      <c r="Y8" s="38">
        <v>43146</v>
      </c>
      <c r="Z8" s="39">
        <v>43147</v>
      </c>
      <c r="AA8" s="45" t="e">
        <v>#VALUE!</v>
      </c>
      <c r="AB8" s="46" t="e">
        <v>#VALUE!</v>
      </c>
      <c r="AC8" s="25" t="s">
        <v>12011</v>
      </c>
      <c r="AD8" s="42" t="s">
        <v>4999</v>
      </c>
      <c r="AE8" s="43"/>
      <c r="AF8" s="27" t="s">
        <v>4999</v>
      </c>
    </row>
    <row r="9" spans="1:32" s="2" customFormat="1" ht="12.75" x14ac:dyDescent="0.2">
      <c r="A9" s="28">
        <v>0</v>
      </c>
      <c r="B9" s="29" t="s">
        <v>12012</v>
      </c>
      <c r="C9" s="30" t="s">
        <v>12000</v>
      </c>
      <c r="D9" s="30">
        <v>170032</v>
      </c>
      <c r="E9" s="30" t="s">
        <v>12013</v>
      </c>
      <c r="F9" s="30" t="s">
        <v>6820</v>
      </c>
      <c r="G9" s="30" t="s">
        <v>6829</v>
      </c>
      <c r="H9" s="30" t="s">
        <v>12002</v>
      </c>
      <c r="I9" s="30" t="s">
        <v>12003</v>
      </c>
      <c r="J9" s="30" t="s">
        <v>11438</v>
      </c>
      <c r="K9" s="31">
        <v>43025</v>
      </c>
      <c r="L9" s="30" t="s">
        <v>264</v>
      </c>
      <c r="M9" s="31">
        <v>43025</v>
      </c>
      <c r="N9" s="31">
        <v>43027</v>
      </c>
      <c r="O9" s="32">
        <v>43034</v>
      </c>
      <c r="P9" s="33" t="s">
        <v>10852</v>
      </c>
      <c r="Q9" s="34" t="s">
        <v>10852</v>
      </c>
      <c r="R9" s="35" t="s">
        <v>12009</v>
      </c>
      <c r="S9" s="34" t="s">
        <v>12010</v>
      </c>
      <c r="T9" s="34">
        <v>1</v>
      </c>
      <c r="U9" s="34" t="s">
        <v>5683</v>
      </c>
      <c r="V9" s="34" t="s">
        <v>4999</v>
      </c>
      <c r="W9" s="36">
        <v>43147</v>
      </c>
      <c r="X9" s="44" t="s">
        <v>6850</v>
      </c>
      <c r="Y9" s="38">
        <v>43147</v>
      </c>
      <c r="Z9" s="39">
        <v>43147</v>
      </c>
      <c r="AA9" s="45" t="e">
        <v>#VALUE!</v>
      </c>
      <c r="AB9" s="46" t="e">
        <v>#VALUE!</v>
      </c>
      <c r="AC9" s="25" t="s">
        <v>12011</v>
      </c>
      <c r="AD9" s="42" t="s">
        <v>4999</v>
      </c>
      <c r="AE9" s="43"/>
      <c r="AF9" s="27" t="s">
        <v>4999</v>
      </c>
    </row>
    <row r="10" spans="1:32" s="2" customFormat="1" ht="12.75" x14ac:dyDescent="0.2">
      <c r="A10" s="28">
        <v>1</v>
      </c>
      <c r="B10" s="29" t="s">
        <v>12014</v>
      </c>
      <c r="C10" s="30" t="s">
        <v>12000</v>
      </c>
      <c r="D10" s="30" t="s">
        <v>5683</v>
      </c>
      <c r="E10" s="30" t="s">
        <v>12015</v>
      </c>
      <c r="F10" s="30" t="s">
        <v>6820</v>
      </c>
      <c r="G10" s="30" t="s">
        <v>6829</v>
      </c>
      <c r="H10" s="30" t="s">
        <v>12016</v>
      </c>
      <c r="I10" s="30" t="s">
        <v>12017</v>
      </c>
      <c r="J10" s="30" t="s">
        <v>12018</v>
      </c>
      <c r="K10" s="31" t="s">
        <v>5683</v>
      </c>
      <c r="L10" s="30" t="s">
        <v>5683</v>
      </c>
      <c r="M10" s="31" t="s">
        <v>5683</v>
      </c>
      <c r="N10" s="31" t="s">
        <v>5683</v>
      </c>
      <c r="O10" s="32" t="s">
        <v>5683</v>
      </c>
      <c r="P10" s="33" t="s">
        <v>10852</v>
      </c>
      <c r="Q10" s="34" t="s">
        <v>5683</v>
      </c>
      <c r="R10" s="35" t="s">
        <v>5683</v>
      </c>
      <c r="S10" s="34" t="s">
        <v>5683</v>
      </c>
      <c r="T10" s="34" t="s">
        <v>5683</v>
      </c>
      <c r="U10" s="34" t="s">
        <v>5683</v>
      </c>
      <c r="V10" s="34" t="s">
        <v>4999</v>
      </c>
      <c r="W10" s="36">
        <v>43487</v>
      </c>
      <c r="X10" s="44"/>
      <c r="Y10" s="38"/>
      <c r="Z10" s="39"/>
      <c r="AA10" s="45" t="e">
        <v>#VALUE!</v>
      </c>
      <c r="AB10" s="46" t="e">
        <v>#VALUE!</v>
      </c>
      <c r="AC10" s="25"/>
      <c r="AD10" s="42"/>
      <c r="AE10" s="43"/>
      <c r="AF10" s="27"/>
    </row>
    <row r="11" spans="1:32" s="2" customFormat="1" ht="12.75" x14ac:dyDescent="0.2">
      <c r="A11" s="28">
        <v>0</v>
      </c>
      <c r="B11" s="29" t="s">
        <v>12014</v>
      </c>
      <c r="C11" s="30" t="s">
        <v>12000</v>
      </c>
      <c r="D11" s="30">
        <v>170032</v>
      </c>
      <c r="E11" s="30" t="s">
        <v>12019</v>
      </c>
      <c r="F11" s="30" t="s">
        <v>6820</v>
      </c>
      <c r="G11" s="30" t="s">
        <v>6829</v>
      </c>
      <c r="H11" s="30" t="s">
        <v>12016</v>
      </c>
      <c r="I11" s="30" t="s">
        <v>12017</v>
      </c>
      <c r="J11" s="30" t="s">
        <v>12018</v>
      </c>
      <c r="K11" s="31">
        <v>43025</v>
      </c>
      <c r="L11" s="30" t="s">
        <v>264</v>
      </c>
      <c r="M11" s="31">
        <v>43025</v>
      </c>
      <c r="N11" s="31">
        <v>43027</v>
      </c>
      <c r="O11" s="32">
        <v>43034</v>
      </c>
      <c r="P11" s="33" t="s">
        <v>10852</v>
      </c>
      <c r="Q11" s="34" t="s">
        <v>10852</v>
      </c>
      <c r="R11" s="35" t="s">
        <v>12009</v>
      </c>
      <c r="S11" s="34" t="s">
        <v>12010</v>
      </c>
      <c r="T11" s="34">
        <v>1</v>
      </c>
      <c r="U11" s="34" t="s">
        <v>5683</v>
      </c>
      <c r="V11" s="34" t="s">
        <v>4999</v>
      </c>
      <c r="W11" s="36">
        <v>43150</v>
      </c>
      <c r="X11" s="44" t="s">
        <v>6850</v>
      </c>
      <c r="Y11" s="38">
        <v>43150</v>
      </c>
      <c r="Z11" s="39">
        <v>43150</v>
      </c>
      <c r="AA11" s="45" t="e">
        <v>#VALUE!</v>
      </c>
      <c r="AB11" s="46" t="e">
        <v>#VALUE!</v>
      </c>
      <c r="AC11" s="25" t="s">
        <v>12011</v>
      </c>
      <c r="AD11" s="42" t="s">
        <v>4999</v>
      </c>
      <c r="AE11" s="43"/>
      <c r="AF11" s="27" t="s">
        <v>4999</v>
      </c>
    </row>
    <row r="12" spans="1:32" s="2" customFormat="1" ht="12.75" x14ac:dyDescent="0.2">
      <c r="A12" s="28">
        <v>0</v>
      </c>
      <c r="B12" s="29" t="s">
        <v>12020</v>
      </c>
      <c r="C12" s="30" t="s">
        <v>12000</v>
      </c>
      <c r="D12" s="30">
        <v>170039</v>
      </c>
      <c r="E12" s="30" t="s">
        <v>12021</v>
      </c>
      <c r="F12" s="30" t="s">
        <v>6820</v>
      </c>
      <c r="G12" s="30" t="s">
        <v>6829</v>
      </c>
      <c r="H12" s="30" t="s">
        <v>12022</v>
      </c>
      <c r="I12" s="30" t="s">
        <v>12023</v>
      </c>
      <c r="J12" s="30" t="s">
        <v>12024</v>
      </c>
      <c r="K12" s="31">
        <v>43025</v>
      </c>
      <c r="L12" s="30" t="s">
        <v>264</v>
      </c>
      <c r="M12" s="31">
        <v>43025</v>
      </c>
      <c r="N12" s="31">
        <v>43027</v>
      </c>
      <c r="O12" s="32">
        <v>43034</v>
      </c>
      <c r="P12" s="33" t="s">
        <v>10852</v>
      </c>
      <c r="Q12" s="34" t="s">
        <v>10852</v>
      </c>
      <c r="R12" s="35" t="s">
        <v>12025</v>
      </c>
      <c r="S12" s="34" t="s">
        <v>5683</v>
      </c>
      <c r="T12" s="34">
        <v>2</v>
      </c>
      <c r="U12" s="34" t="s">
        <v>5683</v>
      </c>
      <c r="V12" s="34" t="s">
        <v>12026</v>
      </c>
      <c r="W12" s="36" t="s">
        <v>12027</v>
      </c>
      <c r="X12" s="44" t="s">
        <v>6850</v>
      </c>
      <c r="Y12" s="38"/>
      <c r="Z12" s="39"/>
      <c r="AA12" s="45" t="e">
        <v>#VALUE!</v>
      </c>
      <c r="AB12" s="46" t="e">
        <v>#VALUE!</v>
      </c>
      <c r="AC12" s="25"/>
      <c r="AD12" s="42"/>
      <c r="AE12" s="43" t="s">
        <v>12028</v>
      </c>
      <c r="AF12" s="27"/>
    </row>
    <row r="13" spans="1:32" s="2" customFormat="1" ht="12.75" x14ac:dyDescent="0.2">
      <c r="A13" s="28">
        <v>0</v>
      </c>
      <c r="B13" s="29" t="s">
        <v>12029</v>
      </c>
      <c r="C13" s="30" t="s">
        <v>12000</v>
      </c>
      <c r="D13" s="30">
        <v>170039</v>
      </c>
      <c r="E13" s="30" t="s">
        <v>12030</v>
      </c>
      <c r="F13" s="30" t="s">
        <v>6820</v>
      </c>
      <c r="G13" s="30" t="s">
        <v>6829</v>
      </c>
      <c r="H13" s="30" t="s">
        <v>12031</v>
      </c>
      <c r="I13" s="30" t="s">
        <v>12032</v>
      </c>
      <c r="J13" s="30" t="s">
        <v>12033</v>
      </c>
      <c r="K13" s="31">
        <v>43025</v>
      </c>
      <c r="L13" s="30" t="s">
        <v>264</v>
      </c>
      <c r="M13" s="31">
        <v>43025</v>
      </c>
      <c r="N13" s="31">
        <v>43027</v>
      </c>
      <c r="O13" s="32">
        <v>43034</v>
      </c>
      <c r="P13" s="33" t="s">
        <v>10852</v>
      </c>
      <c r="Q13" s="34" t="s">
        <v>10852</v>
      </c>
      <c r="R13" s="35" t="s">
        <v>12025</v>
      </c>
      <c r="S13" s="34" t="s">
        <v>5683</v>
      </c>
      <c r="T13" s="34">
        <v>3</v>
      </c>
      <c r="U13" s="34" t="s">
        <v>5683</v>
      </c>
      <c r="V13" s="34" t="s">
        <v>12026</v>
      </c>
      <c r="W13" s="36" t="s">
        <v>12027</v>
      </c>
      <c r="X13" s="44" t="s">
        <v>6850</v>
      </c>
      <c r="Y13" s="38"/>
      <c r="Z13" s="39"/>
      <c r="AA13" s="45" t="e">
        <v>#VALUE!</v>
      </c>
      <c r="AB13" s="46" t="e">
        <v>#VALUE!</v>
      </c>
      <c r="AC13" s="25"/>
      <c r="AD13" s="42"/>
      <c r="AE13" s="43" t="s">
        <v>12028</v>
      </c>
      <c r="AF13" s="27"/>
    </row>
    <row r="14" spans="1:32" s="2" customFormat="1" ht="12.75" x14ac:dyDescent="0.2">
      <c r="A14" s="28">
        <v>0</v>
      </c>
      <c r="B14" s="29" t="s">
        <v>12034</v>
      </c>
      <c r="C14" s="30" t="s">
        <v>12000</v>
      </c>
      <c r="D14" s="30">
        <v>170039</v>
      </c>
      <c r="E14" s="30" t="s">
        <v>12035</v>
      </c>
      <c r="F14" s="30" t="s">
        <v>6820</v>
      </c>
      <c r="G14" s="30" t="s">
        <v>6829</v>
      </c>
      <c r="H14" s="30" t="s">
        <v>12036</v>
      </c>
      <c r="I14" s="30" t="s">
        <v>8505</v>
      </c>
      <c r="J14" s="30" t="s">
        <v>12037</v>
      </c>
      <c r="K14" s="31">
        <v>43025</v>
      </c>
      <c r="L14" s="57" t="s">
        <v>264</v>
      </c>
      <c r="M14" s="31">
        <v>43025</v>
      </c>
      <c r="N14" s="31">
        <v>43027</v>
      </c>
      <c r="O14" s="32">
        <v>43034</v>
      </c>
      <c r="P14" s="33" t="s">
        <v>10852</v>
      </c>
      <c r="Q14" s="34" t="s">
        <v>10852</v>
      </c>
      <c r="R14" s="35" t="s">
        <v>12025</v>
      </c>
      <c r="S14" s="34" t="s">
        <v>5683</v>
      </c>
      <c r="T14" s="34">
        <v>1</v>
      </c>
      <c r="U14" s="34" t="s">
        <v>5683</v>
      </c>
      <c r="V14" s="34" t="s">
        <v>12026</v>
      </c>
      <c r="W14" s="36" t="s">
        <v>12027</v>
      </c>
      <c r="X14" s="44" t="s">
        <v>6850</v>
      </c>
      <c r="Y14" s="38"/>
      <c r="Z14" s="39"/>
      <c r="AA14" s="45" t="e">
        <v>#VALUE!</v>
      </c>
      <c r="AB14" s="46" t="e">
        <v>#VALUE!</v>
      </c>
      <c r="AC14" s="25"/>
      <c r="AD14" s="42"/>
      <c r="AE14" s="43" t="s">
        <v>12028</v>
      </c>
      <c r="AF14" s="27"/>
    </row>
    <row r="15" spans="1:32" s="2" customFormat="1" ht="12.75" x14ac:dyDescent="0.2">
      <c r="A15" s="28">
        <v>0</v>
      </c>
      <c r="B15" s="29" t="s">
        <v>12038</v>
      </c>
      <c r="C15" s="30" t="s">
        <v>6169</v>
      </c>
      <c r="D15" s="30">
        <v>170042</v>
      </c>
      <c r="E15" s="30" t="s">
        <v>12039</v>
      </c>
      <c r="F15" s="30" t="s">
        <v>6820</v>
      </c>
      <c r="G15" s="30" t="s">
        <v>6829</v>
      </c>
      <c r="H15" s="30" t="s">
        <v>267</v>
      </c>
      <c r="I15" s="30" t="s">
        <v>12040</v>
      </c>
      <c r="J15" s="30" t="s">
        <v>10351</v>
      </c>
      <c r="K15" s="31">
        <v>43063</v>
      </c>
      <c r="L15" s="31" t="s">
        <v>264</v>
      </c>
      <c r="M15" s="31">
        <v>43063</v>
      </c>
      <c r="N15" s="31">
        <v>43066</v>
      </c>
      <c r="O15" s="32">
        <v>43067</v>
      </c>
      <c r="P15" s="33" t="s">
        <v>10852</v>
      </c>
      <c r="Q15" s="34" t="s">
        <v>10852</v>
      </c>
      <c r="R15" s="35">
        <v>43110</v>
      </c>
      <c r="S15" s="34">
        <v>3020974</v>
      </c>
      <c r="T15" s="34">
        <v>1</v>
      </c>
      <c r="U15" s="34" t="s">
        <v>5683</v>
      </c>
      <c r="V15" s="34" t="s">
        <v>4999</v>
      </c>
      <c r="W15" s="36">
        <v>43110</v>
      </c>
      <c r="X15" s="44" t="s">
        <v>6850</v>
      </c>
      <c r="Y15" s="38">
        <v>43110</v>
      </c>
      <c r="Z15" s="39">
        <v>43110</v>
      </c>
      <c r="AA15" s="45" t="e">
        <v>#VALUE!</v>
      </c>
      <c r="AB15" s="46" t="e">
        <v>#VALUE!</v>
      </c>
      <c r="AC15" s="25" t="s">
        <v>12041</v>
      </c>
      <c r="AD15" s="42" t="s">
        <v>4999</v>
      </c>
      <c r="AE15" s="43"/>
      <c r="AF15" s="27" t="s">
        <v>4999</v>
      </c>
    </row>
    <row r="16" spans="1:32" s="2" customFormat="1" ht="12.75" x14ac:dyDescent="0.2">
      <c r="A16" s="28">
        <v>0</v>
      </c>
      <c r="B16" s="29" t="s">
        <v>12042</v>
      </c>
      <c r="C16" s="30" t="s">
        <v>8369</v>
      </c>
      <c r="D16" s="30">
        <v>180014</v>
      </c>
      <c r="E16" s="30" t="s">
        <v>12043</v>
      </c>
      <c r="F16" s="30" t="s">
        <v>6820</v>
      </c>
      <c r="G16" s="30" t="s">
        <v>6829</v>
      </c>
      <c r="H16" s="30" t="s">
        <v>3519</v>
      </c>
      <c r="I16" s="30" t="s">
        <v>12044</v>
      </c>
      <c r="J16" s="30" t="s">
        <v>127</v>
      </c>
      <c r="K16" s="31">
        <v>43117</v>
      </c>
      <c r="L16" s="30" t="s">
        <v>264</v>
      </c>
      <c r="M16" s="31">
        <v>43117</v>
      </c>
      <c r="N16" s="31">
        <v>43118</v>
      </c>
      <c r="O16" s="32">
        <v>43118</v>
      </c>
      <c r="P16" s="33" t="s">
        <v>10852</v>
      </c>
      <c r="Q16" s="34" t="s">
        <v>10852</v>
      </c>
      <c r="R16" s="35">
        <v>43122</v>
      </c>
      <c r="S16" s="34" t="s">
        <v>9018</v>
      </c>
      <c r="T16" s="34">
        <v>1</v>
      </c>
      <c r="U16" s="34" t="s">
        <v>5683</v>
      </c>
      <c r="V16" s="34" t="s">
        <v>4999</v>
      </c>
      <c r="W16" s="36">
        <v>43122</v>
      </c>
      <c r="X16" s="44" t="s">
        <v>6850</v>
      </c>
      <c r="Y16" s="38">
        <v>43124</v>
      </c>
      <c r="Z16" s="38">
        <v>43124</v>
      </c>
      <c r="AA16" s="45" t="e">
        <v>#VALUE!</v>
      </c>
      <c r="AB16" s="46" t="e">
        <v>#VALUE!</v>
      </c>
      <c r="AC16" s="25" t="s">
        <v>12041</v>
      </c>
      <c r="AD16" s="42" t="s">
        <v>4999</v>
      </c>
      <c r="AE16" s="43"/>
      <c r="AF16" s="27" t="s">
        <v>4999</v>
      </c>
    </row>
    <row r="17" spans="1:32" s="2" customFormat="1" ht="12.75" x14ac:dyDescent="0.2">
      <c r="A17" s="28">
        <v>2</v>
      </c>
      <c r="B17" s="29" t="s">
        <v>12042</v>
      </c>
      <c r="C17" s="30" t="s">
        <v>8369</v>
      </c>
      <c r="D17" s="30">
        <v>180014</v>
      </c>
      <c r="E17" s="30" t="s">
        <v>12045</v>
      </c>
      <c r="F17" s="30" t="s">
        <v>6820</v>
      </c>
      <c r="G17" s="30" t="s">
        <v>6829</v>
      </c>
      <c r="H17" s="30" t="s">
        <v>3519</v>
      </c>
      <c r="I17" s="30" t="s">
        <v>12044</v>
      </c>
      <c r="J17" s="30" t="s">
        <v>127</v>
      </c>
      <c r="K17" s="31" t="s">
        <v>5683</v>
      </c>
      <c r="L17" s="30" t="s">
        <v>5683</v>
      </c>
      <c r="M17" s="31" t="s">
        <v>5683</v>
      </c>
      <c r="N17" s="31" t="s">
        <v>5683</v>
      </c>
      <c r="O17" s="32" t="s">
        <v>5683</v>
      </c>
      <c r="P17" s="33" t="s">
        <v>10852</v>
      </c>
      <c r="Q17" s="34" t="s">
        <v>5683</v>
      </c>
      <c r="R17" s="35" t="s">
        <v>5683</v>
      </c>
      <c r="S17" s="34" t="s">
        <v>5683</v>
      </c>
      <c r="T17" s="34" t="s">
        <v>5683</v>
      </c>
      <c r="U17" s="34" t="s">
        <v>5683</v>
      </c>
      <c r="V17" s="34" t="s">
        <v>4999</v>
      </c>
      <c r="W17" s="36">
        <v>43395</v>
      </c>
      <c r="X17" s="44" t="s">
        <v>6850</v>
      </c>
      <c r="Y17" s="38"/>
      <c r="Z17" s="39"/>
      <c r="AA17" s="45" t="e">
        <v>#VALUE!</v>
      </c>
      <c r="AB17" s="46" t="e">
        <v>#VALUE!</v>
      </c>
      <c r="AC17" s="25" t="s">
        <v>5683</v>
      </c>
      <c r="AD17" s="42"/>
      <c r="AE17" s="43"/>
      <c r="AF17" s="27"/>
    </row>
    <row r="18" spans="1:32" s="2" customFormat="1" ht="12.75" x14ac:dyDescent="0.2">
      <c r="A18" s="28">
        <v>1</v>
      </c>
      <c r="B18" s="29" t="s">
        <v>12042</v>
      </c>
      <c r="C18" s="30" t="s">
        <v>8369</v>
      </c>
      <c r="D18" s="30" t="s">
        <v>5683</v>
      </c>
      <c r="E18" s="30" t="s">
        <v>12046</v>
      </c>
      <c r="F18" s="30" t="s">
        <v>6820</v>
      </c>
      <c r="G18" s="30" t="s">
        <v>6829</v>
      </c>
      <c r="H18" s="30" t="s">
        <v>3519</v>
      </c>
      <c r="I18" s="30" t="s">
        <v>12047</v>
      </c>
      <c r="J18" s="30" t="s">
        <v>127</v>
      </c>
      <c r="K18" s="31" t="s">
        <v>5683</v>
      </c>
      <c r="L18" s="57" t="s">
        <v>5683</v>
      </c>
      <c r="M18" s="31" t="s">
        <v>5683</v>
      </c>
      <c r="N18" s="31" t="s">
        <v>5683</v>
      </c>
      <c r="O18" s="32" t="s">
        <v>5683</v>
      </c>
      <c r="P18" s="33" t="s">
        <v>10852</v>
      </c>
      <c r="Q18" s="34" t="s">
        <v>5683</v>
      </c>
      <c r="R18" s="35" t="s">
        <v>5683</v>
      </c>
      <c r="S18" s="34" t="s">
        <v>9018</v>
      </c>
      <c r="T18" s="34" t="s">
        <v>5683</v>
      </c>
      <c r="U18" s="34" t="s">
        <v>5683</v>
      </c>
      <c r="V18" s="34" t="s">
        <v>4999</v>
      </c>
      <c r="W18" s="36">
        <v>43178</v>
      </c>
      <c r="X18" s="44" t="s">
        <v>6850</v>
      </c>
      <c r="Y18" s="38">
        <v>43178</v>
      </c>
      <c r="Z18" s="39">
        <v>43178</v>
      </c>
      <c r="AA18" s="45" t="e">
        <v>#VALUE!</v>
      </c>
      <c r="AB18" s="46" t="e">
        <v>#VALUE!</v>
      </c>
      <c r="AC18" s="25" t="s">
        <v>5683</v>
      </c>
      <c r="AD18" s="42" t="s">
        <v>5683</v>
      </c>
      <c r="AE18" s="43"/>
      <c r="AF18" s="27" t="s">
        <v>4999</v>
      </c>
    </row>
    <row r="19" spans="1:32" s="2" customFormat="1" ht="12.75" x14ac:dyDescent="0.2">
      <c r="A19" s="28">
        <v>1</v>
      </c>
      <c r="B19" s="29" t="s">
        <v>12048</v>
      </c>
      <c r="C19" s="30" t="s">
        <v>6169</v>
      </c>
      <c r="D19" s="30" t="s">
        <v>5683</v>
      </c>
      <c r="E19" s="30" t="s">
        <v>12049</v>
      </c>
      <c r="F19" s="30" t="s">
        <v>6820</v>
      </c>
      <c r="G19" s="30" t="s">
        <v>6829</v>
      </c>
      <c r="H19" s="30" t="s">
        <v>9942</v>
      </c>
      <c r="I19" s="30" t="s">
        <v>12050</v>
      </c>
      <c r="J19" s="30" t="s">
        <v>8789</v>
      </c>
      <c r="K19" s="31" t="s">
        <v>5683</v>
      </c>
      <c r="L19" s="31" t="s">
        <v>5683</v>
      </c>
      <c r="M19" s="31" t="s">
        <v>5683</v>
      </c>
      <c r="N19" s="31" t="s">
        <v>5683</v>
      </c>
      <c r="O19" s="32" t="s">
        <v>5683</v>
      </c>
      <c r="P19" s="33" t="s">
        <v>10852</v>
      </c>
      <c r="Q19" s="34" t="s">
        <v>5683</v>
      </c>
      <c r="R19" s="35" t="s">
        <v>5683</v>
      </c>
      <c r="S19" s="34" t="s">
        <v>5683</v>
      </c>
      <c r="T19" s="34" t="s">
        <v>5683</v>
      </c>
      <c r="U19" s="34" t="s">
        <v>5683</v>
      </c>
      <c r="V19" s="34" t="s">
        <v>4999</v>
      </c>
      <c r="W19" s="36">
        <v>43481</v>
      </c>
      <c r="X19" s="44"/>
      <c r="Y19" s="38"/>
      <c r="Z19" s="39"/>
      <c r="AA19" s="45" t="e">
        <v>#VALUE!</v>
      </c>
      <c r="AB19" s="46" t="e">
        <v>#VALUE!</v>
      </c>
      <c r="AC19" s="25"/>
      <c r="AD19" s="42"/>
      <c r="AE19" s="43"/>
      <c r="AF19" s="27"/>
    </row>
    <row r="20" spans="1:32" s="2" customFormat="1" ht="12.75" x14ac:dyDescent="0.2">
      <c r="A20" s="28">
        <v>0</v>
      </c>
      <c r="B20" s="29" t="s">
        <v>12048</v>
      </c>
      <c r="C20" s="30" t="s">
        <v>6169</v>
      </c>
      <c r="D20" s="30">
        <v>170044</v>
      </c>
      <c r="E20" s="30" t="s">
        <v>12051</v>
      </c>
      <c r="F20" s="30" t="s">
        <v>6820</v>
      </c>
      <c r="G20" s="30" t="s">
        <v>6829</v>
      </c>
      <c r="H20" s="30" t="s">
        <v>9942</v>
      </c>
      <c r="I20" s="30" t="s">
        <v>12050</v>
      </c>
      <c r="J20" s="30" t="s">
        <v>8789</v>
      </c>
      <c r="K20" s="31">
        <v>43066</v>
      </c>
      <c r="L20" s="31" t="s">
        <v>264</v>
      </c>
      <c r="M20" s="31">
        <v>43066</v>
      </c>
      <c r="N20" s="31">
        <v>43066</v>
      </c>
      <c r="O20" s="32">
        <v>43067</v>
      </c>
      <c r="P20" s="33" t="s">
        <v>10852</v>
      </c>
      <c r="Q20" s="34" t="s">
        <v>10852</v>
      </c>
      <c r="R20" s="35">
        <v>43136</v>
      </c>
      <c r="S20" s="34" t="s">
        <v>3416</v>
      </c>
      <c r="T20" s="34">
        <v>1</v>
      </c>
      <c r="U20" s="34" t="s">
        <v>5683</v>
      </c>
      <c r="V20" s="34" t="s">
        <v>4999</v>
      </c>
      <c r="W20" s="36">
        <v>43137</v>
      </c>
      <c r="X20" s="44" t="s">
        <v>6850</v>
      </c>
      <c r="Y20" s="38">
        <v>43137</v>
      </c>
      <c r="Z20" s="39">
        <v>43137</v>
      </c>
      <c r="AA20" s="45" t="e">
        <v>#VALUE!</v>
      </c>
      <c r="AB20" s="46" t="e">
        <v>#VALUE!</v>
      </c>
      <c r="AC20" s="25" t="s">
        <v>12041</v>
      </c>
      <c r="AD20" s="42" t="s">
        <v>4999</v>
      </c>
      <c r="AE20" s="43"/>
      <c r="AF20" s="27" t="s">
        <v>4999</v>
      </c>
    </row>
    <row r="21" spans="1:32" s="2" customFormat="1" ht="12.75" x14ac:dyDescent="0.2">
      <c r="A21" s="28">
        <v>1</v>
      </c>
      <c r="B21" s="29" t="s">
        <v>12052</v>
      </c>
      <c r="C21" s="30" t="s">
        <v>6169</v>
      </c>
      <c r="D21" s="30" t="s">
        <v>5683</v>
      </c>
      <c r="E21" s="30" t="s">
        <v>12053</v>
      </c>
      <c r="F21" s="30" t="s">
        <v>6820</v>
      </c>
      <c r="G21" s="30" t="s">
        <v>6829</v>
      </c>
      <c r="H21" s="30" t="s">
        <v>2811</v>
      </c>
      <c r="I21" s="30" t="s">
        <v>12054</v>
      </c>
      <c r="J21" s="30" t="s">
        <v>6579</v>
      </c>
      <c r="K21" s="31" t="s">
        <v>5683</v>
      </c>
      <c r="L21" s="31" t="s">
        <v>5683</v>
      </c>
      <c r="M21" s="31" t="s">
        <v>5683</v>
      </c>
      <c r="N21" s="31" t="s">
        <v>5683</v>
      </c>
      <c r="O21" s="32" t="s">
        <v>5683</v>
      </c>
      <c r="P21" s="33" t="s">
        <v>10852</v>
      </c>
      <c r="Q21" s="34" t="s">
        <v>5683</v>
      </c>
      <c r="R21" s="35" t="s">
        <v>5683</v>
      </c>
      <c r="S21" s="34" t="s">
        <v>5683</v>
      </c>
      <c r="T21" s="34" t="s">
        <v>5683</v>
      </c>
      <c r="U21" s="34" t="s">
        <v>5683</v>
      </c>
      <c r="V21" s="34" t="s">
        <v>4999</v>
      </c>
      <c r="W21" s="36">
        <v>43481</v>
      </c>
      <c r="X21" s="44"/>
      <c r="Y21" s="38"/>
      <c r="Z21" s="39"/>
      <c r="AA21" s="45" t="e">
        <v>#VALUE!</v>
      </c>
      <c r="AB21" s="46" t="e">
        <v>#VALUE!</v>
      </c>
      <c r="AC21" s="25"/>
      <c r="AD21" s="42"/>
      <c r="AE21" s="43"/>
      <c r="AF21" s="27"/>
    </row>
    <row r="22" spans="1:32" s="2" customFormat="1" ht="12.75" x14ac:dyDescent="0.2">
      <c r="A22" s="28">
        <v>0</v>
      </c>
      <c r="B22" s="29" t="s">
        <v>12052</v>
      </c>
      <c r="C22" s="30" t="s">
        <v>6169</v>
      </c>
      <c r="D22" s="30">
        <v>180018</v>
      </c>
      <c r="E22" s="30" t="s">
        <v>12055</v>
      </c>
      <c r="F22" s="30" t="s">
        <v>6820</v>
      </c>
      <c r="G22" s="30" t="s">
        <v>6829</v>
      </c>
      <c r="H22" s="30" t="s">
        <v>2811</v>
      </c>
      <c r="I22" s="30" t="s">
        <v>12054</v>
      </c>
      <c r="J22" s="30" t="s">
        <v>6579</v>
      </c>
      <c r="K22" s="31">
        <v>43125</v>
      </c>
      <c r="L22" s="31" t="s">
        <v>264</v>
      </c>
      <c r="M22" s="31">
        <v>43125</v>
      </c>
      <c r="N22" s="31">
        <v>43126</v>
      </c>
      <c r="O22" s="32">
        <v>43133</v>
      </c>
      <c r="P22" s="33" t="s">
        <v>10852</v>
      </c>
      <c r="Q22" s="34" t="s">
        <v>10852</v>
      </c>
      <c r="R22" s="35">
        <v>43136</v>
      </c>
      <c r="S22" s="34">
        <v>3020974</v>
      </c>
      <c r="T22" s="34">
        <v>2</v>
      </c>
      <c r="U22" s="34" t="s">
        <v>5683</v>
      </c>
      <c r="V22" s="34" t="s">
        <v>4999</v>
      </c>
      <c r="W22" s="36">
        <v>43147</v>
      </c>
      <c r="X22" s="44" t="s">
        <v>6850</v>
      </c>
      <c r="Y22" s="38">
        <v>43147</v>
      </c>
      <c r="Z22" s="39">
        <v>43147</v>
      </c>
      <c r="AA22" s="45" t="e">
        <v>#VALUE!</v>
      </c>
      <c r="AB22" s="46" t="e">
        <v>#VALUE!</v>
      </c>
      <c r="AC22" s="25" t="s">
        <v>12041</v>
      </c>
      <c r="AD22" s="42" t="s">
        <v>4999</v>
      </c>
      <c r="AE22" s="43"/>
      <c r="AF22" s="27" t="s">
        <v>4999</v>
      </c>
    </row>
    <row r="23" spans="1:32" s="2" customFormat="1" ht="12.75" x14ac:dyDescent="0.2">
      <c r="A23" s="28">
        <v>1</v>
      </c>
      <c r="B23" s="29" t="s">
        <v>12056</v>
      </c>
      <c r="C23" s="30" t="s">
        <v>6169</v>
      </c>
      <c r="D23" s="30" t="s">
        <v>5683</v>
      </c>
      <c r="E23" s="30" t="s">
        <v>12057</v>
      </c>
      <c r="F23" s="30" t="s">
        <v>6820</v>
      </c>
      <c r="G23" s="30" t="s">
        <v>6829</v>
      </c>
      <c r="H23" s="30" t="s">
        <v>519</v>
      </c>
      <c r="I23" s="30" t="s">
        <v>11032</v>
      </c>
      <c r="J23" s="30" t="s">
        <v>3190</v>
      </c>
      <c r="K23" s="31" t="s">
        <v>5683</v>
      </c>
      <c r="L23" s="31" t="s">
        <v>5683</v>
      </c>
      <c r="M23" s="31" t="s">
        <v>5683</v>
      </c>
      <c r="N23" s="31" t="s">
        <v>5683</v>
      </c>
      <c r="O23" s="32" t="s">
        <v>5683</v>
      </c>
      <c r="P23" s="33" t="s">
        <v>10852</v>
      </c>
      <c r="Q23" s="34" t="s">
        <v>5683</v>
      </c>
      <c r="R23" s="35" t="s">
        <v>5683</v>
      </c>
      <c r="S23" s="34" t="s">
        <v>5683</v>
      </c>
      <c r="T23" s="34" t="s">
        <v>5683</v>
      </c>
      <c r="U23" s="34" t="s">
        <v>5683</v>
      </c>
      <c r="V23" s="34" t="s">
        <v>4999</v>
      </c>
      <c r="W23" s="36">
        <v>43481</v>
      </c>
      <c r="X23" s="44"/>
      <c r="Y23" s="38"/>
      <c r="Z23" s="39"/>
      <c r="AA23" s="45" t="e">
        <v>#VALUE!</v>
      </c>
      <c r="AB23" s="46" t="e">
        <v>#VALUE!</v>
      </c>
      <c r="AC23" s="25"/>
      <c r="AD23" s="42"/>
      <c r="AE23" s="43"/>
      <c r="AF23" s="27"/>
    </row>
    <row r="24" spans="1:32" s="2" customFormat="1" ht="12.75" x14ac:dyDescent="0.2">
      <c r="A24" s="28">
        <v>0</v>
      </c>
      <c r="B24" s="29" t="s">
        <v>12056</v>
      </c>
      <c r="C24" s="30" t="s">
        <v>6169</v>
      </c>
      <c r="D24" s="30">
        <v>180018</v>
      </c>
      <c r="E24" s="30" t="s">
        <v>12058</v>
      </c>
      <c r="F24" s="30" t="s">
        <v>6820</v>
      </c>
      <c r="G24" s="30" t="s">
        <v>6829</v>
      </c>
      <c r="H24" s="30" t="s">
        <v>519</v>
      </c>
      <c r="I24" s="30" t="s">
        <v>11032</v>
      </c>
      <c r="J24" s="30" t="s">
        <v>3190</v>
      </c>
      <c r="K24" s="31">
        <v>43125</v>
      </c>
      <c r="L24" s="31" t="s">
        <v>264</v>
      </c>
      <c r="M24" s="31">
        <v>43125</v>
      </c>
      <c r="N24" s="31">
        <v>43126</v>
      </c>
      <c r="O24" s="32">
        <v>43133</v>
      </c>
      <c r="P24" s="33" t="s">
        <v>10852</v>
      </c>
      <c r="Q24" s="34" t="s">
        <v>10852</v>
      </c>
      <c r="R24" s="35">
        <v>43136</v>
      </c>
      <c r="S24" s="34" t="s">
        <v>11033</v>
      </c>
      <c r="T24" s="34">
        <v>2</v>
      </c>
      <c r="U24" s="34" t="s">
        <v>5683</v>
      </c>
      <c r="V24" s="34" t="s">
        <v>4999</v>
      </c>
      <c r="W24" s="36">
        <v>43152</v>
      </c>
      <c r="X24" s="44" t="s">
        <v>6850</v>
      </c>
      <c r="Y24" s="38">
        <v>43152</v>
      </c>
      <c r="Z24" s="39">
        <v>43152</v>
      </c>
      <c r="AA24" s="45" t="e">
        <v>#VALUE!</v>
      </c>
      <c r="AB24" s="46" t="e">
        <v>#VALUE!</v>
      </c>
      <c r="AC24" s="25" t="s">
        <v>12011</v>
      </c>
      <c r="AD24" s="42" t="s">
        <v>4999</v>
      </c>
      <c r="AE24" s="43"/>
      <c r="AF24" s="27" t="s">
        <v>4999</v>
      </c>
    </row>
    <row r="25" spans="1:32" s="2" customFormat="1" ht="12.75" x14ac:dyDescent="0.2">
      <c r="A25" s="28">
        <v>1</v>
      </c>
      <c r="B25" s="29" t="s">
        <v>12059</v>
      </c>
      <c r="C25" s="30" t="s">
        <v>6169</v>
      </c>
      <c r="D25" s="30" t="s">
        <v>5683</v>
      </c>
      <c r="E25" s="30" t="s">
        <v>12060</v>
      </c>
      <c r="F25" s="30" t="s">
        <v>6820</v>
      </c>
      <c r="G25" s="30" t="s">
        <v>6829</v>
      </c>
      <c r="H25" s="30" t="s">
        <v>12061</v>
      </c>
      <c r="I25" s="30" t="s">
        <v>12062</v>
      </c>
      <c r="J25" s="30" t="s">
        <v>12063</v>
      </c>
      <c r="K25" s="31" t="s">
        <v>5683</v>
      </c>
      <c r="L25" s="31" t="s">
        <v>5683</v>
      </c>
      <c r="M25" s="31" t="s">
        <v>5683</v>
      </c>
      <c r="N25" s="31" t="s">
        <v>5683</v>
      </c>
      <c r="O25" s="32" t="s">
        <v>5683</v>
      </c>
      <c r="P25" s="33" t="s">
        <v>10852</v>
      </c>
      <c r="Q25" s="34" t="s">
        <v>5683</v>
      </c>
      <c r="R25" s="35" t="s">
        <v>5683</v>
      </c>
      <c r="S25" s="34" t="s">
        <v>5683</v>
      </c>
      <c r="T25" s="34" t="s">
        <v>5683</v>
      </c>
      <c r="U25" s="34" t="s">
        <v>5683</v>
      </c>
      <c r="V25" s="34" t="s">
        <v>4999</v>
      </c>
      <c r="W25" s="36">
        <v>43481</v>
      </c>
      <c r="X25" s="44"/>
      <c r="Y25" s="38"/>
      <c r="Z25" s="39"/>
      <c r="AA25" s="45" t="e">
        <v>#VALUE!</v>
      </c>
      <c r="AB25" s="46" t="e">
        <v>#VALUE!</v>
      </c>
      <c r="AC25" s="25"/>
      <c r="AD25" s="42"/>
      <c r="AE25" s="43"/>
      <c r="AF25" s="27"/>
    </row>
    <row r="26" spans="1:32" s="2" customFormat="1" ht="12.75" x14ac:dyDescent="0.2">
      <c r="A26" s="28">
        <v>0</v>
      </c>
      <c r="B26" s="29" t="s">
        <v>12059</v>
      </c>
      <c r="C26" s="30" t="s">
        <v>6169</v>
      </c>
      <c r="D26" s="30">
        <v>180018</v>
      </c>
      <c r="E26" s="30" t="s">
        <v>12064</v>
      </c>
      <c r="F26" s="30" t="s">
        <v>6820</v>
      </c>
      <c r="G26" s="30" t="s">
        <v>6829</v>
      </c>
      <c r="H26" s="30" t="s">
        <v>12061</v>
      </c>
      <c r="I26" s="30" t="s">
        <v>12062</v>
      </c>
      <c r="J26" s="30" t="s">
        <v>12063</v>
      </c>
      <c r="K26" s="31">
        <v>43125</v>
      </c>
      <c r="L26" s="31" t="s">
        <v>264</v>
      </c>
      <c r="M26" s="31">
        <v>43125</v>
      </c>
      <c r="N26" s="31">
        <v>43126</v>
      </c>
      <c r="O26" s="32">
        <v>43133</v>
      </c>
      <c r="P26" s="33" t="s">
        <v>10852</v>
      </c>
      <c r="Q26" s="34" t="s">
        <v>10852</v>
      </c>
      <c r="R26" s="35">
        <v>43136</v>
      </c>
      <c r="S26" s="34" t="s">
        <v>12065</v>
      </c>
      <c r="T26" s="34">
        <v>2</v>
      </c>
      <c r="U26" s="34" t="s">
        <v>5683</v>
      </c>
      <c r="V26" s="34" t="s">
        <v>4999</v>
      </c>
      <c r="W26" s="36">
        <v>43160</v>
      </c>
      <c r="X26" s="44" t="s">
        <v>6850</v>
      </c>
      <c r="Y26" s="38">
        <v>43160</v>
      </c>
      <c r="Z26" s="39">
        <v>43160</v>
      </c>
      <c r="AA26" s="45" t="e">
        <v>#VALUE!</v>
      </c>
      <c r="AB26" s="46" t="e">
        <v>#VALUE!</v>
      </c>
      <c r="AC26" s="25" t="s">
        <v>12011</v>
      </c>
      <c r="AD26" s="42" t="s">
        <v>4999</v>
      </c>
      <c r="AE26" s="43"/>
      <c r="AF26" s="27" t="s">
        <v>4999</v>
      </c>
    </row>
    <row r="27" spans="1:32" s="2" customFormat="1" ht="12.75" x14ac:dyDescent="0.2">
      <c r="A27" s="28">
        <v>0</v>
      </c>
      <c r="B27" s="29" t="s">
        <v>12066</v>
      </c>
      <c r="C27" s="30" t="s">
        <v>11459</v>
      </c>
      <c r="D27" s="30">
        <v>180019</v>
      </c>
      <c r="E27" s="30" t="s">
        <v>12067</v>
      </c>
      <c r="F27" s="30" t="s">
        <v>6820</v>
      </c>
      <c r="G27" s="30" t="s">
        <v>8423</v>
      </c>
      <c r="H27" s="30" t="s">
        <v>12068</v>
      </c>
      <c r="I27" s="30" t="s">
        <v>12069</v>
      </c>
      <c r="J27" s="30" t="s">
        <v>12070</v>
      </c>
      <c r="K27" s="31">
        <v>43129</v>
      </c>
      <c r="L27" s="30" t="s">
        <v>264</v>
      </c>
      <c r="M27" s="31">
        <v>43129</v>
      </c>
      <c r="N27" s="31">
        <v>43129</v>
      </c>
      <c r="O27" s="32">
        <v>43130</v>
      </c>
      <c r="P27" s="33" t="s">
        <v>10852</v>
      </c>
      <c r="Q27" s="34" t="s">
        <v>9350</v>
      </c>
      <c r="R27" s="35">
        <v>43139</v>
      </c>
      <c r="S27" s="34" t="s">
        <v>5683</v>
      </c>
      <c r="T27" s="34">
        <v>2</v>
      </c>
      <c r="U27" s="34" t="s">
        <v>5683</v>
      </c>
      <c r="V27" s="34" t="s">
        <v>4999</v>
      </c>
      <c r="W27" s="36">
        <v>43388</v>
      </c>
      <c r="X27" s="44" t="s">
        <v>6850</v>
      </c>
      <c r="Y27" s="38">
        <v>43152</v>
      </c>
      <c r="Z27" s="39">
        <v>43152</v>
      </c>
      <c r="AA27" s="45" t="e">
        <v>#VALUE!</v>
      </c>
      <c r="AB27" s="46" t="e">
        <v>#VALUE!</v>
      </c>
      <c r="AC27" s="25"/>
      <c r="AD27" s="42"/>
      <c r="AE27" s="43" t="s">
        <v>12071</v>
      </c>
      <c r="AF27" s="27"/>
    </row>
    <row r="28" spans="1:32" s="2" customFormat="1" ht="12.75" x14ac:dyDescent="0.2">
      <c r="A28" s="28">
        <v>0</v>
      </c>
      <c r="B28" s="29" t="s">
        <v>12072</v>
      </c>
      <c r="C28" s="30" t="s">
        <v>11459</v>
      </c>
      <c r="D28" s="30">
        <v>180019</v>
      </c>
      <c r="E28" s="30" t="s">
        <v>12073</v>
      </c>
      <c r="F28" s="30" t="s">
        <v>6820</v>
      </c>
      <c r="G28" s="30" t="s">
        <v>8423</v>
      </c>
      <c r="H28" s="30" t="s">
        <v>12068</v>
      </c>
      <c r="I28" s="30" t="s">
        <v>12069</v>
      </c>
      <c r="J28" s="30" t="s">
        <v>12070</v>
      </c>
      <c r="K28" s="31">
        <v>43129</v>
      </c>
      <c r="L28" s="30" t="s">
        <v>264</v>
      </c>
      <c r="M28" s="31">
        <v>43129</v>
      </c>
      <c r="N28" s="31">
        <v>43129</v>
      </c>
      <c r="O28" s="32">
        <v>43130</v>
      </c>
      <c r="P28" s="33" t="s">
        <v>10852</v>
      </c>
      <c r="Q28" s="34" t="s">
        <v>9350</v>
      </c>
      <c r="R28" s="35">
        <v>43139</v>
      </c>
      <c r="S28" s="34" t="s">
        <v>5683</v>
      </c>
      <c r="T28" s="34">
        <v>1</v>
      </c>
      <c r="U28" s="34" t="s">
        <v>5683</v>
      </c>
      <c r="V28" s="34" t="s">
        <v>4999</v>
      </c>
      <c r="W28" s="36">
        <v>43388</v>
      </c>
      <c r="X28" s="44" t="s">
        <v>6850</v>
      </c>
      <c r="Y28" s="38">
        <v>43391</v>
      </c>
      <c r="Z28" s="39">
        <v>43391</v>
      </c>
      <c r="AA28" s="45" t="e">
        <v>#VALUE!</v>
      </c>
      <c r="AB28" s="46" t="e">
        <v>#VALUE!</v>
      </c>
      <c r="AC28" s="25"/>
      <c r="AD28" s="42" t="s">
        <v>4999</v>
      </c>
      <c r="AE28" s="56" t="s">
        <v>12071</v>
      </c>
      <c r="AF28" s="27"/>
    </row>
    <row r="29" spans="1:32" s="2" customFormat="1" ht="12.75" x14ac:dyDescent="0.2">
      <c r="A29" s="28">
        <v>0</v>
      </c>
      <c r="B29" s="29" t="s">
        <v>12074</v>
      </c>
      <c r="C29" s="30" t="s">
        <v>11459</v>
      </c>
      <c r="D29" s="30">
        <v>180019</v>
      </c>
      <c r="E29" s="30" t="s">
        <v>12075</v>
      </c>
      <c r="F29" s="30" t="s">
        <v>6820</v>
      </c>
      <c r="G29" s="30" t="s">
        <v>8423</v>
      </c>
      <c r="H29" s="30" t="s">
        <v>12076</v>
      </c>
      <c r="I29" s="30" t="s">
        <v>12077</v>
      </c>
      <c r="J29" s="30" t="s">
        <v>12070</v>
      </c>
      <c r="K29" s="31">
        <v>43129</v>
      </c>
      <c r="L29" s="30" t="s">
        <v>264</v>
      </c>
      <c r="M29" s="31">
        <v>43129</v>
      </c>
      <c r="N29" s="31">
        <v>43129</v>
      </c>
      <c r="O29" s="32">
        <v>43130</v>
      </c>
      <c r="P29" s="33" t="s">
        <v>10852</v>
      </c>
      <c r="Q29" s="34" t="s">
        <v>9350</v>
      </c>
      <c r="R29" s="35">
        <v>43139</v>
      </c>
      <c r="S29" s="34" t="s">
        <v>5683</v>
      </c>
      <c r="T29" s="34">
        <v>1</v>
      </c>
      <c r="U29" s="34" t="s">
        <v>5683</v>
      </c>
      <c r="V29" s="34" t="s">
        <v>4999</v>
      </c>
      <c r="W29" s="36">
        <v>43388</v>
      </c>
      <c r="X29" s="44" t="s">
        <v>6850</v>
      </c>
      <c r="Y29" s="38">
        <v>43160</v>
      </c>
      <c r="Z29" s="39">
        <v>43160</v>
      </c>
      <c r="AA29" s="45" t="e">
        <v>#VALUE!</v>
      </c>
      <c r="AB29" s="46" t="e">
        <v>#VALUE!</v>
      </c>
      <c r="AC29" s="25"/>
      <c r="AD29" s="42"/>
      <c r="AE29" s="56" t="s">
        <v>12071</v>
      </c>
      <c r="AF29" s="27"/>
    </row>
    <row r="30" spans="1:32" s="2" customFormat="1" ht="12.75" x14ac:dyDescent="0.2">
      <c r="A30" s="28">
        <v>0</v>
      </c>
      <c r="B30" s="29" t="s">
        <v>12078</v>
      </c>
      <c r="C30" s="30" t="s">
        <v>11459</v>
      </c>
      <c r="D30" s="30">
        <v>180019</v>
      </c>
      <c r="E30" s="30" t="s">
        <v>12079</v>
      </c>
      <c r="F30" s="30" t="s">
        <v>6820</v>
      </c>
      <c r="G30" s="30" t="s">
        <v>8423</v>
      </c>
      <c r="H30" s="30" t="s">
        <v>12080</v>
      </c>
      <c r="I30" s="30" t="s">
        <v>12077</v>
      </c>
      <c r="J30" s="30" t="s">
        <v>12070</v>
      </c>
      <c r="K30" s="31">
        <v>43129</v>
      </c>
      <c r="L30" s="30" t="s">
        <v>264</v>
      </c>
      <c r="M30" s="31">
        <v>43129</v>
      </c>
      <c r="N30" s="31">
        <v>43129</v>
      </c>
      <c r="O30" s="32">
        <v>43130</v>
      </c>
      <c r="P30" s="33" t="s">
        <v>10852</v>
      </c>
      <c r="Q30" s="34" t="s">
        <v>9350</v>
      </c>
      <c r="R30" s="35">
        <v>43139</v>
      </c>
      <c r="S30" s="34" t="s">
        <v>5683</v>
      </c>
      <c r="T30" s="34"/>
      <c r="U30" s="34" t="s">
        <v>5683</v>
      </c>
      <c r="V30" s="34" t="s">
        <v>12081</v>
      </c>
      <c r="W30" s="36" t="s">
        <v>12027</v>
      </c>
      <c r="X30" s="44" t="s">
        <v>6850</v>
      </c>
      <c r="Y30" s="38"/>
      <c r="Z30" s="39"/>
      <c r="AA30" s="45" t="e">
        <v>#VALUE!</v>
      </c>
      <c r="AB30" s="46" t="e">
        <v>#VALUE!</v>
      </c>
      <c r="AC30" s="25"/>
      <c r="AD30" s="42"/>
      <c r="AE30" s="43" t="s">
        <v>12071</v>
      </c>
      <c r="AF30" s="27"/>
    </row>
    <row r="31" spans="1:32" s="2" customFormat="1" ht="12.75" x14ac:dyDescent="0.2">
      <c r="A31" s="28">
        <v>1</v>
      </c>
      <c r="B31" s="29" t="s">
        <v>12082</v>
      </c>
      <c r="C31" s="30" t="s">
        <v>11057</v>
      </c>
      <c r="D31" s="30">
        <v>180022</v>
      </c>
      <c r="E31" s="30" t="s">
        <v>5683</v>
      </c>
      <c r="F31" s="30" t="s">
        <v>6820</v>
      </c>
      <c r="G31" s="30" t="s">
        <v>6829</v>
      </c>
      <c r="H31" s="30" t="s">
        <v>2490</v>
      </c>
      <c r="I31" s="30" t="s">
        <v>12083</v>
      </c>
      <c r="J31" s="30" t="s">
        <v>8808</v>
      </c>
      <c r="K31" s="31" t="s">
        <v>5683</v>
      </c>
      <c r="L31" s="30" t="s">
        <v>5683</v>
      </c>
      <c r="M31" s="31" t="s">
        <v>5683</v>
      </c>
      <c r="N31" s="31" t="s">
        <v>5683</v>
      </c>
      <c r="O31" s="32" t="s">
        <v>5683</v>
      </c>
      <c r="P31" s="33" t="s">
        <v>10852</v>
      </c>
      <c r="Q31" s="34" t="s">
        <v>5683</v>
      </c>
      <c r="R31" s="35" t="s">
        <v>5683</v>
      </c>
      <c r="S31" s="34" t="s">
        <v>5683</v>
      </c>
      <c r="T31" s="34" t="s">
        <v>5683</v>
      </c>
      <c r="U31" s="34" t="s">
        <v>5683</v>
      </c>
      <c r="V31" s="34" t="s">
        <v>4999</v>
      </c>
      <c r="W31" s="36">
        <v>43683</v>
      </c>
      <c r="X31" s="44"/>
      <c r="Y31" s="38"/>
      <c r="Z31" s="39"/>
      <c r="AA31" s="45" t="e">
        <v>#VALUE!</v>
      </c>
      <c r="AB31" s="46" t="e">
        <v>#VALUE!</v>
      </c>
      <c r="AC31" s="25"/>
      <c r="AD31" s="42"/>
      <c r="AE31" s="43"/>
      <c r="AF31" s="27"/>
    </row>
    <row r="32" spans="1:32" s="2" customFormat="1" ht="12.75" x14ac:dyDescent="0.2">
      <c r="A32" s="28">
        <v>0</v>
      </c>
      <c r="B32" s="29" t="s">
        <v>12082</v>
      </c>
      <c r="C32" s="30" t="s">
        <v>11057</v>
      </c>
      <c r="D32" s="30">
        <v>180022</v>
      </c>
      <c r="E32" s="30" t="s">
        <v>12084</v>
      </c>
      <c r="F32" s="30" t="s">
        <v>6820</v>
      </c>
      <c r="G32" s="30" t="s">
        <v>6829</v>
      </c>
      <c r="H32" s="30" t="s">
        <v>2490</v>
      </c>
      <c r="I32" s="30" t="s">
        <v>12083</v>
      </c>
      <c r="J32" s="30" t="s">
        <v>8808</v>
      </c>
      <c r="K32" s="31">
        <v>43129</v>
      </c>
      <c r="L32" s="57" t="s">
        <v>264</v>
      </c>
      <c r="M32" s="31">
        <v>43129</v>
      </c>
      <c r="N32" s="31">
        <v>43130</v>
      </c>
      <c r="O32" s="32">
        <v>43145</v>
      </c>
      <c r="P32" s="33" t="s">
        <v>10852</v>
      </c>
      <c r="Q32" s="34" t="s">
        <v>10852</v>
      </c>
      <c r="R32" s="35">
        <v>43164</v>
      </c>
      <c r="S32" s="34" t="s">
        <v>11060</v>
      </c>
      <c r="T32" s="34">
        <v>3</v>
      </c>
      <c r="U32" s="34" t="s">
        <v>5683</v>
      </c>
      <c r="V32" s="34" t="s">
        <v>4999</v>
      </c>
      <c r="W32" s="36">
        <v>43168</v>
      </c>
      <c r="X32" s="44" t="s">
        <v>6850</v>
      </c>
      <c r="Y32" s="38">
        <v>43168</v>
      </c>
      <c r="Z32" s="39">
        <v>43168</v>
      </c>
      <c r="AA32" s="45" t="e">
        <v>#VALUE!</v>
      </c>
      <c r="AB32" s="46" t="e">
        <v>#VALUE!</v>
      </c>
      <c r="AC32" s="25" t="s">
        <v>12011</v>
      </c>
      <c r="AD32" s="42" t="s">
        <v>4999</v>
      </c>
      <c r="AE32" s="43"/>
      <c r="AF32" s="27" t="s">
        <v>4999</v>
      </c>
    </row>
    <row r="33" spans="1:32" s="2" customFormat="1" ht="12.75" x14ac:dyDescent="0.2">
      <c r="A33" s="28">
        <v>2</v>
      </c>
      <c r="B33" s="29" t="s">
        <v>12085</v>
      </c>
      <c r="C33" s="30" t="s">
        <v>6169</v>
      </c>
      <c r="D33" s="30" t="s">
        <v>5683</v>
      </c>
      <c r="E33" s="30" t="s">
        <v>12086</v>
      </c>
      <c r="F33" s="30" t="s">
        <v>6820</v>
      </c>
      <c r="G33" s="30" t="s">
        <v>6829</v>
      </c>
      <c r="H33" s="30" t="s">
        <v>12087</v>
      </c>
      <c r="I33" s="30" t="s">
        <v>12088</v>
      </c>
      <c r="J33" s="30" t="s">
        <v>6579</v>
      </c>
      <c r="K33" s="31" t="s">
        <v>5683</v>
      </c>
      <c r="L33" s="31" t="s">
        <v>5683</v>
      </c>
      <c r="M33" s="31" t="s">
        <v>5683</v>
      </c>
      <c r="N33" s="31" t="s">
        <v>5683</v>
      </c>
      <c r="O33" s="32" t="s">
        <v>5683</v>
      </c>
      <c r="P33" s="33" t="s">
        <v>10852</v>
      </c>
      <c r="Q33" s="34" t="s">
        <v>5683</v>
      </c>
      <c r="R33" s="35" t="s">
        <v>5683</v>
      </c>
      <c r="S33" s="34" t="s">
        <v>5683</v>
      </c>
      <c r="T33" s="34" t="s">
        <v>5683</v>
      </c>
      <c r="U33" s="34" t="s">
        <v>5683</v>
      </c>
      <c r="V33" s="34" t="s">
        <v>4999</v>
      </c>
      <c r="W33" s="36">
        <v>43481</v>
      </c>
      <c r="X33" s="44"/>
      <c r="Y33" s="38"/>
      <c r="Z33" s="39"/>
      <c r="AA33" s="45" t="e">
        <v>#VALUE!</v>
      </c>
      <c r="AB33" s="46" t="e">
        <v>#VALUE!</v>
      </c>
      <c r="AC33" s="25"/>
      <c r="AD33" s="42"/>
      <c r="AE33" s="43"/>
      <c r="AF33" s="27"/>
    </row>
    <row r="34" spans="1:32" s="2" customFormat="1" ht="12.75" x14ac:dyDescent="0.2">
      <c r="A34" s="28">
        <v>1</v>
      </c>
      <c r="B34" s="29" t="s">
        <v>12085</v>
      </c>
      <c r="C34" s="30" t="s">
        <v>6169</v>
      </c>
      <c r="D34" s="30" t="s">
        <v>5683</v>
      </c>
      <c r="E34" s="30" t="s">
        <v>12089</v>
      </c>
      <c r="F34" s="30" t="s">
        <v>6820</v>
      </c>
      <c r="G34" s="30" t="s">
        <v>6829</v>
      </c>
      <c r="H34" s="30" t="s">
        <v>12087</v>
      </c>
      <c r="I34" s="30" t="s">
        <v>12088</v>
      </c>
      <c r="J34" s="30" t="s">
        <v>6579</v>
      </c>
      <c r="K34" s="31" t="s">
        <v>5683</v>
      </c>
      <c r="L34" s="31" t="s">
        <v>5683</v>
      </c>
      <c r="M34" s="31" t="s">
        <v>5683</v>
      </c>
      <c r="N34" s="31" t="s">
        <v>5683</v>
      </c>
      <c r="O34" s="32" t="s">
        <v>5683</v>
      </c>
      <c r="P34" s="33" t="s">
        <v>10852</v>
      </c>
      <c r="Q34" s="34" t="s">
        <v>5683</v>
      </c>
      <c r="R34" s="35" t="s">
        <v>5683</v>
      </c>
      <c r="S34" s="34" t="s">
        <v>5683</v>
      </c>
      <c r="T34" s="34" t="s">
        <v>5683</v>
      </c>
      <c r="U34" s="34" t="s">
        <v>5683</v>
      </c>
      <c r="V34" s="34" t="s">
        <v>4999</v>
      </c>
      <c r="W34" s="36">
        <v>43188</v>
      </c>
      <c r="X34" s="44" t="s">
        <v>6850</v>
      </c>
      <c r="Y34" s="38">
        <v>43188</v>
      </c>
      <c r="Z34" s="39">
        <v>43188</v>
      </c>
      <c r="AA34" s="45" t="e">
        <v>#VALUE!</v>
      </c>
      <c r="AB34" s="46" t="e">
        <v>#VALUE!</v>
      </c>
      <c r="AC34" s="25" t="s">
        <v>5683</v>
      </c>
      <c r="AD34" s="42" t="s">
        <v>5683</v>
      </c>
      <c r="AE34" s="43"/>
      <c r="AF34" s="27" t="s">
        <v>12090</v>
      </c>
    </row>
    <row r="35" spans="1:32" s="2" customFormat="1" ht="12.75" x14ac:dyDescent="0.2">
      <c r="A35" s="28">
        <v>0</v>
      </c>
      <c r="B35" s="29" t="s">
        <v>12085</v>
      </c>
      <c r="C35" s="30" t="s">
        <v>6169</v>
      </c>
      <c r="D35" s="30">
        <v>170043</v>
      </c>
      <c r="E35" s="30" t="s">
        <v>12091</v>
      </c>
      <c r="F35" s="30" t="s">
        <v>6820</v>
      </c>
      <c r="G35" s="30" t="s">
        <v>6829</v>
      </c>
      <c r="H35" s="30" t="s">
        <v>12087</v>
      </c>
      <c r="I35" s="30" t="s">
        <v>12088</v>
      </c>
      <c r="J35" s="30" t="s">
        <v>6579</v>
      </c>
      <c r="K35" s="31">
        <v>43066</v>
      </c>
      <c r="L35" s="31" t="s">
        <v>264</v>
      </c>
      <c r="M35" s="31">
        <v>43066</v>
      </c>
      <c r="N35" s="31">
        <v>43066</v>
      </c>
      <c r="O35" s="32">
        <v>43067</v>
      </c>
      <c r="P35" s="33" t="s">
        <v>10852</v>
      </c>
      <c r="Q35" s="34" t="s">
        <v>10852</v>
      </c>
      <c r="R35" s="35">
        <v>43147</v>
      </c>
      <c r="S35" s="34">
        <v>3020974</v>
      </c>
      <c r="T35" s="34">
        <v>1</v>
      </c>
      <c r="U35" s="34" t="s">
        <v>5683</v>
      </c>
      <c r="V35" s="34" t="s">
        <v>4999</v>
      </c>
      <c r="W35" s="36">
        <v>43150</v>
      </c>
      <c r="X35" s="44" t="s">
        <v>6850</v>
      </c>
      <c r="Y35" s="38">
        <v>43150</v>
      </c>
      <c r="Z35" s="39">
        <v>43152</v>
      </c>
      <c r="AA35" s="45" t="e">
        <v>#VALUE!</v>
      </c>
      <c r="AB35" s="46" t="e">
        <v>#VALUE!</v>
      </c>
      <c r="AC35" s="25" t="s">
        <v>12011</v>
      </c>
      <c r="AD35" s="42" t="s">
        <v>4999</v>
      </c>
      <c r="AE35" s="43"/>
      <c r="AF35" s="27" t="s">
        <v>4999</v>
      </c>
    </row>
    <row r="36" spans="1:32" s="2" customFormat="1" ht="12.75" x14ac:dyDescent="0.2">
      <c r="A36" s="28">
        <v>1</v>
      </c>
      <c r="B36" s="29" t="s">
        <v>12092</v>
      </c>
      <c r="C36" s="30" t="s">
        <v>12093</v>
      </c>
      <c r="D36" s="30" t="s">
        <v>5683</v>
      </c>
      <c r="E36" s="30" t="s">
        <v>12094</v>
      </c>
      <c r="F36" s="30" t="s">
        <v>6820</v>
      </c>
      <c r="G36" s="30" t="s">
        <v>6829</v>
      </c>
      <c r="H36" s="30" t="s">
        <v>12095</v>
      </c>
      <c r="I36" s="30" t="s">
        <v>12096</v>
      </c>
      <c r="J36" s="30" t="s">
        <v>12097</v>
      </c>
      <c r="K36" s="31" t="s">
        <v>5683</v>
      </c>
      <c r="L36" s="57" t="s">
        <v>5683</v>
      </c>
      <c r="M36" s="31" t="s">
        <v>5683</v>
      </c>
      <c r="N36" s="31" t="s">
        <v>5683</v>
      </c>
      <c r="O36" s="32" t="s">
        <v>5683</v>
      </c>
      <c r="P36" s="33" t="s">
        <v>10852</v>
      </c>
      <c r="Q36" s="34" t="s">
        <v>5683</v>
      </c>
      <c r="R36" s="35" t="s">
        <v>5683</v>
      </c>
      <c r="S36" s="34" t="s">
        <v>5683</v>
      </c>
      <c r="T36" s="34" t="s">
        <v>5683</v>
      </c>
      <c r="U36" s="34" t="s">
        <v>5683</v>
      </c>
      <c r="V36" s="34" t="s">
        <v>4999</v>
      </c>
      <c r="W36" s="36">
        <v>43494</v>
      </c>
      <c r="X36" s="44"/>
      <c r="Y36" s="38"/>
      <c r="Z36" s="39"/>
      <c r="AA36" s="45" t="e">
        <v>#VALUE!</v>
      </c>
      <c r="AB36" s="46" t="e">
        <v>#VALUE!</v>
      </c>
      <c r="AC36" s="25"/>
      <c r="AD36" s="42"/>
      <c r="AE36" s="43"/>
      <c r="AF36" s="27"/>
    </row>
    <row r="37" spans="1:32" s="2" customFormat="1" ht="12.75" x14ac:dyDescent="0.2">
      <c r="A37" s="28">
        <v>0</v>
      </c>
      <c r="B37" s="29" t="s">
        <v>12092</v>
      </c>
      <c r="C37" s="30" t="s">
        <v>12093</v>
      </c>
      <c r="D37" s="30">
        <v>170047</v>
      </c>
      <c r="E37" s="30" t="s">
        <v>12098</v>
      </c>
      <c r="F37" s="30" t="s">
        <v>6820</v>
      </c>
      <c r="G37" s="30" t="s">
        <v>6829</v>
      </c>
      <c r="H37" s="30" t="s">
        <v>12095</v>
      </c>
      <c r="I37" s="30" t="s">
        <v>12096</v>
      </c>
      <c r="J37" s="30" t="s">
        <v>12097</v>
      </c>
      <c r="K37" s="31">
        <v>43070</v>
      </c>
      <c r="L37" s="30" t="s">
        <v>264</v>
      </c>
      <c r="M37" s="31">
        <v>43070</v>
      </c>
      <c r="N37" s="31">
        <v>43070</v>
      </c>
      <c r="O37" s="32">
        <v>43074</v>
      </c>
      <c r="P37" s="33" t="s">
        <v>10154</v>
      </c>
      <c r="Q37" s="34" t="s">
        <v>10154</v>
      </c>
      <c r="R37" s="35">
        <v>42785</v>
      </c>
      <c r="S37" s="34" t="s">
        <v>12099</v>
      </c>
      <c r="T37" s="34">
        <v>4</v>
      </c>
      <c r="U37" s="34" t="s">
        <v>5683</v>
      </c>
      <c r="V37" s="34" t="s">
        <v>4999</v>
      </c>
      <c r="W37" s="36">
        <v>43151</v>
      </c>
      <c r="X37" s="44" t="s">
        <v>6850</v>
      </c>
      <c r="Y37" s="38">
        <v>43151</v>
      </c>
      <c r="Z37" s="39">
        <v>43152</v>
      </c>
      <c r="AA37" s="45" t="e">
        <v>#VALUE!</v>
      </c>
      <c r="AB37" s="46" t="e">
        <v>#VALUE!</v>
      </c>
      <c r="AC37" s="25" t="s">
        <v>12041</v>
      </c>
      <c r="AD37" s="42" t="s">
        <v>4999</v>
      </c>
      <c r="AE37" s="43"/>
      <c r="AF37" s="27" t="s">
        <v>12100</v>
      </c>
    </row>
    <row r="38" spans="1:32" s="2" customFormat="1" ht="12.75" x14ac:dyDescent="0.2">
      <c r="A38" s="28">
        <v>1</v>
      </c>
      <c r="B38" s="29" t="s">
        <v>12101</v>
      </c>
      <c r="C38" s="30" t="s">
        <v>8369</v>
      </c>
      <c r="D38" s="30" t="s">
        <v>5683</v>
      </c>
      <c r="E38" s="30" t="s">
        <v>12102</v>
      </c>
      <c r="F38" s="30" t="s">
        <v>6820</v>
      </c>
      <c r="G38" s="30" t="s">
        <v>6829</v>
      </c>
      <c r="H38" s="30" t="s">
        <v>12103</v>
      </c>
      <c r="I38" s="30" t="s">
        <v>12104</v>
      </c>
      <c r="J38" s="30" t="s">
        <v>12105</v>
      </c>
      <c r="K38" s="31" t="s">
        <v>5683</v>
      </c>
      <c r="L38" s="57" t="s">
        <v>5683</v>
      </c>
      <c r="M38" s="31" t="s">
        <v>5683</v>
      </c>
      <c r="N38" s="31" t="s">
        <v>5683</v>
      </c>
      <c r="O38" s="32" t="s">
        <v>5683</v>
      </c>
      <c r="P38" s="33" t="s">
        <v>10852</v>
      </c>
      <c r="Q38" s="34" t="s">
        <v>5683</v>
      </c>
      <c r="R38" s="35" t="s">
        <v>5683</v>
      </c>
      <c r="S38" s="34" t="s">
        <v>5683</v>
      </c>
      <c r="T38" s="34" t="s">
        <v>5683</v>
      </c>
      <c r="U38" s="34" t="s">
        <v>5683</v>
      </c>
      <c r="V38" s="34" t="s">
        <v>4999</v>
      </c>
      <c r="W38" s="36">
        <v>43592</v>
      </c>
      <c r="X38" s="44"/>
      <c r="Y38" s="38"/>
      <c r="Z38" s="39"/>
      <c r="AA38" s="45" t="e">
        <v>#VALUE!</v>
      </c>
      <c r="AB38" s="46" t="e">
        <v>#VALUE!</v>
      </c>
      <c r="AC38" s="25"/>
      <c r="AD38" s="42"/>
      <c r="AE38" s="43"/>
      <c r="AF38" s="27"/>
    </row>
    <row r="39" spans="1:32" s="2" customFormat="1" ht="12.75" x14ac:dyDescent="0.2">
      <c r="A39" s="28">
        <v>0</v>
      </c>
      <c r="B39" s="29" t="s">
        <v>12101</v>
      </c>
      <c r="C39" s="30" t="s">
        <v>8369</v>
      </c>
      <c r="D39" s="30">
        <v>180032</v>
      </c>
      <c r="E39" s="30" t="s">
        <v>12106</v>
      </c>
      <c r="F39" s="30" t="s">
        <v>6820</v>
      </c>
      <c r="G39" s="30" t="s">
        <v>6829</v>
      </c>
      <c r="H39" s="30" t="s">
        <v>12103</v>
      </c>
      <c r="I39" s="30" t="s">
        <v>12104</v>
      </c>
      <c r="J39" s="30" t="s">
        <v>12105</v>
      </c>
      <c r="K39" s="31">
        <v>43150</v>
      </c>
      <c r="L39" s="30" t="s">
        <v>264</v>
      </c>
      <c r="M39" s="31">
        <v>43150</v>
      </c>
      <c r="N39" s="31">
        <v>43150</v>
      </c>
      <c r="O39" s="32">
        <v>43150</v>
      </c>
      <c r="P39" s="33" t="s">
        <v>10852</v>
      </c>
      <c r="Q39" s="34" t="s">
        <v>10852</v>
      </c>
      <c r="R39" s="35">
        <v>43152</v>
      </c>
      <c r="S39" s="34" t="s">
        <v>12107</v>
      </c>
      <c r="T39" s="34">
        <v>20</v>
      </c>
      <c r="U39" s="34" t="s">
        <v>5683</v>
      </c>
      <c r="V39" s="34" t="s">
        <v>4999</v>
      </c>
      <c r="W39" s="36">
        <v>43164</v>
      </c>
      <c r="X39" s="44" t="s">
        <v>6850</v>
      </c>
      <c r="Y39" s="38">
        <v>43164</v>
      </c>
      <c r="Z39" s="39">
        <v>43165</v>
      </c>
      <c r="AA39" s="45" t="e">
        <v>#VALUE!</v>
      </c>
      <c r="AB39" s="46" t="e">
        <v>#VALUE!</v>
      </c>
      <c r="AC39" s="25" t="s">
        <v>12011</v>
      </c>
      <c r="AD39" s="42" t="s">
        <v>4999</v>
      </c>
      <c r="AE39" s="43"/>
      <c r="AF39" s="27" t="s">
        <v>4999</v>
      </c>
    </row>
    <row r="40" spans="1:32" s="2" customFormat="1" ht="12.75" x14ac:dyDescent="0.2">
      <c r="A40" s="28">
        <v>2</v>
      </c>
      <c r="B40" s="29" t="s">
        <v>12108</v>
      </c>
      <c r="C40" s="30" t="s">
        <v>12109</v>
      </c>
      <c r="D40" s="30" t="s">
        <v>5683</v>
      </c>
      <c r="E40" s="30" t="s">
        <v>12110</v>
      </c>
      <c r="F40" s="30" t="s">
        <v>6820</v>
      </c>
      <c r="G40" s="30" t="s">
        <v>6829</v>
      </c>
      <c r="H40" s="30" t="s">
        <v>12111</v>
      </c>
      <c r="I40" s="30" t="s">
        <v>12104</v>
      </c>
      <c r="J40" s="30" t="s">
        <v>12105</v>
      </c>
      <c r="K40" s="31" t="s">
        <v>5683</v>
      </c>
      <c r="L40" s="30" t="s">
        <v>5683</v>
      </c>
      <c r="M40" s="31" t="s">
        <v>5683</v>
      </c>
      <c r="N40" s="31" t="s">
        <v>5683</v>
      </c>
      <c r="O40" s="32" t="s">
        <v>5683</v>
      </c>
      <c r="P40" s="33" t="s">
        <v>10852</v>
      </c>
      <c r="Q40" s="34" t="s">
        <v>5683</v>
      </c>
      <c r="R40" s="35" t="s">
        <v>5683</v>
      </c>
      <c r="S40" s="34" t="s">
        <v>5683</v>
      </c>
      <c r="T40" s="34" t="s">
        <v>5683</v>
      </c>
      <c r="U40" s="34" t="s">
        <v>5683</v>
      </c>
      <c r="V40" s="34" t="s">
        <v>4999</v>
      </c>
      <c r="W40" s="36">
        <v>43487</v>
      </c>
      <c r="X40" s="44"/>
      <c r="Y40" s="38"/>
      <c r="Z40" s="39"/>
      <c r="AA40" s="45" t="e">
        <v>#VALUE!</v>
      </c>
      <c r="AB40" s="46" t="e">
        <v>#VALUE!</v>
      </c>
      <c r="AC40" s="25"/>
      <c r="AD40" s="42"/>
      <c r="AE40" s="56"/>
      <c r="AF40" s="27"/>
    </row>
    <row r="41" spans="1:32" s="2" customFormat="1" ht="12.75" x14ac:dyDescent="0.2">
      <c r="A41" s="28">
        <v>1</v>
      </c>
      <c r="B41" s="29" t="s">
        <v>12108</v>
      </c>
      <c r="C41" s="30" t="s">
        <v>12109</v>
      </c>
      <c r="D41" s="30" t="s">
        <v>5683</v>
      </c>
      <c r="E41" s="30" t="s">
        <v>12112</v>
      </c>
      <c r="F41" s="30" t="s">
        <v>6820</v>
      </c>
      <c r="G41" s="30" t="s">
        <v>6829</v>
      </c>
      <c r="H41" s="30" t="s">
        <v>12111</v>
      </c>
      <c r="I41" s="30" t="s">
        <v>12104</v>
      </c>
      <c r="J41" s="30" t="s">
        <v>12105</v>
      </c>
      <c r="K41" s="31" t="s">
        <v>5683</v>
      </c>
      <c r="L41" s="30" t="s">
        <v>5683</v>
      </c>
      <c r="M41" s="31" t="s">
        <v>5683</v>
      </c>
      <c r="N41" s="31" t="s">
        <v>5683</v>
      </c>
      <c r="O41" s="32" t="s">
        <v>5683</v>
      </c>
      <c r="P41" s="33" t="s">
        <v>10852</v>
      </c>
      <c r="Q41" s="34" t="s">
        <v>5683</v>
      </c>
      <c r="R41" s="35" t="s">
        <v>5683</v>
      </c>
      <c r="S41" s="34" t="s">
        <v>5683</v>
      </c>
      <c r="T41" s="34" t="s">
        <v>5683</v>
      </c>
      <c r="U41" s="34" t="s">
        <v>5683</v>
      </c>
      <c r="V41" s="34" t="s">
        <v>4999</v>
      </c>
      <c r="W41" s="36">
        <v>43188</v>
      </c>
      <c r="X41" s="44" t="s">
        <v>5683</v>
      </c>
      <c r="Y41" s="38">
        <v>43214</v>
      </c>
      <c r="Z41" s="39">
        <v>43216</v>
      </c>
      <c r="AA41" s="45" t="e">
        <v>#VALUE!</v>
      </c>
      <c r="AB41" s="46" t="e">
        <v>#VALUE!</v>
      </c>
      <c r="AC41" s="25" t="s">
        <v>5683</v>
      </c>
      <c r="AD41" s="42" t="s">
        <v>5683</v>
      </c>
      <c r="AE41" s="43"/>
      <c r="AF41" s="27" t="s">
        <v>5683</v>
      </c>
    </row>
    <row r="42" spans="1:32" s="2" customFormat="1" ht="12.75" x14ac:dyDescent="0.2">
      <c r="A42" s="28">
        <v>0</v>
      </c>
      <c r="B42" s="29" t="s">
        <v>12108</v>
      </c>
      <c r="C42" s="30" t="s">
        <v>12109</v>
      </c>
      <c r="D42" s="30">
        <v>180033</v>
      </c>
      <c r="E42" s="30" t="s">
        <v>12113</v>
      </c>
      <c r="F42" s="30" t="s">
        <v>6820</v>
      </c>
      <c r="G42" s="30" t="s">
        <v>6829</v>
      </c>
      <c r="H42" s="30" t="s">
        <v>12111</v>
      </c>
      <c r="I42" s="30" t="s">
        <v>12104</v>
      </c>
      <c r="J42" s="30" t="s">
        <v>12105</v>
      </c>
      <c r="K42" s="31">
        <v>43150</v>
      </c>
      <c r="L42" s="30" t="s">
        <v>264</v>
      </c>
      <c r="M42" s="31">
        <v>43150</v>
      </c>
      <c r="N42" s="31">
        <v>43150</v>
      </c>
      <c r="O42" s="32">
        <v>43151</v>
      </c>
      <c r="P42" s="33" t="s">
        <v>10852</v>
      </c>
      <c r="Q42" s="34" t="s">
        <v>10852</v>
      </c>
      <c r="R42" s="35">
        <v>43154</v>
      </c>
      <c r="S42" s="34" t="s">
        <v>12107</v>
      </c>
      <c r="T42" s="34">
        <v>13</v>
      </c>
      <c r="U42" s="34" t="s">
        <v>5683</v>
      </c>
      <c r="V42" s="34" t="s">
        <v>4999</v>
      </c>
      <c r="W42" s="36">
        <v>43164</v>
      </c>
      <c r="X42" s="44" t="s">
        <v>6850</v>
      </c>
      <c r="Y42" s="38">
        <v>43164</v>
      </c>
      <c r="Z42" s="39">
        <v>43165</v>
      </c>
      <c r="AA42" s="45" t="e">
        <v>#VALUE!</v>
      </c>
      <c r="AB42" s="46" t="e">
        <v>#VALUE!</v>
      </c>
      <c r="AC42" s="25" t="s">
        <v>12011</v>
      </c>
      <c r="AD42" s="42" t="s">
        <v>4999</v>
      </c>
      <c r="AE42" s="56"/>
      <c r="AF42" s="27" t="s">
        <v>4999</v>
      </c>
    </row>
    <row r="43" spans="1:32" s="2" customFormat="1" ht="12.75" x14ac:dyDescent="0.2">
      <c r="A43" s="28">
        <v>1</v>
      </c>
      <c r="B43" s="29" t="s">
        <v>12114</v>
      </c>
      <c r="C43" s="30" t="s">
        <v>6169</v>
      </c>
      <c r="D43" s="30" t="s">
        <v>5683</v>
      </c>
      <c r="E43" s="30" t="s">
        <v>12115</v>
      </c>
      <c r="F43" s="30" t="s">
        <v>6820</v>
      </c>
      <c r="G43" s="30" t="s">
        <v>6829</v>
      </c>
      <c r="H43" s="30" t="s">
        <v>12116</v>
      </c>
      <c r="I43" s="30" t="s">
        <v>12117</v>
      </c>
      <c r="J43" s="30" t="s">
        <v>12118</v>
      </c>
      <c r="K43" s="31" t="s">
        <v>5683</v>
      </c>
      <c r="L43" s="31" t="s">
        <v>5683</v>
      </c>
      <c r="M43" s="31" t="s">
        <v>5683</v>
      </c>
      <c r="N43" s="31" t="s">
        <v>5683</v>
      </c>
      <c r="O43" s="32" t="s">
        <v>5683</v>
      </c>
      <c r="P43" s="33" t="s">
        <v>10852</v>
      </c>
      <c r="Q43" s="34" t="s">
        <v>5683</v>
      </c>
      <c r="R43" s="35" t="s">
        <v>5683</v>
      </c>
      <c r="S43" s="34" t="s">
        <v>5683</v>
      </c>
      <c r="T43" s="34" t="s">
        <v>5683</v>
      </c>
      <c r="U43" s="34" t="s">
        <v>5683</v>
      </c>
      <c r="V43" s="34" t="s">
        <v>4999</v>
      </c>
      <c r="W43" s="36">
        <v>43481</v>
      </c>
      <c r="X43" s="44"/>
      <c r="Y43" s="38"/>
      <c r="Z43" s="39"/>
      <c r="AA43" s="45" t="e">
        <v>#VALUE!</v>
      </c>
      <c r="AB43" s="46" t="e">
        <v>#VALUE!</v>
      </c>
      <c r="AC43" s="25"/>
      <c r="AD43" s="42"/>
      <c r="AE43" s="43"/>
      <c r="AF43" s="27"/>
    </row>
    <row r="44" spans="1:32" s="2" customFormat="1" ht="12.75" x14ac:dyDescent="0.2">
      <c r="A44" s="28">
        <v>0</v>
      </c>
      <c r="B44" s="29" t="s">
        <v>12114</v>
      </c>
      <c r="C44" s="30" t="s">
        <v>6169</v>
      </c>
      <c r="D44" s="30">
        <v>180016</v>
      </c>
      <c r="E44" s="30" t="s">
        <v>12119</v>
      </c>
      <c r="F44" s="30" t="s">
        <v>6820</v>
      </c>
      <c r="G44" s="30" t="s">
        <v>6829</v>
      </c>
      <c r="H44" s="30" t="s">
        <v>12116</v>
      </c>
      <c r="I44" s="30" t="s">
        <v>12117</v>
      </c>
      <c r="J44" s="30" t="s">
        <v>12118</v>
      </c>
      <c r="K44" s="31">
        <v>43119</v>
      </c>
      <c r="L44" s="31" t="s">
        <v>264</v>
      </c>
      <c r="M44" s="31">
        <v>43119</v>
      </c>
      <c r="N44" s="31">
        <v>43119</v>
      </c>
      <c r="O44" s="32">
        <v>43119</v>
      </c>
      <c r="P44" s="33" t="s">
        <v>10852</v>
      </c>
      <c r="Q44" s="34" t="s">
        <v>10852</v>
      </c>
      <c r="R44" s="35">
        <v>43168</v>
      </c>
      <c r="S44" s="34" t="s">
        <v>12120</v>
      </c>
      <c r="T44" s="34">
        <v>4</v>
      </c>
      <c r="U44" s="34" t="s">
        <v>5683</v>
      </c>
      <c r="V44" s="34" t="s">
        <v>4999</v>
      </c>
      <c r="W44" s="36">
        <v>43175</v>
      </c>
      <c r="X44" s="44" t="s">
        <v>6850</v>
      </c>
      <c r="Y44" s="38">
        <v>43175</v>
      </c>
      <c r="Z44" s="39">
        <v>43175</v>
      </c>
      <c r="AA44" s="45" t="e">
        <v>#VALUE!</v>
      </c>
      <c r="AB44" s="46" t="e">
        <v>#VALUE!</v>
      </c>
      <c r="AC44" s="25" t="s">
        <v>12011</v>
      </c>
      <c r="AD44" s="42" t="s">
        <v>4999</v>
      </c>
      <c r="AE44" s="43"/>
      <c r="AF44" s="27" t="s">
        <v>4999</v>
      </c>
    </row>
    <row r="45" spans="1:32" s="2" customFormat="1" ht="12.75" x14ac:dyDescent="0.2">
      <c r="A45" s="28">
        <v>1</v>
      </c>
      <c r="B45" s="29" t="s">
        <v>12121</v>
      </c>
      <c r="C45" s="30" t="s">
        <v>6169</v>
      </c>
      <c r="D45" s="30" t="s">
        <v>5683</v>
      </c>
      <c r="E45" s="30" t="s">
        <v>12122</v>
      </c>
      <c r="F45" s="30" t="s">
        <v>6820</v>
      </c>
      <c r="G45" s="30" t="s">
        <v>6829</v>
      </c>
      <c r="H45" s="30" t="s">
        <v>12123</v>
      </c>
      <c r="I45" s="30" t="s">
        <v>12124</v>
      </c>
      <c r="J45" s="30" t="s">
        <v>8789</v>
      </c>
      <c r="K45" s="31" t="s">
        <v>5683</v>
      </c>
      <c r="L45" s="31" t="s">
        <v>5683</v>
      </c>
      <c r="M45" s="31" t="s">
        <v>5683</v>
      </c>
      <c r="N45" s="31" t="s">
        <v>5683</v>
      </c>
      <c r="O45" s="32" t="s">
        <v>5683</v>
      </c>
      <c r="P45" s="33" t="s">
        <v>10852</v>
      </c>
      <c r="Q45" s="34" t="s">
        <v>5683</v>
      </c>
      <c r="R45" s="35" t="s">
        <v>5683</v>
      </c>
      <c r="S45" s="34" t="s">
        <v>5683</v>
      </c>
      <c r="T45" s="34" t="s">
        <v>5683</v>
      </c>
      <c r="U45" s="34" t="s">
        <v>5683</v>
      </c>
      <c r="V45" s="34" t="s">
        <v>4999</v>
      </c>
      <c r="W45" s="36">
        <v>43481</v>
      </c>
      <c r="X45" s="44"/>
      <c r="Y45" s="38"/>
      <c r="Z45" s="39"/>
      <c r="AA45" s="45" t="e">
        <v>#VALUE!</v>
      </c>
      <c r="AB45" s="46" t="e">
        <v>#VALUE!</v>
      </c>
      <c r="AC45" s="25"/>
      <c r="AD45" s="42"/>
      <c r="AE45" s="43"/>
      <c r="AF45" s="27"/>
    </row>
    <row r="46" spans="1:32" s="2" customFormat="1" ht="12.75" x14ac:dyDescent="0.2">
      <c r="A46" s="28">
        <v>0</v>
      </c>
      <c r="B46" s="29" t="s">
        <v>12121</v>
      </c>
      <c r="C46" s="30" t="s">
        <v>6169</v>
      </c>
      <c r="D46" s="30">
        <v>180016</v>
      </c>
      <c r="E46" s="30" t="s">
        <v>12125</v>
      </c>
      <c r="F46" s="30" t="s">
        <v>6820</v>
      </c>
      <c r="G46" s="30" t="s">
        <v>6829</v>
      </c>
      <c r="H46" s="30" t="s">
        <v>12123</v>
      </c>
      <c r="I46" s="30" t="s">
        <v>12124</v>
      </c>
      <c r="J46" s="30" t="s">
        <v>8789</v>
      </c>
      <c r="K46" s="31">
        <v>43119</v>
      </c>
      <c r="L46" s="31" t="s">
        <v>264</v>
      </c>
      <c r="M46" s="31">
        <v>43119</v>
      </c>
      <c r="N46" s="31">
        <v>43119</v>
      </c>
      <c r="O46" s="32">
        <v>43119</v>
      </c>
      <c r="P46" s="33" t="s">
        <v>10852</v>
      </c>
      <c r="Q46" s="34" t="s">
        <v>10852</v>
      </c>
      <c r="R46" s="35">
        <v>43168</v>
      </c>
      <c r="S46" s="34" t="s">
        <v>12126</v>
      </c>
      <c r="T46" s="34">
        <v>2</v>
      </c>
      <c r="U46" s="34" t="s">
        <v>5683</v>
      </c>
      <c r="V46" s="34" t="s">
        <v>4999</v>
      </c>
      <c r="W46" s="36">
        <v>43175</v>
      </c>
      <c r="X46" s="44" t="s">
        <v>6850</v>
      </c>
      <c r="Y46" s="38">
        <v>43175</v>
      </c>
      <c r="Z46" s="38">
        <v>43175</v>
      </c>
      <c r="AA46" s="45" t="e">
        <v>#VALUE!</v>
      </c>
      <c r="AB46" s="46" t="e">
        <v>#VALUE!</v>
      </c>
      <c r="AC46" s="25" t="s">
        <v>12011</v>
      </c>
      <c r="AD46" s="42" t="s">
        <v>4999</v>
      </c>
      <c r="AE46" s="43"/>
      <c r="AF46" s="27" t="s">
        <v>4999</v>
      </c>
    </row>
    <row r="47" spans="1:32" s="2" customFormat="1" ht="17.25" customHeight="1" x14ac:dyDescent="0.2">
      <c r="A47" s="28">
        <v>1</v>
      </c>
      <c r="B47" s="49" t="s">
        <v>12127</v>
      </c>
      <c r="C47" s="50" t="s">
        <v>12128</v>
      </c>
      <c r="D47" s="50" t="s">
        <v>5683</v>
      </c>
      <c r="E47" s="50" t="s">
        <v>12129</v>
      </c>
      <c r="F47" s="50" t="s">
        <v>6820</v>
      </c>
      <c r="G47" s="50" t="s">
        <v>6829</v>
      </c>
      <c r="H47" s="50" t="s">
        <v>1147</v>
      </c>
      <c r="I47" s="50" t="s">
        <v>12130</v>
      </c>
      <c r="J47" s="50" t="s">
        <v>12131</v>
      </c>
      <c r="K47" s="51" t="s">
        <v>5683</v>
      </c>
      <c r="L47" s="50" t="s">
        <v>5683</v>
      </c>
      <c r="M47" s="51" t="s">
        <v>5683</v>
      </c>
      <c r="N47" s="51" t="s">
        <v>5683</v>
      </c>
      <c r="O47" s="52" t="s">
        <v>5683</v>
      </c>
      <c r="P47" s="33" t="s">
        <v>10852</v>
      </c>
      <c r="Q47" s="34" t="s">
        <v>5683</v>
      </c>
      <c r="R47" s="35" t="s">
        <v>5683</v>
      </c>
      <c r="S47" s="34" t="s">
        <v>5683</v>
      </c>
      <c r="T47" s="34" t="s">
        <v>5683</v>
      </c>
      <c r="U47" s="34" t="s">
        <v>5683</v>
      </c>
      <c r="V47" s="34" t="s">
        <v>4999</v>
      </c>
      <c r="W47" s="36">
        <v>43490</v>
      </c>
      <c r="X47" s="44"/>
      <c r="Y47" s="38"/>
      <c r="Z47" s="38"/>
      <c r="AA47" s="45" t="e">
        <v>#VALUE!</v>
      </c>
      <c r="AB47" s="46" t="e">
        <v>#VALUE!</v>
      </c>
      <c r="AC47" s="53"/>
      <c r="AD47" s="54"/>
      <c r="AE47" s="55"/>
    </row>
    <row r="48" spans="1:32" s="2" customFormat="1" ht="17.25" customHeight="1" x14ac:dyDescent="0.2">
      <c r="A48" s="28">
        <v>0</v>
      </c>
      <c r="B48" s="49" t="s">
        <v>12127</v>
      </c>
      <c r="C48" s="50" t="s">
        <v>12128</v>
      </c>
      <c r="D48" s="50">
        <v>180031</v>
      </c>
      <c r="E48" s="50" t="s">
        <v>12132</v>
      </c>
      <c r="F48" s="50" t="s">
        <v>6820</v>
      </c>
      <c r="G48" s="50" t="s">
        <v>6829</v>
      </c>
      <c r="H48" s="50" t="s">
        <v>1147</v>
      </c>
      <c r="I48" s="50" t="s">
        <v>12130</v>
      </c>
      <c r="J48" s="50" t="s">
        <v>12131</v>
      </c>
      <c r="K48" s="51">
        <v>43146</v>
      </c>
      <c r="L48" s="50" t="s">
        <v>264</v>
      </c>
      <c r="M48" s="51">
        <v>43146</v>
      </c>
      <c r="N48" s="51">
        <v>43146</v>
      </c>
      <c r="O48" s="52">
        <v>43152</v>
      </c>
      <c r="P48" s="33" t="s">
        <v>10852</v>
      </c>
      <c r="Q48" s="34" t="s">
        <v>9350</v>
      </c>
      <c r="R48" s="35">
        <v>43202</v>
      </c>
      <c r="S48" s="34" t="s">
        <v>12133</v>
      </c>
      <c r="T48" s="34">
        <v>11</v>
      </c>
      <c r="U48" s="34" t="s">
        <v>5683</v>
      </c>
      <c r="V48" s="34" t="s">
        <v>4999</v>
      </c>
      <c r="W48" s="36">
        <v>43209</v>
      </c>
      <c r="X48" s="44" t="s">
        <v>6850</v>
      </c>
      <c r="Y48" s="38">
        <v>43214</v>
      </c>
      <c r="Z48" s="39">
        <v>43214</v>
      </c>
      <c r="AA48" s="45" t="e">
        <v>#VALUE!</v>
      </c>
      <c r="AB48" s="46" t="e">
        <v>#VALUE!</v>
      </c>
      <c r="AC48" s="53" t="s">
        <v>5683</v>
      </c>
      <c r="AD48" s="54" t="s">
        <v>4999</v>
      </c>
      <c r="AE48" s="55"/>
      <c r="AF48" s="2" t="s">
        <v>5683</v>
      </c>
    </row>
    <row r="49" spans="1:32" s="2" customFormat="1" ht="12.75" x14ac:dyDescent="0.2">
      <c r="A49" s="28">
        <v>1</v>
      </c>
      <c r="B49" s="29" t="s">
        <v>12134</v>
      </c>
      <c r="C49" s="30" t="s">
        <v>12135</v>
      </c>
      <c r="D49" s="30" t="s">
        <v>5683</v>
      </c>
      <c r="E49" s="30" t="s">
        <v>12136</v>
      </c>
      <c r="F49" s="30" t="s">
        <v>6820</v>
      </c>
      <c r="G49" s="30" t="s">
        <v>6829</v>
      </c>
      <c r="H49" s="30" t="s">
        <v>1147</v>
      </c>
      <c r="I49" s="30" t="s">
        <v>12130</v>
      </c>
      <c r="J49" s="30" t="s">
        <v>12131</v>
      </c>
      <c r="K49" s="31" t="s">
        <v>5683</v>
      </c>
      <c r="L49" s="30" t="s">
        <v>5683</v>
      </c>
      <c r="M49" s="31" t="s">
        <v>5683</v>
      </c>
      <c r="N49" s="31" t="s">
        <v>5683</v>
      </c>
      <c r="O49" s="32" t="s">
        <v>5683</v>
      </c>
      <c r="P49" s="33" t="s">
        <v>10852</v>
      </c>
      <c r="Q49" s="34" t="s">
        <v>5683</v>
      </c>
      <c r="R49" s="35" t="s">
        <v>5683</v>
      </c>
      <c r="S49" s="34" t="s">
        <v>5683</v>
      </c>
      <c r="T49" s="34" t="s">
        <v>5683</v>
      </c>
      <c r="U49" s="34" t="s">
        <v>5683</v>
      </c>
      <c r="V49" s="34" t="s">
        <v>4999</v>
      </c>
      <c r="W49" s="36">
        <v>43490</v>
      </c>
      <c r="X49" s="44"/>
      <c r="Y49" s="38"/>
      <c r="Z49" s="39"/>
      <c r="AA49" s="45" t="e">
        <v>#VALUE!</v>
      </c>
      <c r="AB49" s="46" t="e">
        <v>#VALUE!</v>
      </c>
      <c r="AC49" s="25"/>
      <c r="AD49" s="42"/>
      <c r="AE49" s="43"/>
      <c r="AF49" s="27"/>
    </row>
    <row r="50" spans="1:32" s="2" customFormat="1" ht="12.75" x14ac:dyDescent="0.2">
      <c r="A50" s="28">
        <v>0</v>
      </c>
      <c r="B50" s="29" t="s">
        <v>12134</v>
      </c>
      <c r="C50" s="30" t="s">
        <v>12135</v>
      </c>
      <c r="D50" s="30">
        <v>180030</v>
      </c>
      <c r="E50" s="30" t="s">
        <v>12137</v>
      </c>
      <c r="F50" s="30" t="s">
        <v>6820</v>
      </c>
      <c r="G50" s="30" t="s">
        <v>6829</v>
      </c>
      <c r="H50" s="30" t="s">
        <v>1147</v>
      </c>
      <c r="I50" s="30" t="s">
        <v>12130</v>
      </c>
      <c r="J50" s="30" t="s">
        <v>12131</v>
      </c>
      <c r="K50" s="31">
        <v>43146</v>
      </c>
      <c r="L50" s="57" t="s">
        <v>264</v>
      </c>
      <c r="M50" s="31">
        <v>43146</v>
      </c>
      <c r="N50" s="31">
        <v>43146</v>
      </c>
      <c r="O50" s="32">
        <v>43152</v>
      </c>
      <c r="P50" s="33" t="s">
        <v>10852</v>
      </c>
      <c r="Q50" s="34" t="s">
        <v>9350</v>
      </c>
      <c r="R50" s="35">
        <v>43207</v>
      </c>
      <c r="S50" s="34" t="s">
        <v>12133</v>
      </c>
      <c r="T50" s="34">
        <v>20</v>
      </c>
      <c r="U50" s="34" t="s">
        <v>5683</v>
      </c>
      <c r="V50" s="34" t="s">
        <v>4999</v>
      </c>
      <c r="W50" s="36">
        <v>43209</v>
      </c>
      <c r="X50" s="44" t="s">
        <v>6850</v>
      </c>
      <c r="Y50" s="38">
        <v>43209</v>
      </c>
      <c r="Z50" s="39">
        <v>43210</v>
      </c>
      <c r="AA50" s="45" t="e">
        <v>#VALUE!</v>
      </c>
      <c r="AB50" s="46" t="e">
        <v>#VALUE!</v>
      </c>
      <c r="AC50" s="25" t="s">
        <v>5683</v>
      </c>
      <c r="AD50" s="42" t="s">
        <v>4999</v>
      </c>
      <c r="AE50" s="43"/>
      <c r="AF50" s="27" t="s">
        <v>5683</v>
      </c>
    </row>
    <row r="51" spans="1:32" s="2" customFormat="1" ht="12.75" x14ac:dyDescent="0.2">
      <c r="A51" s="28">
        <v>1</v>
      </c>
      <c r="B51" s="29" t="s">
        <v>12138</v>
      </c>
      <c r="C51" s="30" t="s">
        <v>6169</v>
      </c>
      <c r="D51" s="30" t="s">
        <v>5683</v>
      </c>
      <c r="E51" s="30" t="s">
        <v>12139</v>
      </c>
      <c r="F51" s="30" t="s">
        <v>6820</v>
      </c>
      <c r="G51" s="30" t="s">
        <v>6829</v>
      </c>
      <c r="H51" s="30" t="s">
        <v>12140</v>
      </c>
      <c r="I51" s="30" t="s">
        <v>3039</v>
      </c>
      <c r="J51" s="30" t="s">
        <v>127</v>
      </c>
      <c r="K51" s="31" t="s">
        <v>5683</v>
      </c>
      <c r="L51" s="31" t="s">
        <v>5683</v>
      </c>
      <c r="M51" s="31" t="s">
        <v>5683</v>
      </c>
      <c r="N51" s="31" t="s">
        <v>5683</v>
      </c>
      <c r="O51" s="32" t="s">
        <v>5683</v>
      </c>
      <c r="P51" s="33" t="s">
        <v>10852</v>
      </c>
      <c r="Q51" s="34" t="s">
        <v>5683</v>
      </c>
      <c r="R51" s="35" t="s">
        <v>5683</v>
      </c>
      <c r="S51" s="34" t="s">
        <v>5683</v>
      </c>
      <c r="T51" s="34" t="s">
        <v>5683</v>
      </c>
      <c r="U51" s="34" t="s">
        <v>5683</v>
      </c>
      <c r="V51" s="34" t="s">
        <v>4999</v>
      </c>
      <c r="W51" s="36">
        <v>43481</v>
      </c>
      <c r="X51" s="44"/>
      <c r="Y51" s="38"/>
      <c r="Z51" s="39"/>
      <c r="AA51" s="45" t="e">
        <v>#VALUE!</v>
      </c>
      <c r="AB51" s="46" t="e">
        <v>#VALUE!</v>
      </c>
      <c r="AC51" s="25"/>
      <c r="AD51" s="42"/>
      <c r="AE51" s="43"/>
      <c r="AF51" s="27"/>
    </row>
    <row r="52" spans="1:32" s="2" customFormat="1" ht="12.75" x14ac:dyDescent="0.2">
      <c r="A52" s="28">
        <v>0</v>
      </c>
      <c r="B52" s="29" t="s">
        <v>12138</v>
      </c>
      <c r="C52" s="30" t="s">
        <v>6169</v>
      </c>
      <c r="D52" s="30">
        <v>170054</v>
      </c>
      <c r="E52" s="30" t="s">
        <v>12141</v>
      </c>
      <c r="F52" s="30" t="s">
        <v>6820</v>
      </c>
      <c r="G52" s="30" t="s">
        <v>6829</v>
      </c>
      <c r="H52" s="30" t="s">
        <v>12140</v>
      </c>
      <c r="I52" s="30" t="s">
        <v>3039</v>
      </c>
      <c r="J52" s="30" t="s">
        <v>127</v>
      </c>
      <c r="K52" s="31">
        <v>43095</v>
      </c>
      <c r="L52" s="31" t="s">
        <v>264</v>
      </c>
      <c r="M52" s="31">
        <v>43095</v>
      </c>
      <c r="N52" s="31">
        <v>43096</v>
      </c>
      <c r="O52" s="32">
        <v>43097</v>
      </c>
      <c r="P52" s="33" t="s">
        <v>10852</v>
      </c>
      <c r="Q52" s="34" t="s">
        <v>10852</v>
      </c>
      <c r="R52" s="35">
        <v>43154</v>
      </c>
      <c r="S52" s="34" t="s">
        <v>241</v>
      </c>
      <c r="T52" s="34">
        <v>1</v>
      </c>
      <c r="U52" s="34" t="s">
        <v>5683</v>
      </c>
      <c r="V52" s="34" t="s">
        <v>4999</v>
      </c>
      <c r="W52" s="36">
        <v>43154</v>
      </c>
      <c r="X52" s="44" t="s">
        <v>6850</v>
      </c>
      <c r="Y52" s="38">
        <v>43155</v>
      </c>
      <c r="Z52" s="39">
        <v>43157</v>
      </c>
      <c r="AA52" s="45" t="e">
        <v>#VALUE!</v>
      </c>
      <c r="AB52" s="46" t="e">
        <v>#VALUE!</v>
      </c>
      <c r="AC52" s="25" t="s">
        <v>12011</v>
      </c>
      <c r="AD52" s="42" t="s">
        <v>4999</v>
      </c>
      <c r="AE52" s="43"/>
      <c r="AF52" s="27" t="s">
        <v>4999</v>
      </c>
    </row>
    <row r="53" spans="1:32" s="2" customFormat="1" ht="12.75" x14ac:dyDescent="0.2">
      <c r="A53" s="28">
        <v>1</v>
      </c>
      <c r="B53" s="29" t="s">
        <v>12142</v>
      </c>
      <c r="C53" s="30" t="s">
        <v>6169</v>
      </c>
      <c r="D53" s="30" t="s">
        <v>5683</v>
      </c>
      <c r="E53" s="30" t="s">
        <v>12143</v>
      </c>
      <c r="F53" s="30" t="s">
        <v>6820</v>
      </c>
      <c r="G53" s="30" t="s">
        <v>6829</v>
      </c>
      <c r="H53" s="30" t="s">
        <v>12144</v>
      </c>
      <c r="I53" s="30" t="s">
        <v>12145</v>
      </c>
      <c r="J53" s="30" t="s">
        <v>6579</v>
      </c>
      <c r="K53" s="31" t="s">
        <v>5683</v>
      </c>
      <c r="L53" s="31" t="s">
        <v>5683</v>
      </c>
      <c r="M53" s="31" t="s">
        <v>5683</v>
      </c>
      <c r="N53" s="31" t="s">
        <v>5683</v>
      </c>
      <c r="O53" s="32" t="s">
        <v>5683</v>
      </c>
      <c r="P53" s="33" t="s">
        <v>10852</v>
      </c>
      <c r="Q53" s="34" t="s">
        <v>5683</v>
      </c>
      <c r="R53" s="35" t="s">
        <v>5683</v>
      </c>
      <c r="S53" s="34" t="s">
        <v>5683</v>
      </c>
      <c r="T53" s="34" t="s">
        <v>5683</v>
      </c>
      <c r="U53" s="34" t="s">
        <v>5683</v>
      </c>
      <c r="V53" s="34" t="s">
        <v>4999</v>
      </c>
      <c r="W53" s="36">
        <v>43481</v>
      </c>
      <c r="X53" s="44"/>
      <c r="Y53" s="38"/>
      <c r="Z53" s="39"/>
      <c r="AA53" s="45" t="e">
        <v>#VALUE!</v>
      </c>
      <c r="AB53" s="46" t="e">
        <v>#VALUE!</v>
      </c>
      <c r="AC53" s="25"/>
      <c r="AD53" s="42"/>
      <c r="AE53" s="43"/>
      <c r="AF53" s="27"/>
    </row>
    <row r="54" spans="1:32" s="2" customFormat="1" ht="12.75" x14ac:dyDescent="0.2">
      <c r="A54" s="28">
        <v>0</v>
      </c>
      <c r="B54" s="29" t="s">
        <v>12142</v>
      </c>
      <c r="C54" s="30" t="s">
        <v>6169</v>
      </c>
      <c r="D54" s="30">
        <v>170055</v>
      </c>
      <c r="E54" s="30" t="s">
        <v>12146</v>
      </c>
      <c r="F54" s="30" t="s">
        <v>6820</v>
      </c>
      <c r="G54" s="30" t="s">
        <v>6829</v>
      </c>
      <c r="H54" s="30" t="s">
        <v>12144</v>
      </c>
      <c r="I54" s="30" t="s">
        <v>12145</v>
      </c>
      <c r="J54" s="30" t="s">
        <v>6579</v>
      </c>
      <c r="K54" s="31">
        <v>43095</v>
      </c>
      <c r="L54" s="31" t="s">
        <v>264</v>
      </c>
      <c r="M54" s="31">
        <v>43095</v>
      </c>
      <c r="N54" s="31">
        <v>43096</v>
      </c>
      <c r="O54" s="32">
        <v>43097</v>
      </c>
      <c r="P54" s="33" t="s">
        <v>10852</v>
      </c>
      <c r="Q54" s="34" t="s">
        <v>10852</v>
      </c>
      <c r="R54" s="35">
        <v>43152</v>
      </c>
      <c r="S54" s="34" t="s">
        <v>3384</v>
      </c>
      <c r="T54" s="34">
        <v>1</v>
      </c>
      <c r="U54" s="34" t="s">
        <v>5683</v>
      </c>
      <c r="V54" s="34" t="s">
        <v>4999</v>
      </c>
      <c r="W54" s="36">
        <v>43152</v>
      </c>
      <c r="X54" s="44" t="s">
        <v>6850</v>
      </c>
      <c r="Y54" s="38">
        <v>43153</v>
      </c>
      <c r="Z54" s="39">
        <v>43153</v>
      </c>
      <c r="AA54" s="45" t="e">
        <v>#VALUE!</v>
      </c>
      <c r="AB54" s="46" t="e">
        <v>#VALUE!</v>
      </c>
      <c r="AC54" s="25" t="s">
        <v>12011</v>
      </c>
      <c r="AD54" s="42" t="s">
        <v>4999</v>
      </c>
      <c r="AE54" s="56"/>
      <c r="AF54" s="27" t="s">
        <v>4999</v>
      </c>
    </row>
    <row r="55" spans="1:32" s="2" customFormat="1" ht="12.75" x14ac:dyDescent="0.2">
      <c r="A55" s="28">
        <v>1</v>
      </c>
      <c r="B55" s="29" t="s">
        <v>12147</v>
      </c>
      <c r="C55" s="30" t="s">
        <v>7245</v>
      </c>
      <c r="D55" s="30" t="s">
        <v>5683</v>
      </c>
      <c r="E55" s="30" t="s">
        <v>12148</v>
      </c>
      <c r="F55" s="30" t="s">
        <v>6820</v>
      </c>
      <c r="G55" s="30" t="s">
        <v>6829</v>
      </c>
      <c r="H55" s="30" t="s">
        <v>4212</v>
      </c>
      <c r="I55" s="30" t="s">
        <v>12149</v>
      </c>
      <c r="J55" s="30" t="s">
        <v>8300</v>
      </c>
      <c r="K55" s="31" t="s">
        <v>5683</v>
      </c>
      <c r="L55" s="30" t="s">
        <v>5683</v>
      </c>
      <c r="M55" s="31" t="s">
        <v>5683</v>
      </c>
      <c r="N55" s="31" t="s">
        <v>5683</v>
      </c>
      <c r="O55" s="32" t="s">
        <v>5683</v>
      </c>
      <c r="P55" s="33" t="s">
        <v>10852</v>
      </c>
      <c r="Q55" s="34" t="s">
        <v>5683</v>
      </c>
      <c r="R55" s="35" t="s">
        <v>5683</v>
      </c>
      <c r="S55" s="34" t="s">
        <v>5683</v>
      </c>
      <c r="T55" s="34" t="s">
        <v>5683</v>
      </c>
      <c r="U55" s="34" t="s">
        <v>5683</v>
      </c>
      <c r="V55" s="34" t="s">
        <v>4999</v>
      </c>
      <c r="W55" s="36">
        <v>43486</v>
      </c>
      <c r="X55" s="44"/>
      <c r="Y55" s="38"/>
      <c r="Z55" s="39"/>
      <c r="AA55" s="45" t="e">
        <v>#VALUE!</v>
      </c>
      <c r="AB55" s="46" t="e">
        <v>#VALUE!</v>
      </c>
      <c r="AC55" s="25"/>
      <c r="AD55" s="42"/>
      <c r="AE55" s="43"/>
      <c r="AF55" s="27"/>
    </row>
    <row r="56" spans="1:32" s="2" customFormat="1" ht="12.75" x14ac:dyDescent="0.2">
      <c r="A56" s="28">
        <v>0</v>
      </c>
      <c r="B56" s="29" t="s">
        <v>12147</v>
      </c>
      <c r="C56" s="30" t="s">
        <v>7245</v>
      </c>
      <c r="D56" s="30">
        <v>170034</v>
      </c>
      <c r="E56" s="30">
        <v>170034</v>
      </c>
      <c r="F56" s="30" t="s">
        <v>6820</v>
      </c>
      <c r="G56" s="30" t="s">
        <v>6829</v>
      </c>
      <c r="H56" s="30" t="s">
        <v>4212</v>
      </c>
      <c r="I56" s="30" t="s">
        <v>12149</v>
      </c>
      <c r="J56" s="30" t="s">
        <v>8300</v>
      </c>
      <c r="K56" s="31">
        <v>43052</v>
      </c>
      <c r="L56" s="30" t="s">
        <v>264</v>
      </c>
      <c r="M56" s="31">
        <v>43053</v>
      </c>
      <c r="N56" s="31">
        <v>43055</v>
      </c>
      <c r="O56" s="32">
        <v>43055</v>
      </c>
      <c r="P56" s="33" t="s">
        <v>10852</v>
      </c>
      <c r="Q56" s="34" t="s">
        <v>10852</v>
      </c>
      <c r="R56" s="35">
        <v>43160</v>
      </c>
      <c r="S56" s="34" t="s">
        <v>4215</v>
      </c>
      <c r="T56" s="34">
        <v>20</v>
      </c>
      <c r="U56" s="34" t="s">
        <v>5683</v>
      </c>
      <c r="V56" s="34" t="s">
        <v>4999</v>
      </c>
      <c r="W56" s="36">
        <v>43168</v>
      </c>
      <c r="X56" s="44" t="s">
        <v>6850</v>
      </c>
      <c r="Y56" s="38">
        <v>43168</v>
      </c>
      <c r="Z56" s="39">
        <v>43168</v>
      </c>
      <c r="AA56" s="45" t="e">
        <v>#VALUE!</v>
      </c>
      <c r="AB56" s="46" t="e">
        <v>#VALUE!</v>
      </c>
      <c r="AC56" s="25" t="s">
        <v>12011</v>
      </c>
      <c r="AD56" s="42" t="s">
        <v>4999</v>
      </c>
      <c r="AE56" s="43"/>
      <c r="AF56" s="27" t="s">
        <v>4999</v>
      </c>
    </row>
    <row r="57" spans="1:32" s="2" customFormat="1" ht="12.75" x14ac:dyDescent="0.2">
      <c r="A57" s="28">
        <v>1</v>
      </c>
      <c r="B57" s="29" t="s">
        <v>12150</v>
      </c>
      <c r="C57" s="30" t="s">
        <v>8369</v>
      </c>
      <c r="D57" s="30" t="s">
        <v>5683</v>
      </c>
      <c r="E57" s="30" t="s">
        <v>12151</v>
      </c>
      <c r="F57" s="30" t="s">
        <v>6820</v>
      </c>
      <c r="G57" s="30" t="s">
        <v>6829</v>
      </c>
      <c r="H57" s="30" t="s">
        <v>12152</v>
      </c>
      <c r="I57" s="30" t="s">
        <v>12153</v>
      </c>
      <c r="J57" s="30" t="s">
        <v>12154</v>
      </c>
      <c r="K57" s="31" t="s">
        <v>5683</v>
      </c>
      <c r="L57" s="30" t="s">
        <v>5683</v>
      </c>
      <c r="M57" s="31" t="s">
        <v>5683</v>
      </c>
      <c r="N57" s="31" t="s">
        <v>5683</v>
      </c>
      <c r="O57" s="32" t="s">
        <v>5683</v>
      </c>
      <c r="P57" s="33" t="s">
        <v>10852</v>
      </c>
      <c r="Q57" s="34" t="s">
        <v>5683</v>
      </c>
      <c r="R57" s="35" t="s">
        <v>5683</v>
      </c>
      <c r="S57" s="34" t="s">
        <v>5683</v>
      </c>
      <c r="T57" s="34" t="s">
        <v>5683</v>
      </c>
      <c r="U57" s="34" t="s">
        <v>5683</v>
      </c>
      <c r="V57" s="34" t="s">
        <v>4999</v>
      </c>
      <c r="W57" s="36">
        <v>43592</v>
      </c>
      <c r="X57" s="44"/>
      <c r="Y57" s="38"/>
      <c r="Z57" s="39"/>
      <c r="AA57" s="45" t="e">
        <v>#VALUE!</v>
      </c>
      <c r="AB57" s="46" t="e">
        <v>#VALUE!</v>
      </c>
      <c r="AC57" s="25"/>
      <c r="AD57" s="42"/>
      <c r="AE57" s="43"/>
      <c r="AF57" s="27"/>
    </row>
    <row r="58" spans="1:32" s="2" customFormat="1" ht="12.75" x14ac:dyDescent="0.2">
      <c r="A58" s="28">
        <v>0</v>
      </c>
      <c r="B58" s="29" t="s">
        <v>12150</v>
      </c>
      <c r="C58" s="30" t="s">
        <v>8369</v>
      </c>
      <c r="D58" s="30">
        <v>180041</v>
      </c>
      <c r="E58" s="30" t="s">
        <v>12155</v>
      </c>
      <c r="F58" s="30" t="s">
        <v>6820</v>
      </c>
      <c r="G58" s="30" t="s">
        <v>6829</v>
      </c>
      <c r="H58" s="30" t="s">
        <v>12152</v>
      </c>
      <c r="I58" s="30" t="s">
        <v>12153</v>
      </c>
      <c r="J58" s="30" t="s">
        <v>12154</v>
      </c>
      <c r="K58" s="31">
        <v>43159</v>
      </c>
      <c r="L58" s="30" t="s">
        <v>264</v>
      </c>
      <c r="M58" s="31">
        <v>43159</v>
      </c>
      <c r="N58" s="31">
        <v>43159</v>
      </c>
      <c r="O58" s="32">
        <v>43159</v>
      </c>
      <c r="P58" s="33" t="s">
        <v>10852</v>
      </c>
      <c r="Q58" s="34" t="s">
        <v>10852</v>
      </c>
      <c r="R58" s="35">
        <v>43160</v>
      </c>
      <c r="S58" s="34" t="s">
        <v>12156</v>
      </c>
      <c r="T58" s="34">
        <v>1</v>
      </c>
      <c r="U58" s="34" t="s">
        <v>5683</v>
      </c>
      <c r="V58" s="34" t="s">
        <v>4999</v>
      </c>
      <c r="W58" s="36">
        <v>43164</v>
      </c>
      <c r="X58" s="44" t="s">
        <v>6850</v>
      </c>
      <c r="Y58" s="38">
        <v>43164</v>
      </c>
      <c r="Z58" s="39">
        <v>43165</v>
      </c>
      <c r="AA58" s="45" t="e">
        <v>#VALUE!</v>
      </c>
      <c r="AB58" s="46" t="e">
        <v>#VALUE!</v>
      </c>
      <c r="AC58" s="25" t="s">
        <v>12041</v>
      </c>
      <c r="AD58" s="42" t="s">
        <v>4999</v>
      </c>
      <c r="AE58" s="43"/>
      <c r="AF58" s="27" t="s">
        <v>4999</v>
      </c>
    </row>
    <row r="59" spans="1:32" s="2" customFormat="1" ht="12.75" x14ac:dyDescent="0.2">
      <c r="A59" s="28">
        <v>1</v>
      </c>
      <c r="B59" s="29" t="s">
        <v>12157</v>
      </c>
      <c r="C59" s="30" t="s">
        <v>6169</v>
      </c>
      <c r="D59" s="30" t="s">
        <v>5683</v>
      </c>
      <c r="E59" s="30" t="s">
        <v>12158</v>
      </c>
      <c r="F59" s="30" t="s">
        <v>6820</v>
      </c>
      <c r="G59" s="30" t="s">
        <v>6829</v>
      </c>
      <c r="H59" s="30" t="s">
        <v>3038</v>
      </c>
      <c r="I59" s="30" t="s">
        <v>12159</v>
      </c>
      <c r="J59" s="30" t="s">
        <v>127</v>
      </c>
      <c r="K59" s="31" t="s">
        <v>5683</v>
      </c>
      <c r="L59" s="31" t="s">
        <v>5683</v>
      </c>
      <c r="M59" s="31" t="s">
        <v>5683</v>
      </c>
      <c r="N59" s="31" t="s">
        <v>5683</v>
      </c>
      <c r="O59" s="32" t="s">
        <v>5683</v>
      </c>
      <c r="P59" s="33" t="s">
        <v>10852</v>
      </c>
      <c r="Q59" s="34" t="s">
        <v>5683</v>
      </c>
      <c r="R59" s="35" t="s">
        <v>5683</v>
      </c>
      <c r="S59" s="34" t="s">
        <v>5683</v>
      </c>
      <c r="T59" s="34" t="s">
        <v>5683</v>
      </c>
      <c r="U59" s="34" t="s">
        <v>5683</v>
      </c>
      <c r="V59" s="34" t="s">
        <v>4999</v>
      </c>
      <c r="W59" s="36">
        <v>43481</v>
      </c>
      <c r="X59" s="44"/>
      <c r="Y59" s="38"/>
      <c r="Z59" s="39"/>
      <c r="AA59" s="45" t="e">
        <v>#VALUE!</v>
      </c>
      <c r="AB59" s="46" t="e">
        <v>#VALUE!</v>
      </c>
      <c r="AC59" s="25"/>
      <c r="AD59" s="42"/>
      <c r="AE59" s="43"/>
      <c r="AF59" s="27"/>
    </row>
    <row r="60" spans="1:32" s="2" customFormat="1" ht="12.75" x14ac:dyDescent="0.2">
      <c r="A60" s="28">
        <v>0</v>
      </c>
      <c r="B60" s="29" t="s">
        <v>12157</v>
      </c>
      <c r="C60" s="30" t="s">
        <v>6169</v>
      </c>
      <c r="D60" s="30">
        <v>180045</v>
      </c>
      <c r="E60" s="30" t="s">
        <v>12160</v>
      </c>
      <c r="F60" s="30" t="s">
        <v>6820</v>
      </c>
      <c r="G60" s="30" t="s">
        <v>6829</v>
      </c>
      <c r="H60" s="30" t="s">
        <v>3038</v>
      </c>
      <c r="I60" s="30" t="s">
        <v>12159</v>
      </c>
      <c r="J60" s="30" t="s">
        <v>127</v>
      </c>
      <c r="K60" s="31">
        <v>43173</v>
      </c>
      <c r="L60" s="31" t="s">
        <v>264</v>
      </c>
      <c r="M60" s="31">
        <v>43173</v>
      </c>
      <c r="N60" s="31">
        <v>43173</v>
      </c>
      <c r="O60" s="32">
        <v>43174</v>
      </c>
      <c r="P60" s="33" t="s">
        <v>10852</v>
      </c>
      <c r="Q60" s="34" t="s">
        <v>10852</v>
      </c>
      <c r="R60" s="35">
        <v>43174</v>
      </c>
      <c r="S60" s="34" t="s">
        <v>12161</v>
      </c>
      <c r="T60" s="34">
        <v>5</v>
      </c>
      <c r="U60" s="34" t="s">
        <v>5683</v>
      </c>
      <c r="V60" s="34" t="s">
        <v>4999</v>
      </c>
      <c r="W60" s="36">
        <v>43179</v>
      </c>
      <c r="X60" s="44" t="s">
        <v>6850</v>
      </c>
      <c r="Y60" s="38">
        <v>43179</v>
      </c>
      <c r="Z60" s="39">
        <v>43180</v>
      </c>
      <c r="AA60" s="45" t="e">
        <v>#VALUE!</v>
      </c>
      <c r="AB60" s="46" t="e">
        <v>#VALUE!</v>
      </c>
      <c r="AC60" s="25" t="s">
        <v>12011</v>
      </c>
      <c r="AD60" s="42" t="s">
        <v>4999</v>
      </c>
      <c r="AE60" s="43"/>
      <c r="AF60" s="27" t="s">
        <v>4999</v>
      </c>
    </row>
    <row r="61" spans="1:32" s="2" customFormat="1" ht="12.75" x14ac:dyDescent="0.2">
      <c r="A61" s="28">
        <v>1</v>
      </c>
      <c r="B61" s="29" t="s">
        <v>12162</v>
      </c>
      <c r="C61" s="30" t="s">
        <v>8369</v>
      </c>
      <c r="D61" s="30" t="s">
        <v>5683</v>
      </c>
      <c r="E61" s="30" t="s">
        <v>12163</v>
      </c>
      <c r="F61" s="30" t="s">
        <v>6820</v>
      </c>
      <c r="G61" s="30" t="s">
        <v>6829</v>
      </c>
      <c r="H61" s="30" t="s">
        <v>135</v>
      </c>
      <c r="I61" s="30" t="s">
        <v>12164</v>
      </c>
      <c r="J61" s="30" t="s">
        <v>12165</v>
      </c>
      <c r="K61" s="31" t="s">
        <v>5683</v>
      </c>
      <c r="L61" s="30" t="s">
        <v>5683</v>
      </c>
      <c r="M61" s="31" t="s">
        <v>5683</v>
      </c>
      <c r="N61" s="31" t="s">
        <v>5683</v>
      </c>
      <c r="O61" s="32" t="s">
        <v>5683</v>
      </c>
      <c r="P61" s="33" t="s">
        <v>10852</v>
      </c>
      <c r="Q61" s="34" t="s">
        <v>10852</v>
      </c>
      <c r="R61" s="35" t="s">
        <v>5683</v>
      </c>
      <c r="S61" s="34" t="s">
        <v>5683</v>
      </c>
      <c r="T61" s="34" t="s">
        <v>5683</v>
      </c>
      <c r="U61" s="34" t="s">
        <v>5683</v>
      </c>
      <c r="V61" s="34" t="s">
        <v>4999</v>
      </c>
      <c r="W61" s="36">
        <v>43599</v>
      </c>
      <c r="X61" s="44"/>
      <c r="Y61" s="38"/>
      <c r="Z61" s="39"/>
      <c r="AA61" s="45" t="e">
        <v>#VALUE!</v>
      </c>
      <c r="AB61" s="46" t="e">
        <v>#VALUE!</v>
      </c>
      <c r="AC61" s="25"/>
      <c r="AD61" s="42"/>
      <c r="AE61" s="43"/>
      <c r="AF61" s="27"/>
    </row>
    <row r="62" spans="1:32" s="2" customFormat="1" ht="12.75" x14ac:dyDescent="0.2">
      <c r="A62" s="28">
        <v>0</v>
      </c>
      <c r="B62" s="29" t="s">
        <v>12162</v>
      </c>
      <c r="C62" s="30" t="s">
        <v>8369</v>
      </c>
      <c r="D62" s="30">
        <v>180054</v>
      </c>
      <c r="E62" s="30" t="s">
        <v>12166</v>
      </c>
      <c r="F62" s="30" t="s">
        <v>6820</v>
      </c>
      <c r="G62" s="30" t="s">
        <v>6829</v>
      </c>
      <c r="H62" s="30" t="s">
        <v>135</v>
      </c>
      <c r="I62" s="30" t="s">
        <v>12164</v>
      </c>
      <c r="J62" s="30" t="s">
        <v>12165</v>
      </c>
      <c r="K62" s="31">
        <v>43186</v>
      </c>
      <c r="L62" s="30" t="s">
        <v>264</v>
      </c>
      <c r="M62" s="31">
        <v>43186</v>
      </c>
      <c r="N62" s="31">
        <v>43186</v>
      </c>
      <c r="O62" s="32">
        <v>43188</v>
      </c>
      <c r="P62" s="33" t="s">
        <v>10852</v>
      </c>
      <c r="Q62" s="34" t="s">
        <v>10852</v>
      </c>
      <c r="R62" s="35">
        <v>43192</v>
      </c>
      <c r="S62" s="34" t="s">
        <v>12167</v>
      </c>
      <c r="T62" s="34">
        <v>1</v>
      </c>
      <c r="U62" s="34" t="s">
        <v>5683</v>
      </c>
      <c r="V62" s="34" t="s">
        <v>4999</v>
      </c>
      <c r="W62" s="36">
        <v>43199</v>
      </c>
      <c r="X62" s="44" t="s">
        <v>6850</v>
      </c>
      <c r="Y62" s="38">
        <v>43199</v>
      </c>
      <c r="Z62" s="39">
        <v>43199</v>
      </c>
      <c r="AA62" s="45" t="e">
        <v>#VALUE!</v>
      </c>
      <c r="AB62" s="46" t="e">
        <v>#VALUE!</v>
      </c>
      <c r="AC62" s="25" t="s">
        <v>12011</v>
      </c>
      <c r="AD62" s="42" t="s">
        <v>4999</v>
      </c>
      <c r="AE62" s="43"/>
      <c r="AF62" s="27" t="s">
        <v>4999</v>
      </c>
    </row>
    <row r="63" spans="1:32" s="2" customFormat="1" ht="12.75" x14ac:dyDescent="0.2">
      <c r="A63" s="28">
        <v>1</v>
      </c>
      <c r="B63" s="29" t="s">
        <v>12168</v>
      </c>
      <c r="C63" s="30" t="s">
        <v>8369</v>
      </c>
      <c r="D63" s="30" t="s">
        <v>5683</v>
      </c>
      <c r="E63" s="30" t="s">
        <v>12169</v>
      </c>
      <c r="F63" s="30" t="s">
        <v>6820</v>
      </c>
      <c r="G63" s="30" t="s">
        <v>6829</v>
      </c>
      <c r="H63" s="30" t="s">
        <v>1888</v>
      </c>
      <c r="I63" s="30" t="s">
        <v>12170</v>
      </c>
      <c r="J63" s="30" t="s">
        <v>11559</v>
      </c>
      <c r="K63" s="31"/>
      <c r="L63" s="30" t="s">
        <v>5683</v>
      </c>
      <c r="M63" s="31" t="s">
        <v>5683</v>
      </c>
      <c r="N63" s="31" t="s">
        <v>5683</v>
      </c>
      <c r="O63" s="32" t="s">
        <v>5683</v>
      </c>
      <c r="P63" s="33" t="s">
        <v>10852</v>
      </c>
      <c r="Q63" s="34" t="s">
        <v>5683</v>
      </c>
      <c r="R63" s="35" t="s">
        <v>5683</v>
      </c>
      <c r="S63" s="34" t="s">
        <v>5683</v>
      </c>
      <c r="T63" s="34" t="s">
        <v>5683</v>
      </c>
      <c r="U63" s="34" t="s">
        <v>5683</v>
      </c>
      <c r="V63" s="34" t="s">
        <v>4999</v>
      </c>
      <c r="W63" s="36">
        <v>43600</v>
      </c>
      <c r="X63" s="44"/>
      <c r="Y63" s="38"/>
      <c r="Z63" s="39"/>
      <c r="AA63" s="45" t="e">
        <v>#VALUE!</v>
      </c>
      <c r="AB63" s="46" t="e">
        <v>#VALUE!</v>
      </c>
      <c r="AC63" s="25"/>
      <c r="AD63" s="42"/>
      <c r="AE63" s="43"/>
      <c r="AF63" s="27"/>
    </row>
    <row r="64" spans="1:32" s="2" customFormat="1" ht="12.75" x14ac:dyDescent="0.2">
      <c r="A64" s="28">
        <v>0</v>
      </c>
      <c r="B64" s="29" t="s">
        <v>12168</v>
      </c>
      <c r="C64" s="30" t="s">
        <v>8369</v>
      </c>
      <c r="D64" s="30">
        <v>180056</v>
      </c>
      <c r="E64" s="30" t="s">
        <v>12171</v>
      </c>
      <c r="F64" s="30" t="s">
        <v>6820</v>
      </c>
      <c r="G64" s="30" t="s">
        <v>6829</v>
      </c>
      <c r="H64" s="30" t="s">
        <v>1888</v>
      </c>
      <c r="I64" s="30" t="s">
        <v>12170</v>
      </c>
      <c r="J64" s="30" t="s">
        <v>11559</v>
      </c>
      <c r="K64" s="31">
        <v>43195</v>
      </c>
      <c r="L64" s="30" t="s">
        <v>264</v>
      </c>
      <c r="M64" s="31">
        <v>43195</v>
      </c>
      <c r="N64" s="31">
        <v>43199</v>
      </c>
      <c r="O64" s="32">
        <v>43199</v>
      </c>
      <c r="P64" s="33" t="s">
        <v>10852</v>
      </c>
      <c r="Q64" s="34" t="s">
        <v>10852</v>
      </c>
      <c r="R64" s="35">
        <v>43199</v>
      </c>
      <c r="S64" s="34" t="s">
        <v>9725</v>
      </c>
      <c r="T64" s="34">
        <v>1</v>
      </c>
      <c r="U64" s="34" t="s">
        <v>5683</v>
      </c>
      <c r="V64" s="34" t="s">
        <v>4999</v>
      </c>
      <c r="W64" s="36">
        <v>43206</v>
      </c>
      <c r="X64" s="44" t="s">
        <v>6850</v>
      </c>
      <c r="Y64" s="38">
        <v>43206</v>
      </c>
      <c r="Z64" s="39">
        <v>43206</v>
      </c>
      <c r="AA64" s="45" t="e">
        <v>#VALUE!</v>
      </c>
      <c r="AB64" s="46" t="e">
        <v>#VALUE!</v>
      </c>
      <c r="AC64" s="25" t="s">
        <v>12011</v>
      </c>
      <c r="AD64" s="42" t="s">
        <v>4999</v>
      </c>
      <c r="AE64" s="43"/>
      <c r="AF64" s="27" t="s">
        <v>4999</v>
      </c>
    </row>
    <row r="65" spans="1:32" s="2" customFormat="1" ht="12.75" x14ac:dyDescent="0.2">
      <c r="A65" s="28">
        <v>0</v>
      </c>
      <c r="B65" s="29" t="s">
        <v>12172</v>
      </c>
      <c r="C65" s="30" t="s">
        <v>11057</v>
      </c>
      <c r="D65" s="30">
        <v>180058</v>
      </c>
      <c r="E65" s="30" t="s">
        <v>12173</v>
      </c>
      <c r="F65" s="30" t="s">
        <v>6820</v>
      </c>
      <c r="G65" s="30" t="s">
        <v>6829</v>
      </c>
      <c r="H65" s="30" t="s">
        <v>12174</v>
      </c>
      <c r="I65" s="30" t="s">
        <v>12083</v>
      </c>
      <c r="J65" s="30" t="s">
        <v>8808</v>
      </c>
      <c r="K65" s="31">
        <v>43200</v>
      </c>
      <c r="L65" s="30" t="s">
        <v>264</v>
      </c>
      <c r="M65" s="31">
        <v>43200</v>
      </c>
      <c r="N65" s="31">
        <v>43200</v>
      </c>
      <c r="O65" s="32">
        <v>43200</v>
      </c>
      <c r="P65" s="33" t="s">
        <v>10852</v>
      </c>
      <c r="Q65" s="34" t="s">
        <v>10852</v>
      </c>
      <c r="R65" s="35">
        <v>43201</v>
      </c>
      <c r="S65" s="34" t="s">
        <v>11060</v>
      </c>
      <c r="T65" s="34">
        <v>1</v>
      </c>
      <c r="U65" s="34" t="s">
        <v>5683</v>
      </c>
      <c r="V65" s="34" t="s">
        <v>4999</v>
      </c>
      <c r="W65" s="36">
        <v>43202</v>
      </c>
      <c r="X65" s="44" t="s">
        <v>6850</v>
      </c>
      <c r="Y65" s="38">
        <v>43202</v>
      </c>
      <c r="Z65" s="39">
        <v>43202</v>
      </c>
      <c r="AA65" s="45" t="e">
        <v>#VALUE!</v>
      </c>
      <c r="AB65" s="46" t="e">
        <v>#VALUE!</v>
      </c>
      <c r="AC65" s="25" t="s">
        <v>12011</v>
      </c>
      <c r="AD65" s="42" t="s">
        <v>4999</v>
      </c>
      <c r="AE65" s="43"/>
      <c r="AF65" s="27" t="s">
        <v>4999</v>
      </c>
    </row>
    <row r="66" spans="1:32" s="2" customFormat="1" ht="12.75" x14ac:dyDescent="0.2">
      <c r="A66" s="28">
        <v>1</v>
      </c>
      <c r="B66" s="29" t="s">
        <v>12172</v>
      </c>
      <c r="C66" s="30" t="s">
        <v>11057</v>
      </c>
      <c r="D66" s="30" t="s">
        <v>5683</v>
      </c>
      <c r="E66" s="30" t="s">
        <v>12175</v>
      </c>
      <c r="F66" s="30" t="s">
        <v>6820</v>
      </c>
      <c r="G66" s="30" t="s">
        <v>6829</v>
      </c>
      <c r="H66" s="30" t="s">
        <v>12174</v>
      </c>
      <c r="I66" s="30" t="s">
        <v>12083</v>
      </c>
      <c r="J66" s="30" t="s">
        <v>8808</v>
      </c>
      <c r="K66" s="31" t="s">
        <v>5683</v>
      </c>
      <c r="L66" s="30" t="s">
        <v>5683</v>
      </c>
      <c r="M66" s="31" t="s">
        <v>5683</v>
      </c>
      <c r="N66" s="31" t="s">
        <v>5683</v>
      </c>
      <c r="O66" s="32" t="s">
        <v>5683</v>
      </c>
      <c r="P66" s="33" t="s">
        <v>10852</v>
      </c>
      <c r="Q66" s="34" t="s">
        <v>5683</v>
      </c>
      <c r="R66" s="35" t="s">
        <v>5683</v>
      </c>
      <c r="S66" s="34" t="s">
        <v>5683</v>
      </c>
      <c r="T66" s="34" t="s">
        <v>5683</v>
      </c>
      <c r="U66" s="34" t="s">
        <v>5683</v>
      </c>
      <c r="V66" s="34" t="s">
        <v>4999</v>
      </c>
      <c r="W66" s="36">
        <v>43396</v>
      </c>
      <c r="X66" s="44" t="s">
        <v>6850</v>
      </c>
      <c r="Y66" s="38"/>
      <c r="Z66" s="39"/>
      <c r="AA66" s="45" t="e">
        <v>#VALUE!</v>
      </c>
      <c r="AB66" s="46" t="e">
        <v>#VALUE!</v>
      </c>
      <c r="AC66" s="25" t="s">
        <v>5683</v>
      </c>
      <c r="AD66" s="42"/>
      <c r="AE66" s="43"/>
      <c r="AF66" s="27"/>
    </row>
    <row r="67" spans="1:32" s="2" customFormat="1" ht="12.75" x14ac:dyDescent="0.2">
      <c r="A67" s="28">
        <v>2</v>
      </c>
      <c r="B67" s="29" t="s">
        <v>12176</v>
      </c>
      <c r="C67" s="30" t="s">
        <v>9024</v>
      </c>
      <c r="D67" s="30" t="s">
        <v>5683</v>
      </c>
      <c r="E67" s="30" t="s">
        <v>12177</v>
      </c>
      <c r="F67" s="30" t="s">
        <v>6820</v>
      </c>
      <c r="G67" s="30" t="s">
        <v>6829</v>
      </c>
      <c r="H67" s="30" t="s">
        <v>12178</v>
      </c>
      <c r="I67" s="30" t="s">
        <v>12179</v>
      </c>
      <c r="J67" s="30" t="s">
        <v>12180</v>
      </c>
      <c r="K67" s="31" t="s">
        <v>5683</v>
      </c>
      <c r="L67" s="57" t="s">
        <v>5683</v>
      </c>
      <c r="M67" s="31" t="s">
        <v>5683</v>
      </c>
      <c r="N67" s="31" t="s">
        <v>5683</v>
      </c>
      <c r="O67" s="32" t="s">
        <v>5683</v>
      </c>
      <c r="P67" s="33" t="s">
        <v>10852</v>
      </c>
      <c r="Q67" s="34" t="s">
        <v>5683</v>
      </c>
      <c r="R67" s="35" t="s">
        <v>5683</v>
      </c>
      <c r="S67" s="34" t="s">
        <v>5683</v>
      </c>
      <c r="T67" s="34" t="s">
        <v>5683</v>
      </c>
      <c r="U67" s="34" t="s">
        <v>5683</v>
      </c>
      <c r="V67" s="34" t="s">
        <v>5683</v>
      </c>
      <c r="W67" s="36">
        <v>43480</v>
      </c>
      <c r="X67" s="44"/>
      <c r="Y67" s="38"/>
      <c r="Z67" s="39"/>
      <c r="AA67" s="45" t="e">
        <v>#VALUE!</v>
      </c>
      <c r="AB67" s="46" t="e">
        <v>#VALUE!</v>
      </c>
      <c r="AC67" s="25" t="s">
        <v>5683</v>
      </c>
      <c r="AD67" s="42"/>
      <c r="AE67" s="43"/>
      <c r="AF67" s="27"/>
    </row>
    <row r="68" spans="1:32" s="2" customFormat="1" ht="12.75" x14ac:dyDescent="0.2">
      <c r="A68" s="28">
        <v>1</v>
      </c>
      <c r="B68" s="29" t="s">
        <v>12176</v>
      </c>
      <c r="C68" s="30" t="s">
        <v>9024</v>
      </c>
      <c r="D68" s="30">
        <v>180067</v>
      </c>
      <c r="E68" s="30" t="s">
        <v>12181</v>
      </c>
      <c r="F68" s="30" t="s">
        <v>6820</v>
      </c>
      <c r="G68" s="30" t="s">
        <v>6829</v>
      </c>
      <c r="H68" s="30" t="s">
        <v>12178</v>
      </c>
      <c r="I68" s="30" t="s">
        <v>12179</v>
      </c>
      <c r="J68" s="30" t="s">
        <v>12180</v>
      </c>
      <c r="K68" s="31" t="s">
        <v>5683</v>
      </c>
      <c r="L68" s="30" t="s">
        <v>5683</v>
      </c>
      <c r="M68" s="31" t="s">
        <v>5683</v>
      </c>
      <c r="N68" s="31" t="s">
        <v>5683</v>
      </c>
      <c r="O68" s="32" t="s">
        <v>5683</v>
      </c>
      <c r="P68" s="33" t="s">
        <v>10852</v>
      </c>
      <c r="Q68" s="34" t="s">
        <v>5683</v>
      </c>
      <c r="R68" s="35" t="s">
        <v>5683</v>
      </c>
      <c r="S68" s="34">
        <v>3018157</v>
      </c>
      <c r="T68" s="34" t="s">
        <v>5683</v>
      </c>
      <c r="U68" s="34" t="s">
        <v>5683</v>
      </c>
      <c r="V68" s="34" t="s">
        <v>4999</v>
      </c>
      <c r="W68" s="36">
        <v>43231</v>
      </c>
      <c r="X68" s="44" t="s">
        <v>6850</v>
      </c>
      <c r="Y68" s="38">
        <v>43231</v>
      </c>
      <c r="Z68" s="39">
        <v>43234</v>
      </c>
      <c r="AA68" s="45" t="e">
        <v>#VALUE!</v>
      </c>
      <c r="AB68" s="46" t="e">
        <v>#VALUE!</v>
      </c>
      <c r="AC68" s="25" t="s">
        <v>5683</v>
      </c>
      <c r="AD68" s="42" t="s">
        <v>5683</v>
      </c>
      <c r="AE68" s="43" t="s">
        <v>12182</v>
      </c>
      <c r="AF68" s="27" t="s">
        <v>4999</v>
      </c>
    </row>
    <row r="69" spans="1:32" s="2" customFormat="1" ht="12.75" x14ac:dyDescent="0.2">
      <c r="A69" s="28">
        <v>0</v>
      </c>
      <c r="B69" s="29" t="s">
        <v>12176</v>
      </c>
      <c r="C69" s="30" t="s">
        <v>9024</v>
      </c>
      <c r="D69" s="30">
        <v>180067</v>
      </c>
      <c r="E69" s="30" t="s">
        <v>12183</v>
      </c>
      <c r="F69" s="30" t="s">
        <v>6820</v>
      </c>
      <c r="G69" s="30" t="s">
        <v>6829</v>
      </c>
      <c r="H69" s="30" t="s">
        <v>12184</v>
      </c>
      <c r="I69" s="30" t="s">
        <v>12179</v>
      </c>
      <c r="J69" s="30" t="s">
        <v>12180</v>
      </c>
      <c r="K69" s="31">
        <v>43217</v>
      </c>
      <c r="L69" s="57" t="s">
        <v>264</v>
      </c>
      <c r="M69" s="31">
        <v>43217</v>
      </c>
      <c r="N69" s="31">
        <v>43217</v>
      </c>
      <c r="O69" s="32">
        <v>43224</v>
      </c>
      <c r="P69" s="33" t="s">
        <v>10852</v>
      </c>
      <c r="Q69" s="34" t="s">
        <v>10852</v>
      </c>
      <c r="R69" s="35">
        <v>43228</v>
      </c>
      <c r="S69" s="34">
        <v>3018157</v>
      </c>
      <c r="T69" s="34">
        <v>4</v>
      </c>
      <c r="U69" s="34" t="s">
        <v>5683</v>
      </c>
      <c r="V69" s="34" t="s">
        <v>4999</v>
      </c>
      <c r="W69" s="36">
        <v>43230</v>
      </c>
      <c r="X69" s="44" t="s">
        <v>6850</v>
      </c>
      <c r="Y69" s="38">
        <v>43230</v>
      </c>
      <c r="Z69" s="39">
        <v>43230</v>
      </c>
      <c r="AA69" s="45" t="e">
        <v>#VALUE!</v>
      </c>
      <c r="AB69" s="46" t="e">
        <v>#VALUE!</v>
      </c>
      <c r="AC69" s="25" t="s">
        <v>12011</v>
      </c>
      <c r="AD69" s="42" t="s">
        <v>4999</v>
      </c>
      <c r="AE69" s="43"/>
      <c r="AF69" s="27" t="s">
        <v>4999</v>
      </c>
    </row>
    <row r="70" spans="1:32" s="2" customFormat="1" ht="12.75" x14ac:dyDescent="0.2">
      <c r="A70" s="28">
        <v>1</v>
      </c>
      <c r="B70" s="29" t="s">
        <v>12185</v>
      </c>
      <c r="C70" s="30" t="s">
        <v>9024</v>
      </c>
      <c r="D70" s="30" t="s">
        <v>5683</v>
      </c>
      <c r="E70" s="30" t="s">
        <v>12186</v>
      </c>
      <c r="F70" s="30" t="s">
        <v>6820</v>
      </c>
      <c r="G70" s="30" t="s">
        <v>6829</v>
      </c>
      <c r="H70" s="30" t="s">
        <v>12187</v>
      </c>
      <c r="I70" s="30" t="s">
        <v>12188</v>
      </c>
      <c r="J70" s="30" t="s">
        <v>12189</v>
      </c>
      <c r="K70" s="31" t="s">
        <v>5683</v>
      </c>
      <c r="L70" s="30" t="s">
        <v>5683</v>
      </c>
      <c r="M70" s="31" t="s">
        <v>5683</v>
      </c>
      <c r="N70" s="31" t="s">
        <v>5683</v>
      </c>
      <c r="O70" s="32" t="s">
        <v>5683</v>
      </c>
      <c r="P70" s="33" t="s">
        <v>10852</v>
      </c>
      <c r="Q70" s="34" t="s">
        <v>5683</v>
      </c>
      <c r="R70" s="35" t="s">
        <v>5683</v>
      </c>
      <c r="S70" s="34" t="s">
        <v>5683</v>
      </c>
      <c r="T70" s="34" t="s">
        <v>5683</v>
      </c>
      <c r="U70" s="34" t="s">
        <v>5683</v>
      </c>
      <c r="V70" s="34" t="s">
        <v>4999</v>
      </c>
      <c r="W70" s="36">
        <v>43480</v>
      </c>
      <c r="X70" s="44"/>
      <c r="Y70" s="38"/>
      <c r="Z70" s="39"/>
      <c r="AA70" s="45" t="e">
        <v>#VALUE!</v>
      </c>
      <c r="AB70" s="46" t="e">
        <v>#VALUE!</v>
      </c>
      <c r="AC70" s="25" t="s">
        <v>5683</v>
      </c>
      <c r="AD70" s="42"/>
      <c r="AE70" s="43"/>
      <c r="AF70" s="27"/>
    </row>
    <row r="71" spans="1:32" s="2" customFormat="1" ht="12.75" x14ac:dyDescent="0.2">
      <c r="A71" s="28">
        <v>0</v>
      </c>
      <c r="B71" s="29" t="s">
        <v>12185</v>
      </c>
      <c r="C71" s="30" t="s">
        <v>9024</v>
      </c>
      <c r="D71" s="30">
        <v>180067</v>
      </c>
      <c r="E71" s="30" t="s">
        <v>12190</v>
      </c>
      <c r="F71" s="30" t="s">
        <v>6820</v>
      </c>
      <c r="G71" s="30" t="s">
        <v>6829</v>
      </c>
      <c r="H71" s="30" t="s">
        <v>12187</v>
      </c>
      <c r="I71" s="30" t="s">
        <v>12188</v>
      </c>
      <c r="J71" s="30" t="s">
        <v>12189</v>
      </c>
      <c r="K71" s="31">
        <v>43217</v>
      </c>
      <c r="L71" s="30" t="s">
        <v>264</v>
      </c>
      <c r="M71" s="31">
        <v>43217</v>
      </c>
      <c r="N71" s="31">
        <v>43217</v>
      </c>
      <c r="O71" s="32">
        <v>43224</v>
      </c>
      <c r="P71" s="33" t="s">
        <v>10852</v>
      </c>
      <c r="Q71" s="34" t="s">
        <v>10852</v>
      </c>
      <c r="R71" s="35">
        <v>43228</v>
      </c>
      <c r="S71" s="34" t="s">
        <v>12191</v>
      </c>
      <c r="T71" s="34">
        <v>6</v>
      </c>
      <c r="U71" s="34" t="s">
        <v>5683</v>
      </c>
      <c r="V71" s="34" t="s">
        <v>4999</v>
      </c>
      <c r="W71" s="36">
        <v>43230</v>
      </c>
      <c r="X71" s="44" t="s">
        <v>6850</v>
      </c>
      <c r="Y71" s="38">
        <v>43230</v>
      </c>
      <c r="Z71" s="39">
        <v>43230</v>
      </c>
      <c r="AA71" s="45" t="e">
        <v>#VALUE!</v>
      </c>
      <c r="AB71" s="46" t="e">
        <v>#VALUE!</v>
      </c>
      <c r="AC71" s="25" t="s">
        <v>12011</v>
      </c>
      <c r="AD71" s="42" t="s">
        <v>4999</v>
      </c>
      <c r="AE71" s="43"/>
      <c r="AF71" s="27" t="s">
        <v>4999</v>
      </c>
    </row>
    <row r="72" spans="1:32" s="2" customFormat="1" ht="12.75" x14ac:dyDescent="0.2">
      <c r="A72" s="28">
        <v>1</v>
      </c>
      <c r="B72" s="29" t="s">
        <v>12192</v>
      </c>
      <c r="C72" s="30" t="s">
        <v>3483</v>
      </c>
      <c r="D72" s="30" t="s">
        <v>5683</v>
      </c>
      <c r="E72" s="30" t="s">
        <v>12193</v>
      </c>
      <c r="F72" s="30" t="s">
        <v>6820</v>
      </c>
      <c r="G72" s="30" t="s">
        <v>6829</v>
      </c>
      <c r="H72" s="30" t="s">
        <v>11336</v>
      </c>
      <c r="I72" s="30" t="s">
        <v>12194</v>
      </c>
      <c r="J72" s="30" t="s">
        <v>7181</v>
      </c>
      <c r="K72" s="31" t="s">
        <v>5683</v>
      </c>
      <c r="L72" s="30" t="s">
        <v>5683</v>
      </c>
      <c r="M72" s="31" t="s">
        <v>5683</v>
      </c>
      <c r="N72" s="31" t="s">
        <v>5683</v>
      </c>
      <c r="O72" s="32" t="s">
        <v>5683</v>
      </c>
      <c r="P72" s="33" t="s">
        <v>10852</v>
      </c>
      <c r="Q72" s="34" t="s">
        <v>5683</v>
      </c>
      <c r="R72" s="35" t="s">
        <v>5683</v>
      </c>
      <c r="S72" s="34" t="s">
        <v>5683</v>
      </c>
      <c r="T72" s="34" t="s">
        <v>5683</v>
      </c>
      <c r="U72" s="34" t="s">
        <v>5683</v>
      </c>
      <c r="V72" s="34" t="s">
        <v>4999</v>
      </c>
      <c r="W72" s="36">
        <v>43482</v>
      </c>
      <c r="X72" s="44"/>
      <c r="Y72" s="38"/>
      <c r="Z72" s="39"/>
      <c r="AA72" s="45" t="e">
        <v>#VALUE!</v>
      </c>
      <c r="AB72" s="46" t="e">
        <v>#VALUE!</v>
      </c>
      <c r="AC72" s="25" t="s">
        <v>5683</v>
      </c>
      <c r="AD72" s="42"/>
      <c r="AE72" s="43"/>
      <c r="AF72" s="27"/>
    </row>
    <row r="73" spans="1:32" s="2" customFormat="1" ht="12.75" x14ac:dyDescent="0.2">
      <c r="A73" s="28">
        <v>0</v>
      </c>
      <c r="B73" s="29" t="s">
        <v>12192</v>
      </c>
      <c r="C73" s="30" t="s">
        <v>3483</v>
      </c>
      <c r="D73" s="30">
        <v>180071</v>
      </c>
      <c r="E73" s="30" t="s">
        <v>12195</v>
      </c>
      <c r="F73" s="30" t="s">
        <v>6820</v>
      </c>
      <c r="G73" s="30" t="s">
        <v>6829</v>
      </c>
      <c r="H73" s="30" t="s">
        <v>11336</v>
      </c>
      <c r="I73" s="30" t="s">
        <v>12194</v>
      </c>
      <c r="J73" s="30" t="s">
        <v>7181</v>
      </c>
      <c r="K73" s="31">
        <v>43234</v>
      </c>
      <c r="L73" s="30" t="s">
        <v>264</v>
      </c>
      <c r="M73" s="31">
        <v>43234</v>
      </c>
      <c r="N73" s="31">
        <v>43235</v>
      </c>
      <c r="O73" s="32">
        <v>43235</v>
      </c>
      <c r="P73" s="33" t="s">
        <v>10852</v>
      </c>
      <c r="Q73" s="34" t="s">
        <v>12196</v>
      </c>
      <c r="R73" s="35">
        <v>43237</v>
      </c>
      <c r="S73" s="34" t="s">
        <v>7182</v>
      </c>
      <c r="T73" s="34">
        <v>2</v>
      </c>
      <c r="U73" s="34" t="s">
        <v>5683</v>
      </c>
      <c r="V73" s="34" t="s">
        <v>4999</v>
      </c>
      <c r="W73" s="36">
        <v>43270</v>
      </c>
      <c r="X73" s="44" t="s">
        <v>6850</v>
      </c>
      <c r="Y73" s="38">
        <v>43270</v>
      </c>
      <c r="Z73" s="39">
        <v>43270</v>
      </c>
      <c r="AA73" s="45" t="e">
        <v>#VALUE!</v>
      </c>
      <c r="AB73" s="46" t="e">
        <v>#VALUE!</v>
      </c>
      <c r="AC73" s="25" t="s">
        <v>12197</v>
      </c>
      <c r="AD73" s="42" t="s">
        <v>4999</v>
      </c>
      <c r="AE73" s="43"/>
      <c r="AF73" s="27" t="s">
        <v>4999</v>
      </c>
    </row>
    <row r="74" spans="1:32" s="2" customFormat="1" ht="12.75" x14ac:dyDescent="0.2">
      <c r="A74" s="28">
        <v>1</v>
      </c>
      <c r="B74" s="29" t="s">
        <v>12198</v>
      </c>
      <c r="C74" s="30" t="s">
        <v>8369</v>
      </c>
      <c r="D74" s="30" t="s">
        <v>5683</v>
      </c>
      <c r="E74" s="30" t="s">
        <v>12199</v>
      </c>
      <c r="F74" s="30" t="s">
        <v>6820</v>
      </c>
      <c r="G74" s="30" t="s">
        <v>6829</v>
      </c>
      <c r="H74" s="30" t="s">
        <v>9723</v>
      </c>
      <c r="I74" s="30" t="s">
        <v>12200</v>
      </c>
      <c r="J74" s="30" t="s">
        <v>11559</v>
      </c>
      <c r="K74" s="31" t="s">
        <v>5683</v>
      </c>
      <c r="L74" s="30" t="s">
        <v>5683</v>
      </c>
      <c r="M74" s="31" t="s">
        <v>5683</v>
      </c>
      <c r="N74" s="31" t="s">
        <v>5683</v>
      </c>
      <c r="O74" s="32" t="s">
        <v>5683</v>
      </c>
      <c r="P74" s="33" t="s">
        <v>10852</v>
      </c>
      <c r="Q74" s="34" t="s">
        <v>5683</v>
      </c>
      <c r="R74" s="35" t="s">
        <v>5683</v>
      </c>
      <c r="S74" s="34" t="s">
        <v>5683</v>
      </c>
      <c r="T74" s="34" t="s">
        <v>5683</v>
      </c>
      <c r="U74" s="34" t="s">
        <v>5683</v>
      </c>
      <c r="V74" s="34" t="s">
        <v>4999</v>
      </c>
      <c r="W74" s="36">
        <v>43599</v>
      </c>
      <c r="X74" s="44"/>
      <c r="Y74" s="38"/>
      <c r="Z74" s="39"/>
      <c r="AA74" s="45" t="e">
        <v>#VALUE!</v>
      </c>
      <c r="AB74" s="46" t="e">
        <v>#VALUE!</v>
      </c>
      <c r="AC74" s="25"/>
      <c r="AD74" s="42"/>
      <c r="AE74" s="43"/>
      <c r="AF74" s="27"/>
    </row>
    <row r="75" spans="1:32" s="2" customFormat="1" ht="12.75" x14ac:dyDescent="0.2">
      <c r="A75" s="28">
        <v>0</v>
      </c>
      <c r="B75" s="29" t="s">
        <v>12198</v>
      </c>
      <c r="C75" s="30" t="s">
        <v>8369</v>
      </c>
      <c r="D75" s="30">
        <v>180073</v>
      </c>
      <c r="E75" s="30" t="s">
        <v>12201</v>
      </c>
      <c r="F75" s="30" t="s">
        <v>6820</v>
      </c>
      <c r="G75" s="30" t="s">
        <v>6829</v>
      </c>
      <c r="H75" s="30" t="s">
        <v>9723</v>
      </c>
      <c r="I75" s="30" t="s">
        <v>12200</v>
      </c>
      <c r="J75" s="30" t="s">
        <v>11559</v>
      </c>
      <c r="K75" s="31">
        <v>43235</v>
      </c>
      <c r="L75" s="30" t="s">
        <v>264</v>
      </c>
      <c r="M75" s="31">
        <v>43235</v>
      </c>
      <c r="N75" s="31">
        <v>43236</v>
      </c>
      <c r="O75" s="32">
        <v>43236</v>
      </c>
      <c r="P75" s="33" t="s">
        <v>10852</v>
      </c>
      <c r="Q75" s="34" t="s">
        <v>10852</v>
      </c>
      <c r="R75" s="35">
        <v>43237</v>
      </c>
      <c r="S75" s="34" t="s">
        <v>9725</v>
      </c>
      <c r="T75" s="34">
        <v>1</v>
      </c>
      <c r="U75" s="34" t="s">
        <v>5683</v>
      </c>
      <c r="V75" s="34" t="s">
        <v>4999</v>
      </c>
      <c r="W75" s="36">
        <v>43244</v>
      </c>
      <c r="X75" s="44" t="s">
        <v>6850</v>
      </c>
      <c r="Y75" s="38">
        <v>43244</v>
      </c>
      <c r="Z75" s="39">
        <v>43244</v>
      </c>
      <c r="AA75" s="45" t="e">
        <v>#VALUE!</v>
      </c>
      <c r="AB75" s="46" t="e">
        <v>#VALUE!</v>
      </c>
      <c r="AC75" s="25" t="s">
        <v>12197</v>
      </c>
      <c r="AD75" s="42" t="s">
        <v>4999</v>
      </c>
      <c r="AE75" s="43"/>
      <c r="AF75" s="27" t="s">
        <v>4999</v>
      </c>
    </row>
    <row r="76" spans="1:32" s="2" customFormat="1" ht="12.75" x14ac:dyDescent="0.2">
      <c r="A76" s="28">
        <v>1</v>
      </c>
      <c r="B76" s="29" t="s">
        <v>12202</v>
      </c>
      <c r="C76" s="30" t="s">
        <v>9377</v>
      </c>
      <c r="D76" s="30" t="s">
        <v>5683</v>
      </c>
      <c r="E76" s="30" t="s">
        <v>12203</v>
      </c>
      <c r="F76" s="30" t="s">
        <v>6820</v>
      </c>
      <c r="G76" s="30" t="s">
        <v>6829</v>
      </c>
      <c r="H76" s="30" t="s">
        <v>10286</v>
      </c>
      <c r="I76" s="30" t="s">
        <v>12204</v>
      </c>
      <c r="J76" s="30" t="s">
        <v>12205</v>
      </c>
      <c r="K76" s="31" t="s">
        <v>5683</v>
      </c>
      <c r="L76" s="58" t="s">
        <v>5683</v>
      </c>
      <c r="M76" s="31" t="s">
        <v>5683</v>
      </c>
      <c r="N76" s="31" t="s">
        <v>5683</v>
      </c>
      <c r="O76" s="32" t="s">
        <v>5683</v>
      </c>
      <c r="P76" s="33" t="s">
        <v>10852</v>
      </c>
      <c r="Q76" s="34" t="s">
        <v>5683</v>
      </c>
      <c r="R76" s="35" t="s">
        <v>5683</v>
      </c>
      <c r="S76" s="34" t="s">
        <v>5683</v>
      </c>
      <c r="T76" s="34" t="s">
        <v>5683</v>
      </c>
      <c r="U76" s="34" t="s">
        <v>5683</v>
      </c>
      <c r="V76" s="34" t="s">
        <v>4999</v>
      </c>
      <c r="W76" s="36">
        <v>43482</v>
      </c>
      <c r="X76" s="44"/>
      <c r="Y76" s="38"/>
      <c r="Z76" s="39"/>
      <c r="AA76" s="45" t="e">
        <v>#VALUE!</v>
      </c>
      <c r="AB76" s="46" t="e">
        <v>#VALUE!</v>
      </c>
      <c r="AC76" s="25" t="s">
        <v>5683</v>
      </c>
      <c r="AD76" s="42"/>
      <c r="AE76" s="43"/>
      <c r="AF76" s="27"/>
    </row>
    <row r="77" spans="1:32" s="2" customFormat="1" ht="12.75" x14ac:dyDescent="0.2">
      <c r="A77" s="28">
        <v>0</v>
      </c>
      <c r="B77" s="29" t="s">
        <v>12202</v>
      </c>
      <c r="C77" s="30" t="s">
        <v>9377</v>
      </c>
      <c r="D77" s="30">
        <v>180086</v>
      </c>
      <c r="E77" s="30" t="s">
        <v>12206</v>
      </c>
      <c r="F77" s="30" t="s">
        <v>6820</v>
      </c>
      <c r="G77" s="30" t="s">
        <v>6829</v>
      </c>
      <c r="H77" s="30" t="s">
        <v>10286</v>
      </c>
      <c r="I77" s="30" t="s">
        <v>12204</v>
      </c>
      <c r="J77" s="30" t="s">
        <v>12205</v>
      </c>
      <c r="K77" s="31">
        <v>43263</v>
      </c>
      <c r="L77" s="58" t="s">
        <v>264</v>
      </c>
      <c r="M77" s="31">
        <v>43263</v>
      </c>
      <c r="N77" s="31">
        <v>43263</v>
      </c>
      <c r="O77" s="32">
        <v>43264</v>
      </c>
      <c r="P77" s="33" t="s">
        <v>10852</v>
      </c>
      <c r="Q77" s="34" t="s">
        <v>9350</v>
      </c>
      <c r="R77" s="35">
        <v>43266</v>
      </c>
      <c r="S77" s="34" t="s">
        <v>10919</v>
      </c>
      <c r="T77" s="34">
        <v>2</v>
      </c>
      <c r="U77" s="34" t="s">
        <v>5683</v>
      </c>
      <c r="V77" s="34" t="s">
        <v>4999</v>
      </c>
      <c r="W77" s="36">
        <v>43266</v>
      </c>
      <c r="X77" s="44" t="s">
        <v>6850</v>
      </c>
      <c r="Y77" s="38">
        <v>43266</v>
      </c>
      <c r="Z77" s="39">
        <v>43266</v>
      </c>
      <c r="AA77" s="45" t="e">
        <v>#VALUE!</v>
      </c>
      <c r="AB77" s="46" t="e">
        <v>#VALUE!</v>
      </c>
      <c r="AC77" s="25" t="s">
        <v>12197</v>
      </c>
      <c r="AD77" s="42" t="s">
        <v>4999</v>
      </c>
      <c r="AE77" s="43"/>
      <c r="AF77" s="27" t="s">
        <v>4999</v>
      </c>
    </row>
    <row r="78" spans="1:32" s="2" customFormat="1" ht="12.75" x14ac:dyDescent="0.2">
      <c r="A78" s="28">
        <v>0</v>
      </c>
      <c r="B78" s="29" t="s">
        <v>12207</v>
      </c>
      <c r="C78" s="30" t="s">
        <v>11459</v>
      </c>
      <c r="D78" s="30">
        <v>180065</v>
      </c>
      <c r="E78" s="30" t="s">
        <v>12208</v>
      </c>
      <c r="F78" s="30" t="s">
        <v>6820</v>
      </c>
      <c r="G78" s="30" t="s">
        <v>6829</v>
      </c>
      <c r="H78" s="30" t="s">
        <v>11305</v>
      </c>
      <c r="I78" s="30" t="s">
        <v>11461</v>
      </c>
      <c r="J78" s="30" t="s">
        <v>11462</v>
      </c>
      <c r="K78" s="31">
        <v>43155</v>
      </c>
      <c r="L78" s="30" t="s">
        <v>264</v>
      </c>
      <c r="M78" s="31">
        <v>43155</v>
      </c>
      <c r="N78" s="31">
        <v>43265</v>
      </c>
      <c r="O78" s="32">
        <v>43265</v>
      </c>
      <c r="P78" s="33" t="s">
        <v>10852</v>
      </c>
      <c r="Q78" s="34" t="s">
        <v>9350</v>
      </c>
      <c r="R78" s="35">
        <v>43266</v>
      </c>
      <c r="S78" s="34" t="s">
        <v>12209</v>
      </c>
      <c r="T78" s="34">
        <v>1</v>
      </c>
      <c r="U78" s="34" t="s">
        <v>5683</v>
      </c>
      <c r="V78" s="34" t="s">
        <v>4999</v>
      </c>
      <c r="W78" s="36">
        <v>43272</v>
      </c>
      <c r="X78" s="44" t="s">
        <v>6850</v>
      </c>
      <c r="Y78" s="38">
        <v>43284</v>
      </c>
      <c r="Z78" s="39">
        <v>43272</v>
      </c>
      <c r="AA78" s="45" t="e">
        <v>#VALUE!</v>
      </c>
      <c r="AB78" s="46" t="e">
        <v>#VALUE!</v>
      </c>
      <c r="AC78" s="25" t="s">
        <v>12197</v>
      </c>
      <c r="AD78" s="42" t="s">
        <v>4999</v>
      </c>
      <c r="AE78" s="43"/>
      <c r="AF78" s="27" t="s">
        <v>4999</v>
      </c>
    </row>
    <row r="79" spans="1:32" s="2" customFormat="1" ht="12.75" x14ac:dyDescent="0.2">
      <c r="A79" s="28">
        <v>2</v>
      </c>
      <c r="B79" s="29" t="s">
        <v>12210</v>
      </c>
      <c r="C79" s="30" t="s">
        <v>8326</v>
      </c>
      <c r="D79" s="30" t="s">
        <v>5683</v>
      </c>
      <c r="E79" s="30" t="s">
        <v>12211</v>
      </c>
      <c r="F79" s="30" t="s">
        <v>6820</v>
      </c>
      <c r="G79" s="30" t="s">
        <v>6829</v>
      </c>
      <c r="H79" s="30" t="s">
        <v>12212</v>
      </c>
      <c r="I79" s="30" t="s">
        <v>12213</v>
      </c>
      <c r="J79" s="30" t="s">
        <v>1517</v>
      </c>
      <c r="K79" s="31" t="s">
        <v>5683</v>
      </c>
      <c r="L79" s="30" t="s">
        <v>5683</v>
      </c>
      <c r="M79" s="31" t="s">
        <v>5683</v>
      </c>
      <c r="N79" s="31" t="s">
        <v>5683</v>
      </c>
      <c r="O79" s="32" t="s">
        <v>5683</v>
      </c>
      <c r="P79" s="33" t="s">
        <v>10852</v>
      </c>
      <c r="Q79" s="34" t="s">
        <v>5683</v>
      </c>
      <c r="R79" s="35" t="s">
        <v>5683</v>
      </c>
      <c r="S79" s="34" t="s">
        <v>5683</v>
      </c>
      <c r="T79" s="34" t="s">
        <v>5683</v>
      </c>
      <c r="U79" s="34" t="s">
        <v>5683</v>
      </c>
      <c r="V79" s="34" t="s">
        <v>4999</v>
      </c>
      <c r="W79" s="36">
        <v>43480</v>
      </c>
      <c r="X79" s="44"/>
      <c r="Y79" s="38"/>
      <c r="Z79" s="39"/>
      <c r="AA79" s="45" t="e">
        <v>#VALUE!</v>
      </c>
      <c r="AB79" s="46" t="e">
        <v>#VALUE!</v>
      </c>
      <c r="AC79" s="25" t="s">
        <v>5683</v>
      </c>
      <c r="AD79" s="42"/>
      <c r="AE79" s="43"/>
      <c r="AF79" s="27"/>
    </row>
    <row r="80" spans="1:32" s="2" customFormat="1" ht="12.75" x14ac:dyDescent="0.2">
      <c r="A80" s="28">
        <v>1</v>
      </c>
      <c r="B80" s="29" t="s">
        <v>12210</v>
      </c>
      <c r="C80" s="30" t="s">
        <v>8326</v>
      </c>
      <c r="D80" s="30" t="s">
        <v>5683</v>
      </c>
      <c r="E80" s="30" t="s">
        <v>12214</v>
      </c>
      <c r="F80" s="30" t="s">
        <v>6820</v>
      </c>
      <c r="G80" s="30" t="s">
        <v>6829</v>
      </c>
      <c r="H80" s="30" t="s">
        <v>12212</v>
      </c>
      <c r="I80" s="30" t="s">
        <v>12213</v>
      </c>
      <c r="J80" s="30" t="s">
        <v>1517</v>
      </c>
      <c r="K80" s="31" t="s">
        <v>5683</v>
      </c>
      <c r="L80" s="30" t="s">
        <v>5683</v>
      </c>
      <c r="M80" s="31" t="s">
        <v>5683</v>
      </c>
      <c r="N80" s="31" t="s">
        <v>5683</v>
      </c>
      <c r="O80" s="32" t="s">
        <v>5683</v>
      </c>
      <c r="P80" s="33" t="s">
        <v>10852</v>
      </c>
      <c r="Q80" s="34" t="s">
        <v>5683</v>
      </c>
      <c r="R80" s="35" t="s">
        <v>5683</v>
      </c>
      <c r="S80" s="34" t="s">
        <v>5683</v>
      </c>
      <c r="T80" s="34" t="s">
        <v>5683</v>
      </c>
      <c r="U80" s="34" t="s">
        <v>5683</v>
      </c>
      <c r="V80" s="34" t="s">
        <v>4999</v>
      </c>
      <c r="W80" s="36">
        <v>43355</v>
      </c>
      <c r="X80" s="44" t="s">
        <v>6850</v>
      </c>
      <c r="Y80" s="38">
        <v>43355</v>
      </c>
      <c r="Z80" s="39">
        <v>43355</v>
      </c>
      <c r="AA80" s="45" t="e">
        <v>#VALUE!</v>
      </c>
      <c r="AB80" s="46" t="e">
        <v>#VALUE!</v>
      </c>
      <c r="AC80" s="25" t="s">
        <v>5683</v>
      </c>
      <c r="AD80" s="42" t="s">
        <v>5683</v>
      </c>
      <c r="AE80" s="43"/>
      <c r="AF80" s="27"/>
    </row>
    <row r="81" spans="1:32" s="2" customFormat="1" ht="12.75" x14ac:dyDescent="0.2">
      <c r="A81" s="28">
        <v>0</v>
      </c>
      <c r="B81" s="29" t="s">
        <v>12210</v>
      </c>
      <c r="C81" s="30" t="s">
        <v>8326</v>
      </c>
      <c r="D81" s="30">
        <v>180084</v>
      </c>
      <c r="E81" s="30" t="s">
        <v>12215</v>
      </c>
      <c r="F81" s="30" t="s">
        <v>6820</v>
      </c>
      <c r="G81" s="30" t="s">
        <v>6829</v>
      </c>
      <c r="H81" s="30" t="s">
        <v>12212</v>
      </c>
      <c r="I81" s="30" t="s">
        <v>12213</v>
      </c>
      <c r="J81" s="30" t="s">
        <v>1517</v>
      </c>
      <c r="K81" s="31">
        <v>43263</v>
      </c>
      <c r="L81" s="57" t="s">
        <v>264</v>
      </c>
      <c r="M81" s="31">
        <v>43263</v>
      </c>
      <c r="N81" s="31">
        <v>43263</v>
      </c>
      <c r="O81" s="32">
        <v>43264</v>
      </c>
      <c r="P81" s="33" t="s">
        <v>10852</v>
      </c>
      <c r="Q81" s="34" t="s">
        <v>10852</v>
      </c>
      <c r="R81" s="35">
        <v>43284</v>
      </c>
      <c r="S81" s="34" t="s">
        <v>12216</v>
      </c>
      <c r="T81" s="34">
        <v>1</v>
      </c>
      <c r="U81" s="34" t="s">
        <v>5683</v>
      </c>
      <c r="V81" s="34" t="s">
        <v>4999</v>
      </c>
      <c r="W81" s="36">
        <v>43280</v>
      </c>
      <c r="X81" s="44" t="s">
        <v>6850</v>
      </c>
      <c r="Y81" s="38">
        <v>43280</v>
      </c>
      <c r="Z81" s="39">
        <v>43280</v>
      </c>
      <c r="AA81" s="45" t="e">
        <v>#VALUE!</v>
      </c>
      <c r="AB81" s="46" t="e">
        <v>#VALUE!</v>
      </c>
      <c r="AC81" s="25" t="s">
        <v>12197</v>
      </c>
      <c r="AD81" s="42" t="s">
        <v>4999</v>
      </c>
      <c r="AE81" s="43"/>
      <c r="AF81" s="27" t="s">
        <v>4999</v>
      </c>
    </row>
    <row r="82" spans="1:32" s="2" customFormat="1" ht="12.75" x14ac:dyDescent="0.2">
      <c r="A82" s="28">
        <v>0</v>
      </c>
      <c r="B82" s="29" t="s">
        <v>12217</v>
      </c>
      <c r="C82" s="30" t="s">
        <v>8369</v>
      </c>
      <c r="D82" s="30">
        <v>180097</v>
      </c>
      <c r="E82" s="30" t="s">
        <v>12218</v>
      </c>
      <c r="F82" s="30" t="s">
        <v>6820</v>
      </c>
      <c r="G82" s="30" t="s">
        <v>6829</v>
      </c>
      <c r="H82" s="30" t="s">
        <v>12219</v>
      </c>
      <c r="I82" s="30" t="s">
        <v>12220</v>
      </c>
      <c r="J82" s="30" t="s">
        <v>12221</v>
      </c>
      <c r="K82" s="31">
        <v>43272</v>
      </c>
      <c r="L82" s="30" t="s">
        <v>264</v>
      </c>
      <c r="M82" s="31">
        <v>43272</v>
      </c>
      <c r="N82" s="31">
        <v>43272</v>
      </c>
      <c r="O82" s="32">
        <v>43272</v>
      </c>
      <c r="P82" s="33" t="s">
        <v>10852</v>
      </c>
      <c r="Q82" s="34" t="s">
        <v>10852</v>
      </c>
      <c r="R82" s="35">
        <v>43273</v>
      </c>
      <c r="S82" s="34" t="s">
        <v>12222</v>
      </c>
      <c r="T82" s="34">
        <v>1</v>
      </c>
      <c r="U82" s="34" t="s">
        <v>5683</v>
      </c>
      <c r="V82" s="34" t="s">
        <v>4999</v>
      </c>
      <c r="W82" s="36">
        <v>43279</v>
      </c>
      <c r="X82" s="44" t="s">
        <v>6850</v>
      </c>
      <c r="Y82" s="38">
        <v>43279</v>
      </c>
      <c r="Z82" s="39">
        <v>43279</v>
      </c>
      <c r="AA82" s="45" t="e">
        <v>#VALUE!</v>
      </c>
      <c r="AB82" s="46" t="e">
        <v>#VALUE!</v>
      </c>
      <c r="AC82" s="25" t="s">
        <v>12197</v>
      </c>
      <c r="AD82" s="42" t="s">
        <v>4999</v>
      </c>
      <c r="AE82" s="56"/>
      <c r="AF82" s="27" t="s">
        <v>4999</v>
      </c>
    </row>
    <row r="83" spans="1:32" s="2" customFormat="1" ht="12.75" x14ac:dyDescent="0.2">
      <c r="A83" s="28">
        <v>2</v>
      </c>
      <c r="B83" s="29" t="s">
        <v>12217</v>
      </c>
      <c r="C83" s="30" t="s">
        <v>8369</v>
      </c>
      <c r="D83" s="30" t="s">
        <v>5683</v>
      </c>
      <c r="E83" s="30" t="s">
        <v>12223</v>
      </c>
      <c r="F83" s="30" t="s">
        <v>6820</v>
      </c>
      <c r="G83" s="30" t="s">
        <v>6829</v>
      </c>
      <c r="H83" s="30" t="s">
        <v>12219</v>
      </c>
      <c r="I83" s="30" t="s">
        <v>12224</v>
      </c>
      <c r="J83" s="30" t="s">
        <v>12221</v>
      </c>
      <c r="K83" s="31" t="s">
        <v>5683</v>
      </c>
      <c r="L83" s="30" t="s">
        <v>264</v>
      </c>
      <c r="M83" s="31" t="s">
        <v>5683</v>
      </c>
      <c r="N83" s="31" t="s">
        <v>5683</v>
      </c>
      <c r="O83" s="32" t="s">
        <v>5683</v>
      </c>
      <c r="P83" s="33" t="s">
        <v>10852</v>
      </c>
      <c r="Q83" s="34" t="s">
        <v>5683</v>
      </c>
      <c r="R83" s="35" t="s">
        <v>5683</v>
      </c>
      <c r="S83" s="34" t="s">
        <v>5683</v>
      </c>
      <c r="T83" s="34" t="s">
        <v>5683</v>
      </c>
      <c r="U83" s="34" t="s">
        <v>5683</v>
      </c>
      <c r="V83" s="34" t="s">
        <v>4999</v>
      </c>
      <c r="W83" s="36">
        <v>43602</v>
      </c>
      <c r="X83" s="44"/>
      <c r="Y83" s="38"/>
      <c r="Z83" s="39"/>
      <c r="AA83" s="45"/>
      <c r="AB83" s="46"/>
      <c r="AC83" s="25"/>
      <c r="AD83" s="42"/>
      <c r="AE83" s="43"/>
      <c r="AF83" s="27"/>
    </row>
    <row r="84" spans="1:32" s="2" customFormat="1" ht="12.75" x14ac:dyDescent="0.2">
      <c r="A84" s="28">
        <v>1</v>
      </c>
      <c r="B84" s="29" t="s">
        <v>12217</v>
      </c>
      <c r="C84" s="30" t="s">
        <v>8369</v>
      </c>
      <c r="D84" s="30" t="s">
        <v>5683</v>
      </c>
      <c r="E84" s="30" t="s">
        <v>12225</v>
      </c>
      <c r="F84" s="30" t="s">
        <v>6820</v>
      </c>
      <c r="G84" s="30" t="s">
        <v>6829</v>
      </c>
      <c r="H84" s="30" t="s">
        <v>12219</v>
      </c>
      <c r="I84" s="30" t="s">
        <v>12224</v>
      </c>
      <c r="J84" s="30" t="s">
        <v>12221</v>
      </c>
      <c r="K84" s="31" t="s">
        <v>5683</v>
      </c>
      <c r="L84" s="30" t="s">
        <v>264</v>
      </c>
      <c r="M84" s="31" t="s">
        <v>5683</v>
      </c>
      <c r="N84" s="31" t="s">
        <v>5683</v>
      </c>
      <c r="O84" s="32" t="s">
        <v>5683</v>
      </c>
      <c r="P84" s="33" t="s">
        <v>10852</v>
      </c>
      <c r="Q84" s="34" t="s">
        <v>5683</v>
      </c>
      <c r="R84" s="35" t="s">
        <v>5683</v>
      </c>
      <c r="S84" s="34" t="s">
        <v>5683</v>
      </c>
      <c r="T84" s="34" t="s">
        <v>5683</v>
      </c>
      <c r="U84" s="34" t="s">
        <v>5683</v>
      </c>
      <c r="V84" s="34" t="s">
        <v>4999</v>
      </c>
      <c r="W84" s="36">
        <v>43280</v>
      </c>
      <c r="X84" s="44" t="s">
        <v>6850</v>
      </c>
      <c r="Y84" s="38">
        <v>43280</v>
      </c>
      <c r="Z84" s="39">
        <v>43280</v>
      </c>
      <c r="AA84" s="45" t="e">
        <v>#VALUE!</v>
      </c>
      <c r="AB84" s="46" t="e">
        <v>#VALUE!</v>
      </c>
      <c r="AC84" s="25" t="s">
        <v>5683</v>
      </c>
      <c r="AD84" s="42" t="s">
        <v>5683</v>
      </c>
      <c r="AE84" s="43"/>
      <c r="AF84" s="27" t="s">
        <v>4999</v>
      </c>
    </row>
    <row r="85" spans="1:32" s="2" customFormat="1" ht="12.75" x14ac:dyDescent="0.2">
      <c r="A85" s="28">
        <v>1</v>
      </c>
      <c r="B85" s="29" t="s">
        <v>12226</v>
      </c>
      <c r="C85" s="30" t="s">
        <v>6169</v>
      </c>
      <c r="D85" s="30" t="s">
        <v>5683</v>
      </c>
      <c r="E85" s="30" t="s">
        <v>12227</v>
      </c>
      <c r="F85" s="30" t="s">
        <v>6820</v>
      </c>
      <c r="G85" s="30" t="s">
        <v>6829</v>
      </c>
      <c r="H85" s="30" t="s">
        <v>6577</v>
      </c>
      <c r="I85" s="30" t="s">
        <v>12050</v>
      </c>
      <c r="J85" s="30" t="s">
        <v>8789</v>
      </c>
      <c r="K85" s="31" t="s">
        <v>5683</v>
      </c>
      <c r="L85" s="31" t="s">
        <v>5683</v>
      </c>
      <c r="M85" s="31" t="s">
        <v>5683</v>
      </c>
      <c r="N85" s="31" t="s">
        <v>5683</v>
      </c>
      <c r="O85" s="32" t="s">
        <v>5683</v>
      </c>
      <c r="P85" s="33" t="s">
        <v>10852</v>
      </c>
      <c r="Q85" s="34" t="s">
        <v>5683</v>
      </c>
      <c r="R85" s="35" t="s">
        <v>5683</v>
      </c>
      <c r="S85" s="34" t="s">
        <v>5683</v>
      </c>
      <c r="T85" s="34" t="s">
        <v>5683</v>
      </c>
      <c r="U85" s="34" t="s">
        <v>5683</v>
      </c>
      <c r="V85" s="34" t="s">
        <v>4999</v>
      </c>
      <c r="W85" s="36">
        <v>43481</v>
      </c>
      <c r="X85" s="44"/>
      <c r="Y85" s="38"/>
      <c r="Z85" s="39"/>
      <c r="AA85" s="45" t="e">
        <v>#VALUE!</v>
      </c>
      <c r="AB85" s="46" t="e">
        <v>#VALUE!</v>
      </c>
      <c r="AC85" s="25" t="s">
        <v>5683</v>
      </c>
      <c r="AD85" s="42"/>
      <c r="AE85" s="43"/>
      <c r="AF85" s="27"/>
    </row>
    <row r="86" spans="1:32" s="2" customFormat="1" ht="12.75" x14ac:dyDescent="0.2">
      <c r="A86" s="28">
        <v>0</v>
      </c>
      <c r="B86" s="29" t="s">
        <v>12226</v>
      </c>
      <c r="C86" s="30" t="s">
        <v>6169</v>
      </c>
      <c r="D86" s="30">
        <v>180076</v>
      </c>
      <c r="E86" s="30" t="s">
        <v>12228</v>
      </c>
      <c r="F86" s="30" t="s">
        <v>6820</v>
      </c>
      <c r="G86" s="30" t="s">
        <v>6829</v>
      </c>
      <c r="H86" s="30" t="s">
        <v>6577</v>
      </c>
      <c r="I86" s="30" t="s">
        <v>12050</v>
      </c>
      <c r="J86" s="30" t="s">
        <v>8789</v>
      </c>
      <c r="K86" s="31">
        <v>43242</v>
      </c>
      <c r="L86" s="31" t="s">
        <v>264</v>
      </c>
      <c r="M86" s="31">
        <v>43242</v>
      </c>
      <c r="N86" s="31">
        <v>43242</v>
      </c>
      <c r="O86" s="32">
        <v>43244</v>
      </c>
      <c r="P86" s="33" t="s">
        <v>10852</v>
      </c>
      <c r="Q86" s="34" t="s">
        <v>9350</v>
      </c>
      <c r="R86" s="35">
        <v>43256</v>
      </c>
      <c r="S86" s="34" t="s">
        <v>3416</v>
      </c>
      <c r="T86" s="34">
        <v>1</v>
      </c>
      <c r="U86" s="34" t="s">
        <v>5683</v>
      </c>
      <c r="V86" s="34" t="s">
        <v>4999</v>
      </c>
      <c r="W86" s="36">
        <v>43291</v>
      </c>
      <c r="X86" s="44" t="s">
        <v>6850</v>
      </c>
      <c r="Y86" s="38">
        <v>43291</v>
      </c>
      <c r="Z86" s="39">
        <v>43291</v>
      </c>
      <c r="AA86" s="45" t="e">
        <v>#VALUE!</v>
      </c>
      <c r="AB86" s="46" t="e">
        <v>#VALUE!</v>
      </c>
      <c r="AC86" s="25" t="s">
        <v>12197</v>
      </c>
      <c r="AD86" s="42" t="s">
        <v>4999</v>
      </c>
      <c r="AE86" s="56"/>
      <c r="AF86" s="27" t="s">
        <v>4999</v>
      </c>
    </row>
    <row r="87" spans="1:32" s="2" customFormat="1" ht="12.75" x14ac:dyDescent="0.2">
      <c r="A87" s="28">
        <v>0</v>
      </c>
      <c r="B87" s="29" t="s">
        <v>12229</v>
      </c>
      <c r="C87" s="30" t="s">
        <v>12230</v>
      </c>
      <c r="D87" s="30">
        <v>180087</v>
      </c>
      <c r="E87" s="30" t="s">
        <v>12231</v>
      </c>
      <c r="F87" s="30" t="s">
        <v>6820</v>
      </c>
      <c r="G87" s="30" t="s">
        <v>6829</v>
      </c>
      <c r="H87" s="30" t="s">
        <v>12232</v>
      </c>
      <c r="I87" s="30" t="s">
        <v>12233</v>
      </c>
      <c r="J87" s="30" t="s">
        <v>12234</v>
      </c>
      <c r="K87" s="31">
        <v>43259</v>
      </c>
      <c r="L87" s="30" t="s">
        <v>264</v>
      </c>
      <c r="M87" s="31">
        <v>43262</v>
      </c>
      <c r="N87" s="31">
        <v>43263</v>
      </c>
      <c r="O87" s="32">
        <v>43273</v>
      </c>
      <c r="P87" s="33" t="s">
        <v>10852</v>
      </c>
      <c r="Q87" s="34" t="s">
        <v>10852</v>
      </c>
      <c r="R87" s="35">
        <v>43308</v>
      </c>
      <c r="S87" s="34" t="s">
        <v>12235</v>
      </c>
      <c r="T87" s="34">
        <v>2</v>
      </c>
      <c r="U87" s="34" t="s">
        <v>5683</v>
      </c>
      <c r="V87" s="34" t="s">
        <v>4999</v>
      </c>
      <c r="W87" s="36">
        <v>43311</v>
      </c>
      <c r="X87" s="44" t="s">
        <v>6850</v>
      </c>
      <c r="Y87" s="38">
        <v>43311</v>
      </c>
      <c r="Z87" s="39">
        <v>43311</v>
      </c>
      <c r="AA87" s="45" t="e">
        <v>#VALUE!</v>
      </c>
      <c r="AB87" s="46" t="e">
        <v>#VALUE!</v>
      </c>
      <c r="AC87" s="25" t="s">
        <v>12197</v>
      </c>
      <c r="AD87" s="42" t="s">
        <v>4999</v>
      </c>
      <c r="AE87" s="56"/>
      <c r="AF87" s="27" t="s">
        <v>4999</v>
      </c>
    </row>
    <row r="88" spans="1:32" s="2" customFormat="1" ht="25.5" x14ac:dyDescent="0.2">
      <c r="A88" s="28">
        <v>2</v>
      </c>
      <c r="B88" s="49" t="s">
        <v>12229</v>
      </c>
      <c r="C88" s="50" t="s">
        <v>12230</v>
      </c>
      <c r="D88" s="50" t="s">
        <v>5683</v>
      </c>
      <c r="E88" s="50" t="s">
        <v>12236</v>
      </c>
      <c r="F88" s="50" t="s">
        <v>6820</v>
      </c>
      <c r="G88" s="50" t="s">
        <v>6829</v>
      </c>
      <c r="H88" s="50" t="s">
        <v>12232</v>
      </c>
      <c r="I88" s="50" t="s">
        <v>12233</v>
      </c>
      <c r="J88" s="50" t="s">
        <v>12234</v>
      </c>
      <c r="K88" s="51" t="s">
        <v>5683</v>
      </c>
      <c r="L88" s="50" t="s">
        <v>5683</v>
      </c>
      <c r="M88" s="51" t="s">
        <v>5683</v>
      </c>
      <c r="N88" s="51" t="s">
        <v>5683</v>
      </c>
      <c r="O88" s="52" t="s">
        <v>5683</v>
      </c>
      <c r="P88" s="33" t="s">
        <v>10852</v>
      </c>
      <c r="Q88" s="34" t="s">
        <v>5683</v>
      </c>
      <c r="R88" s="35" t="s">
        <v>5683</v>
      </c>
      <c r="S88" s="34" t="s">
        <v>5683</v>
      </c>
      <c r="T88" s="34" t="s">
        <v>5683</v>
      </c>
      <c r="U88" s="34" t="s">
        <v>5683</v>
      </c>
      <c r="V88" s="34" t="s">
        <v>4999</v>
      </c>
      <c r="W88" s="36">
        <v>43487</v>
      </c>
      <c r="X88" s="44"/>
      <c r="Y88" s="38"/>
      <c r="Z88" s="39"/>
      <c r="AA88" s="45" t="e">
        <v>#VALUE!</v>
      </c>
      <c r="AB88" s="46" t="e">
        <v>#VALUE!</v>
      </c>
      <c r="AC88" s="53" t="s">
        <v>5683</v>
      </c>
      <c r="AD88" s="54"/>
      <c r="AE88" s="55"/>
    </row>
    <row r="89" spans="1:32" s="2" customFormat="1" ht="25.5" x14ac:dyDescent="0.2">
      <c r="A89" s="28">
        <v>1</v>
      </c>
      <c r="B89" s="49" t="s">
        <v>12229</v>
      </c>
      <c r="C89" s="50" t="s">
        <v>12230</v>
      </c>
      <c r="D89" s="50" t="s">
        <v>5683</v>
      </c>
      <c r="E89" s="50" t="s">
        <v>12237</v>
      </c>
      <c r="F89" s="50" t="s">
        <v>6820</v>
      </c>
      <c r="G89" s="50" t="s">
        <v>6829</v>
      </c>
      <c r="H89" s="50" t="s">
        <v>12232</v>
      </c>
      <c r="I89" s="50" t="s">
        <v>12233</v>
      </c>
      <c r="J89" s="50" t="s">
        <v>12234</v>
      </c>
      <c r="K89" s="51" t="s">
        <v>5683</v>
      </c>
      <c r="L89" s="50" t="s">
        <v>5683</v>
      </c>
      <c r="M89" s="51" t="s">
        <v>5683</v>
      </c>
      <c r="N89" s="51" t="s">
        <v>5683</v>
      </c>
      <c r="O89" s="52" t="s">
        <v>5683</v>
      </c>
      <c r="P89" s="33" t="s">
        <v>10852</v>
      </c>
      <c r="Q89" s="34" t="s">
        <v>5683</v>
      </c>
      <c r="R89" s="35" t="s">
        <v>5683</v>
      </c>
      <c r="S89" s="34" t="s">
        <v>12235</v>
      </c>
      <c r="T89" s="34" t="s">
        <v>5683</v>
      </c>
      <c r="U89" s="34" t="s">
        <v>5683</v>
      </c>
      <c r="V89" s="34" t="s">
        <v>4999</v>
      </c>
      <c r="W89" s="36">
        <v>43318</v>
      </c>
      <c r="X89" s="44" t="s">
        <v>6850</v>
      </c>
      <c r="Y89" s="38">
        <v>43318</v>
      </c>
      <c r="Z89" s="39">
        <v>43319</v>
      </c>
      <c r="AA89" s="45" t="e">
        <v>#VALUE!</v>
      </c>
      <c r="AB89" s="46" t="e">
        <v>#VALUE!</v>
      </c>
      <c r="AC89" s="53" t="s">
        <v>5683</v>
      </c>
      <c r="AD89" s="54" t="s">
        <v>5683</v>
      </c>
      <c r="AE89" s="55"/>
      <c r="AF89" s="2" t="s">
        <v>4999</v>
      </c>
    </row>
    <row r="90" spans="1:32" s="2" customFormat="1" ht="12.75" x14ac:dyDescent="0.2">
      <c r="A90" s="28">
        <v>1</v>
      </c>
      <c r="B90" s="29" t="s">
        <v>12238</v>
      </c>
      <c r="C90" s="30" t="s">
        <v>6169</v>
      </c>
      <c r="D90" s="30" t="s">
        <v>5683</v>
      </c>
      <c r="E90" s="30" t="s">
        <v>12239</v>
      </c>
      <c r="F90" s="30" t="s">
        <v>6820</v>
      </c>
      <c r="G90" s="30" t="s">
        <v>6829</v>
      </c>
      <c r="H90" s="30" t="s">
        <v>12240</v>
      </c>
      <c r="I90" s="30" t="s">
        <v>12117</v>
      </c>
      <c r="J90" s="30" t="s">
        <v>6579</v>
      </c>
      <c r="K90" s="31" t="s">
        <v>5683</v>
      </c>
      <c r="L90" s="31" t="s">
        <v>5683</v>
      </c>
      <c r="M90" s="31" t="s">
        <v>5683</v>
      </c>
      <c r="N90" s="31" t="s">
        <v>5683</v>
      </c>
      <c r="O90" s="32" t="s">
        <v>5683</v>
      </c>
      <c r="P90" s="33" t="s">
        <v>10852</v>
      </c>
      <c r="Q90" s="34" t="s">
        <v>5683</v>
      </c>
      <c r="R90" s="35" t="s">
        <v>5683</v>
      </c>
      <c r="S90" s="34" t="s">
        <v>5683</v>
      </c>
      <c r="T90" s="34" t="s">
        <v>5683</v>
      </c>
      <c r="U90" s="34" t="s">
        <v>5683</v>
      </c>
      <c r="V90" s="34" t="s">
        <v>4999</v>
      </c>
      <c r="W90" s="36">
        <v>43481</v>
      </c>
      <c r="X90" s="44"/>
      <c r="Y90" s="38"/>
      <c r="Z90" s="39"/>
      <c r="AA90" s="45" t="e">
        <v>#VALUE!</v>
      </c>
      <c r="AB90" s="46" t="e">
        <v>#VALUE!</v>
      </c>
      <c r="AC90" s="25" t="s">
        <v>5683</v>
      </c>
      <c r="AD90" s="42"/>
      <c r="AE90" s="56"/>
      <c r="AF90" s="27"/>
    </row>
    <row r="91" spans="1:32" s="2" customFormat="1" ht="12.75" x14ac:dyDescent="0.2">
      <c r="A91" s="28">
        <v>0</v>
      </c>
      <c r="B91" s="29" t="s">
        <v>12238</v>
      </c>
      <c r="C91" s="30" t="s">
        <v>6169</v>
      </c>
      <c r="D91" s="30">
        <v>180092</v>
      </c>
      <c r="E91" s="30" t="s">
        <v>12241</v>
      </c>
      <c r="F91" s="30" t="s">
        <v>6820</v>
      </c>
      <c r="G91" s="30" t="s">
        <v>6829</v>
      </c>
      <c r="H91" s="30" t="s">
        <v>12240</v>
      </c>
      <c r="I91" s="30" t="s">
        <v>12117</v>
      </c>
      <c r="J91" s="30" t="s">
        <v>6579</v>
      </c>
      <c r="K91" s="31">
        <v>43265</v>
      </c>
      <c r="L91" s="31" t="s">
        <v>264</v>
      </c>
      <c r="M91" s="31">
        <v>43265</v>
      </c>
      <c r="N91" s="31">
        <v>43265</v>
      </c>
      <c r="O91" s="32">
        <v>43276</v>
      </c>
      <c r="P91" s="33" t="s">
        <v>10852</v>
      </c>
      <c r="Q91" s="34" t="s">
        <v>10852</v>
      </c>
      <c r="R91" s="35">
        <v>43284</v>
      </c>
      <c r="S91" s="34" t="s">
        <v>12242</v>
      </c>
      <c r="T91" s="34">
        <v>4</v>
      </c>
      <c r="U91" s="34" t="s">
        <v>5683</v>
      </c>
      <c r="V91" s="34" t="s">
        <v>4999</v>
      </c>
      <c r="W91" s="36">
        <v>43284</v>
      </c>
      <c r="X91" s="44" t="s">
        <v>6850</v>
      </c>
      <c r="Y91" s="38">
        <v>43285</v>
      </c>
      <c r="Z91" s="39">
        <v>43285</v>
      </c>
      <c r="AA91" s="45" t="e">
        <v>#VALUE!</v>
      </c>
      <c r="AB91" s="46" t="e">
        <v>#VALUE!</v>
      </c>
      <c r="AC91" s="25" t="s">
        <v>12197</v>
      </c>
      <c r="AD91" s="42" t="s">
        <v>4999</v>
      </c>
      <c r="AE91" s="56"/>
      <c r="AF91" s="27" t="s">
        <v>4999</v>
      </c>
    </row>
    <row r="92" spans="1:32" s="2" customFormat="1" ht="12.75" x14ac:dyDescent="0.2">
      <c r="A92" s="28">
        <v>1</v>
      </c>
      <c r="B92" s="29" t="s">
        <v>12243</v>
      </c>
      <c r="C92" s="30" t="s">
        <v>6169</v>
      </c>
      <c r="D92" s="30" t="s">
        <v>5683</v>
      </c>
      <c r="E92" s="30" t="s">
        <v>12244</v>
      </c>
      <c r="F92" s="30" t="s">
        <v>6820</v>
      </c>
      <c r="G92" s="30" t="s">
        <v>6829</v>
      </c>
      <c r="H92" s="30" t="s">
        <v>12245</v>
      </c>
      <c r="I92" s="30" t="s">
        <v>12246</v>
      </c>
      <c r="J92" s="30" t="s">
        <v>6579</v>
      </c>
      <c r="K92" s="31" t="s">
        <v>5683</v>
      </c>
      <c r="L92" s="31" t="s">
        <v>5683</v>
      </c>
      <c r="M92" s="31" t="s">
        <v>5683</v>
      </c>
      <c r="N92" s="31" t="s">
        <v>5683</v>
      </c>
      <c r="O92" s="32" t="s">
        <v>5683</v>
      </c>
      <c r="P92" s="33" t="s">
        <v>10852</v>
      </c>
      <c r="Q92" s="34" t="s">
        <v>5683</v>
      </c>
      <c r="R92" s="35" t="s">
        <v>5683</v>
      </c>
      <c r="S92" s="34" t="s">
        <v>5683</v>
      </c>
      <c r="T92" s="34" t="s">
        <v>5683</v>
      </c>
      <c r="U92" s="34" t="s">
        <v>5683</v>
      </c>
      <c r="V92" s="34" t="s">
        <v>4999</v>
      </c>
      <c r="W92" s="36">
        <v>43481</v>
      </c>
      <c r="X92" s="44"/>
      <c r="Y92" s="38"/>
      <c r="Z92" s="39"/>
      <c r="AA92" s="45" t="e">
        <v>#VALUE!</v>
      </c>
      <c r="AB92" s="46" t="e">
        <v>#VALUE!</v>
      </c>
      <c r="AC92" s="25" t="s">
        <v>5683</v>
      </c>
      <c r="AD92" s="42"/>
      <c r="AE92" s="59"/>
      <c r="AF92" s="60"/>
    </row>
    <row r="93" spans="1:32" s="2" customFormat="1" ht="12.75" x14ac:dyDescent="0.2">
      <c r="A93" s="28">
        <v>0</v>
      </c>
      <c r="B93" s="29" t="s">
        <v>12243</v>
      </c>
      <c r="C93" s="30" t="s">
        <v>6169</v>
      </c>
      <c r="D93" s="30">
        <v>180092</v>
      </c>
      <c r="E93" s="30" t="s">
        <v>12247</v>
      </c>
      <c r="F93" s="30" t="s">
        <v>6820</v>
      </c>
      <c r="G93" s="30" t="s">
        <v>6829</v>
      </c>
      <c r="H93" s="30" t="s">
        <v>12245</v>
      </c>
      <c r="I93" s="30" t="s">
        <v>12246</v>
      </c>
      <c r="J93" s="30" t="s">
        <v>6579</v>
      </c>
      <c r="K93" s="31">
        <v>43265</v>
      </c>
      <c r="L93" s="31" t="s">
        <v>264</v>
      </c>
      <c r="M93" s="31">
        <v>43265</v>
      </c>
      <c r="N93" s="31">
        <v>43265</v>
      </c>
      <c r="O93" s="32">
        <v>43276</v>
      </c>
      <c r="P93" s="33" t="s">
        <v>10852</v>
      </c>
      <c r="Q93" s="34" t="s">
        <v>10852</v>
      </c>
      <c r="R93" s="35">
        <v>43284</v>
      </c>
      <c r="S93" s="34" t="s">
        <v>12126</v>
      </c>
      <c r="T93" s="34">
        <v>2</v>
      </c>
      <c r="U93" s="34" t="s">
        <v>5683</v>
      </c>
      <c r="V93" s="34" t="s">
        <v>4999</v>
      </c>
      <c r="W93" s="36">
        <v>43284</v>
      </c>
      <c r="X93" s="44" t="s">
        <v>6850</v>
      </c>
      <c r="Y93" s="38">
        <v>43284</v>
      </c>
      <c r="Z93" s="39">
        <v>43285</v>
      </c>
      <c r="AA93" s="45" t="e">
        <v>#VALUE!</v>
      </c>
      <c r="AB93" s="46" t="e">
        <v>#VALUE!</v>
      </c>
      <c r="AC93" s="25" t="s">
        <v>12197</v>
      </c>
      <c r="AD93" s="42" t="s">
        <v>4999</v>
      </c>
      <c r="AE93" s="43"/>
      <c r="AF93" s="27" t="s">
        <v>4999</v>
      </c>
    </row>
    <row r="94" spans="1:32" s="2" customFormat="1" ht="12.75" x14ac:dyDescent="0.2">
      <c r="A94" s="28">
        <v>1</v>
      </c>
      <c r="B94" s="29" t="s">
        <v>12248</v>
      </c>
      <c r="C94" s="30" t="s">
        <v>12249</v>
      </c>
      <c r="D94" s="30" t="s">
        <v>5683</v>
      </c>
      <c r="E94" s="30" t="s">
        <v>12250</v>
      </c>
      <c r="F94" s="30" t="s">
        <v>6820</v>
      </c>
      <c r="G94" s="30" t="s">
        <v>6829</v>
      </c>
      <c r="H94" s="30" t="s">
        <v>12251</v>
      </c>
      <c r="I94" s="30" t="s">
        <v>12252</v>
      </c>
      <c r="J94" s="30" t="s">
        <v>12253</v>
      </c>
      <c r="K94" s="31" t="s">
        <v>5683</v>
      </c>
      <c r="L94" s="30" t="s">
        <v>5683</v>
      </c>
      <c r="M94" s="31" t="s">
        <v>5683</v>
      </c>
      <c r="N94" s="31" t="s">
        <v>5683</v>
      </c>
      <c r="O94" s="32" t="s">
        <v>5683</v>
      </c>
      <c r="P94" s="33" t="s">
        <v>10852</v>
      </c>
      <c r="Q94" s="34" t="s">
        <v>5683</v>
      </c>
      <c r="R94" s="35" t="s">
        <v>5683</v>
      </c>
      <c r="S94" s="34" t="s">
        <v>5683</v>
      </c>
      <c r="T94" s="34" t="s">
        <v>5683</v>
      </c>
      <c r="U94" s="34" t="s">
        <v>5683</v>
      </c>
      <c r="V94" s="34" t="s">
        <v>4999</v>
      </c>
      <c r="W94" s="36">
        <v>43490</v>
      </c>
      <c r="X94" s="44"/>
      <c r="Y94" s="38"/>
      <c r="Z94" s="39"/>
      <c r="AA94" s="45" t="e">
        <v>#VALUE!</v>
      </c>
      <c r="AB94" s="46" t="e">
        <v>#VALUE!</v>
      </c>
      <c r="AC94" s="25" t="s">
        <v>5683</v>
      </c>
      <c r="AD94" s="42"/>
      <c r="AE94" s="43"/>
      <c r="AF94" s="27"/>
    </row>
    <row r="95" spans="1:32" s="2" customFormat="1" ht="12.75" x14ac:dyDescent="0.2">
      <c r="A95" s="28">
        <v>0</v>
      </c>
      <c r="B95" s="29" t="s">
        <v>12248</v>
      </c>
      <c r="C95" s="30" t="s">
        <v>12249</v>
      </c>
      <c r="D95" s="30">
        <v>180102</v>
      </c>
      <c r="E95" s="30" t="s">
        <v>12254</v>
      </c>
      <c r="F95" s="30" t="s">
        <v>6820</v>
      </c>
      <c r="G95" s="30" t="s">
        <v>6829</v>
      </c>
      <c r="H95" s="30" t="s">
        <v>12251</v>
      </c>
      <c r="I95" s="30" t="s">
        <v>12252</v>
      </c>
      <c r="J95" s="30" t="s">
        <v>12253</v>
      </c>
      <c r="K95" s="31">
        <v>43278</v>
      </c>
      <c r="L95" s="30" t="s">
        <v>264</v>
      </c>
      <c r="M95" s="31">
        <v>43278</v>
      </c>
      <c r="N95" s="31">
        <v>43278</v>
      </c>
      <c r="O95" s="32">
        <v>43279</v>
      </c>
      <c r="P95" s="33" t="s">
        <v>10852</v>
      </c>
      <c r="Q95" s="34" t="s">
        <v>10852</v>
      </c>
      <c r="R95" s="35">
        <v>43284</v>
      </c>
      <c r="S95" s="34" t="s">
        <v>7630</v>
      </c>
      <c r="T95" s="34">
        <v>1</v>
      </c>
      <c r="U95" s="34" t="s">
        <v>5683</v>
      </c>
      <c r="V95" s="34" t="s">
        <v>4999</v>
      </c>
      <c r="W95" s="36">
        <v>43284</v>
      </c>
      <c r="X95" s="44" t="s">
        <v>6850</v>
      </c>
      <c r="Y95" s="38">
        <v>43284</v>
      </c>
      <c r="Z95" s="39">
        <v>43284</v>
      </c>
      <c r="AA95" s="45" t="e">
        <v>#VALUE!</v>
      </c>
      <c r="AB95" s="46" t="e">
        <v>#VALUE!</v>
      </c>
      <c r="AC95" s="25" t="s">
        <v>12197</v>
      </c>
      <c r="AD95" s="42" t="s">
        <v>4999</v>
      </c>
      <c r="AE95" s="43"/>
      <c r="AF95" s="27" t="s">
        <v>4999</v>
      </c>
    </row>
    <row r="96" spans="1:32" s="2" customFormat="1" ht="12.75" x14ac:dyDescent="0.2">
      <c r="A96" s="28">
        <v>1</v>
      </c>
      <c r="B96" s="29" t="s">
        <v>12255</v>
      </c>
      <c r="C96" s="30" t="s">
        <v>8369</v>
      </c>
      <c r="D96" s="30" t="s">
        <v>5683</v>
      </c>
      <c r="E96" s="30" t="s">
        <v>12256</v>
      </c>
      <c r="F96" s="30" t="s">
        <v>6820</v>
      </c>
      <c r="G96" s="30" t="s">
        <v>6829</v>
      </c>
      <c r="H96" s="30" t="s">
        <v>6930</v>
      </c>
      <c r="I96" s="30" t="s">
        <v>12257</v>
      </c>
      <c r="J96" s="30" t="s">
        <v>10556</v>
      </c>
      <c r="K96" s="31" t="s">
        <v>5683</v>
      </c>
      <c r="L96" s="30" t="s">
        <v>5683</v>
      </c>
      <c r="M96" s="31" t="s">
        <v>5683</v>
      </c>
      <c r="N96" s="31" t="s">
        <v>5683</v>
      </c>
      <c r="O96" s="32" t="s">
        <v>5683</v>
      </c>
      <c r="P96" s="33" t="s">
        <v>10852</v>
      </c>
      <c r="Q96" s="34" t="s">
        <v>5683</v>
      </c>
      <c r="R96" s="35" t="s">
        <v>5683</v>
      </c>
      <c r="S96" s="34" t="s">
        <v>5683</v>
      </c>
      <c r="T96" s="34" t="s">
        <v>5683</v>
      </c>
      <c r="U96" s="34" t="s">
        <v>5683</v>
      </c>
      <c r="V96" s="34" t="s">
        <v>4999</v>
      </c>
      <c r="W96" s="36">
        <v>43600</v>
      </c>
      <c r="X96" s="44"/>
      <c r="Y96" s="38"/>
      <c r="Z96" s="39"/>
      <c r="AA96" s="45" t="e">
        <v>#VALUE!</v>
      </c>
      <c r="AB96" s="46" t="e">
        <v>#VALUE!</v>
      </c>
      <c r="AC96" s="25"/>
      <c r="AD96" s="42"/>
      <c r="AE96" s="43"/>
      <c r="AF96" s="27"/>
    </row>
    <row r="97" spans="1:32" s="2" customFormat="1" ht="12.75" x14ac:dyDescent="0.2">
      <c r="A97" s="28">
        <v>0</v>
      </c>
      <c r="B97" s="29" t="s">
        <v>12255</v>
      </c>
      <c r="C97" s="30" t="s">
        <v>8369</v>
      </c>
      <c r="D97" s="30">
        <v>180103</v>
      </c>
      <c r="E97" s="30" t="s">
        <v>12258</v>
      </c>
      <c r="F97" s="30" t="s">
        <v>6820</v>
      </c>
      <c r="G97" s="30" t="s">
        <v>6829</v>
      </c>
      <c r="H97" s="30" t="s">
        <v>6930</v>
      </c>
      <c r="I97" s="30" t="s">
        <v>12257</v>
      </c>
      <c r="J97" s="30" t="s">
        <v>10556</v>
      </c>
      <c r="K97" s="31">
        <v>43280</v>
      </c>
      <c r="L97" s="30" t="s">
        <v>264</v>
      </c>
      <c r="M97" s="31">
        <v>43280</v>
      </c>
      <c r="N97" s="31">
        <v>43280</v>
      </c>
      <c r="O97" s="32">
        <v>43280</v>
      </c>
      <c r="P97" s="33" t="s">
        <v>10852</v>
      </c>
      <c r="Q97" s="34" t="s">
        <v>10852</v>
      </c>
      <c r="R97" s="35">
        <v>43283</v>
      </c>
      <c r="S97" s="34" t="s">
        <v>12259</v>
      </c>
      <c r="T97" s="34">
        <v>4</v>
      </c>
      <c r="U97" s="34" t="s">
        <v>5683</v>
      </c>
      <c r="V97" s="34" t="s">
        <v>4999</v>
      </c>
      <c r="W97" s="36">
        <v>43285</v>
      </c>
      <c r="X97" s="44" t="s">
        <v>6850</v>
      </c>
      <c r="Y97" s="38">
        <v>43285</v>
      </c>
      <c r="Z97" s="39">
        <v>43286</v>
      </c>
      <c r="AA97" s="45" t="e">
        <v>#VALUE!</v>
      </c>
      <c r="AB97" s="46" t="e">
        <v>#VALUE!</v>
      </c>
      <c r="AC97" s="25" t="s">
        <v>12197</v>
      </c>
      <c r="AD97" s="42" t="s">
        <v>4999</v>
      </c>
      <c r="AE97" s="43"/>
      <c r="AF97" s="27" t="s">
        <v>4999</v>
      </c>
    </row>
    <row r="98" spans="1:32" s="2" customFormat="1" ht="12.75" x14ac:dyDescent="0.2">
      <c r="A98" s="28">
        <v>0</v>
      </c>
      <c r="B98" s="29" t="s">
        <v>12260</v>
      </c>
      <c r="C98" s="30" t="s">
        <v>3483</v>
      </c>
      <c r="D98" s="30">
        <v>180104</v>
      </c>
      <c r="E98" s="30" t="s">
        <v>12261</v>
      </c>
      <c r="F98" s="30" t="s">
        <v>6820</v>
      </c>
      <c r="G98" s="30" t="s">
        <v>6829</v>
      </c>
      <c r="H98" s="30" t="s">
        <v>12262</v>
      </c>
      <c r="I98" s="30" t="s">
        <v>12263</v>
      </c>
      <c r="J98" s="30" t="s">
        <v>12264</v>
      </c>
      <c r="K98" s="31">
        <v>43284</v>
      </c>
      <c r="L98" s="30" t="s">
        <v>264</v>
      </c>
      <c r="M98" s="31">
        <v>43284</v>
      </c>
      <c r="N98" s="31">
        <v>43284</v>
      </c>
      <c r="O98" s="32" t="s">
        <v>8143</v>
      </c>
      <c r="P98" s="33" t="s">
        <v>8143</v>
      </c>
      <c r="Q98" s="34" t="s">
        <v>8143</v>
      </c>
      <c r="R98" s="35" t="s">
        <v>8143</v>
      </c>
      <c r="S98" s="34" t="s">
        <v>8143</v>
      </c>
      <c r="T98" s="34" t="s">
        <v>8143</v>
      </c>
      <c r="U98" s="34" t="s">
        <v>8143</v>
      </c>
      <c r="V98" s="34" t="s">
        <v>8143</v>
      </c>
      <c r="W98" s="36" t="s">
        <v>8143</v>
      </c>
      <c r="X98" s="44" t="s">
        <v>8143</v>
      </c>
      <c r="Y98" s="38" t="s">
        <v>8143</v>
      </c>
      <c r="Z98" s="39" t="s">
        <v>8143</v>
      </c>
      <c r="AA98" s="45" t="e">
        <v>#VALUE!</v>
      </c>
      <c r="AB98" s="46" t="e">
        <v>#VALUE!</v>
      </c>
      <c r="AC98" s="25" t="s">
        <v>8143</v>
      </c>
      <c r="AD98" s="42" t="s">
        <v>8143</v>
      </c>
      <c r="AE98" s="43"/>
      <c r="AF98" s="27" t="s">
        <v>7575</v>
      </c>
    </row>
    <row r="99" spans="1:32" s="2" customFormat="1" ht="12.75" x14ac:dyDescent="0.2">
      <c r="A99" s="28">
        <v>1</v>
      </c>
      <c r="B99" s="29" t="s">
        <v>12265</v>
      </c>
      <c r="C99" s="30" t="s">
        <v>9377</v>
      </c>
      <c r="D99" s="30" t="s">
        <v>5683</v>
      </c>
      <c r="E99" s="30" t="s">
        <v>12266</v>
      </c>
      <c r="F99" s="30" t="s">
        <v>6820</v>
      </c>
      <c r="G99" s="30" t="s">
        <v>6829</v>
      </c>
      <c r="H99" s="30" t="s">
        <v>12267</v>
      </c>
      <c r="I99" s="30" t="s">
        <v>12268</v>
      </c>
      <c r="J99" s="30" t="s">
        <v>8268</v>
      </c>
      <c r="K99" s="31" t="s">
        <v>5683</v>
      </c>
      <c r="L99" s="30" t="s">
        <v>5683</v>
      </c>
      <c r="M99" s="31" t="s">
        <v>5683</v>
      </c>
      <c r="N99" s="31" t="s">
        <v>5683</v>
      </c>
      <c r="O99" s="32" t="s">
        <v>5683</v>
      </c>
      <c r="P99" s="33" t="s">
        <v>10852</v>
      </c>
      <c r="Q99" s="34" t="s">
        <v>5683</v>
      </c>
      <c r="R99" s="35" t="s">
        <v>5683</v>
      </c>
      <c r="S99" s="34" t="s">
        <v>5683</v>
      </c>
      <c r="T99" s="34" t="s">
        <v>5683</v>
      </c>
      <c r="U99" s="34" t="s">
        <v>5683</v>
      </c>
      <c r="V99" s="34" t="s">
        <v>4999</v>
      </c>
      <c r="W99" s="36">
        <v>43486</v>
      </c>
      <c r="X99" s="44"/>
      <c r="Y99" s="38"/>
      <c r="Z99" s="39"/>
      <c r="AA99" s="45" t="e">
        <v>#VALUE!</v>
      </c>
      <c r="AB99" s="46" t="e">
        <v>#VALUE!</v>
      </c>
      <c r="AC99" s="25" t="s">
        <v>5683</v>
      </c>
      <c r="AD99" s="42"/>
      <c r="AE99" s="43"/>
      <c r="AF99" s="27"/>
    </row>
    <row r="100" spans="1:32" s="2" customFormat="1" ht="12.75" x14ac:dyDescent="0.2">
      <c r="A100" s="28">
        <v>0</v>
      </c>
      <c r="B100" s="29" t="s">
        <v>12265</v>
      </c>
      <c r="C100" s="30" t="s">
        <v>9377</v>
      </c>
      <c r="D100" s="30">
        <v>180107</v>
      </c>
      <c r="E100" s="30" t="s">
        <v>12269</v>
      </c>
      <c r="F100" s="30" t="s">
        <v>6820</v>
      </c>
      <c r="G100" s="30" t="s">
        <v>6829</v>
      </c>
      <c r="H100" s="30" t="s">
        <v>12267</v>
      </c>
      <c r="I100" s="30" t="s">
        <v>12268</v>
      </c>
      <c r="J100" s="30" t="s">
        <v>8268</v>
      </c>
      <c r="K100" s="31">
        <v>43285</v>
      </c>
      <c r="L100" s="30" t="s">
        <v>264</v>
      </c>
      <c r="M100" s="31">
        <v>43285</v>
      </c>
      <c r="N100" s="31">
        <v>43285</v>
      </c>
      <c r="O100" s="32">
        <v>43286</v>
      </c>
      <c r="P100" s="33" t="s">
        <v>10852</v>
      </c>
      <c r="Q100" s="34" t="s">
        <v>10852</v>
      </c>
      <c r="R100" s="35">
        <v>43286</v>
      </c>
      <c r="S100" s="34" t="s">
        <v>12270</v>
      </c>
      <c r="T100" s="34">
        <v>1</v>
      </c>
      <c r="U100" s="34" t="s">
        <v>5683</v>
      </c>
      <c r="V100" s="34" t="s">
        <v>4999</v>
      </c>
      <c r="W100" s="36">
        <v>43287</v>
      </c>
      <c r="X100" s="44" t="s">
        <v>6850</v>
      </c>
      <c r="Y100" s="38">
        <v>43287</v>
      </c>
      <c r="Z100" s="39">
        <v>43287</v>
      </c>
      <c r="AA100" s="45" t="e">
        <v>#VALUE!</v>
      </c>
      <c r="AB100" s="46" t="e">
        <v>#VALUE!</v>
      </c>
      <c r="AC100" s="25" t="s">
        <v>12197</v>
      </c>
      <c r="AD100" s="42" t="s">
        <v>4999</v>
      </c>
      <c r="AE100" s="43"/>
      <c r="AF100" s="27" t="s">
        <v>4999</v>
      </c>
    </row>
    <row r="101" spans="1:32" s="2" customFormat="1" ht="12.75" x14ac:dyDescent="0.2">
      <c r="A101" s="28">
        <v>1</v>
      </c>
      <c r="B101" s="29" t="s">
        <v>12271</v>
      </c>
      <c r="C101" s="30" t="s">
        <v>11057</v>
      </c>
      <c r="D101" s="30" t="s">
        <v>5683</v>
      </c>
      <c r="E101" s="30" t="s">
        <v>12272</v>
      </c>
      <c r="F101" s="30" t="s">
        <v>6820</v>
      </c>
      <c r="G101" s="30" t="s">
        <v>6829</v>
      </c>
      <c r="H101" s="30" t="s">
        <v>2490</v>
      </c>
      <c r="I101" s="30" t="s">
        <v>12083</v>
      </c>
      <c r="J101" s="30" t="s">
        <v>8808</v>
      </c>
      <c r="K101" s="31" t="s">
        <v>5683</v>
      </c>
      <c r="L101" s="30" t="s">
        <v>5683</v>
      </c>
      <c r="M101" s="31" t="s">
        <v>5683</v>
      </c>
      <c r="N101" s="31" t="s">
        <v>5683</v>
      </c>
      <c r="O101" s="32" t="s">
        <v>5683</v>
      </c>
      <c r="P101" s="33" t="s">
        <v>10852</v>
      </c>
      <c r="Q101" s="34" t="s">
        <v>5683</v>
      </c>
      <c r="R101" s="35" t="s">
        <v>5683</v>
      </c>
      <c r="S101" s="34" t="s">
        <v>5683</v>
      </c>
      <c r="T101" s="34" t="s">
        <v>5683</v>
      </c>
      <c r="U101" s="34" t="s">
        <v>5683</v>
      </c>
      <c r="V101" s="34" t="s">
        <v>4999</v>
      </c>
      <c r="W101" s="36">
        <v>43494</v>
      </c>
      <c r="X101" s="44"/>
      <c r="Y101" s="38"/>
      <c r="Z101" s="39"/>
      <c r="AA101" s="45" t="e">
        <v>#VALUE!</v>
      </c>
      <c r="AB101" s="46" t="e">
        <v>#VALUE!</v>
      </c>
      <c r="AC101" s="25"/>
      <c r="AD101" s="42"/>
      <c r="AE101" s="43"/>
      <c r="AF101" s="27"/>
    </row>
    <row r="102" spans="1:32" s="2" customFormat="1" ht="12.75" x14ac:dyDescent="0.2">
      <c r="A102" s="28">
        <v>0</v>
      </c>
      <c r="B102" s="29" t="s">
        <v>12271</v>
      </c>
      <c r="C102" s="30" t="s">
        <v>11057</v>
      </c>
      <c r="D102" s="30">
        <v>180112</v>
      </c>
      <c r="E102" s="30" t="s">
        <v>12273</v>
      </c>
      <c r="F102" s="30" t="s">
        <v>6820</v>
      </c>
      <c r="G102" s="30" t="s">
        <v>6829</v>
      </c>
      <c r="H102" s="30" t="s">
        <v>2490</v>
      </c>
      <c r="I102" s="30" t="s">
        <v>12083</v>
      </c>
      <c r="J102" s="30" t="s">
        <v>8808</v>
      </c>
      <c r="K102" s="31">
        <v>43286</v>
      </c>
      <c r="L102" s="30" t="s">
        <v>264</v>
      </c>
      <c r="M102" s="31">
        <v>43286</v>
      </c>
      <c r="N102" s="31">
        <v>43286</v>
      </c>
      <c r="O102" s="32">
        <v>43291</v>
      </c>
      <c r="P102" s="33" t="s">
        <v>10852</v>
      </c>
      <c r="Q102" s="34" t="s">
        <v>10852</v>
      </c>
      <c r="R102" s="35">
        <v>43291</v>
      </c>
      <c r="S102" s="34" t="s">
        <v>11060</v>
      </c>
      <c r="T102" s="34">
        <v>4</v>
      </c>
      <c r="U102" s="34" t="s">
        <v>5683</v>
      </c>
      <c r="V102" s="34" t="s">
        <v>4999</v>
      </c>
      <c r="W102" s="36">
        <v>43292</v>
      </c>
      <c r="X102" s="44" t="s">
        <v>6850</v>
      </c>
      <c r="Y102" s="38">
        <v>43292</v>
      </c>
      <c r="Z102" s="39">
        <v>43293</v>
      </c>
      <c r="AA102" s="45" t="e">
        <v>#VALUE!</v>
      </c>
      <c r="AB102" s="46" t="e">
        <v>#VALUE!</v>
      </c>
      <c r="AC102" s="25" t="s">
        <v>12197</v>
      </c>
      <c r="AD102" s="42" t="s">
        <v>4999</v>
      </c>
      <c r="AE102" s="43"/>
      <c r="AF102" s="27" t="s">
        <v>4999</v>
      </c>
    </row>
    <row r="103" spans="1:32" s="2" customFormat="1" ht="12.75" x14ac:dyDescent="0.2">
      <c r="A103" s="28">
        <v>1</v>
      </c>
      <c r="B103" s="29" t="s">
        <v>12274</v>
      </c>
      <c r="C103" s="30" t="s">
        <v>8369</v>
      </c>
      <c r="D103" s="30" t="s">
        <v>5683</v>
      </c>
      <c r="E103" s="30" t="s">
        <v>12275</v>
      </c>
      <c r="F103" s="30" t="s">
        <v>6820</v>
      </c>
      <c r="G103" s="30" t="s">
        <v>6829</v>
      </c>
      <c r="H103" s="30" t="s">
        <v>12276</v>
      </c>
      <c r="I103" s="30" t="s">
        <v>12277</v>
      </c>
      <c r="J103" s="30" t="s">
        <v>12278</v>
      </c>
      <c r="K103" s="31"/>
      <c r="L103" s="30" t="s">
        <v>5683</v>
      </c>
      <c r="M103" s="31" t="s">
        <v>5683</v>
      </c>
      <c r="N103" s="31" t="s">
        <v>5683</v>
      </c>
      <c r="O103" s="32" t="s">
        <v>5683</v>
      </c>
      <c r="P103" s="33" t="s">
        <v>10852</v>
      </c>
      <c r="Q103" s="34" t="s">
        <v>5683</v>
      </c>
      <c r="R103" s="35" t="s">
        <v>5683</v>
      </c>
      <c r="S103" s="34" t="s">
        <v>5683</v>
      </c>
      <c r="T103" s="34" t="s">
        <v>5683</v>
      </c>
      <c r="U103" s="34" t="s">
        <v>5683</v>
      </c>
      <c r="V103" s="34" t="s">
        <v>4999</v>
      </c>
      <c r="W103" s="36">
        <v>43600</v>
      </c>
      <c r="X103" s="44"/>
      <c r="Y103" s="38"/>
      <c r="Z103" s="39"/>
      <c r="AA103" s="45" t="e">
        <v>#VALUE!</v>
      </c>
      <c r="AB103" s="46" t="e">
        <v>#VALUE!</v>
      </c>
      <c r="AC103" s="25"/>
      <c r="AD103" s="42"/>
      <c r="AE103" s="43"/>
      <c r="AF103" s="27"/>
    </row>
    <row r="104" spans="1:32" s="2" customFormat="1" ht="12.75" x14ac:dyDescent="0.2">
      <c r="A104" s="28">
        <v>0</v>
      </c>
      <c r="B104" s="29" t="s">
        <v>12274</v>
      </c>
      <c r="C104" s="30" t="s">
        <v>8369</v>
      </c>
      <c r="D104" s="30">
        <v>180108</v>
      </c>
      <c r="E104" s="30" t="s">
        <v>12279</v>
      </c>
      <c r="F104" s="30" t="s">
        <v>6820</v>
      </c>
      <c r="G104" s="30" t="s">
        <v>6829</v>
      </c>
      <c r="H104" s="30" t="s">
        <v>12276</v>
      </c>
      <c r="I104" s="30" t="s">
        <v>12277</v>
      </c>
      <c r="J104" s="30" t="s">
        <v>12278</v>
      </c>
      <c r="K104" s="31">
        <v>43285</v>
      </c>
      <c r="L104" s="30" t="s">
        <v>264</v>
      </c>
      <c r="M104" s="31">
        <v>43285</v>
      </c>
      <c r="N104" s="31">
        <v>43285</v>
      </c>
      <c r="O104" s="32">
        <v>43285</v>
      </c>
      <c r="P104" s="33" t="s">
        <v>10852</v>
      </c>
      <c r="Q104" s="34" t="s">
        <v>10852</v>
      </c>
      <c r="R104" s="35">
        <v>43287</v>
      </c>
      <c r="S104" s="34" t="s">
        <v>5954</v>
      </c>
      <c r="T104" s="34">
        <v>1</v>
      </c>
      <c r="U104" s="34" t="s">
        <v>5683</v>
      </c>
      <c r="V104" s="34" t="s">
        <v>4999</v>
      </c>
      <c r="W104" s="36">
        <v>43292</v>
      </c>
      <c r="X104" s="44" t="s">
        <v>6850</v>
      </c>
      <c r="Y104" s="38">
        <v>43292</v>
      </c>
      <c r="Z104" s="39">
        <v>43293</v>
      </c>
      <c r="AA104" s="45" t="e">
        <v>#VALUE!</v>
      </c>
      <c r="AB104" s="46" t="e">
        <v>#VALUE!</v>
      </c>
      <c r="AC104" s="25" t="s">
        <v>12197</v>
      </c>
      <c r="AD104" s="42" t="s">
        <v>4999</v>
      </c>
      <c r="AE104" s="43"/>
      <c r="AF104" s="27" t="s">
        <v>4999</v>
      </c>
    </row>
    <row r="105" spans="1:32" s="2" customFormat="1" ht="12.75" x14ac:dyDescent="0.2">
      <c r="A105" s="28">
        <v>1</v>
      </c>
      <c r="B105" s="29" t="s">
        <v>12280</v>
      </c>
      <c r="C105" s="30" t="s">
        <v>8369</v>
      </c>
      <c r="D105" s="30" t="s">
        <v>5683</v>
      </c>
      <c r="E105" s="30" t="s">
        <v>12281</v>
      </c>
      <c r="F105" s="30" t="s">
        <v>6820</v>
      </c>
      <c r="G105" s="30" t="s">
        <v>6829</v>
      </c>
      <c r="H105" s="30" t="s">
        <v>12282</v>
      </c>
      <c r="I105" s="30" t="s">
        <v>12283</v>
      </c>
      <c r="J105" s="30" t="s">
        <v>127</v>
      </c>
      <c r="K105" s="31" t="s">
        <v>5683</v>
      </c>
      <c r="L105" s="30" t="s">
        <v>5683</v>
      </c>
      <c r="M105" s="31" t="s">
        <v>5683</v>
      </c>
      <c r="N105" s="31" t="s">
        <v>5683</v>
      </c>
      <c r="O105" s="32" t="s">
        <v>5683</v>
      </c>
      <c r="P105" s="33" t="s">
        <v>10852</v>
      </c>
      <c r="Q105" s="34" t="s">
        <v>5683</v>
      </c>
      <c r="R105" s="35" t="s">
        <v>5683</v>
      </c>
      <c r="S105" s="34" t="s">
        <v>5683</v>
      </c>
      <c r="T105" s="34" t="s">
        <v>5683</v>
      </c>
      <c r="U105" s="34" t="s">
        <v>5683</v>
      </c>
      <c r="V105" s="34" t="s">
        <v>4999</v>
      </c>
      <c r="W105" s="36">
        <v>43608</v>
      </c>
      <c r="X105" s="44"/>
      <c r="Y105" s="38"/>
      <c r="Z105" s="39"/>
      <c r="AA105" s="45"/>
      <c r="AB105" s="46"/>
      <c r="AC105" s="25"/>
      <c r="AD105" s="42"/>
      <c r="AE105" s="43"/>
      <c r="AF105" s="27"/>
    </row>
    <row r="106" spans="1:32" s="2" customFormat="1" ht="12.75" x14ac:dyDescent="0.2">
      <c r="A106" s="28">
        <v>0</v>
      </c>
      <c r="B106" s="29" t="s">
        <v>12280</v>
      </c>
      <c r="C106" s="30" t="s">
        <v>8369</v>
      </c>
      <c r="D106" s="30">
        <v>180108</v>
      </c>
      <c r="E106" s="30" t="s">
        <v>12284</v>
      </c>
      <c r="F106" s="30" t="s">
        <v>6820</v>
      </c>
      <c r="G106" s="30" t="s">
        <v>6829</v>
      </c>
      <c r="H106" s="30" t="s">
        <v>12282</v>
      </c>
      <c r="I106" s="30" t="s">
        <v>12283</v>
      </c>
      <c r="J106" s="30" t="s">
        <v>127</v>
      </c>
      <c r="K106" s="31">
        <v>43285</v>
      </c>
      <c r="L106" s="30" t="s">
        <v>264</v>
      </c>
      <c r="M106" s="31">
        <v>43285</v>
      </c>
      <c r="N106" s="31">
        <v>43285</v>
      </c>
      <c r="O106" s="32">
        <v>43285</v>
      </c>
      <c r="P106" s="33" t="s">
        <v>10852</v>
      </c>
      <c r="Q106" s="34" t="s">
        <v>10852</v>
      </c>
      <c r="R106" s="35">
        <v>43287</v>
      </c>
      <c r="S106" s="34" t="s">
        <v>9018</v>
      </c>
      <c r="T106" s="34">
        <v>1</v>
      </c>
      <c r="U106" s="34" t="s">
        <v>5683</v>
      </c>
      <c r="V106" s="34" t="s">
        <v>4999</v>
      </c>
      <c r="W106" s="36">
        <v>43292</v>
      </c>
      <c r="X106" s="44" t="s">
        <v>6850</v>
      </c>
      <c r="Y106" s="38">
        <v>43292</v>
      </c>
      <c r="Z106" s="39">
        <v>43293</v>
      </c>
      <c r="AA106" s="45" t="e">
        <v>#VALUE!</v>
      </c>
      <c r="AB106" s="46" t="e">
        <v>#VALUE!</v>
      </c>
      <c r="AC106" s="25" t="s">
        <v>12197</v>
      </c>
      <c r="AD106" s="42" t="s">
        <v>4999</v>
      </c>
      <c r="AE106" s="43"/>
      <c r="AF106" s="27" t="s">
        <v>4999</v>
      </c>
    </row>
    <row r="107" spans="1:32" s="2" customFormat="1" ht="12.75" x14ac:dyDescent="0.2">
      <c r="A107" s="28">
        <v>1</v>
      </c>
      <c r="B107" s="29" t="s">
        <v>12285</v>
      </c>
      <c r="C107" s="30" t="s">
        <v>8369</v>
      </c>
      <c r="D107" s="30" t="s">
        <v>5683</v>
      </c>
      <c r="E107" s="30" t="s">
        <v>12286</v>
      </c>
      <c r="F107" s="30" t="s">
        <v>6820</v>
      </c>
      <c r="G107" s="30" t="s">
        <v>6829</v>
      </c>
      <c r="H107" s="30" t="s">
        <v>7252</v>
      </c>
      <c r="I107" s="30" t="s">
        <v>12287</v>
      </c>
      <c r="J107" s="30" t="s">
        <v>12288</v>
      </c>
      <c r="K107" s="31" t="s">
        <v>5683</v>
      </c>
      <c r="L107" s="30" t="s">
        <v>5683</v>
      </c>
      <c r="M107" s="31" t="s">
        <v>5683</v>
      </c>
      <c r="N107" s="31" t="s">
        <v>5683</v>
      </c>
      <c r="O107" s="32" t="s">
        <v>5683</v>
      </c>
      <c r="P107" s="33" t="s">
        <v>10852</v>
      </c>
      <c r="Q107" s="34" t="s">
        <v>5683</v>
      </c>
      <c r="R107" s="35" t="s">
        <v>5683</v>
      </c>
      <c r="S107" s="34" t="s">
        <v>5683</v>
      </c>
      <c r="T107" s="34" t="s">
        <v>5683</v>
      </c>
      <c r="U107" s="34" t="s">
        <v>5683</v>
      </c>
      <c r="V107" s="34" t="s">
        <v>4999</v>
      </c>
      <c r="W107" s="36">
        <v>43592</v>
      </c>
      <c r="X107" s="44"/>
      <c r="Y107" s="38"/>
      <c r="Z107" s="39"/>
      <c r="AA107" s="45" t="e">
        <v>#VALUE!</v>
      </c>
      <c r="AB107" s="46" t="e">
        <v>#VALUE!</v>
      </c>
      <c r="AC107" s="25"/>
      <c r="AD107" s="42"/>
      <c r="AE107" s="43"/>
      <c r="AF107" s="27"/>
    </row>
    <row r="108" spans="1:32" s="2" customFormat="1" ht="12.75" x14ac:dyDescent="0.2">
      <c r="A108" s="28">
        <v>0</v>
      </c>
      <c r="B108" s="29" t="s">
        <v>12285</v>
      </c>
      <c r="C108" s="30" t="s">
        <v>8369</v>
      </c>
      <c r="D108" s="30">
        <v>180108</v>
      </c>
      <c r="E108" s="30" t="s">
        <v>12289</v>
      </c>
      <c r="F108" s="30" t="s">
        <v>6820</v>
      </c>
      <c r="G108" s="30" t="s">
        <v>6829</v>
      </c>
      <c r="H108" s="30" t="s">
        <v>7252</v>
      </c>
      <c r="I108" s="30" t="s">
        <v>12287</v>
      </c>
      <c r="J108" s="30" t="s">
        <v>12288</v>
      </c>
      <c r="K108" s="31">
        <v>43285</v>
      </c>
      <c r="L108" s="30" t="s">
        <v>264</v>
      </c>
      <c r="M108" s="31">
        <v>43285</v>
      </c>
      <c r="N108" s="31">
        <v>43285</v>
      </c>
      <c r="O108" s="32">
        <v>43285</v>
      </c>
      <c r="P108" s="33" t="s">
        <v>10852</v>
      </c>
      <c r="Q108" s="34" t="s">
        <v>10852</v>
      </c>
      <c r="R108" s="35">
        <v>43287</v>
      </c>
      <c r="S108" s="34" t="s">
        <v>12290</v>
      </c>
      <c r="T108" s="34">
        <v>1</v>
      </c>
      <c r="U108" s="34" t="s">
        <v>5683</v>
      </c>
      <c r="V108" s="34" t="s">
        <v>4999</v>
      </c>
      <c r="W108" s="36">
        <v>43293</v>
      </c>
      <c r="X108" s="44" t="s">
        <v>6850</v>
      </c>
      <c r="Y108" s="38">
        <v>43293</v>
      </c>
      <c r="Z108" s="39">
        <v>43293</v>
      </c>
      <c r="AA108" s="45" t="e">
        <v>#VALUE!</v>
      </c>
      <c r="AB108" s="46" t="e">
        <v>#VALUE!</v>
      </c>
      <c r="AC108" s="25" t="s">
        <v>12197</v>
      </c>
      <c r="AD108" s="42" t="s">
        <v>4999</v>
      </c>
      <c r="AE108" s="43"/>
      <c r="AF108" s="27" t="s">
        <v>4999</v>
      </c>
    </row>
    <row r="109" spans="1:32" s="2" customFormat="1" ht="12.75" x14ac:dyDescent="0.2">
      <c r="A109" s="28">
        <v>1</v>
      </c>
      <c r="B109" s="29" t="s">
        <v>12291</v>
      </c>
      <c r="C109" s="30" t="s">
        <v>8369</v>
      </c>
      <c r="D109" s="30" t="s">
        <v>5683</v>
      </c>
      <c r="E109" s="30" t="s">
        <v>12292</v>
      </c>
      <c r="F109" s="30" t="s">
        <v>6820</v>
      </c>
      <c r="G109" s="30" t="s">
        <v>6829</v>
      </c>
      <c r="H109" s="30" t="s">
        <v>12293</v>
      </c>
      <c r="I109" s="30" t="s">
        <v>12294</v>
      </c>
      <c r="J109" s="30" t="s">
        <v>12295</v>
      </c>
      <c r="K109" s="31" t="s">
        <v>5683</v>
      </c>
      <c r="L109" s="30" t="s">
        <v>5683</v>
      </c>
      <c r="M109" s="31" t="s">
        <v>5683</v>
      </c>
      <c r="N109" s="31" t="s">
        <v>5683</v>
      </c>
      <c r="O109" s="32" t="s">
        <v>5683</v>
      </c>
      <c r="P109" s="33" t="s">
        <v>10852</v>
      </c>
      <c r="Q109" s="34" t="s">
        <v>5683</v>
      </c>
      <c r="R109" s="35" t="s">
        <v>5683</v>
      </c>
      <c r="S109" s="34" t="s">
        <v>5683</v>
      </c>
      <c r="T109" s="34" t="s">
        <v>5683</v>
      </c>
      <c r="U109" s="34" t="s">
        <v>5683</v>
      </c>
      <c r="V109" s="34" t="s">
        <v>4999</v>
      </c>
      <c r="W109" s="36">
        <v>43608</v>
      </c>
      <c r="X109" s="44"/>
      <c r="Y109" s="38"/>
      <c r="Z109" s="39"/>
      <c r="AA109" s="45"/>
      <c r="AB109" s="46"/>
      <c r="AC109" s="25"/>
      <c r="AD109" s="42"/>
      <c r="AE109" s="43"/>
      <c r="AF109" s="27"/>
    </row>
    <row r="110" spans="1:32" s="2" customFormat="1" ht="12.75" x14ac:dyDescent="0.2">
      <c r="A110" s="28">
        <v>0</v>
      </c>
      <c r="B110" s="29" t="s">
        <v>12291</v>
      </c>
      <c r="C110" s="30" t="s">
        <v>8369</v>
      </c>
      <c r="D110" s="30">
        <v>180108</v>
      </c>
      <c r="E110" s="30" t="s">
        <v>12296</v>
      </c>
      <c r="F110" s="30" t="s">
        <v>6820</v>
      </c>
      <c r="G110" s="30" t="s">
        <v>6829</v>
      </c>
      <c r="H110" s="30" t="s">
        <v>12293</v>
      </c>
      <c r="I110" s="30" t="s">
        <v>12294</v>
      </c>
      <c r="J110" s="30" t="s">
        <v>12295</v>
      </c>
      <c r="K110" s="31">
        <v>43285</v>
      </c>
      <c r="L110" s="30" t="s">
        <v>264</v>
      </c>
      <c r="M110" s="31">
        <v>43285</v>
      </c>
      <c r="N110" s="31">
        <v>43285</v>
      </c>
      <c r="O110" s="32">
        <v>43285</v>
      </c>
      <c r="P110" s="33" t="s">
        <v>10852</v>
      </c>
      <c r="Q110" s="34" t="s">
        <v>10852</v>
      </c>
      <c r="R110" s="35">
        <v>43287</v>
      </c>
      <c r="S110" s="34" t="s">
        <v>6802</v>
      </c>
      <c r="T110" s="34">
        <v>1</v>
      </c>
      <c r="U110" s="34" t="s">
        <v>5683</v>
      </c>
      <c r="V110" s="34" t="s">
        <v>4999</v>
      </c>
      <c r="W110" s="36">
        <v>43293</v>
      </c>
      <c r="X110" s="44" t="s">
        <v>6850</v>
      </c>
      <c r="Y110" s="38">
        <v>43293</v>
      </c>
      <c r="Z110" s="39">
        <v>43293</v>
      </c>
      <c r="AA110" s="45" t="e">
        <v>#VALUE!</v>
      </c>
      <c r="AB110" s="46" t="e">
        <v>#VALUE!</v>
      </c>
      <c r="AC110" s="25" t="s">
        <v>12197</v>
      </c>
      <c r="AD110" s="42" t="s">
        <v>4999</v>
      </c>
      <c r="AE110" s="43"/>
      <c r="AF110" s="27" t="s">
        <v>4999</v>
      </c>
    </row>
    <row r="111" spans="1:32" s="2" customFormat="1" ht="12.75" x14ac:dyDescent="0.2">
      <c r="A111" s="28">
        <v>1</v>
      </c>
      <c r="B111" s="29" t="s">
        <v>12297</v>
      </c>
      <c r="C111" s="30" t="s">
        <v>6169</v>
      </c>
      <c r="D111" s="30" t="s">
        <v>5683</v>
      </c>
      <c r="E111" s="30" t="s">
        <v>12298</v>
      </c>
      <c r="F111" s="30" t="s">
        <v>6820</v>
      </c>
      <c r="G111" s="30" t="s">
        <v>6829</v>
      </c>
      <c r="H111" s="30" t="s">
        <v>12299</v>
      </c>
      <c r="I111" s="30" t="s">
        <v>5994</v>
      </c>
      <c r="J111" s="30" t="s">
        <v>12300</v>
      </c>
      <c r="K111" s="31" t="s">
        <v>5683</v>
      </c>
      <c r="L111" s="31" t="s">
        <v>5683</v>
      </c>
      <c r="M111" s="31" t="s">
        <v>5683</v>
      </c>
      <c r="N111" s="31" t="s">
        <v>5683</v>
      </c>
      <c r="O111" s="32" t="s">
        <v>5683</v>
      </c>
      <c r="P111" s="33" t="s">
        <v>10852</v>
      </c>
      <c r="Q111" s="34" t="s">
        <v>5683</v>
      </c>
      <c r="R111" s="35" t="s">
        <v>5683</v>
      </c>
      <c r="S111" s="34" t="s">
        <v>5683</v>
      </c>
      <c r="T111" s="34" t="s">
        <v>5683</v>
      </c>
      <c r="U111" s="34" t="s">
        <v>5683</v>
      </c>
      <c r="V111" s="34" t="s">
        <v>4999</v>
      </c>
      <c r="W111" s="36">
        <v>43481</v>
      </c>
      <c r="X111" s="44"/>
      <c r="Y111" s="38"/>
      <c r="Z111" s="39"/>
      <c r="AA111" s="45" t="e">
        <v>#VALUE!</v>
      </c>
      <c r="AB111" s="46" t="e">
        <v>#VALUE!</v>
      </c>
      <c r="AC111" s="25" t="s">
        <v>5683</v>
      </c>
      <c r="AD111" s="42"/>
      <c r="AE111" s="43"/>
      <c r="AF111" s="27"/>
    </row>
    <row r="112" spans="1:32" s="2" customFormat="1" ht="12.75" x14ac:dyDescent="0.2">
      <c r="A112" s="28">
        <v>0</v>
      </c>
      <c r="B112" s="29" t="s">
        <v>12297</v>
      </c>
      <c r="C112" s="30" t="s">
        <v>6169</v>
      </c>
      <c r="D112" s="30">
        <v>180113</v>
      </c>
      <c r="E112" s="30" t="s">
        <v>12301</v>
      </c>
      <c r="F112" s="30" t="s">
        <v>6820</v>
      </c>
      <c r="G112" s="30" t="s">
        <v>6829</v>
      </c>
      <c r="H112" s="30" t="s">
        <v>12299</v>
      </c>
      <c r="I112" s="30" t="s">
        <v>5994</v>
      </c>
      <c r="J112" s="30" t="s">
        <v>12300</v>
      </c>
      <c r="K112" s="31">
        <v>43287</v>
      </c>
      <c r="L112" s="31" t="s">
        <v>264</v>
      </c>
      <c r="M112" s="31">
        <v>43287</v>
      </c>
      <c r="N112" s="31">
        <v>43287</v>
      </c>
      <c r="O112" s="32">
        <v>43287</v>
      </c>
      <c r="P112" s="33" t="s">
        <v>10852</v>
      </c>
      <c r="Q112" s="34" t="s">
        <v>10852</v>
      </c>
      <c r="R112" s="35">
        <v>43286</v>
      </c>
      <c r="S112" s="34" t="s">
        <v>5995</v>
      </c>
      <c r="T112" s="34">
        <v>4</v>
      </c>
      <c r="U112" s="34" t="s">
        <v>5683</v>
      </c>
      <c r="V112" s="34" t="s">
        <v>4999</v>
      </c>
      <c r="W112" s="36">
        <v>43292</v>
      </c>
      <c r="X112" s="44" t="s">
        <v>6850</v>
      </c>
      <c r="Y112" s="38">
        <v>43292</v>
      </c>
      <c r="Z112" s="39">
        <v>43292</v>
      </c>
      <c r="AA112" s="45" t="e">
        <v>#VALUE!</v>
      </c>
      <c r="AB112" s="46" t="e">
        <v>#VALUE!</v>
      </c>
      <c r="AC112" s="25" t="s">
        <v>12197</v>
      </c>
      <c r="AD112" s="42" t="s">
        <v>4999</v>
      </c>
      <c r="AE112" s="43"/>
      <c r="AF112" s="27" t="s">
        <v>4999</v>
      </c>
    </row>
    <row r="113" spans="1:32" s="2" customFormat="1" ht="25.5" x14ac:dyDescent="0.2">
      <c r="A113" s="28">
        <v>1</v>
      </c>
      <c r="B113" s="49" t="s">
        <v>12302</v>
      </c>
      <c r="C113" s="50" t="s">
        <v>9361</v>
      </c>
      <c r="D113" s="50" t="s">
        <v>5683</v>
      </c>
      <c r="E113" s="50" t="s">
        <v>12303</v>
      </c>
      <c r="F113" s="50" t="s">
        <v>6820</v>
      </c>
      <c r="G113" s="50" t="s">
        <v>6829</v>
      </c>
      <c r="H113" s="50" t="s">
        <v>9369</v>
      </c>
      <c r="I113" s="50" t="s">
        <v>12304</v>
      </c>
      <c r="J113" s="50" t="s">
        <v>9596</v>
      </c>
      <c r="K113" s="51" t="s">
        <v>5683</v>
      </c>
      <c r="L113" s="50" t="s">
        <v>5683</v>
      </c>
      <c r="M113" s="51" t="s">
        <v>5683</v>
      </c>
      <c r="N113" s="51" t="s">
        <v>5683</v>
      </c>
      <c r="O113" s="52" t="s">
        <v>5683</v>
      </c>
      <c r="P113" s="33" t="s">
        <v>10852</v>
      </c>
      <c r="Q113" s="34" t="s">
        <v>5683</v>
      </c>
      <c r="R113" s="35" t="s">
        <v>5683</v>
      </c>
      <c r="S113" s="34" t="s">
        <v>5683</v>
      </c>
      <c r="T113" s="34" t="s">
        <v>5683</v>
      </c>
      <c r="U113" s="34" t="s">
        <v>5683</v>
      </c>
      <c r="V113" s="34" t="s">
        <v>4999</v>
      </c>
      <c r="W113" s="36">
        <v>43487</v>
      </c>
      <c r="X113" s="44"/>
      <c r="Y113" s="38"/>
      <c r="Z113" s="39"/>
      <c r="AA113" s="45" t="e">
        <v>#VALUE!</v>
      </c>
      <c r="AB113" s="46" t="e">
        <v>#VALUE!</v>
      </c>
      <c r="AC113" s="53" t="s">
        <v>5683</v>
      </c>
      <c r="AD113" s="54"/>
      <c r="AE113" s="55"/>
    </row>
    <row r="114" spans="1:32" s="2" customFormat="1" ht="25.5" x14ac:dyDescent="0.2">
      <c r="A114" s="28">
        <v>0</v>
      </c>
      <c r="B114" s="49" t="s">
        <v>12302</v>
      </c>
      <c r="C114" s="50" t="s">
        <v>9361</v>
      </c>
      <c r="D114" s="50">
        <v>180088</v>
      </c>
      <c r="E114" s="50" t="s">
        <v>12305</v>
      </c>
      <c r="F114" s="50" t="s">
        <v>6820</v>
      </c>
      <c r="G114" s="50" t="s">
        <v>6829</v>
      </c>
      <c r="H114" s="50" t="s">
        <v>9369</v>
      </c>
      <c r="I114" s="50" t="s">
        <v>12304</v>
      </c>
      <c r="J114" s="50" t="s">
        <v>9596</v>
      </c>
      <c r="K114" s="51">
        <v>43263</v>
      </c>
      <c r="L114" s="50" t="s">
        <v>264</v>
      </c>
      <c r="M114" s="51">
        <v>43263</v>
      </c>
      <c r="N114" s="51">
        <v>43271</v>
      </c>
      <c r="O114" s="52">
        <v>43292</v>
      </c>
      <c r="P114" s="33" t="s">
        <v>10852</v>
      </c>
      <c r="Q114" s="34" t="s">
        <v>9350</v>
      </c>
      <c r="R114" s="35">
        <v>43294</v>
      </c>
      <c r="S114" s="34" t="s">
        <v>12306</v>
      </c>
      <c r="T114" s="34">
        <v>1</v>
      </c>
      <c r="U114" s="34" t="s">
        <v>5683</v>
      </c>
      <c r="V114" s="34" t="s">
        <v>4999</v>
      </c>
      <c r="W114" s="36">
        <v>43297</v>
      </c>
      <c r="X114" s="44" t="s">
        <v>6850</v>
      </c>
      <c r="Y114" s="38">
        <v>43297</v>
      </c>
      <c r="Z114" s="39">
        <v>43297</v>
      </c>
      <c r="AA114" s="45" t="e">
        <v>#VALUE!</v>
      </c>
      <c r="AB114" s="46" t="e">
        <v>#VALUE!</v>
      </c>
      <c r="AC114" s="53" t="s">
        <v>12197</v>
      </c>
      <c r="AD114" s="54" t="s">
        <v>4999</v>
      </c>
      <c r="AE114" s="55"/>
      <c r="AF114" s="2" t="s">
        <v>4999</v>
      </c>
    </row>
    <row r="115" spans="1:32" s="2" customFormat="1" ht="12.75" x14ac:dyDescent="0.2">
      <c r="A115" s="28">
        <v>2</v>
      </c>
      <c r="B115" s="29" t="s">
        <v>12307</v>
      </c>
      <c r="C115" s="30" t="s">
        <v>9024</v>
      </c>
      <c r="D115" s="30" t="s">
        <v>5683</v>
      </c>
      <c r="E115" s="30" t="s">
        <v>12308</v>
      </c>
      <c r="F115" s="30" t="s">
        <v>6820</v>
      </c>
      <c r="G115" s="30" t="s">
        <v>6829</v>
      </c>
      <c r="H115" s="30" t="s">
        <v>12309</v>
      </c>
      <c r="I115" s="30" t="s">
        <v>12310</v>
      </c>
      <c r="J115" s="30" t="s">
        <v>2937</v>
      </c>
      <c r="K115" s="31" t="s">
        <v>5683</v>
      </c>
      <c r="L115" s="30" t="s">
        <v>5683</v>
      </c>
      <c r="M115" s="31" t="s">
        <v>5683</v>
      </c>
      <c r="N115" s="31" t="s">
        <v>5683</v>
      </c>
      <c r="O115" s="32" t="s">
        <v>5683</v>
      </c>
      <c r="P115" s="33" t="s">
        <v>10852</v>
      </c>
      <c r="Q115" s="34" t="s">
        <v>5683</v>
      </c>
      <c r="R115" s="35" t="s">
        <v>5683</v>
      </c>
      <c r="S115" s="34" t="s">
        <v>5683</v>
      </c>
      <c r="T115" s="34" t="s">
        <v>5683</v>
      </c>
      <c r="U115" s="34" t="s">
        <v>5683</v>
      </c>
      <c r="V115" s="34" t="s">
        <v>4999</v>
      </c>
      <c r="W115" s="36">
        <v>43480</v>
      </c>
      <c r="X115" s="44"/>
      <c r="Y115" s="38"/>
      <c r="Z115" s="39"/>
      <c r="AA115" s="45" t="e">
        <v>#VALUE!</v>
      </c>
      <c r="AB115" s="46" t="e">
        <v>#VALUE!</v>
      </c>
      <c r="AC115" s="25" t="s">
        <v>5683</v>
      </c>
      <c r="AD115" s="42"/>
      <c r="AE115" s="43"/>
      <c r="AF115" s="27"/>
    </row>
    <row r="116" spans="1:32" s="2" customFormat="1" ht="12.75" x14ac:dyDescent="0.2">
      <c r="A116" s="28">
        <v>1</v>
      </c>
      <c r="B116" s="29" t="s">
        <v>12307</v>
      </c>
      <c r="C116" s="30" t="s">
        <v>9024</v>
      </c>
      <c r="D116" s="30" t="s">
        <v>5683</v>
      </c>
      <c r="E116" s="30" t="s">
        <v>12311</v>
      </c>
      <c r="F116" s="30" t="s">
        <v>6820</v>
      </c>
      <c r="G116" s="30" t="s">
        <v>6829</v>
      </c>
      <c r="H116" s="30" t="s">
        <v>12309</v>
      </c>
      <c r="I116" s="30" t="s">
        <v>12310</v>
      </c>
      <c r="J116" s="30" t="s">
        <v>2937</v>
      </c>
      <c r="K116" s="31" t="s">
        <v>5683</v>
      </c>
      <c r="L116" s="30" t="s">
        <v>5683</v>
      </c>
      <c r="M116" s="31" t="s">
        <v>5683</v>
      </c>
      <c r="N116" s="31" t="s">
        <v>5683</v>
      </c>
      <c r="O116" s="32" t="s">
        <v>5683</v>
      </c>
      <c r="P116" s="33" t="s">
        <v>10852</v>
      </c>
      <c r="Q116" s="34" t="s">
        <v>5683</v>
      </c>
      <c r="R116" s="35" t="s">
        <v>5683</v>
      </c>
      <c r="S116" s="34" t="s">
        <v>12312</v>
      </c>
      <c r="T116" s="34" t="s">
        <v>5683</v>
      </c>
      <c r="U116" s="34" t="s">
        <v>5683</v>
      </c>
      <c r="V116" s="34" t="s">
        <v>4999</v>
      </c>
      <c r="W116" s="36">
        <v>43308</v>
      </c>
      <c r="X116" s="44" t="s">
        <v>6850</v>
      </c>
      <c r="Y116" s="38">
        <v>43315</v>
      </c>
      <c r="Z116" s="39">
        <v>43318</v>
      </c>
      <c r="AA116" s="45" t="e">
        <v>#VALUE!</v>
      </c>
      <c r="AB116" s="46" t="e">
        <v>#VALUE!</v>
      </c>
      <c r="AC116" s="25" t="s">
        <v>5683</v>
      </c>
      <c r="AD116" s="42" t="s">
        <v>5683</v>
      </c>
      <c r="AE116" s="43"/>
      <c r="AF116" s="27"/>
    </row>
    <row r="117" spans="1:32" s="2" customFormat="1" ht="12.75" x14ac:dyDescent="0.2">
      <c r="A117" s="28">
        <v>0</v>
      </c>
      <c r="B117" s="29" t="s">
        <v>12307</v>
      </c>
      <c r="C117" s="30" t="s">
        <v>9024</v>
      </c>
      <c r="D117" s="30">
        <v>180115</v>
      </c>
      <c r="E117" s="30" t="s">
        <v>12313</v>
      </c>
      <c r="F117" s="30" t="s">
        <v>6820</v>
      </c>
      <c r="G117" s="30" t="s">
        <v>6829</v>
      </c>
      <c r="H117" s="30" t="s">
        <v>12309</v>
      </c>
      <c r="I117" s="30" t="s">
        <v>12310</v>
      </c>
      <c r="J117" s="30" t="s">
        <v>2937</v>
      </c>
      <c r="K117" s="31">
        <v>43293</v>
      </c>
      <c r="L117" s="30" t="s">
        <v>264</v>
      </c>
      <c r="M117" s="31">
        <v>43293</v>
      </c>
      <c r="N117" s="31">
        <v>43293</v>
      </c>
      <c r="O117" s="32">
        <v>43293</v>
      </c>
      <c r="P117" s="33" t="s">
        <v>10852</v>
      </c>
      <c r="Q117" s="34" t="s">
        <v>9350</v>
      </c>
      <c r="R117" s="35">
        <v>43297</v>
      </c>
      <c r="S117" s="34" t="s">
        <v>12312</v>
      </c>
      <c r="T117" s="34">
        <v>1</v>
      </c>
      <c r="U117" s="34" t="s">
        <v>5683</v>
      </c>
      <c r="V117" s="34" t="s">
        <v>4999</v>
      </c>
      <c r="W117" s="36">
        <v>43304</v>
      </c>
      <c r="X117" s="44" t="s">
        <v>6850</v>
      </c>
      <c r="Y117" s="38">
        <v>43304</v>
      </c>
      <c r="Z117" s="39">
        <v>43304</v>
      </c>
      <c r="AA117" s="45" t="e">
        <v>#VALUE!</v>
      </c>
      <c r="AB117" s="46" t="e">
        <v>#VALUE!</v>
      </c>
      <c r="AC117" s="25" t="s">
        <v>12197</v>
      </c>
      <c r="AD117" s="42" t="s">
        <v>4999</v>
      </c>
      <c r="AE117" s="43"/>
      <c r="AF117" s="27" t="s">
        <v>4999</v>
      </c>
    </row>
    <row r="118" spans="1:32" s="2" customFormat="1" ht="12.75" x14ac:dyDescent="0.2">
      <c r="A118" s="28">
        <v>1</v>
      </c>
      <c r="B118" s="29" t="s">
        <v>12314</v>
      </c>
      <c r="C118" s="30" t="s">
        <v>9024</v>
      </c>
      <c r="D118" s="30" t="s">
        <v>5683</v>
      </c>
      <c r="E118" s="30" t="s">
        <v>12315</v>
      </c>
      <c r="F118" s="30" t="s">
        <v>6820</v>
      </c>
      <c r="G118" s="30" t="s">
        <v>6829</v>
      </c>
      <c r="H118" s="30" t="s">
        <v>1544</v>
      </c>
      <c r="I118" s="30" t="s">
        <v>12316</v>
      </c>
      <c r="J118" s="30" t="s">
        <v>12317</v>
      </c>
      <c r="K118" s="31" t="s">
        <v>5683</v>
      </c>
      <c r="L118" s="30" t="s">
        <v>5683</v>
      </c>
      <c r="M118" s="31" t="s">
        <v>5683</v>
      </c>
      <c r="N118" s="31" t="s">
        <v>5683</v>
      </c>
      <c r="O118" s="32" t="s">
        <v>5683</v>
      </c>
      <c r="P118" s="33" t="s">
        <v>10852</v>
      </c>
      <c r="Q118" s="34" t="s">
        <v>5683</v>
      </c>
      <c r="R118" s="35" t="s">
        <v>5683</v>
      </c>
      <c r="S118" s="34" t="s">
        <v>5683</v>
      </c>
      <c r="T118" s="34" t="s">
        <v>5683</v>
      </c>
      <c r="U118" s="34" t="s">
        <v>5683</v>
      </c>
      <c r="V118" s="34" t="s">
        <v>4999</v>
      </c>
      <c r="W118" s="36">
        <v>43480</v>
      </c>
      <c r="X118" s="44"/>
      <c r="Y118" s="38"/>
      <c r="Z118" s="39"/>
      <c r="AA118" s="45" t="e">
        <v>#VALUE!</v>
      </c>
      <c r="AB118" s="46" t="e">
        <v>#VALUE!</v>
      </c>
      <c r="AC118" s="25" t="s">
        <v>5683</v>
      </c>
      <c r="AD118" s="42"/>
      <c r="AE118" s="43"/>
      <c r="AF118" s="27"/>
    </row>
    <row r="119" spans="1:32" s="2" customFormat="1" ht="12.75" x14ac:dyDescent="0.2">
      <c r="A119" s="28">
        <v>0</v>
      </c>
      <c r="B119" s="29" t="s">
        <v>12314</v>
      </c>
      <c r="C119" s="30" t="s">
        <v>9024</v>
      </c>
      <c r="D119" s="30">
        <v>180115</v>
      </c>
      <c r="E119" s="30" t="s">
        <v>12318</v>
      </c>
      <c r="F119" s="30" t="s">
        <v>6820</v>
      </c>
      <c r="G119" s="30" t="s">
        <v>6829</v>
      </c>
      <c r="H119" s="30" t="s">
        <v>1544</v>
      </c>
      <c r="I119" s="30" t="s">
        <v>12316</v>
      </c>
      <c r="J119" s="30" t="s">
        <v>12317</v>
      </c>
      <c r="K119" s="31">
        <v>43293</v>
      </c>
      <c r="L119" s="30" t="s">
        <v>264</v>
      </c>
      <c r="M119" s="31">
        <v>43293</v>
      </c>
      <c r="N119" s="31">
        <v>43293</v>
      </c>
      <c r="O119" s="32">
        <v>43293</v>
      </c>
      <c r="P119" s="33" t="s">
        <v>10852</v>
      </c>
      <c r="Q119" s="34" t="s">
        <v>9350</v>
      </c>
      <c r="R119" s="35">
        <v>43297</v>
      </c>
      <c r="S119" s="34" t="s">
        <v>12319</v>
      </c>
      <c r="T119" s="34">
        <v>7</v>
      </c>
      <c r="U119" s="34" t="s">
        <v>5683</v>
      </c>
      <c r="V119" s="34" t="s">
        <v>4999</v>
      </c>
      <c r="W119" s="36">
        <v>43301</v>
      </c>
      <c r="X119" s="44" t="s">
        <v>6850</v>
      </c>
      <c r="Y119" s="38">
        <v>43301</v>
      </c>
      <c r="Z119" s="39">
        <v>43301</v>
      </c>
      <c r="AA119" s="45" t="e">
        <v>#VALUE!</v>
      </c>
      <c r="AB119" s="46" t="e">
        <v>#VALUE!</v>
      </c>
      <c r="AC119" s="25" t="s">
        <v>12197</v>
      </c>
      <c r="AD119" s="42" t="s">
        <v>4999</v>
      </c>
      <c r="AE119" s="43"/>
      <c r="AF119" s="27" t="s">
        <v>4999</v>
      </c>
    </row>
    <row r="120" spans="1:32" s="2" customFormat="1" ht="12.75" x14ac:dyDescent="0.2">
      <c r="A120" s="28">
        <v>0</v>
      </c>
      <c r="B120" s="29" t="s">
        <v>12320</v>
      </c>
      <c r="C120" s="30" t="s">
        <v>8369</v>
      </c>
      <c r="D120" s="30">
        <v>180120</v>
      </c>
      <c r="E120" s="30" t="s">
        <v>12321</v>
      </c>
      <c r="F120" s="30" t="s">
        <v>6820</v>
      </c>
      <c r="G120" s="30" t="s">
        <v>6829</v>
      </c>
      <c r="H120" s="30" t="s">
        <v>6277</v>
      </c>
      <c r="I120" s="30" t="s">
        <v>12322</v>
      </c>
      <c r="J120" s="30" t="s">
        <v>1938</v>
      </c>
      <c r="K120" s="31">
        <v>43301</v>
      </c>
      <c r="L120" s="30" t="s">
        <v>264</v>
      </c>
      <c r="M120" s="31">
        <v>43301</v>
      </c>
      <c r="N120" s="31">
        <v>43301</v>
      </c>
      <c r="O120" s="32">
        <v>43304</v>
      </c>
      <c r="P120" s="33" t="s">
        <v>10852</v>
      </c>
      <c r="Q120" s="34" t="s">
        <v>10852</v>
      </c>
      <c r="R120" s="35">
        <v>43304</v>
      </c>
      <c r="S120" s="34" t="s">
        <v>12323</v>
      </c>
      <c r="T120" s="34">
        <v>15</v>
      </c>
      <c r="U120" s="34" t="s">
        <v>5683</v>
      </c>
      <c r="V120" s="34" t="s">
        <v>4999</v>
      </c>
      <c r="W120" s="36">
        <v>43312</v>
      </c>
      <c r="X120" s="44" t="s">
        <v>6850</v>
      </c>
      <c r="Y120" s="38">
        <v>43312</v>
      </c>
      <c r="Z120" s="39">
        <v>43312</v>
      </c>
      <c r="AA120" s="45" t="e">
        <v>#VALUE!</v>
      </c>
      <c r="AB120" s="46" t="e">
        <v>#VALUE!</v>
      </c>
      <c r="AC120" s="25" t="s">
        <v>12197</v>
      </c>
      <c r="AD120" s="42" t="s">
        <v>4999</v>
      </c>
      <c r="AE120" s="43"/>
      <c r="AF120" s="27" t="s">
        <v>4999</v>
      </c>
    </row>
    <row r="121" spans="1:32" s="2" customFormat="1" ht="12.75" x14ac:dyDescent="0.2">
      <c r="A121" s="28">
        <v>1</v>
      </c>
      <c r="B121" s="29" t="s">
        <v>12324</v>
      </c>
      <c r="C121" s="30" t="s">
        <v>8369</v>
      </c>
      <c r="D121" s="30" t="s">
        <v>5683</v>
      </c>
      <c r="E121" s="30" t="s">
        <v>12325</v>
      </c>
      <c r="F121" s="30" t="s">
        <v>6820</v>
      </c>
      <c r="G121" s="30" t="s">
        <v>6829</v>
      </c>
      <c r="H121" s="50" t="s">
        <v>7641</v>
      </c>
      <c r="I121" s="30" t="s">
        <v>12326</v>
      </c>
      <c r="J121" s="30" t="s">
        <v>1426</v>
      </c>
      <c r="K121" s="31">
        <v>43306</v>
      </c>
      <c r="L121" s="30" t="s">
        <v>5683</v>
      </c>
      <c r="M121" s="31" t="s">
        <v>5683</v>
      </c>
      <c r="N121" s="31" t="s">
        <v>5683</v>
      </c>
      <c r="O121" s="32" t="s">
        <v>5683</v>
      </c>
      <c r="P121" s="33" t="s">
        <v>10852</v>
      </c>
      <c r="Q121" s="34" t="s">
        <v>5683</v>
      </c>
      <c r="R121" s="35" t="s">
        <v>5683</v>
      </c>
      <c r="S121" s="34" t="s">
        <v>11484</v>
      </c>
      <c r="T121" s="34" t="s">
        <v>5683</v>
      </c>
      <c r="U121" s="34" t="s">
        <v>5683</v>
      </c>
      <c r="V121" s="34" t="s">
        <v>4999</v>
      </c>
      <c r="W121" s="36">
        <v>43608</v>
      </c>
      <c r="X121" s="44"/>
      <c r="Y121" s="38"/>
      <c r="Z121" s="39"/>
      <c r="AA121" s="45"/>
      <c r="AB121" s="46"/>
      <c r="AC121" s="25"/>
      <c r="AD121" s="42"/>
      <c r="AE121" s="43"/>
      <c r="AF121" s="27"/>
    </row>
    <row r="122" spans="1:32" s="2" customFormat="1" ht="12.75" x14ac:dyDescent="0.2">
      <c r="A122" s="28">
        <v>0</v>
      </c>
      <c r="B122" s="29" t="s">
        <v>12324</v>
      </c>
      <c r="C122" s="30" t="s">
        <v>8369</v>
      </c>
      <c r="D122" s="30">
        <v>180121</v>
      </c>
      <c r="E122" s="30" t="s">
        <v>12325</v>
      </c>
      <c r="F122" s="30" t="s">
        <v>6820</v>
      </c>
      <c r="G122" s="30" t="s">
        <v>6829</v>
      </c>
      <c r="H122" s="30" t="s">
        <v>7641</v>
      </c>
      <c r="I122" s="30" t="s">
        <v>12326</v>
      </c>
      <c r="J122" s="30" t="s">
        <v>1426</v>
      </c>
      <c r="K122" s="31">
        <v>43306</v>
      </c>
      <c r="L122" s="30" t="s">
        <v>264</v>
      </c>
      <c r="M122" s="31">
        <v>43306</v>
      </c>
      <c r="N122" s="31">
        <v>43307</v>
      </c>
      <c r="O122" s="32">
        <v>43307</v>
      </c>
      <c r="P122" s="33" t="s">
        <v>10852</v>
      </c>
      <c r="Q122" s="34" t="s">
        <v>10852</v>
      </c>
      <c r="R122" s="35">
        <v>43308</v>
      </c>
      <c r="S122" s="34">
        <v>1270898</v>
      </c>
      <c r="T122" s="34">
        <v>4</v>
      </c>
      <c r="U122" s="34" t="s">
        <v>5683</v>
      </c>
      <c r="V122" s="34" t="s">
        <v>4999</v>
      </c>
      <c r="W122" s="36">
        <v>43312</v>
      </c>
      <c r="X122" s="44" t="s">
        <v>6850</v>
      </c>
      <c r="Y122" s="38">
        <v>43312</v>
      </c>
      <c r="Z122" s="39">
        <v>43312</v>
      </c>
      <c r="AA122" s="45" t="e">
        <v>#VALUE!</v>
      </c>
      <c r="AB122" s="46" t="e">
        <v>#VALUE!</v>
      </c>
      <c r="AC122" s="25" t="s">
        <v>12197</v>
      </c>
      <c r="AD122" s="42" t="s">
        <v>4999</v>
      </c>
      <c r="AE122" s="43"/>
      <c r="AF122" s="27" t="s">
        <v>4999</v>
      </c>
    </row>
    <row r="123" spans="1:32" s="2" customFormat="1" ht="12.75" x14ac:dyDescent="0.2">
      <c r="A123" s="28">
        <v>1</v>
      </c>
      <c r="B123" s="29" t="s">
        <v>12327</v>
      </c>
      <c r="C123" s="30" t="s">
        <v>9377</v>
      </c>
      <c r="D123" s="30" t="s">
        <v>5683</v>
      </c>
      <c r="E123" s="30" t="s">
        <v>12328</v>
      </c>
      <c r="F123" s="30" t="s">
        <v>6820</v>
      </c>
      <c r="G123" s="30" t="s">
        <v>6829</v>
      </c>
      <c r="H123" s="30" t="s">
        <v>12329</v>
      </c>
      <c r="I123" s="30" t="s">
        <v>12330</v>
      </c>
      <c r="J123" s="30" t="s">
        <v>12331</v>
      </c>
      <c r="K123" s="31" t="s">
        <v>5683</v>
      </c>
      <c r="L123" s="30" t="s">
        <v>5683</v>
      </c>
      <c r="M123" s="31" t="s">
        <v>5683</v>
      </c>
      <c r="N123" s="31" t="s">
        <v>5683</v>
      </c>
      <c r="O123" s="32" t="s">
        <v>5683</v>
      </c>
      <c r="P123" s="33" t="s">
        <v>10852</v>
      </c>
      <c r="Q123" s="34" t="s">
        <v>5683</v>
      </c>
      <c r="R123" s="35" t="s">
        <v>5683</v>
      </c>
      <c r="S123" s="34" t="s">
        <v>5683</v>
      </c>
      <c r="T123" s="34" t="s">
        <v>5683</v>
      </c>
      <c r="U123" s="34" t="s">
        <v>5683</v>
      </c>
      <c r="V123" s="34" t="s">
        <v>4999</v>
      </c>
      <c r="W123" s="36">
        <v>43486</v>
      </c>
      <c r="X123" s="44"/>
      <c r="Y123" s="38"/>
      <c r="Z123" s="39"/>
      <c r="AA123" s="45" t="e">
        <v>#VALUE!</v>
      </c>
      <c r="AB123" s="46" t="e">
        <v>#VALUE!</v>
      </c>
      <c r="AC123" s="25" t="s">
        <v>5683</v>
      </c>
      <c r="AD123" s="42"/>
      <c r="AE123" s="43"/>
      <c r="AF123" s="27"/>
    </row>
    <row r="124" spans="1:32" s="2" customFormat="1" ht="12.75" x14ac:dyDescent="0.2">
      <c r="A124" s="28">
        <v>0</v>
      </c>
      <c r="B124" s="29" t="s">
        <v>12327</v>
      </c>
      <c r="C124" s="30" t="s">
        <v>9377</v>
      </c>
      <c r="D124" s="30">
        <v>180125</v>
      </c>
      <c r="E124" s="30" t="s">
        <v>12332</v>
      </c>
      <c r="F124" s="30" t="s">
        <v>6820</v>
      </c>
      <c r="G124" s="30" t="s">
        <v>6829</v>
      </c>
      <c r="H124" s="30" t="s">
        <v>12329</v>
      </c>
      <c r="I124" s="30" t="s">
        <v>12330</v>
      </c>
      <c r="J124" s="30" t="s">
        <v>12331</v>
      </c>
      <c r="K124" s="31">
        <v>43314</v>
      </c>
      <c r="L124" s="30" t="s">
        <v>264</v>
      </c>
      <c r="M124" s="31">
        <v>43314</v>
      </c>
      <c r="N124" s="31">
        <v>43315</v>
      </c>
      <c r="O124" s="32">
        <v>43315</v>
      </c>
      <c r="P124" s="33" t="s">
        <v>10852</v>
      </c>
      <c r="Q124" s="34" t="s">
        <v>9350</v>
      </c>
      <c r="R124" s="35">
        <v>43321</v>
      </c>
      <c r="S124" s="34" t="s">
        <v>12333</v>
      </c>
      <c r="T124" s="34">
        <v>1</v>
      </c>
      <c r="U124" s="34" t="s">
        <v>5683</v>
      </c>
      <c r="V124" s="34" t="s">
        <v>4999</v>
      </c>
      <c r="W124" s="36">
        <v>43322</v>
      </c>
      <c r="X124" s="44" t="s">
        <v>6850</v>
      </c>
      <c r="Y124" s="38">
        <v>43325</v>
      </c>
      <c r="Z124" s="39">
        <v>43325</v>
      </c>
      <c r="AA124" s="45" t="e">
        <v>#VALUE!</v>
      </c>
      <c r="AB124" s="46" t="e">
        <v>#VALUE!</v>
      </c>
      <c r="AC124" s="25" t="s">
        <v>12197</v>
      </c>
      <c r="AD124" s="42" t="s">
        <v>4999</v>
      </c>
      <c r="AE124" s="43"/>
      <c r="AF124" s="27" t="s">
        <v>4999</v>
      </c>
    </row>
    <row r="125" spans="1:32" s="2" customFormat="1" ht="25.5" x14ac:dyDescent="0.2">
      <c r="A125" s="28">
        <v>0</v>
      </c>
      <c r="B125" s="49" t="s">
        <v>12334</v>
      </c>
      <c r="C125" s="50" t="s">
        <v>8729</v>
      </c>
      <c r="D125" s="50">
        <v>180126</v>
      </c>
      <c r="E125" s="50" t="s">
        <v>12335</v>
      </c>
      <c r="F125" s="50" t="s">
        <v>6820</v>
      </c>
      <c r="G125" s="50" t="s">
        <v>6829</v>
      </c>
      <c r="H125" s="50" t="s">
        <v>9369</v>
      </c>
      <c r="I125" s="50" t="s">
        <v>12336</v>
      </c>
      <c r="J125" s="50" t="s">
        <v>8268</v>
      </c>
      <c r="K125" s="51">
        <v>43319</v>
      </c>
      <c r="L125" s="50" t="s">
        <v>264</v>
      </c>
      <c r="M125" s="51">
        <v>43319</v>
      </c>
      <c r="N125" s="51">
        <v>43319</v>
      </c>
      <c r="O125" s="52">
        <v>43320</v>
      </c>
      <c r="P125" s="33" t="s">
        <v>10852</v>
      </c>
      <c r="Q125" s="34" t="s">
        <v>9350</v>
      </c>
      <c r="R125" s="35">
        <v>43320</v>
      </c>
      <c r="S125" s="34" t="s">
        <v>12337</v>
      </c>
      <c r="T125" s="34">
        <v>4</v>
      </c>
      <c r="U125" s="34" t="s">
        <v>5683</v>
      </c>
      <c r="V125" s="34" t="s">
        <v>4999</v>
      </c>
      <c r="W125" s="36">
        <v>43320</v>
      </c>
      <c r="X125" s="44" t="s">
        <v>6850</v>
      </c>
      <c r="Y125" s="38">
        <v>43320</v>
      </c>
      <c r="Z125" s="39">
        <v>43321</v>
      </c>
      <c r="AA125" s="45" t="e">
        <v>#VALUE!</v>
      </c>
      <c r="AB125" s="46" t="e">
        <v>#VALUE!</v>
      </c>
      <c r="AC125" s="53" t="s">
        <v>12197</v>
      </c>
      <c r="AD125" s="54" t="s">
        <v>4999</v>
      </c>
      <c r="AE125" s="55"/>
      <c r="AF125" s="2" t="s">
        <v>4999</v>
      </c>
    </row>
    <row r="126" spans="1:32" s="2" customFormat="1" ht="25.5" x14ac:dyDescent="0.2">
      <c r="A126" s="28">
        <v>1</v>
      </c>
      <c r="B126" s="49" t="s">
        <v>12338</v>
      </c>
      <c r="C126" s="50" t="s">
        <v>12339</v>
      </c>
      <c r="D126" s="50" t="s">
        <v>5683</v>
      </c>
      <c r="E126" s="50" t="s">
        <v>12340</v>
      </c>
      <c r="F126" s="50" t="s">
        <v>6820</v>
      </c>
      <c r="G126" s="50" t="s">
        <v>6829</v>
      </c>
      <c r="H126" s="50" t="s">
        <v>12341</v>
      </c>
      <c r="I126" s="50" t="s">
        <v>12342</v>
      </c>
      <c r="J126" s="50" t="s">
        <v>12343</v>
      </c>
      <c r="K126" s="51" t="s">
        <v>5683</v>
      </c>
      <c r="L126" s="50" t="s">
        <v>5683</v>
      </c>
      <c r="M126" s="51" t="s">
        <v>5683</v>
      </c>
      <c r="N126" s="51" t="s">
        <v>5683</v>
      </c>
      <c r="O126" s="52" t="s">
        <v>5683</v>
      </c>
      <c r="P126" s="33" t="s">
        <v>10852</v>
      </c>
      <c r="Q126" s="34" t="s">
        <v>5683</v>
      </c>
      <c r="R126" s="35" t="s">
        <v>5683</v>
      </c>
      <c r="S126" s="34" t="s">
        <v>5683</v>
      </c>
      <c r="T126" s="34" t="s">
        <v>5683</v>
      </c>
      <c r="U126" s="34" t="s">
        <v>5683</v>
      </c>
      <c r="V126" s="34" t="s">
        <v>4999</v>
      </c>
      <c r="W126" s="36">
        <v>43556</v>
      </c>
      <c r="X126" s="44"/>
      <c r="Y126" s="38"/>
      <c r="Z126" s="39"/>
      <c r="AA126" s="45" t="e">
        <v>#VALUE!</v>
      </c>
      <c r="AB126" s="46" t="e">
        <v>#VALUE!</v>
      </c>
      <c r="AC126" s="53"/>
      <c r="AD126" s="54"/>
      <c r="AE126" s="55"/>
    </row>
    <row r="127" spans="1:32" s="2" customFormat="1" ht="25.5" x14ac:dyDescent="0.2">
      <c r="A127" s="28">
        <v>0</v>
      </c>
      <c r="B127" s="49" t="s">
        <v>12338</v>
      </c>
      <c r="C127" s="50" t="s">
        <v>12339</v>
      </c>
      <c r="D127" s="50">
        <v>180034</v>
      </c>
      <c r="E127" s="50" t="s">
        <v>12344</v>
      </c>
      <c r="F127" s="50" t="s">
        <v>6820</v>
      </c>
      <c r="G127" s="50" t="s">
        <v>6829</v>
      </c>
      <c r="H127" s="50" t="s">
        <v>12341</v>
      </c>
      <c r="I127" s="50" t="s">
        <v>12342</v>
      </c>
      <c r="J127" s="50" t="s">
        <v>12343</v>
      </c>
      <c r="K127" s="51">
        <v>43150</v>
      </c>
      <c r="L127" s="50" t="s">
        <v>264</v>
      </c>
      <c r="M127" s="51">
        <v>43150</v>
      </c>
      <c r="N127" s="51">
        <v>43301</v>
      </c>
      <c r="O127" s="52">
        <v>43313</v>
      </c>
      <c r="P127" s="33" t="s">
        <v>10852</v>
      </c>
      <c r="Q127" s="34" t="s">
        <v>10852</v>
      </c>
      <c r="R127" s="35">
        <v>43314</v>
      </c>
      <c r="S127" s="34" t="s">
        <v>12345</v>
      </c>
      <c r="T127" s="34">
        <v>1</v>
      </c>
      <c r="U127" s="34" t="s">
        <v>5683</v>
      </c>
      <c r="V127" s="34" t="s">
        <v>4999</v>
      </c>
      <c r="W127" s="36">
        <v>43384</v>
      </c>
      <c r="X127" s="44" t="s">
        <v>264</v>
      </c>
      <c r="Y127" s="38">
        <v>43388</v>
      </c>
      <c r="Z127" s="39">
        <v>43388</v>
      </c>
      <c r="AA127" s="45" t="e">
        <v>#VALUE!</v>
      </c>
      <c r="AB127" s="46" t="e">
        <v>#VALUE!</v>
      </c>
      <c r="AC127" s="53" t="s">
        <v>10869</v>
      </c>
      <c r="AD127" s="54" t="s">
        <v>4999</v>
      </c>
      <c r="AE127" s="55"/>
    </row>
    <row r="128" spans="1:32" s="2" customFormat="1" ht="12.75" x14ac:dyDescent="0.2">
      <c r="A128" s="28">
        <v>1</v>
      </c>
      <c r="B128" s="29" t="s">
        <v>12346</v>
      </c>
      <c r="C128" s="30" t="s">
        <v>6169</v>
      </c>
      <c r="D128" s="30" t="s">
        <v>5683</v>
      </c>
      <c r="E128" s="30" t="s">
        <v>12347</v>
      </c>
      <c r="F128" s="30" t="s">
        <v>6820</v>
      </c>
      <c r="G128" s="30" t="s">
        <v>6829</v>
      </c>
      <c r="H128" s="30" t="s">
        <v>12348</v>
      </c>
      <c r="I128" s="30" t="s">
        <v>12054</v>
      </c>
      <c r="J128" s="30" t="s">
        <v>3190</v>
      </c>
      <c r="K128" s="31" t="s">
        <v>5683</v>
      </c>
      <c r="L128" s="31" t="s">
        <v>5683</v>
      </c>
      <c r="M128" s="31" t="s">
        <v>5683</v>
      </c>
      <c r="N128" s="31" t="s">
        <v>5683</v>
      </c>
      <c r="O128" s="32" t="s">
        <v>5683</v>
      </c>
      <c r="P128" s="33" t="s">
        <v>10852</v>
      </c>
      <c r="Q128" s="34" t="s">
        <v>5683</v>
      </c>
      <c r="R128" s="35" t="s">
        <v>5683</v>
      </c>
      <c r="S128" s="34" t="s">
        <v>5683</v>
      </c>
      <c r="T128" s="34" t="s">
        <v>5683</v>
      </c>
      <c r="U128" s="34" t="s">
        <v>5683</v>
      </c>
      <c r="V128" s="34" t="s">
        <v>4999</v>
      </c>
      <c r="W128" s="36">
        <v>43481</v>
      </c>
      <c r="X128" s="44"/>
      <c r="Y128" s="38"/>
      <c r="Z128" s="39"/>
      <c r="AA128" s="45" t="e">
        <v>#VALUE!</v>
      </c>
      <c r="AB128" s="46" t="e">
        <v>#VALUE!</v>
      </c>
      <c r="AC128" s="25" t="s">
        <v>5683</v>
      </c>
      <c r="AD128" s="42"/>
      <c r="AE128" s="43"/>
      <c r="AF128" s="27"/>
    </row>
    <row r="129" spans="1:32" s="2" customFormat="1" ht="12.75" x14ac:dyDescent="0.2">
      <c r="A129" s="28">
        <v>0</v>
      </c>
      <c r="B129" s="29" t="s">
        <v>12346</v>
      </c>
      <c r="C129" s="30" t="s">
        <v>6169</v>
      </c>
      <c r="D129" s="30">
        <v>180129</v>
      </c>
      <c r="E129" s="30" t="s">
        <v>12349</v>
      </c>
      <c r="F129" s="30" t="s">
        <v>6820</v>
      </c>
      <c r="G129" s="30" t="s">
        <v>6829</v>
      </c>
      <c r="H129" s="30" t="s">
        <v>12348</v>
      </c>
      <c r="I129" s="30" t="s">
        <v>12054</v>
      </c>
      <c r="J129" s="30" t="s">
        <v>3190</v>
      </c>
      <c r="K129" s="31">
        <v>43321</v>
      </c>
      <c r="L129" s="31" t="s">
        <v>264</v>
      </c>
      <c r="M129" s="31">
        <v>43321</v>
      </c>
      <c r="N129" s="31">
        <v>43321</v>
      </c>
      <c r="O129" s="32">
        <v>43321</v>
      </c>
      <c r="P129" s="33" t="s">
        <v>10852</v>
      </c>
      <c r="Q129" s="34" t="s">
        <v>10852</v>
      </c>
      <c r="R129" s="35">
        <v>43325</v>
      </c>
      <c r="S129" s="34" t="s">
        <v>12350</v>
      </c>
      <c r="T129" s="34">
        <v>1</v>
      </c>
      <c r="U129" s="34" t="s">
        <v>5683</v>
      </c>
      <c r="V129" s="34" t="s">
        <v>4999</v>
      </c>
      <c r="W129" s="36">
        <v>43326</v>
      </c>
      <c r="X129" s="44" t="s">
        <v>6850</v>
      </c>
      <c r="Y129" s="38">
        <v>43326</v>
      </c>
      <c r="Z129" s="39">
        <v>43327</v>
      </c>
      <c r="AA129" s="45" t="e">
        <v>#VALUE!</v>
      </c>
      <c r="AB129" s="46" t="e">
        <v>#VALUE!</v>
      </c>
      <c r="AC129" s="25" t="s">
        <v>12197</v>
      </c>
      <c r="AD129" s="42" t="s">
        <v>4999</v>
      </c>
      <c r="AE129" s="43"/>
      <c r="AF129" s="27" t="s">
        <v>4999</v>
      </c>
    </row>
    <row r="130" spans="1:32" s="2" customFormat="1" ht="12.75" x14ac:dyDescent="0.2">
      <c r="A130" s="28">
        <v>1</v>
      </c>
      <c r="B130" s="29" t="s">
        <v>12351</v>
      </c>
      <c r="C130" s="30" t="s">
        <v>6169</v>
      </c>
      <c r="D130" s="30" t="s">
        <v>5683</v>
      </c>
      <c r="E130" s="30" t="s">
        <v>12352</v>
      </c>
      <c r="F130" s="30" t="s">
        <v>6820</v>
      </c>
      <c r="G130" s="30" t="s">
        <v>6829</v>
      </c>
      <c r="H130" s="30" t="s">
        <v>519</v>
      </c>
      <c r="I130" s="30" t="s">
        <v>11032</v>
      </c>
      <c r="J130" s="30" t="s">
        <v>3190</v>
      </c>
      <c r="K130" s="31" t="s">
        <v>5683</v>
      </c>
      <c r="L130" s="31" t="s">
        <v>5683</v>
      </c>
      <c r="M130" s="31" t="s">
        <v>5683</v>
      </c>
      <c r="N130" s="31" t="s">
        <v>5683</v>
      </c>
      <c r="O130" s="32" t="s">
        <v>5683</v>
      </c>
      <c r="P130" s="33" t="s">
        <v>10852</v>
      </c>
      <c r="Q130" s="34" t="s">
        <v>5683</v>
      </c>
      <c r="R130" s="35" t="s">
        <v>5683</v>
      </c>
      <c r="S130" s="34" t="s">
        <v>5683</v>
      </c>
      <c r="T130" s="34" t="s">
        <v>5683</v>
      </c>
      <c r="U130" s="34" t="s">
        <v>5683</v>
      </c>
      <c r="V130" s="34" t="s">
        <v>4999</v>
      </c>
      <c r="W130" s="36">
        <v>43481</v>
      </c>
      <c r="X130" s="44"/>
      <c r="Y130" s="38"/>
      <c r="Z130" s="38"/>
      <c r="AA130" s="45" t="e">
        <v>#VALUE!</v>
      </c>
      <c r="AB130" s="46" t="e">
        <v>#VALUE!</v>
      </c>
      <c r="AC130" s="25" t="s">
        <v>5683</v>
      </c>
      <c r="AD130" s="42"/>
      <c r="AE130" s="43"/>
      <c r="AF130" s="27"/>
    </row>
    <row r="131" spans="1:32" s="2" customFormat="1" ht="12.75" x14ac:dyDescent="0.2">
      <c r="A131" s="28">
        <v>0</v>
      </c>
      <c r="B131" s="29" t="s">
        <v>12351</v>
      </c>
      <c r="C131" s="30" t="s">
        <v>6169</v>
      </c>
      <c r="D131" s="30">
        <v>180129</v>
      </c>
      <c r="E131" s="30" t="s">
        <v>12353</v>
      </c>
      <c r="F131" s="30" t="s">
        <v>6820</v>
      </c>
      <c r="G131" s="30" t="s">
        <v>6829</v>
      </c>
      <c r="H131" s="30" t="s">
        <v>519</v>
      </c>
      <c r="I131" s="30" t="s">
        <v>11032</v>
      </c>
      <c r="J131" s="30" t="s">
        <v>3190</v>
      </c>
      <c r="K131" s="31">
        <v>43321</v>
      </c>
      <c r="L131" s="31" t="s">
        <v>264</v>
      </c>
      <c r="M131" s="31">
        <v>43321</v>
      </c>
      <c r="N131" s="31">
        <v>43321</v>
      </c>
      <c r="O131" s="32">
        <v>43321</v>
      </c>
      <c r="P131" s="33" t="s">
        <v>10852</v>
      </c>
      <c r="Q131" s="34" t="s">
        <v>10852</v>
      </c>
      <c r="R131" s="35">
        <v>43325</v>
      </c>
      <c r="S131" s="34" t="s">
        <v>11033</v>
      </c>
      <c r="T131" s="34">
        <v>1</v>
      </c>
      <c r="U131" s="34" t="s">
        <v>5683</v>
      </c>
      <c r="V131" s="34" t="s">
        <v>4999</v>
      </c>
      <c r="W131" s="36">
        <v>43326</v>
      </c>
      <c r="X131" s="44" t="s">
        <v>6850</v>
      </c>
      <c r="Y131" s="38">
        <v>43326</v>
      </c>
      <c r="Z131" s="39">
        <v>43327</v>
      </c>
      <c r="AA131" s="45" t="e">
        <v>#VALUE!</v>
      </c>
      <c r="AB131" s="46" t="e">
        <v>#VALUE!</v>
      </c>
      <c r="AC131" s="25" t="s">
        <v>12197</v>
      </c>
      <c r="AD131" s="42" t="s">
        <v>4999</v>
      </c>
      <c r="AE131" s="43"/>
      <c r="AF131" s="27" t="s">
        <v>4999</v>
      </c>
    </row>
    <row r="132" spans="1:32" s="2" customFormat="1" ht="12.75" x14ac:dyDescent="0.2">
      <c r="A132" s="28">
        <v>1</v>
      </c>
      <c r="B132" s="29" t="s">
        <v>12354</v>
      </c>
      <c r="C132" s="30" t="s">
        <v>6169</v>
      </c>
      <c r="D132" s="30" t="s">
        <v>5683</v>
      </c>
      <c r="E132" s="30" t="s">
        <v>12355</v>
      </c>
      <c r="F132" s="30" t="s">
        <v>6820</v>
      </c>
      <c r="G132" s="30" t="s">
        <v>6829</v>
      </c>
      <c r="H132" s="30" t="s">
        <v>107</v>
      </c>
      <c r="I132" s="30" t="s">
        <v>12062</v>
      </c>
      <c r="J132" s="30" t="s">
        <v>12063</v>
      </c>
      <c r="K132" s="31" t="s">
        <v>5683</v>
      </c>
      <c r="L132" s="31" t="s">
        <v>5683</v>
      </c>
      <c r="M132" s="31" t="s">
        <v>5683</v>
      </c>
      <c r="N132" s="31" t="s">
        <v>5683</v>
      </c>
      <c r="O132" s="32" t="s">
        <v>5683</v>
      </c>
      <c r="P132" s="33" t="s">
        <v>10852</v>
      </c>
      <c r="Q132" s="34" t="s">
        <v>5683</v>
      </c>
      <c r="R132" s="35" t="s">
        <v>5683</v>
      </c>
      <c r="S132" s="34" t="s">
        <v>5683</v>
      </c>
      <c r="T132" s="34" t="s">
        <v>5683</v>
      </c>
      <c r="U132" s="34" t="s">
        <v>5683</v>
      </c>
      <c r="V132" s="34" t="s">
        <v>4999</v>
      </c>
      <c r="W132" s="36">
        <v>43481</v>
      </c>
      <c r="X132" s="44"/>
      <c r="Y132" s="38"/>
      <c r="Z132" s="39"/>
      <c r="AA132" s="45" t="e">
        <v>#VALUE!</v>
      </c>
      <c r="AB132" s="46" t="e">
        <v>#VALUE!</v>
      </c>
      <c r="AC132" s="25" t="s">
        <v>5683</v>
      </c>
      <c r="AD132" s="42"/>
      <c r="AE132" s="43"/>
      <c r="AF132" s="27"/>
    </row>
    <row r="133" spans="1:32" s="2" customFormat="1" ht="12.75" x14ac:dyDescent="0.2">
      <c r="A133" s="28">
        <v>0</v>
      </c>
      <c r="B133" s="29" t="s">
        <v>12354</v>
      </c>
      <c r="C133" s="30" t="s">
        <v>6169</v>
      </c>
      <c r="D133" s="30">
        <v>180129</v>
      </c>
      <c r="E133" s="30" t="s">
        <v>12355</v>
      </c>
      <c r="F133" s="30" t="s">
        <v>6820</v>
      </c>
      <c r="G133" s="30" t="s">
        <v>6829</v>
      </c>
      <c r="H133" s="30" t="s">
        <v>107</v>
      </c>
      <c r="I133" s="30" t="s">
        <v>12062</v>
      </c>
      <c r="J133" s="30" t="s">
        <v>12063</v>
      </c>
      <c r="K133" s="31">
        <v>43321</v>
      </c>
      <c r="L133" s="31" t="s">
        <v>264</v>
      </c>
      <c r="M133" s="31">
        <v>43321</v>
      </c>
      <c r="N133" s="31">
        <v>43321</v>
      </c>
      <c r="O133" s="32">
        <v>43321</v>
      </c>
      <c r="P133" s="33" t="s">
        <v>10852</v>
      </c>
      <c r="Q133" s="34" t="s">
        <v>10852</v>
      </c>
      <c r="R133" s="35">
        <v>43325</v>
      </c>
      <c r="S133" s="34" t="s">
        <v>12065</v>
      </c>
      <c r="T133" s="34">
        <v>1</v>
      </c>
      <c r="U133" s="34" t="s">
        <v>5683</v>
      </c>
      <c r="V133" s="34" t="s">
        <v>4999</v>
      </c>
      <c r="W133" s="36">
        <v>43326</v>
      </c>
      <c r="X133" s="44" t="s">
        <v>6850</v>
      </c>
      <c r="Y133" s="38">
        <v>43326</v>
      </c>
      <c r="Z133" s="39">
        <v>43327</v>
      </c>
      <c r="AA133" s="45" t="e">
        <v>#VALUE!</v>
      </c>
      <c r="AB133" s="46" t="e">
        <v>#VALUE!</v>
      </c>
      <c r="AC133" s="25" t="s">
        <v>12197</v>
      </c>
      <c r="AD133" s="42" t="s">
        <v>4999</v>
      </c>
      <c r="AE133" s="43"/>
      <c r="AF133" s="27" t="s">
        <v>4999</v>
      </c>
    </row>
    <row r="134" spans="1:32" s="2" customFormat="1" ht="12.75" x14ac:dyDescent="0.2">
      <c r="A134" s="28">
        <v>1</v>
      </c>
      <c r="B134" s="29" t="s">
        <v>12356</v>
      </c>
      <c r="C134" s="30" t="s">
        <v>8369</v>
      </c>
      <c r="D134" s="30" t="s">
        <v>5683</v>
      </c>
      <c r="E134" s="30" t="s">
        <v>12357</v>
      </c>
      <c r="F134" s="30" t="s">
        <v>6820</v>
      </c>
      <c r="G134" s="30" t="s">
        <v>6829</v>
      </c>
      <c r="H134" s="30" t="s">
        <v>12358</v>
      </c>
      <c r="I134" s="30" t="s">
        <v>12359</v>
      </c>
      <c r="J134" s="30" t="s">
        <v>1834</v>
      </c>
      <c r="K134" s="31" t="s">
        <v>5683</v>
      </c>
      <c r="L134" s="30" t="s">
        <v>5683</v>
      </c>
      <c r="M134" s="31" t="s">
        <v>5683</v>
      </c>
      <c r="N134" s="31" t="s">
        <v>5683</v>
      </c>
      <c r="O134" s="32" t="s">
        <v>5683</v>
      </c>
      <c r="P134" s="33" t="s">
        <v>10852</v>
      </c>
      <c r="Q134" s="34" t="s">
        <v>5683</v>
      </c>
      <c r="R134" s="35" t="s">
        <v>5683</v>
      </c>
      <c r="S134" s="34" t="s">
        <v>5683</v>
      </c>
      <c r="T134" s="34" t="s">
        <v>5683</v>
      </c>
      <c r="U134" s="34" t="s">
        <v>5683</v>
      </c>
      <c r="V134" s="34" t="s">
        <v>4999</v>
      </c>
      <c r="W134" s="36">
        <v>43608</v>
      </c>
      <c r="X134" s="44"/>
      <c r="Y134" s="38"/>
      <c r="Z134" s="39"/>
      <c r="AA134" s="45"/>
      <c r="AB134" s="46"/>
      <c r="AC134" s="25"/>
      <c r="AD134" s="42"/>
      <c r="AE134" s="43"/>
      <c r="AF134" s="27"/>
    </row>
    <row r="135" spans="1:32" s="2" customFormat="1" ht="12.75" x14ac:dyDescent="0.2">
      <c r="A135" s="28">
        <v>0</v>
      </c>
      <c r="B135" s="29" t="s">
        <v>12356</v>
      </c>
      <c r="C135" s="30" t="s">
        <v>8369</v>
      </c>
      <c r="D135" s="30">
        <v>180132</v>
      </c>
      <c r="E135" s="30" t="s">
        <v>12360</v>
      </c>
      <c r="F135" s="30" t="s">
        <v>6820</v>
      </c>
      <c r="G135" s="30" t="s">
        <v>6829</v>
      </c>
      <c r="H135" s="30" t="s">
        <v>12358</v>
      </c>
      <c r="I135" s="30" t="s">
        <v>12359</v>
      </c>
      <c r="J135" s="30" t="s">
        <v>1834</v>
      </c>
      <c r="K135" s="31">
        <v>43322</v>
      </c>
      <c r="L135" s="30" t="s">
        <v>264</v>
      </c>
      <c r="M135" s="31">
        <v>43322</v>
      </c>
      <c r="N135" s="31">
        <v>43322</v>
      </c>
      <c r="O135" s="32">
        <v>43322</v>
      </c>
      <c r="P135" s="33" t="s">
        <v>10852</v>
      </c>
      <c r="Q135" s="34" t="s">
        <v>9350</v>
      </c>
      <c r="R135" s="35">
        <v>43325</v>
      </c>
      <c r="S135" s="34" t="s">
        <v>12361</v>
      </c>
      <c r="T135" s="34">
        <v>2</v>
      </c>
      <c r="U135" s="34" t="s">
        <v>5683</v>
      </c>
      <c r="V135" s="34" t="s">
        <v>4999</v>
      </c>
      <c r="W135" s="36">
        <v>43327</v>
      </c>
      <c r="X135" s="44" t="s">
        <v>6850</v>
      </c>
      <c r="Y135" s="38">
        <v>43327</v>
      </c>
      <c r="Z135" s="39">
        <v>43327</v>
      </c>
      <c r="AA135" s="45" t="e">
        <v>#VALUE!</v>
      </c>
      <c r="AB135" s="46" t="e">
        <v>#VALUE!</v>
      </c>
      <c r="AC135" s="25" t="s">
        <v>12197</v>
      </c>
      <c r="AD135" s="42" t="s">
        <v>4999</v>
      </c>
      <c r="AE135" s="43"/>
      <c r="AF135" s="27" t="s">
        <v>4999</v>
      </c>
    </row>
    <row r="136" spans="1:32" s="2" customFormat="1" ht="12.75" x14ac:dyDescent="0.2">
      <c r="A136" s="28">
        <v>0</v>
      </c>
      <c r="B136" s="29" t="s">
        <v>12362</v>
      </c>
      <c r="C136" s="30" t="s">
        <v>11009</v>
      </c>
      <c r="D136" s="30">
        <v>180017</v>
      </c>
      <c r="E136" s="30" t="s">
        <v>12363</v>
      </c>
      <c r="F136" s="30" t="s">
        <v>6820</v>
      </c>
      <c r="G136" s="30" t="s">
        <v>6829</v>
      </c>
      <c r="H136" s="30" t="s">
        <v>12364</v>
      </c>
      <c r="I136" s="30" t="s">
        <v>12365</v>
      </c>
      <c r="J136" s="30" t="s">
        <v>12366</v>
      </c>
      <c r="K136" s="31">
        <v>43123</v>
      </c>
      <c r="L136" s="30" t="s">
        <v>264</v>
      </c>
      <c r="M136" s="31">
        <v>43123</v>
      </c>
      <c r="N136" s="31">
        <v>43242</v>
      </c>
      <c r="O136" s="32">
        <v>43259</v>
      </c>
      <c r="P136" s="33" t="s">
        <v>10852</v>
      </c>
      <c r="Q136" s="34" t="s">
        <v>10852</v>
      </c>
      <c r="R136" s="35">
        <v>43276</v>
      </c>
      <c r="S136" s="34" t="s">
        <v>5683</v>
      </c>
      <c r="T136" s="34">
        <v>3</v>
      </c>
      <c r="U136" s="34" t="s">
        <v>5683</v>
      </c>
      <c r="V136" s="34" t="s">
        <v>12367</v>
      </c>
      <c r="W136" s="36" t="s">
        <v>12027</v>
      </c>
      <c r="X136" s="44" t="s">
        <v>6850</v>
      </c>
      <c r="Y136" s="38"/>
      <c r="Z136" s="39"/>
      <c r="AA136" s="45" t="e">
        <v>#VALUE!</v>
      </c>
      <c r="AB136" s="46" t="e">
        <v>#VALUE!</v>
      </c>
      <c r="AC136" s="25"/>
      <c r="AD136" s="42"/>
      <c r="AE136" s="43" t="s">
        <v>12368</v>
      </c>
      <c r="AF136" s="27"/>
    </row>
    <row r="137" spans="1:32" s="2" customFormat="1" ht="12.75" x14ac:dyDescent="0.2">
      <c r="A137" s="28">
        <v>0</v>
      </c>
      <c r="B137" s="29" t="s">
        <v>12369</v>
      </c>
      <c r="C137" s="30" t="s">
        <v>11009</v>
      </c>
      <c r="D137" s="30">
        <v>180017</v>
      </c>
      <c r="E137" s="30" t="s">
        <v>12370</v>
      </c>
      <c r="F137" s="30" t="s">
        <v>6820</v>
      </c>
      <c r="G137" s="30" t="s">
        <v>6829</v>
      </c>
      <c r="H137" s="30" t="s">
        <v>12371</v>
      </c>
      <c r="I137" s="30" t="s">
        <v>12372</v>
      </c>
      <c r="J137" s="30" t="s">
        <v>12373</v>
      </c>
      <c r="K137" s="31">
        <v>43123</v>
      </c>
      <c r="L137" s="30" t="s">
        <v>264</v>
      </c>
      <c r="M137" s="31">
        <v>43123</v>
      </c>
      <c r="N137" s="31">
        <v>43242</v>
      </c>
      <c r="O137" s="32">
        <v>43259</v>
      </c>
      <c r="P137" s="33" t="s">
        <v>10852</v>
      </c>
      <c r="Q137" s="34" t="s">
        <v>10852</v>
      </c>
      <c r="R137" s="35" t="s">
        <v>12374</v>
      </c>
      <c r="S137" s="34" t="s">
        <v>5683</v>
      </c>
      <c r="T137" s="34">
        <v>2</v>
      </c>
      <c r="U137" s="34" t="s">
        <v>5683</v>
      </c>
      <c r="V137" s="34" t="s">
        <v>12367</v>
      </c>
      <c r="W137" s="36" t="s">
        <v>12027</v>
      </c>
      <c r="X137" s="44" t="s">
        <v>6850</v>
      </c>
      <c r="Y137" s="38"/>
      <c r="Z137" s="39"/>
      <c r="AA137" s="45" t="e">
        <v>#VALUE!</v>
      </c>
      <c r="AB137" s="46" t="e">
        <v>#VALUE!</v>
      </c>
      <c r="AC137" s="25"/>
      <c r="AD137" s="42"/>
      <c r="AE137" s="43" t="s">
        <v>12368</v>
      </c>
      <c r="AF137" s="27"/>
    </row>
    <row r="138" spans="1:32" s="2" customFormat="1" ht="12.75" x14ac:dyDescent="0.2">
      <c r="A138" s="28">
        <v>0</v>
      </c>
      <c r="B138" s="29" t="s">
        <v>12375</v>
      </c>
      <c r="C138" s="30" t="s">
        <v>11009</v>
      </c>
      <c r="D138" s="30">
        <v>180017</v>
      </c>
      <c r="E138" s="30" t="s">
        <v>12376</v>
      </c>
      <c r="F138" s="30" t="s">
        <v>6820</v>
      </c>
      <c r="G138" s="30" t="s">
        <v>6829</v>
      </c>
      <c r="H138" s="30" t="s">
        <v>12377</v>
      </c>
      <c r="I138" s="30" t="s">
        <v>12378</v>
      </c>
      <c r="J138" s="30" t="s">
        <v>12379</v>
      </c>
      <c r="K138" s="31">
        <v>43123</v>
      </c>
      <c r="L138" s="30" t="s">
        <v>264</v>
      </c>
      <c r="M138" s="31">
        <v>43123</v>
      </c>
      <c r="N138" s="31">
        <v>43242</v>
      </c>
      <c r="O138" s="32">
        <v>43259</v>
      </c>
      <c r="P138" s="33" t="s">
        <v>10852</v>
      </c>
      <c r="Q138" s="34" t="s">
        <v>10852</v>
      </c>
      <c r="R138" s="35" t="s">
        <v>12374</v>
      </c>
      <c r="S138" s="34" t="s">
        <v>5683</v>
      </c>
      <c r="T138" s="34">
        <v>4</v>
      </c>
      <c r="U138" s="34" t="s">
        <v>5683</v>
      </c>
      <c r="V138" s="34" t="s">
        <v>4999</v>
      </c>
      <c r="W138" s="36">
        <v>43523</v>
      </c>
      <c r="X138" s="44" t="s">
        <v>264</v>
      </c>
      <c r="Y138" s="38">
        <v>43637</v>
      </c>
      <c r="Z138" s="39">
        <v>43637</v>
      </c>
      <c r="AA138" s="45" t="e">
        <v>#VALUE!</v>
      </c>
      <c r="AB138" s="46" t="e">
        <v>#VALUE!</v>
      </c>
      <c r="AC138" s="25"/>
      <c r="AD138" s="42" t="s">
        <v>4999</v>
      </c>
      <c r="AE138" s="43" t="s">
        <v>12380</v>
      </c>
      <c r="AF138" s="27"/>
    </row>
    <row r="139" spans="1:32" s="2" customFormat="1" ht="12.75" x14ac:dyDescent="0.2">
      <c r="A139" s="28">
        <v>0</v>
      </c>
      <c r="B139" s="29" t="s">
        <v>12381</v>
      </c>
      <c r="C139" s="30" t="s">
        <v>11009</v>
      </c>
      <c r="D139" s="30">
        <v>180017</v>
      </c>
      <c r="E139" s="30" t="s">
        <v>12382</v>
      </c>
      <c r="F139" s="30" t="s">
        <v>6820</v>
      </c>
      <c r="G139" s="30" t="s">
        <v>6829</v>
      </c>
      <c r="H139" s="30" t="s">
        <v>12383</v>
      </c>
      <c r="I139" s="30" t="s">
        <v>12384</v>
      </c>
      <c r="J139" s="30" t="s">
        <v>12385</v>
      </c>
      <c r="K139" s="31">
        <v>43123</v>
      </c>
      <c r="L139" s="30" t="s">
        <v>264</v>
      </c>
      <c r="M139" s="31">
        <v>43123</v>
      </c>
      <c r="N139" s="31">
        <v>43242</v>
      </c>
      <c r="O139" s="32">
        <v>43259</v>
      </c>
      <c r="P139" s="33" t="s">
        <v>10852</v>
      </c>
      <c r="Q139" s="34" t="s">
        <v>10852</v>
      </c>
      <c r="R139" s="35" t="s">
        <v>12374</v>
      </c>
      <c r="S139" s="34" t="s">
        <v>5683</v>
      </c>
      <c r="T139" s="34">
        <v>2</v>
      </c>
      <c r="U139" s="34" t="s">
        <v>5683</v>
      </c>
      <c r="V139" s="34" t="s">
        <v>12367</v>
      </c>
      <c r="W139" s="36" t="s">
        <v>12027</v>
      </c>
      <c r="X139" s="44" t="s">
        <v>6850</v>
      </c>
      <c r="Y139" s="38"/>
      <c r="Z139" s="39"/>
      <c r="AA139" s="45" t="e">
        <v>#VALUE!</v>
      </c>
      <c r="AB139" s="46" t="e">
        <v>#VALUE!</v>
      </c>
      <c r="AC139" s="25"/>
      <c r="AD139" s="42"/>
      <c r="AE139" s="43" t="s">
        <v>12380</v>
      </c>
      <c r="AF139" s="27"/>
    </row>
    <row r="140" spans="1:32" s="2" customFormat="1" ht="12.75" x14ac:dyDescent="0.2">
      <c r="A140" s="28">
        <v>0</v>
      </c>
      <c r="B140" s="29" t="s">
        <v>12386</v>
      </c>
      <c r="C140" s="30" t="s">
        <v>11009</v>
      </c>
      <c r="D140" s="30">
        <v>180017</v>
      </c>
      <c r="E140" s="30" t="s">
        <v>12387</v>
      </c>
      <c r="F140" s="30" t="s">
        <v>6820</v>
      </c>
      <c r="G140" s="30" t="s">
        <v>8423</v>
      </c>
      <c r="H140" s="30" t="s">
        <v>12388</v>
      </c>
      <c r="I140" s="30" t="s">
        <v>12389</v>
      </c>
      <c r="J140" s="30" t="s">
        <v>12390</v>
      </c>
      <c r="K140" s="31">
        <v>43123</v>
      </c>
      <c r="L140" s="30" t="s">
        <v>264</v>
      </c>
      <c r="M140" s="31">
        <v>43123</v>
      </c>
      <c r="N140" s="31">
        <v>43242</v>
      </c>
      <c r="O140" s="32">
        <v>43259</v>
      </c>
      <c r="P140" s="33" t="s">
        <v>10852</v>
      </c>
      <c r="Q140" s="34" t="s">
        <v>10852</v>
      </c>
      <c r="R140" s="35" t="s">
        <v>12374</v>
      </c>
      <c r="S140" s="34" t="s">
        <v>5683</v>
      </c>
      <c r="T140" s="34">
        <v>1</v>
      </c>
      <c r="U140" s="34" t="s">
        <v>5683</v>
      </c>
      <c r="V140" s="34" t="s">
        <v>4999</v>
      </c>
      <c r="W140" s="36">
        <v>43591</v>
      </c>
      <c r="X140" s="44" t="s">
        <v>264</v>
      </c>
      <c r="Y140" s="38">
        <v>43593</v>
      </c>
      <c r="Z140" s="39">
        <v>43593</v>
      </c>
      <c r="AA140" s="45" t="e">
        <v>#VALUE!</v>
      </c>
      <c r="AB140" s="46" t="e">
        <v>#VALUE!</v>
      </c>
      <c r="AC140" s="25" t="s">
        <v>10984</v>
      </c>
      <c r="AD140" s="42" t="s">
        <v>4999</v>
      </c>
      <c r="AE140" s="43" t="s">
        <v>12380</v>
      </c>
      <c r="AF140" s="27"/>
    </row>
    <row r="141" spans="1:32" s="2" customFormat="1" ht="12.75" x14ac:dyDescent="0.2">
      <c r="A141" s="28">
        <v>0</v>
      </c>
      <c r="B141" s="29" t="s">
        <v>12391</v>
      </c>
      <c r="C141" s="30" t="s">
        <v>11009</v>
      </c>
      <c r="D141" s="30">
        <v>180017</v>
      </c>
      <c r="E141" s="30" t="s">
        <v>12392</v>
      </c>
      <c r="F141" s="30" t="s">
        <v>6820</v>
      </c>
      <c r="G141" s="30" t="s">
        <v>6829</v>
      </c>
      <c r="H141" s="30" t="s">
        <v>12393</v>
      </c>
      <c r="I141" s="30"/>
      <c r="J141" s="30"/>
      <c r="K141" s="31">
        <v>43123</v>
      </c>
      <c r="L141" s="30" t="s">
        <v>264</v>
      </c>
      <c r="M141" s="31">
        <v>43123</v>
      </c>
      <c r="N141" s="31">
        <v>43242</v>
      </c>
      <c r="O141" s="32">
        <v>43259</v>
      </c>
      <c r="P141" s="33" t="s">
        <v>10852</v>
      </c>
      <c r="Q141" s="34" t="s">
        <v>10852</v>
      </c>
      <c r="R141" s="35" t="s">
        <v>12374</v>
      </c>
      <c r="S141" s="34" t="s">
        <v>5683</v>
      </c>
      <c r="T141" s="34">
        <v>1</v>
      </c>
      <c r="U141" s="34" t="s">
        <v>5683</v>
      </c>
      <c r="V141" s="34" t="s">
        <v>12367</v>
      </c>
      <c r="W141" s="36" t="s">
        <v>12027</v>
      </c>
      <c r="X141" s="44" t="s">
        <v>6850</v>
      </c>
      <c r="Y141" s="38"/>
      <c r="Z141" s="39"/>
      <c r="AA141" s="45" t="e">
        <v>#VALUE!</v>
      </c>
      <c r="AB141" s="46" t="e">
        <v>#VALUE!</v>
      </c>
      <c r="AC141" s="25"/>
      <c r="AD141" s="42"/>
      <c r="AE141" s="43" t="s">
        <v>12380</v>
      </c>
      <c r="AF141" s="27"/>
    </row>
    <row r="142" spans="1:32" s="2" customFormat="1" ht="12.75" x14ac:dyDescent="0.2">
      <c r="A142" s="28">
        <v>0</v>
      </c>
      <c r="B142" s="29" t="s">
        <v>12394</v>
      </c>
      <c r="C142" s="30" t="s">
        <v>11009</v>
      </c>
      <c r="D142" s="30">
        <v>180017</v>
      </c>
      <c r="E142" s="30" t="s">
        <v>12395</v>
      </c>
      <c r="F142" s="30" t="s">
        <v>6820</v>
      </c>
      <c r="G142" s="30" t="s">
        <v>6829</v>
      </c>
      <c r="H142" s="30" t="s">
        <v>12396</v>
      </c>
      <c r="I142" s="30" t="s">
        <v>12397</v>
      </c>
      <c r="J142" s="30"/>
      <c r="K142" s="31">
        <v>43123</v>
      </c>
      <c r="L142" s="30" t="s">
        <v>264</v>
      </c>
      <c r="M142" s="31">
        <v>43123</v>
      </c>
      <c r="N142" s="31">
        <v>43242</v>
      </c>
      <c r="O142" s="32">
        <v>43259</v>
      </c>
      <c r="P142" s="33" t="s">
        <v>10852</v>
      </c>
      <c r="Q142" s="34" t="s">
        <v>10852</v>
      </c>
      <c r="R142" s="35" t="s">
        <v>12374</v>
      </c>
      <c r="S142" s="34" t="s">
        <v>5683</v>
      </c>
      <c r="T142" s="34">
        <v>1</v>
      </c>
      <c r="U142" s="34" t="s">
        <v>5683</v>
      </c>
      <c r="V142" s="34" t="s">
        <v>12367</v>
      </c>
      <c r="W142" s="36" t="s">
        <v>12027</v>
      </c>
      <c r="X142" s="44" t="s">
        <v>6850</v>
      </c>
      <c r="Y142" s="38"/>
      <c r="Z142" s="39"/>
      <c r="AA142" s="45" t="e">
        <v>#VALUE!</v>
      </c>
      <c r="AB142" s="46" t="e">
        <v>#VALUE!</v>
      </c>
      <c r="AC142" s="25"/>
      <c r="AD142" s="42"/>
      <c r="AE142" s="43" t="s">
        <v>12380</v>
      </c>
      <c r="AF142" s="27"/>
    </row>
    <row r="143" spans="1:32" s="2" customFormat="1" ht="12.75" x14ac:dyDescent="0.2">
      <c r="A143" s="28">
        <v>1</v>
      </c>
      <c r="B143" s="29" t="s">
        <v>12398</v>
      </c>
      <c r="C143" s="30" t="s">
        <v>8322</v>
      </c>
      <c r="D143" s="30" t="s">
        <v>5683</v>
      </c>
      <c r="E143" s="30" t="s">
        <v>12399</v>
      </c>
      <c r="F143" s="30" t="s">
        <v>6820</v>
      </c>
      <c r="G143" s="30" t="s">
        <v>6829</v>
      </c>
      <c r="H143" s="30" t="s">
        <v>12400</v>
      </c>
      <c r="I143" s="30" t="s">
        <v>12401</v>
      </c>
      <c r="J143" s="30" t="s">
        <v>5529</v>
      </c>
      <c r="K143" s="31" t="s">
        <v>5683</v>
      </c>
      <c r="L143" s="30" t="s">
        <v>5683</v>
      </c>
      <c r="M143" s="31" t="s">
        <v>5683</v>
      </c>
      <c r="N143" s="31" t="s">
        <v>5683</v>
      </c>
      <c r="O143" s="32" t="s">
        <v>5683</v>
      </c>
      <c r="P143" s="33" t="s">
        <v>10852</v>
      </c>
      <c r="Q143" s="34" t="s">
        <v>5683</v>
      </c>
      <c r="R143" s="35" t="s">
        <v>5683</v>
      </c>
      <c r="S143" s="34" t="s">
        <v>5683</v>
      </c>
      <c r="T143" s="34" t="s">
        <v>5683</v>
      </c>
      <c r="U143" s="34" t="s">
        <v>5683</v>
      </c>
      <c r="V143" s="34" t="s">
        <v>4999</v>
      </c>
      <c r="W143" s="36">
        <v>43481</v>
      </c>
      <c r="X143" s="44"/>
      <c r="Y143" s="38"/>
      <c r="Z143" s="39"/>
      <c r="AA143" s="45" t="e">
        <v>#VALUE!</v>
      </c>
      <c r="AB143" s="46" t="e">
        <v>#VALUE!</v>
      </c>
      <c r="AC143" s="25" t="s">
        <v>5683</v>
      </c>
      <c r="AD143" s="42"/>
      <c r="AE143" s="43"/>
      <c r="AF143" s="27"/>
    </row>
    <row r="144" spans="1:32" s="2" customFormat="1" ht="12.75" x14ac:dyDescent="0.2">
      <c r="A144" s="28">
        <v>0</v>
      </c>
      <c r="B144" s="29" t="s">
        <v>12398</v>
      </c>
      <c r="C144" s="30" t="s">
        <v>8322</v>
      </c>
      <c r="D144" s="30">
        <v>180138</v>
      </c>
      <c r="E144" s="30" t="s">
        <v>12402</v>
      </c>
      <c r="F144" s="30" t="s">
        <v>6820</v>
      </c>
      <c r="G144" s="30" t="s">
        <v>6829</v>
      </c>
      <c r="H144" s="30" t="s">
        <v>12400</v>
      </c>
      <c r="I144" s="30" t="s">
        <v>12401</v>
      </c>
      <c r="J144" s="30" t="s">
        <v>5529</v>
      </c>
      <c r="K144" s="31">
        <v>43333</v>
      </c>
      <c r="L144" s="30" t="s">
        <v>264</v>
      </c>
      <c r="M144" s="31">
        <v>43333</v>
      </c>
      <c r="N144" s="31">
        <v>43334</v>
      </c>
      <c r="O144" s="32">
        <v>43334</v>
      </c>
      <c r="P144" s="33" t="s">
        <v>10852</v>
      </c>
      <c r="Q144" s="34" t="s">
        <v>9350</v>
      </c>
      <c r="R144" s="35">
        <v>43339</v>
      </c>
      <c r="S144" s="34" t="s">
        <v>11029</v>
      </c>
      <c r="T144" s="34">
        <v>10</v>
      </c>
      <c r="U144" s="34" t="s">
        <v>5683</v>
      </c>
      <c r="V144" s="34" t="s">
        <v>4999</v>
      </c>
      <c r="W144" s="36">
        <v>43339</v>
      </c>
      <c r="X144" s="44" t="s">
        <v>6850</v>
      </c>
      <c r="Y144" s="38">
        <v>43705</v>
      </c>
      <c r="Z144" s="39">
        <v>43371</v>
      </c>
      <c r="AA144" s="45" t="e">
        <v>#VALUE!</v>
      </c>
      <c r="AB144" s="46" t="e">
        <v>#VALUE!</v>
      </c>
      <c r="AC144" s="25" t="s">
        <v>12197</v>
      </c>
      <c r="AD144" s="42" t="s">
        <v>4999</v>
      </c>
      <c r="AE144" s="56"/>
      <c r="AF144" s="27" t="s">
        <v>4999</v>
      </c>
    </row>
    <row r="145" spans="1:32" s="2" customFormat="1" ht="25.5" x14ac:dyDescent="0.2">
      <c r="A145" s="28">
        <v>1</v>
      </c>
      <c r="B145" s="49" t="s">
        <v>12403</v>
      </c>
      <c r="C145" s="50" t="s">
        <v>9361</v>
      </c>
      <c r="D145" s="50" t="s">
        <v>5683</v>
      </c>
      <c r="E145" s="50" t="s">
        <v>12404</v>
      </c>
      <c r="F145" s="50" t="s">
        <v>6820</v>
      </c>
      <c r="G145" s="50" t="s">
        <v>6829</v>
      </c>
      <c r="H145" s="50" t="s">
        <v>9369</v>
      </c>
      <c r="I145" s="50" t="s">
        <v>12304</v>
      </c>
      <c r="J145" s="50" t="s">
        <v>9596</v>
      </c>
      <c r="K145" s="51" t="s">
        <v>5683</v>
      </c>
      <c r="L145" s="50" t="s">
        <v>5683</v>
      </c>
      <c r="M145" s="51" t="s">
        <v>5683</v>
      </c>
      <c r="N145" s="51" t="s">
        <v>5683</v>
      </c>
      <c r="O145" s="52" t="s">
        <v>5683</v>
      </c>
      <c r="P145" s="33" t="s">
        <v>10852</v>
      </c>
      <c r="Q145" s="34" t="s">
        <v>5683</v>
      </c>
      <c r="R145" s="35" t="s">
        <v>5683</v>
      </c>
      <c r="S145" s="34" t="s">
        <v>5683</v>
      </c>
      <c r="T145" s="34" t="s">
        <v>5683</v>
      </c>
      <c r="U145" s="34" t="s">
        <v>5683</v>
      </c>
      <c r="V145" s="34" t="s">
        <v>4999</v>
      </c>
      <c r="W145" s="36">
        <v>43487</v>
      </c>
      <c r="X145" s="44"/>
      <c r="Y145" s="38"/>
      <c r="Z145" s="39"/>
      <c r="AA145" s="45" t="e">
        <v>#VALUE!</v>
      </c>
      <c r="AB145" s="46" t="e">
        <v>#VALUE!</v>
      </c>
      <c r="AC145" s="53" t="s">
        <v>5683</v>
      </c>
      <c r="AD145" s="54"/>
      <c r="AE145" s="55"/>
    </row>
    <row r="146" spans="1:32" s="2" customFormat="1" ht="25.5" x14ac:dyDescent="0.2">
      <c r="A146" s="28">
        <v>0</v>
      </c>
      <c r="B146" s="49" t="s">
        <v>12403</v>
      </c>
      <c r="C146" s="50" t="s">
        <v>9361</v>
      </c>
      <c r="D146" s="50">
        <v>180140</v>
      </c>
      <c r="E146" s="50" t="s">
        <v>12405</v>
      </c>
      <c r="F146" s="50" t="s">
        <v>6820</v>
      </c>
      <c r="G146" s="50" t="s">
        <v>6829</v>
      </c>
      <c r="H146" s="50" t="s">
        <v>9369</v>
      </c>
      <c r="I146" s="50" t="s">
        <v>12304</v>
      </c>
      <c r="J146" s="50" t="s">
        <v>9596</v>
      </c>
      <c r="K146" s="51">
        <v>43335</v>
      </c>
      <c r="L146" s="50" t="s">
        <v>264</v>
      </c>
      <c r="M146" s="51">
        <v>43335</v>
      </c>
      <c r="N146" s="51">
        <v>43335</v>
      </c>
      <c r="O146" s="52">
        <v>43335</v>
      </c>
      <c r="P146" s="33" t="s">
        <v>10852</v>
      </c>
      <c r="Q146" s="34" t="s">
        <v>10852</v>
      </c>
      <c r="R146" s="35">
        <v>43341</v>
      </c>
      <c r="S146" s="34" t="s">
        <v>9689</v>
      </c>
      <c r="T146" s="34">
        <v>4</v>
      </c>
      <c r="U146" s="34" t="s">
        <v>5683</v>
      </c>
      <c r="V146" s="34" t="s">
        <v>4999</v>
      </c>
      <c r="W146" s="36">
        <v>43341</v>
      </c>
      <c r="X146" s="44" t="s">
        <v>6850</v>
      </c>
      <c r="Y146" s="38">
        <v>43341</v>
      </c>
      <c r="Z146" s="39">
        <v>43341</v>
      </c>
      <c r="AA146" s="45" t="e">
        <v>#VALUE!</v>
      </c>
      <c r="AB146" s="46" t="e">
        <v>#VALUE!</v>
      </c>
      <c r="AC146" s="53" t="s">
        <v>12197</v>
      </c>
      <c r="AD146" s="54" t="s">
        <v>4999</v>
      </c>
      <c r="AE146" s="55"/>
      <c r="AF146" s="2" t="s">
        <v>4999</v>
      </c>
    </row>
    <row r="147" spans="1:32" s="2" customFormat="1" ht="25.5" x14ac:dyDescent="0.2">
      <c r="A147" s="28">
        <v>1</v>
      </c>
      <c r="B147" s="49" t="s">
        <v>12406</v>
      </c>
      <c r="C147" s="50" t="s">
        <v>9361</v>
      </c>
      <c r="D147" s="50" t="s">
        <v>5683</v>
      </c>
      <c r="E147" s="50" t="s">
        <v>12407</v>
      </c>
      <c r="F147" s="50" t="s">
        <v>6820</v>
      </c>
      <c r="G147" s="50" t="s">
        <v>6829</v>
      </c>
      <c r="H147" s="50" t="s">
        <v>9363</v>
      </c>
      <c r="I147" s="50" t="s">
        <v>12408</v>
      </c>
      <c r="J147" s="50" t="s">
        <v>9596</v>
      </c>
      <c r="K147" s="51" t="s">
        <v>5683</v>
      </c>
      <c r="L147" s="50" t="s">
        <v>5683</v>
      </c>
      <c r="M147" s="51" t="s">
        <v>5683</v>
      </c>
      <c r="N147" s="51" t="s">
        <v>5683</v>
      </c>
      <c r="O147" s="52" t="s">
        <v>5683</v>
      </c>
      <c r="P147" s="33" t="s">
        <v>10852</v>
      </c>
      <c r="Q147" s="34" t="s">
        <v>5683</v>
      </c>
      <c r="R147" s="35" t="s">
        <v>5683</v>
      </c>
      <c r="S147" s="34" t="s">
        <v>5683</v>
      </c>
      <c r="T147" s="34" t="s">
        <v>5683</v>
      </c>
      <c r="U147" s="34" t="s">
        <v>5683</v>
      </c>
      <c r="V147" s="34" t="s">
        <v>4999</v>
      </c>
      <c r="W147" s="36">
        <v>43487</v>
      </c>
      <c r="X147" s="44"/>
      <c r="Y147" s="38"/>
      <c r="Z147" s="39"/>
      <c r="AA147" s="45" t="e">
        <v>#VALUE!</v>
      </c>
      <c r="AB147" s="46" t="e">
        <v>#VALUE!</v>
      </c>
      <c r="AC147" s="53" t="s">
        <v>5683</v>
      </c>
      <c r="AD147" s="54"/>
      <c r="AE147" s="55"/>
    </row>
    <row r="148" spans="1:32" s="2" customFormat="1" ht="25.5" x14ac:dyDescent="0.2">
      <c r="A148" s="28">
        <v>0</v>
      </c>
      <c r="B148" s="49" t="s">
        <v>12406</v>
      </c>
      <c r="C148" s="50" t="s">
        <v>9361</v>
      </c>
      <c r="D148" s="50">
        <v>180142</v>
      </c>
      <c r="E148" s="50" t="s">
        <v>12409</v>
      </c>
      <c r="F148" s="50" t="s">
        <v>6820</v>
      </c>
      <c r="G148" s="50" t="s">
        <v>6829</v>
      </c>
      <c r="H148" s="50" t="s">
        <v>9363</v>
      </c>
      <c r="I148" s="50" t="s">
        <v>12408</v>
      </c>
      <c r="J148" s="50" t="s">
        <v>9596</v>
      </c>
      <c r="K148" s="51">
        <v>43340</v>
      </c>
      <c r="L148" s="50" t="s">
        <v>264</v>
      </c>
      <c r="M148" s="51">
        <v>43340</v>
      </c>
      <c r="N148" s="51">
        <v>43340</v>
      </c>
      <c r="O148" s="52">
        <v>43340</v>
      </c>
      <c r="P148" s="33" t="s">
        <v>10852</v>
      </c>
      <c r="Q148" s="34" t="s">
        <v>10852</v>
      </c>
      <c r="R148" s="35">
        <v>43341</v>
      </c>
      <c r="S148" s="34" t="s">
        <v>9366</v>
      </c>
      <c r="T148" s="34">
        <v>8</v>
      </c>
      <c r="U148" s="34" t="s">
        <v>5683</v>
      </c>
      <c r="V148" s="34" t="s">
        <v>4999</v>
      </c>
      <c r="W148" s="36">
        <v>43341</v>
      </c>
      <c r="X148" s="44" t="s">
        <v>6850</v>
      </c>
      <c r="Y148" s="38">
        <v>43341</v>
      </c>
      <c r="Z148" s="39">
        <v>43341</v>
      </c>
      <c r="AA148" s="45" t="e">
        <v>#VALUE!</v>
      </c>
      <c r="AB148" s="46" t="e">
        <v>#VALUE!</v>
      </c>
      <c r="AC148" s="53" t="s">
        <v>12197</v>
      </c>
      <c r="AD148" s="54" t="s">
        <v>4999</v>
      </c>
      <c r="AE148" s="55"/>
      <c r="AF148" s="2" t="s">
        <v>4999</v>
      </c>
    </row>
    <row r="149" spans="1:32" s="2" customFormat="1" ht="12.75" x14ac:dyDescent="0.2">
      <c r="A149" s="28">
        <v>0</v>
      </c>
      <c r="B149" s="29" t="s">
        <v>12410</v>
      </c>
      <c r="C149" s="50" t="s">
        <v>8369</v>
      </c>
      <c r="D149" s="50">
        <v>180143</v>
      </c>
      <c r="E149" s="50" t="s">
        <v>12411</v>
      </c>
      <c r="F149" s="50" t="s">
        <v>6820</v>
      </c>
      <c r="G149" s="50" t="s">
        <v>6829</v>
      </c>
      <c r="H149" s="30" t="s">
        <v>1147</v>
      </c>
      <c r="I149" s="50" t="s">
        <v>12412</v>
      </c>
      <c r="J149" s="30" t="s">
        <v>12413</v>
      </c>
      <c r="K149" s="51">
        <v>43341</v>
      </c>
      <c r="L149" s="50" t="s">
        <v>264</v>
      </c>
      <c r="M149" s="51">
        <v>43341</v>
      </c>
      <c r="N149" s="51">
        <v>43341</v>
      </c>
      <c r="O149" s="52">
        <v>43341</v>
      </c>
      <c r="P149" s="33" t="s">
        <v>10852</v>
      </c>
      <c r="Q149" s="34" t="s">
        <v>9350</v>
      </c>
      <c r="R149" s="35">
        <v>43342</v>
      </c>
      <c r="S149" s="34" t="s">
        <v>12414</v>
      </c>
      <c r="T149" s="34">
        <v>1</v>
      </c>
      <c r="U149" s="34" t="s">
        <v>5683</v>
      </c>
      <c r="V149" s="34" t="s">
        <v>4999</v>
      </c>
      <c r="W149" s="36">
        <v>43346</v>
      </c>
      <c r="X149" s="44" t="s">
        <v>6850</v>
      </c>
      <c r="Y149" s="38">
        <v>43346</v>
      </c>
      <c r="Z149" s="39">
        <v>43346</v>
      </c>
      <c r="AA149" s="45" t="e">
        <v>#VALUE!</v>
      </c>
      <c r="AB149" s="46" t="e">
        <v>#VALUE!</v>
      </c>
      <c r="AC149" s="25" t="s">
        <v>10869</v>
      </c>
      <c r="AD149" s="42" t="s">
        <v>4999</v>
      </c>
      <c r="AE149" s="43"/>
      <c r="AF149" s="27" t="s">
        <v>4999</v>
      </c>
    </row>
    <row r="150" spans="1:32" s="2" customFormat="1" ht="12.75" x14ac:dyDescent="0.2">
      <c r="A150" s="28">
        <v>1</v>
      </c>
      <c r="B150" s="29" t="s">
        <v>12415</v>
      </c>
      <c r="C150" s="30" t="s">
        <v>9377</v>
      </c>
      <c r="D150" s="30" t="s">
        <v>5683</v>
      </c>
      <c r="E150" s="30" t="s">
        <v>12416</v>
      </c>
      <c r="F150" s="30" t="s">
        <v>6820</v>
      </c>
      <c r="G150" s="30" t="s">
        <v>6829</v>
      </c>
      <c r="H150" s="30" t="s">
        <v>12417</v>
      </c>
      <c r="I150" s="30" t="s">
        <v>12418</v>
      </c>
      <c r="J150" s="30" t="s">
        <v>10874</v>
      </c>
      <c r="K150" s="31" t="s">
        <v>5683</v>
      </c>
      <c r="L150" s="30" t="s">
        <v>5683</v>
      </c>
      <c r="M150" s="31" t="s">
        <v>5683</v>
      </c>
      <c r="N150" s="31" t="s">
        <v>5683</v>
      </c>
      <c r="O150" s="32" t="s">
        <v>5683</v>
      </c>
      <c r="P150" s="33" t="s">
        <v>10852</v>
      </c>
      <c r="Q150" s="34" t="s">
        <v>5683</v>
      </c>
      <c r="R150" s="35" t="s">
        <v>5683</v>
      </c>
      <c r="S150" s="34" t="s">
        <v>5683</v>
      </c>
      <c r="T150" s="34" t="s">
        <v>5683</v>
      </c>
      <c r="U150" s="34" t="s">
        <v>5683</v>
      </c>
      <c r="V150" s="34" t="s">
        <v>4999</v>
      </c>
      <c r="W150" s="36">
        <v>43486</v>
      </c>
      <c r="X150" s="44"/>
      <c r="Y150" s="38"/>
      <c r="Z150" s="39"/>
      <c r="AA150" s="45" t="e">
        <v>#VALUE!</v>
      </c>
      <c r="AB150" s="46" t="e">
        <v>#VALUE!</v>
      </c>
      <c r="AC150" s="25" t="s">
        <v>5683</v>
      </c>
      <c r="AD150" s="42"/>
      <c r="AE150" s="43"/>
      <c r="AF150" s="27"/>
    </row>
    <row r="151" spans="1:32" s="2" customFormat="1" ht="12.75" x14ac:dyDescent="0.2">
      <c r="A151" s="28">
        <v>0</v>
      </c>
      <c r="B151" s="29" t="s">
        <v>12415</v>
      </c>
      <c r="C151" s="30" t="s">
        <v>9377</v>
      </c>
      <c r="D151" s="30">
        <v>180149</v>
      </c>
      <c r="E151" s="30" t="s">
        <v>12419</v>
      </c>
      <c r="F151" s="30" t="s">
        <v>6820</v>
      </c>
      <c r="G151" s="30" t="s">
        <v>6829</v>
      </c>
      <c r="H151" s="30" t="s">
        <v>12417</v>
      </c>
      <c r="I151" s="30" t="s">
        <v>12418</v>
      </c>
      <c r="J151" s="30" t="s">
        <v>10874</v>
      </c>
      <c r="K151" s="31">
        <v>43343</v>
      </c>
      <c r="L151" s="30" t="s">
        <v>264</v>
      </c>
      <c r="M151" s="31">
        <v>43343</v>
      </c>
      <c r="N151" s="31">
        <v>43343</v>
      </c>
      <c r="O151" s="32">
        <v>43346</v>
      </c>
      <c r="P151" s="33" t="s">
        <v>10852</v>
      </c>
      <c r="Q151" s="34" t="s">
        <v>9350</v>
      </c>
      <c r="R151" s="35">
        <v>43347</v>
      </c>
      <c r="S151" s="34" t="s">
        <v>12420</v>
      </c>
      <c r="T151" s="34">
        <v>1</v>
      </c>
      <c r="U151" s="34" t="s">
        <v>5683</v>
      </c>
      <c r="V151" s="34" t="s">
        <v>4999</v>
      </c>
      <c r="W151" s="36">
        <v>43347</v>
      </c>
      <c r="X151" s="44" t="s">
        <v>6850</v>
      </c>
      <c r="Y151" s="38">
        <v>43348</v>
      </c>
      <c r="Z151" s="39">
        <v>43348</v>
      </c>
      <c r="AA151" s="45" t="e">
        <v>#VALUE!</v>
      </c>
      <c r="AB151" s="46" t="e">
        <v>#VALUE!</v>
      </c>
      <c r="AC151" s="25" t="s">
        <v>12421</v>
      </c>
      <c r="AD151" s="42" t="s">
        <v>4999</v>
      </c>
      <c r="AE151" s="43"/>
      <c r="AF151" s="27" t="s">
        <v>4999</v>
      </c>
    </row>
    <row r="152" spans="1:32" s="2" customFormat="1" ht="12.75" x14ac:dyDescent="0.2">
      <c r="A152" s="28">
        <v>0</v>
      </c>
      <c r="B152" s="29" t="s">
        <v>12422</v>
      </c>
      <c r="C152" s="30" t="s">
        <v>6169</v>
      </c>
      <c r="D152" s="30">
        <v>180124</v>
      </c>
      <c r="E152" s="30" t="s">
        <v>12423</v>
      </c>
      <c r="F152" s="30" t="s">
        <v>6820</v>
      </c>
      <c r="G152" s="30" t="s">
        <v>6829</v>
      </c>
      <c r="H152" s="30" t="s">
        <v>12240</v>
      </c>
      <c r="I152" s="30" t="s">
        <v>12424</v>
      </c>
      <c r="J152" s="30" t="s">
        <v>12118</v>
      </c>
      <c r="K152" s="31">
        <v>43326</v>
      </c>
      <c r="L152" s="31" t="s">
        <v>264</v>
      </c>
      <c r="M152" s="31">
        <v>43326</v>
      </c>
      <c r="N152" s="31">
        <v>43326</v>
      </c>
      <c r="O152" s="32">
        <v>43327</v>
      </c>
      <c r="P152" s="33" t="s">
        <v>10852</v>
      </c>
      <c r="Q152" s="34" t="s">
        <v>10852</v>
      </c>
      <c r="R152" s="35">
        <v>43418</v>
      </c>
      <c r="S152" s="34" t="s">
        <v>12242</v>
      </c>
      <c r="T152" s="34">
        <v>2</v>
      </c>
      <c r="U152" s="34" t="s">
        <v>5683</v>
      </c>
      <c r="V152" s="34" t="s">
        <v>4999</v>
      </c>
      <c r="W152" s="36">
        <v>43423</v>
      </c>
      <c r="X152" s="44" t="s">
        <v>264</v>
      </c>
      <c r="Y152" s="38">
        <v>43425</v>
      </c>
      <c r="Z152" s="39">
        <v>43425</v>
      </c>
      <c r="AA152" s="45" t="e">
        <v>#VALUE!</v>
      </c>
      <c r="AB152" s="46" t="e">
        <v>#VALUE!</v>
      </c>
      <c r="AC152" s="25" t="s">
        <v>10869</v>
      </c>
      <c r="AD152" s="42" t="s">
        <v>4999</v>
      </c>
      <c r="AE152" s="56"/>
      <c r="AF152" s="27"/>
    </row>
    <row r="153" spans="1:32" s="2" customFormat="1" ht="12.75" x14ac:dyDescent="0.2">
      <c r="A153" s="28">
        <v>1</v>
      </c>
      <c r="B153" s="29" t="s">
        <v>12425</v>
      </c>
      <c r="C153" s="30" t="s">
        <v>9024</v>
      </c>
      <c r="D153" s="30" t="s">
        <v>5683</v>
      </c>
      <c r="E153" s="30" t="s">
        <v>12426</v>
      </c>
      <c r="F153" s="30" t="s">
        <v>6820</v>
      </c>
      <c r="G153" s="30" t="s">
        <v>6829</v>
      </c>
      <c r="H153" s="30" t="s">
        <v>12427</v>
      </c>
      <c r="I153" s="30" t="s">
        <v>12428</v>
      </c>
      <c r="J153" s="30" t="s">
        <v>11272</v>
      </c>
      <c r="K153" s="31" t="s">
        <v>5683</v>
      </c>
      <c r="L153" s="30" t="s">
        <v>5683</v>
      </c>
      <c r="M153" s="31" t="s">
        <v>5683</v>
      </c>
      <c r="N153" s="31" t="s">
        <v>5683</v>
      </c>
      <c r="O153" s="32" t="s">
        <v>5683</v>
      </c>
      <c r="P153" s="33" t="s">
        <v>10852</v>
      </c>
      <c r="Q153" s="34" t="s">
        <v>5683</v>
      </c>
      <c r="R153" s="35" t="s">
        <v>5683</v>
      </c>
      <c r="S153" s="34" t="s">
        <v>5683</v>
      </c>
      <c r="T153" s="34" t="s">
        <v>5683</v>
      </c>
      <c r="U153" s="34" t="s">
        <v>5683</v>
      </c>
      <c r="V153" s="34" t="s">
        <v>4999</v>
      </c>
      <c r="W153" s="36">
        <v>43481</v>
      </c>
      <c r="X153" s="44"/>
      <c r="Y153" s="38"/>
      <c r="Z153" s="39"/>
      <c r="AA153" s="45" t="e">
        <v>#VALUE!</v>
      </c>
      <c r="AB153" s="46" t="e">
        <v>#VALUE!</v>
      </c>
      <c r="AC153" s="25" t="s">
        <v>5683</v>
      </c>
      <c r="AD153" s="42"/>
      <c r="AE153" s="43"/>
      <c r="AF153" s="27"/>
    </row>
    <row r="154" spans="1:32" s="2" customFormat="1" ht="12.75" x14ac:dyDescent="0.2">
      <c r="A154" s="28">
        <v>0</v>
      </c>
      <c r="B154" s="29" t="s">
        <v>12425</v>
      </c>
      <c r="C154" s="30" t="s">
        <v>9024</v>
      </c>
      <c r="D154" s="30">
        <v>180157</v>
      </c>
      <c r="E154" s="30" t="s">
        <v>12429</v>
      </c>
      <c r="F154" s="30" t="s">
        <v>6820</v>
      </c>
      <c r="G154" s="30" t="s">
        <v>6829</v>
      </c>
      <c r="H154" s="30" t="s">
        <v>12427</v>
      </c>
      <c r="I154" s="30" t="s">
        <v>12428</v>
      </c>
      <c r="J154" s="30" t="s">
        <v>11272</v>
      </c>
      <c r="K154" s="31">
        <v>43362</v>
      </c>
      <c r="L154" s="57" t="s">
        <v>264</v>
      </c>
      <c r="M154" s="31">
        <v>43362</v>
      </c>
      <c r="N154" s="31">
        <v>43362</v>
      </c>
      <c r="O154" s="32">
        <v>43364</v>
      </c>
      <c r="P154" s="33" t="s">
        <v>10852</v>
      </c>
      <c r="Q154" s="34" t="s">
        <v>10852</v>
      </c>
      <c r="R154" s="35">
        <v>43364</v>
      </c>
      <c r="S154" s="34" t="s">
        <v>12430</v>
      </c>
      <c r="T154" s="34">
        <v>1</v>
      </c>
      <c r="U154" s="34" t="s">
        <v>5683</v>
      </c>
      <c r="V154" s="34" t="s">
        <v>4999</v>
      </c>
      <c r="W154" s="36">
        <v>43370</v>
      </c>
      <c r="X154" s="44" t="s">
        <v>6850</v>
      </c>
      <c r="Y154" s="38">
        <v>43370</v>
      </c>
      <c r="Z154" s="39">
        <v>43374</v>
      </c>
      <c r="AA154" s="45" t="e">
        <v>#VALUE!</v>
      </c>
      <c r="AB154" s="46" t="e">
        <v>#VALUE!</v>
      </c>
      <c r="AC154" s="25" t="s">
        <v>10869</v>
      </c>
      <c r="AD154" s="42" t="s">
        <v>4999</v>
      </c>
      <c r="AE154" s="43"/>
      <c r="AF154" s="27" t="s">
        <v>4999</v>
      </c>
    </row>
    <row r="155" spans="1:32" s="2" customFormat="1" ht="12.75" x14ac:dyDescent="0.2">
      <c r="A155" s="28">
        <v>1</v>
      </c>
      <c r="B155" s="29" t="s">
        <v>12431</v>
      </c>
      <c r="C155" s="30" t="s">
        <v>9024</v>
      </c>
      <c r="D155" s="30" t="s">
        <v>5683</v>
      </c>
      <c r="E155" s="30" t="s">
        <v>12432</v>
      </c>
      <c r="F155" s="30" t="s">
        <v>6820</v>
      </c>
      <c r="G155" s="30" t="s">
        <v>6829</v>
      </c>
      <c r="H155" s="30" t="s">
        <v>12433</v>
      </c>
      <c r="I155" s="30" t="s">
        <v>11271</v>
      </c>
      <c r="J155" s="30" t="s">
        <v>11272</v>
      </c>
      <c r="K155" s="31" t="s">
        <v>5683</v>
      </c>
      <c r="L155" s="30" t="s">
        <v>5683</v>
      </c>
      <c r="M155" s="31" t="s">
        <v>5683</v>
      </c>
      <c r="N155" s="31" t="s">
        <v>5683</v>
      </c>
      <c r="O155" s="32" t="s">
        <v>5683</v>
      </c>
      <c r="P155" s="33" t="s">
        <v>10852</v>
      </c>
      <c r="Q155" s="34" t="s">
        <v>5683</v>
      </c>
      <c r="R155" s="35" t="s">
        <v>5683</v>
      </c>
      <c r="S155" s="34" t="s">
        <v>5683</v>
      </c>
      <c r="T155" s="34" t="s">
        <v>5683</v>
      </c>
      <c r="U155" s="34" t="s">
        <v>5683</v>
      </c>
      <c r="V155" s="34" t="s">
        <v>4999</v>
      </c>
      <c r="W155" s="36">
        <v>43481</v>
      </c>
      <c r="X155" s="44"/>
      <c r="Y155" s="38"/>
      <c r="Z155" s="39"/>
      <c r="AA155" s="45" t="e">
        <v>#VALUE!</v>
      </c>
      <c r="AB155" s="46" t="e">
        <v>#VALUE!</v>
      </c>
      <c r="AC155" s="25" t="s">
        <v>5683</v>
      </c>
      <c r="AD155" s="42"/>
      <c r="AE155" s="43"/>
      <c r="AF155" s="27"/>
    </row>
    <row r="156" spans="1:32" s="2" customFormat="1" ht="12.75" x14ac:dyDescent="0.2">
      <c r="A156" s="28">
        <v>0</v>
      </c>
      <c r="B156" s="29" t="s">
        <v>12431</v>
      </c>
      <c r="C156" s="30" t="s">
        <v>9024</v>
      </c>
      <c r="D156" s="30">
        <v>180157</v>
      </c>
      <c r="E156" s="30" t="s">
        <v>12434</v>
      </c>
      <c r="F156" s="30" t="s">
        <v>6820</v>
      </c>
      <c r="G156" s="30" t="s">
        <v>6829</v>
      </c>
      <c r="H156" s="30" t="s">
        <v>12433</v>
      </c>
      <c r="I156" s="30" t="s">
        <v>11271</v>
      </c>
      <c r="J156" s="30" t="s">
        <v>11272</v>
      </c>
      <c r="K156" s="31">
        <v>43362</v>
      </c>
      <c r="L156" s="30" t="s">
        <v>264</v>
      </c>
      <c r="M156" s="31">
        <v>43362</v>
      </c>
      <c r="N156" s="31">
        <v>43362</v>
      </c>
      <c r="O156" s="32">
        <v>43364</v>
      </c>
      <c r="P156" s="33" t="s">
        <v>10852</v>
      </c>
      <c r="Q156" s="34" t="s">
        <v>10852</v>
      </c>
      <c r="R156" s="35">
        <v>43364</v>
      </c>
      <c r="S156" s="34" t="s">
        <v>11273</v>
      </c>
      <c r="T156" s="34">
        <v>1</v>
      </c>
      <c r="U156" s="34" t="s">
        <v>5683</v>
      </c>
      <c r="V156" s="34" t="s">
        <v>4999</v>
      </c>
      <c r="W156" s="36">
        <v>43370</v>
      </c>
      <c r="X156" s="44" t="s">
        <v>6850</v>
      </c>
      <c r="Y156" s="38">
        <v>43370</v>
      </c>
      <c r="Z156" s="39">
        <v>43374</v>
      </c>
      <c r="AA156" s="45" t="e">
        <v>#VALUE!</v>
      </c>
      <c r="AB156" s="46" t="e">
        <v>#VALUE!</v>
      </c>
      <c r="AC156" s="25" t="s">
        <v>10869</v>
      </c>
      <c r="AD156" s="42" t="s">
        <v>4999</v>
      </c>
      <c r="AE156" s="43"/>
      <c r="AF156" s="27" t="s">
        <v>4999</v>
      </c>
    </row>
    <row r="157" spans="1:32" s="2" customFormat="1" ht="12.75" x14ac:dyDescent="0.2">
      <c r="A157" s="28">
        <v>1</v>
      </c>
      <c r="B157" s="29" t="s">
        <v>12435</v>
      </c>
      <c r="C157" s="48" t="s">
        <v>9024</v>
      </c>
      <c r="D157" s="48" t="s">
        <v>5683</v>
      </c>
      <c r="E157" s="48" t="s">
        <v>12436</v>
      </c>
      <c r="F157" s="48" t="s">
        <v>6820</v>
      </c>
      <c r="G157" s="48" t="s">
        <v>6829</v>
      </c>
      <c r="H157" s="30" t="s">
        <v>11787</v>
      </c>
      <c r="I157" s="30" t="s">
        <v>11788</v>
      </c>
      <c r="J157" s="30" t="s">
        <v>11272</v>
      </c>
      <c r="K157" s="31" t="s">
        <v>5683</v>
      </c>
      <c r="L157" s="30" t="s">
        <v>5683</v>
      </c>
      <c r="M157" s="31" t="s">
        <v>5683</v>
      </c>
      <c r="N157" s="31" t="s">
        <v>5683</v>
      </c>
      <c r="O157" s="32" t="s">
        <v>5683</v>
      </c>
      <c r="P157" s="33" t="s">
        <v>10852</v>
      </c>
      <c r="Q157" s="34" t="s">
        <v>5683</v>
      </c>
      <c r="R157" s="35" t="s">
        <v>5683</v>
      </c>
      <c r="S157" s="34" t="s">
        <v>5683</v>
      </c>
      <c r="T157" s="34" t="s">
        <v>5683</v>
      </c>
      <c r="U157" s="34" t="s">
        <v>5683</v>
      </c>
      <c r="V157" s="34" t="s">
        <v>4999</v>
      </c>
      <c r="W157" s="36">
        <v>43481</v>
      </c>
      <c r="X157" s="44"/>
      <c r="Y157" s="38"/>
      <c r="Z157" s="39"/>
      <c r="AA157" s="45" t="e">
        <v>#VALUE!</v>
      </c>
      <c r="AB157" s="46" t="e">
        <v>#VALUE!</v>
      </c>
      <c r="AC157" s="25" t="s">
        <v>5683</v>
      </c>
      <c r="AD157" s="42"/>
      <c r="AE157" s="43"/>
      <c r="AF157" s="27"/>
    </row>
    <row r="158" spans="1:32" s="2" customFormat="1" ht="12.75" x14ac:dyDescent="0.2">
      <c r="A158" s="28">
        <v>0</v>
      </c>
      <c r="B158" s="29" t="s">
        <v>12435</v>
      </c>
      <c r="C158" s="30" t="s">
        <v>9024</v>
      </c>
      <c r="D158" s="30">
        <v>180157</v>
      </c>
      <c r="E158" s="30" t="s">
        <v>12437</v>
      </c>
      <c r="F158" s="30" t="s">
        <v>6820</v>
      </c>
      <c r="G158" s="30" t="s">
        <v>6829</v>
      </c>
      <c r="H158" s="30" t="s">
        <v>11787</v>
      </c>
      <c r="I158" s="30" t="s">
        <v>11788</v>
      </c>
      <c r="J158" s="30" t="s">
        <v>11272</v>
      </c>
      <c r="K158" s="31">
        <v>43362</v>
      </c>
      <c r="L158" s="30" t="s">
        <v>264</v>
      </c>
      <c r="M158" s="31">
        <v>43362</v>
      </c>
      <c r="N158" s="31">
        <v>43362</v>
      </c>
      <c r="O158" s="32">
        <v>43364</v>
      </c>
      <c r="P158" s="33" t="s">
        <v>10852</v>
      </c>
      <c r="Q158" s="34" t="s">
        <v>10852</v>
      </c>
      <c r="R158" s="35">
        <v>43364</v>
      </c>
      <c r="S158" s="34" t="s">
        <v>11789</v>
      </c>
      <c r="T158" s="34">
        <v>2</v>
      </c>
      <c r="U158" s="34" t="s">
        <v>5683</v>
      </c>
      <c r="V158" s="34" t="s">
        <v>4999</v>
      </c>
      <c r="W158" s="36">
        <v>43370</v>
      </c>
      <c r="X158" s="44" t="s">
        <v>6850</v>
      </c>
      <c r="Y158" s="38">
        <v>43370</v>
      </c>
      <c r="Z158" s="39">
        <v>43374</v>
      </c>
      <c r="AA158" s="45" t="e">
        <v>#VALUE!</v>
      </c>
      <c r="AB158" s="46" t="e">
        <v>#VALUE!</v>
      </c>
      <c r="AC158" s="25" t="s">
        <v>10869</v>
      </c>
      <c r="AD158" s="42" t="s">
        <v>4999</v>
      </c>
      <c r="AE158" s="43"/>
      <c r="AF158" s="27" t="s">
        <v>4999</v>
      </c>
    </row>
    <row r="159" spans="1:32" s="2" customFormat="1" ht="25.5" x14ac:dyDescent="0.2">
      <c r="A159" s="28">
        <v>1</v>
      </c>
      <c r="B159" s="49" t="s">
        <v>12438</v>
      </c>
      <c r="C159" s="50" t="s">
        <v>9361</v>
      </c>
      <c r="D159" s="50" t="s">
        <v>5683</v>
      </c>
      <c r="E159" s="50" t="s">
        <v>12439</v>
      </c>
      <c r="F159" s="50" t="s">
        <v>6820</v>
      </c>
      <c r="G159" s="50" t="s">
        <v>6829</v>
      </c>
      <c r="H159" s="50" t="s">
        <v>12440</v>
      </c>
      <c r="I159" s="50" t="s">
        <v>12441</v>
      </c>
      <c r="J159" s="50" t="s">
        <v>12442</v>
      </c>
      <c r="K159" s="51" t="s">
        <v>5683</v>
      </c>
      <c r="L159" s="50" t="s">
        <v>5683</v>
      </c>
      <c r="M159" s="51" t="s">
        <v>5683</v>
      </c>
      <c r="N159" s="51" t="s">
        <v>5683</v>
      </c>
      <c r="O159" s="52" t="s">
        <v>5683</v>
      </c>
      <c r="P159" s="33" t="s">
        <v>10852</v>
      </c>
      <c r="Q159" s="34" t="s">
        <v>5683</v>
      </c>
      <c r="R159" s="35" t="s">
        <v>5683</v>
      </c>
      <c r="S159" s="34" t="s">
        <v>5683</v>
      </c>
      <c r="T159" s="34" t="s">
        <v>5683</v>
      </c>
      <c r="U159" s="34" t="s">
        <v>5683</v>
      </c>
      <c r="V159" s="34" t="s">
        <v>4999</v>
      </c>
      <c r="W159" s="36">
        <v>43487</v>
      </c>
      <c r="X159" s="44"/>
      <c r="Y159" s="38"/>
      <c r="Z159" s="39"/>
      <c r="AA159" s="45" t="e">
        <v>#VALUE!</v>
      </c>
      <c r="AB159" s="46" t="e">
        <v>#VALUE!</v>
      </c>
      <c r="AC159" s="53" t="s">
        <v>5683</v>
      </c>
      <c r="AD159" s="54"/>
      <c r="AE159" s="55"/>
    </row>
    <row r="160" spans="1:32" s="2" customFormat="1" ht="25.5" x14ac:dyDescent="0.2">
      <c r="A160" s="28">
        <v>0</v>
      </c>
      <c r="B160" s="49" t="s">
        <v>12438</v>
      </c>
      <c r="C160" s="50" t="s">
        <v>9361</v>
      </c>
      <c r="D160" s="50">
        <v>180158</v>
      </c>
      <c r="E160" s="50" t="s">
        <v>12443</v>
      </c>
      <c r="F160" s="50" t="s">
        <v>6820</v>
      </c>
      <c r="G160" s="50" t="s">
        <v>6829</v>
      </c>
      <c r="H160" s="50" t="s">
        <v>12440</v>
      </c>
      <c r="I160" s="50" t="s">
        <v>12441</v>
      </c>
      <c r="J160" s="50" t="s">
        <v>12442</v>
      </c>
      <c r="K160" s="51">
        <v>43364</v>
      </c>
      <c r="L160" s="50" t="s">
        <v>264</v>
      </c>
      <c r="M160" s="51">
        <v>43335</v>
      </c>
      <c r="N160" s="51">
        <v>43364</v>
      </c>
      <c r="O160" s="52">
        <v>43364</v>
      </c>
      <c r="P160" s="33" t="s">
        <v>10852</v>
      </c>
      <c r="Q160" s="34" t="s">
        <v>10852</v>
      </c>
      <c r="R160" s="35">
        <v>43368</v>
      </c>
      <c r="S160" s="34" t="s">
        <v>12444</v>
      </c>
      <c r="T160" s="34">
        <v>1</v>
      </c>
      <c r="U160" s="34" t="s">
        <v>5683</v>
      </c>
      <c r="V160" s="34" t="s">
        <v>4999</v>
      </c>
      <c r="W160" s="36">
        <v>43378</v>
      </c>
      <c r="X160" s="44" t="s">
        <v>6850</v>
      </c>
      <c r="Y160" s="38">
        <v>43378</v>
      </c>
      <c r="Z160" s="39">
        <v>43378</v>
      </c>
      <c r="AA160" s="45" t="e">
        <v>#VALUE!</v>
      </c>
      <c r="AB160" s="46" t="e">
        <v>#VALUE!</v>
      </c>
      <c r="AC160" s="53" t="s">
        <v>10869</v>
      </c>
      <c r="AD160" s="54" t="s">
        <v>4999</v>
      </c>
      <c r="AE160" s="55"/>
    </row>
    <row r="161" spans="1:32" s="2" customFormat="1" ht="25.5" x14ac:dyDescent="0.2">
      <c r="A161" s="28">
        <v>1</v>
      </c>
      <c r="B161" s="49" t="s">
        <v>12445</v>
      </c>
      <c r="C161" s="50" t="s">
        <v>9361</v>
      </c>
      <c r="D161" s="50" t="s">
        <v>5683</v>
      </c>
      <c r="E161" s="50" t="s">
        <v>12446</v>
      </c>
      <c r="F161" s="50" t="s">
        <v>6820</v>
      </c>
      <c r="G161" s="50" t="s">
        <v>6829</v>
      </c>
      <c r="H161" s="50" t="s">
        <v>12447</v>
      </c>
      <c r="I161" s="50" t="s">
        <v>12448</v>
      </c>
      <c r="J161" s="50" t="s">
        <v>12442</v>
      </c>
      <c r="K161" s="51" t="s">
        <v>5683</v>
      </c>
      <c r="L161" s="50" t="s">
        <v>5683</v>
      </c>
      <c r="M161" s="51" t="s">
        <v>5683</v>
      </c>
      <c r="N161" s="51" t="s">
        <v>5683</v>
      </c>
      <c r="O161" s="52" t="s">
        <v>5683</v>
      </c>
      <c r="P161" s="33" t="s">
        <v>10852</v>
      </c>
      <c r="Q161" s="34" t="s">
        <v>5683</v>
      </c>
      <c r="R161" s="35" t="s">
        <v>5683</v>
      </c>
      <c r="S161" s="34" t="s">
        <v>5683</v>
      </c>
      <c r="T161" s="34" t="s">
        <v>5683</v>
      </c>
      <c r="U161" s="34" t="s">
        <v>5683</v>
      </c>
      <c r="V161" s="34" t="s">
        <v>4999</v>
      </c>
      <c r="W161" s="36">
        <v>43487</v>
      </c>
      <c r="X161" s="44"/>
      <c r="Y161" s="38"/>
      <c r="Z161" s="39"/>
      <c r="AA161" s="45" t="e">
        <v>#VALUE!</v>
      </c>
      <c r="AB161" s="46" t="e">
        <v>#VALUE!</v>
      </c>
      <c r="AC161" s="53" t="s">
        <v>5683</v>
      </c>
      <c r="AD161" s="54"/>
      <c r="AE161" s="55"/>
    </row>
    <row r="162" spans="1:32" s="2" customFormat="1" ht="25.5" x14ac:dyDescent="0.2">
      <c r="A162" s="28">
        <v>0</v>
      </c>
      <c r="B162" s="49" t="s">
        <v>12445</v>
      </c>
      <c r="C162" s="50" t="s">
        <v>9361</v>
      </c>
      <c r="D162" s="50">
        <v>180158</v>
      </c>
      <c r="E162" s="50" t="s">
        <v>12449</v>
      </c>
      <c r="F162" s="50" t="s">
        <v>6820</v>
      </c>
      <c r="G162" s="50" t="s">
        <v>6829</v>
      </c>
      <c r="H162" s="50" t="s">
        <v>12447</v>
      </c>
      <c r="I162" s="50" t="s">
        <v>12448</v>
      </c>
      <c r="J162" s="50" t="s">
        <v>12442</v>
      </c>
      <c r="K162" s="51">
        <v>43363</v>
      </c>
      <c r="L162" s="50" t="s">
        <v>264</v>
      </c>
      <c r="M162" s="51">
        <v>43363</v>
      </c>
      <c r="N162" s="51">
        <v>43364</v>
      </c>
      <c r="O162" s="52">
        <v>43364</v>
      </c>
      <c r="P162" s="33" t="s">
        <v>10852</v>
      </c>
      <c r="Q162" s="34" t="s">
        <v>10852</v>
      </c>
      <c r="R162" s="35">
        <v>43368</v>
      </c>
      <c r="S162" s="34" t="s">
        <v>12450</v>
      </c>
      <c r="T162" s="34">
        <v>1</v>
      </c>
      <c r="U162" s="34" t="s">
        <v>5683</v>
      </c>
      <c r="V162" s="34" t="s">
        <v>4999</v>
      </c>
      <c r="W162" s="36">
        <v>43378</v>
      </c>
      <c r="X162" s="44" t="s">
        <v>6850</v>
      </c>
      <c r="Y162" s="38">
        <v>43378</v>
      </c>
      <c r="Z162" s="39">
        <v>43378</v>
      </c>
      <c r="AA162" s="45" t="e">
        <v>#VALUE!</v>
      </c>
      <c r="AB162" s="46" t="e">
        <v>#VALUE!</v>
      </c>
      <c r="AC162" s="53" t="s">
        <v>10869</v>
      </c>
      <c r="AD162" s="54" t="s">
        <v>4999</v>
      </c>
      <c r="AE162" s="55"/>
    </row>
    <row r="163" spans="1:32" s="2" customFormat="1" ht="12.75" x14ac:dyDescent="0.2">
      <c r="A163" s="28">
        <v>1</v>
      </c>
      <c r="B163" s="29" t="s">
        <v>12451</v>
      </c>
      <c r="C163" s="30" t="s">
        <v>9024</v>
      </c>
      <c r="D163" s="30" t="s">
        <v>5683</v>
      </c>
      <c r="E163" s="30" t="s">
        <v>12452</v>
      </c>
      <c r="F163" s="30" t="s">
        <v>6820</v>
      </c>
      <c r="G163" s="30" t="s">
        <v>6829</v>
      </c>
      <c r="H163" s="30" t="s">
        <v>427</v>
      </c>
      <c r="I163" s="30" t="s">
        <v>12453</v>
      </c>
      <c r="J163" s="30" t="s">
        <v>12454</v>
      </c>
      <c r="K163" s="31" t="s">
        <v>5683</v>
      </c>
      <c r="L163" s="30" t="s">
        <v>5683</v>
      </c>
      <c r="M163" s="31" t="s">
        <v>5683</v>
      </c>
      <c r="N163" s="31" t="s">
        <v>5683</v>
      </c>
      <c r="O163" s="32" t="s">
        <v>5683</v>
      </c>
      <c r="P163" s="33" t="s">
        <v>10852</v>
      </c>
      <c r="Q163" s="34" t="s">
        <v>5683</v>
      </c>
      <c r="R163" s="35" t="s">
        <v>5683</v>
      </c>
      <c r="S163" s="34" t="s">
        <v>5683</v>
      </c>
      <c r="T163" s="34" t="s">
        <v>5683</v>
      </c>
      <c r="U163" s="34" t="s">
        <v>5683</v>
      </c>
      <c r="V163" s="34" t="s">
        <v>4999</v>
      </c>
      <c r="W163" s="36">
        <v>43481</v>
      </c>
      <c r="X163" s="44"/>
      <c r="Y163" s="38"/>
      <c r="Z163" s="39"/>
      <c r="AA163" s="45" t="e">
        <v>#VALUE!</v>
      </c>
      <c r="AB163" s="46" t="e">
        <v>#VALUE!</v>
      </c>
      <c r="AC163" s="25" t="s">
        <v>5683</v>
      </c>
      <c r="AD163" s="42"/>
      <c r="AE163" s="43"/>
      <c r="AF163" s="27"/>
    </row>
    <row r="164" spans="1:32" s="2" customFormat="1" ht="12.75" x14ac:dyDescent="0.2">
      <c r="A164" s="28">
        <v>0</v>
      </c>
      <c r="B164" s="29" t="s">
        <v>12451</v>
      </c>
      <c r="C164" s="30" t="s">
        <v>9024</v>
      </c>
      <c r="D164" s="30">
        <v>180162</v>
      </c>
      <c r="E164" s="30" t="s">
        <v>12455</v>
      </c>
      <c r="F164" s="30" t="s">
        <v>6820</v>
      </c>
      <c r="G164" s="30" t="s">
        <v>6829</v>
      </c>
      <c r="H164" s="30" t="s">
        <v>427</v>
      </c>
      <c r="I164" s="30" t="s">
        <v>12453</v>
      </c>
      <c r="J164" s="30" t="s">
        <v>12454</v>
      </c>
      <c r="K164" s="31">
        <v>43374</v>
      </c>
      <c r="L164" s="30" t="s">
        <v>264</v>
      </c>
      <c r="M164" s="31">
        <v>43374</v>
      </c>
      <c r="N164" s="31">
        <v>43374</v>
      </c>
      <c r="O164" s="32">
        <v>43374</v>
      </c>
      <c r="P164" s="33" t="s">
        <v>10852</v>
      </c>
      <c r="Q164" s="34" t="s">
        <v>10852</v>
      </c>
      <c r="R164" s="35">
        <v>43375</v>
      </c>
      <c r="S164" s="34" t="s">
        <v>9614</v>
      </c>
      <c r="T164" s="34">
        <v>1</v>
      </c>
      <c r="U164" s="34" t="s">
        <v>5683</v>
      </c>
      <c r="V164" s="34" t="s">
        <v>4999</v>
      </c>
      <c r="W164" s="36">
        <v>43376</v>
      </c>
      <c r="X164" s="44" t="s">
        <v>6850</v>
      </c>
      <c r="Y164" s="38">
        <v>43384</v>
      </c>
      <c r="Z164" s="39">
        <v>43384</v>
      </c>
      <c r="AA164" s="45" t="e">
        <v>#VALUE!</v>
      </c>
      <c r="AB164" s="46" t="e">
        <v>#VALUE!</v>
      </c>
      <c r="AC164" s="25" t="s">
        <v>10869</v>
      </c>
      <c r="AD164" s="42" t="s">
        <v>4999</v>
      </c>
      <c r="AE164" s="43"/>
      <c r="AF164" s="27"/>
    </row>
    <row r="165" spans="1:32" s="2" customFormat="1" ht="12.75" x14ac:dyDescent="0.2">
      <c r="A165" s="28">
        <v>1</v>
      </c>
      <c r="B165" s="29" t="s">
        <v>12456</v>
      </c>
      <c r="C165" s="30" t="s">
        <v>3483</v>
      </c>
      <c r="D165" s="30" t="s">
        <v>5683</v>
      </c>
      <c r="E165" s="30" t="s">
        <v>12457</v>
      </c>
      <c r="F165" s="30" t="s">
        <v>6820</v>
      </c>
      <c r="G165" s="30" t="s">
        <v>6829</v>
      </c>
      <c r="H165" s="30" t="s">
        <v>10859</v>
      </c>
      <c r="I165" s="30" t="s">
        <v>12458</v>
      </c>
      <c r="J165" s="30" t="s">
        <v>12459</v>
      </c>
      <c r="K165" s="31" t="s">
        <v>5683</v>
      </c>
      <c r="L165" s="30" t="s">
        <v>5683</v>
      </c>
      <c r="M165" s="31" t="s">
        <v>5683</v>
      </c>
      <c r="N165" s="31" t="s">
        <v>5683</v>
      </c>
      <c r="O165" s="32" t="s">
        <v>5683</v>
      </c>
      <c r="P165" s="33" t="s">
        <v>10852</v>
      </c>
      <c r="Q165" s="34" t="s">
        <v>5683</v>
      </c>
      <c r="R165" s="35" t="s">
        <v>5683</v>
      </c>
      <c r="S165" s="34" t="s">
        <v>5683</v>
      </c>
      <c r="T165" s="34" t="s">
        <v>5683</v>
      </c>
      <c r="U165" s="34" t="s">
        <v>5683</v>
      </c>
      <c r="V165" s="34" t="s">
        <v>4999</v>
      </c>
      <c r="W165" s="36">
        <v>43482</v>
      </c>
      <c r="X165" s="44"/>
      <c r="Y165" s="38"/>
      <c r="Z165" s="39"/>
      <c r="AA165" s="45" t="e">
        <v>#VALUE!</v>
      </c>
      <c r="AB165" s="46" t="e">
        <v>#VALUE!</v>
      </c>
      <c r="AC165" s="25" t="s">
        <v>5683</v>
      </c>
      <c r="AD165" s="42"/>
      <c r="AE165" s="43"/>
      <c r="AF165" s="27"/>
    </row>
    <row r="166" spans="1:32" s="2" customFormat="1" ht="12.75" x14ac:dyDescent="0.2">
      <c r="A166" s="28">
        <v>0</v>
      </c>
      <c r="B166" s="29" t="s">
        <v>12456</v>
      </c>
      <c r="C166" s="30" t="s">
        <v>3483</v>
      </c>
      <c r="D166" s="30">
        <v>180172</v>
      </c>
      <c r="E166" s="30" t="s">
        <v>12460</v>
      </c>
      <c r="F166" s="30" t="s">
        <v>6820</v>
      </c>
      <c r="G166" s="30" t="s">
        <v>6829</v>
      </c>
      <c r="H166" s="30" t="s">
        <v>10859</v>
      </c>
      <c r="I166" s="30" t="s">
        <v>12458</v>
      </c>
      <c r="J166" s="30" t="s">
        <v>12459</v>
      </c>
      <c r="K166" s="31">
        <v>43383</v>
      </c>
      <c r="L166" s="30" t="s">
        <v>9350</v>
      </c>
      <c r="M166" s="31">
        <v>43320</v>
      </c>
      <c r="N166" s="61">
        <v>43382</v>
      </c>
      <c r="O166" s="62">
        <v>43352</v>
      </c>
      <c r="P166" s="33" t="s">
        <v>10852</v>
      </c>
      <c r="Q166" s="34" t="s">
        <v>10852</v>
      </c>
      <c r="R166" s="35">
        <v>43384</v>
      </c>
      <c r="S166" s="34" t="s">
        <v>12461</v>
      </c>
      <c r="T166" s="34">
        <v>2</v>
      </c>
      <c r="U166" s="34" t="s">
        <v>5683</v>
      </c>
      <c r="V166" s="34" t="s">
        <v>4999</v>
      </c>
      <c r="W166" s="36">
        <v>43384</v>
      </c>
      <c r="X166" s="44" t="s">
        <v>264</v>
      </c>
      <c r="Y166" s="38">
        <v>43389</v>
      </c>
      <c r="Z166" s="39">
        <v>43389</v>
      </c>
      <c r="AA166" s="45" t="e">
        <v>#VALUE!</v>
      </c>
      <c r="AB166" s="46" t="e">
        <v>#VALUE!</v>
      </c>
      <c r="AC166" s="25" t="s">
        <v>10869</v>
      </c>
      <c r="AD166" s="42" t="s">
        <v>4999</v>
      </c>
      <c r="AE166" s="43"/>
      <c r="AF166" s="27"/>
    </row>
    <row r="167" spans="1:32" s="2" customFormat="1" ht="12.75" x14ac:dyDescent="0.2">
      <c r="A167" s="28">
        <v>0</v>
      </c>
      <c r="B167" s="29" t="s">
        <v>12462</v>
      </c>
      <c r="C167" s="30" t="s">
        <v>8369</v>
      </c>
      <c r="D167" s="30">
        <v>180173</v>
      </c>
      <c r="E167" s="30" t="s">
        <v>12463</v>
      </c>
      <c r="F167" s="30" t="s">
        <v>6820</v>
      </c>
      <c r="G167" s="30" t="s">
        <v>6829</v>
      </c>
      <c r="H167" s="30" t="s">
        <v>12464</v>
      </c>
      <c r="I167" s="30">
        <v>86517</v>
      </c>
      <c r="J167" s="30" t="s">
        <v>6579</v>
      </c>
      <c r="K167" s="31">
        <v>43382</v>
      </c>
      <c r="L167" s="30" t="s">
        <v>9350</v>
      </c>
      <c r="M167" s="31">
        <v>43383</v>
      </c>
      <c r="N167" s="31">
        <v>43383</v>
      </c>
      <c r="O167" s="32">
        <v>43383</v>
      </c>
      <c r="P167" s="33" t="s">
        <v>10852</v>
      </c>
      <c r="Q167" s="34" t="s">
        <v>10852</v>
      </c>
      <c r="R167" s="35">
        <v>43383</v>
      </c>
      <c r="S167" s="34" t="s">
        <v>3191</v>
      </c>
      <c r="T167" s="34">
        <v>1</v>
      </c>
      <c r="U167" s="34" t="s">
        <v>5683</v>
      </c>
      <c r="V167" s="34" t="s">
        <v>4999</v>
      </c>
      <c r="W167" s="36">
        <v>43388</v>
      </c>
      <c r="X167" s="44" t="s">
        <v>264</v>
      </c>
      <c r="Y167" s="38">
        <v>43389</v>
      </c>
      <c r="Z167" s="39">
        <v>43389</v>
      </c>
      <c r="AA167" s="45" t="e">
        <v>#VALUE!</v>
      </c>
      <c r="AB167" s="46" t="e">
        <v>#VALUE!</v>
      </c>
      <c r="AC167" s="25" t="s">
        <v>10869</v>
      </c>
      <c r="AD167" s="42" t="s">
        <v>4999</v>
      </c>
      <c r="AE167" s="43"/>
      <c r="AF167" s="27"/>
    </row>
    <row r="168" spans="1:32" s="2" customFormat="1" ht="12.75" x14ac:dyDescent="0.2">
      <c r="A168" s="28">
        <v>0</v>
      </c>
      <c r="B168" s="29" t="s">
        <v>12465</v>
      </c>
      <c r="C168" s="30" t="s">
        <v>8369</v>
      </c>
      <c r="D168" s="30">
        <v>180173</v>
      </c>
      <c r="E168" s="30" t="s">
        <v>12466</v>
      </c>
      <c r="F168" s="30" t="s">
        <v>6820</v>
      </c>
      <c r="G168" s="30" t="s">
        <v>6829</v>
      </c>
      <c r="H168" s="30" t="s">
        <v>12467</v>
      </c>
      <c r="I168" s="30" t="s">
        <v>12468</v>
      </c>
      <c r="J168" s="30" t="s">
        <v>3190</v>
      </c>
      <c r="K168" s="31">
        <v>43382</v>
      </c>
      <c r="L168" s="30" t="s">
        <v>9350</v>
      </c>
      <c r="M168" s="31">
        <v>43383</v>
      </c>
      <c r="N168" s="31">
        <v>43383</v>
      </c>
      <c r="O168" s="32">
        <v>43383</v>
      </c>
      <c r="P168" s="33" t="s">
        <v>10852</v>
      </c>
      <c r="Q168" s="34" t="s">
        <v>10852</v>
      </c>
      <c r="R168" s="35">
        <v>43383</v>
      </c>
      <c r="S168" s="34" t="s">
        <v>12469</v>
      </c>
      <c r="T168" s="34">
        <v>8</v>
      </c>
      <c r="U168" s="34" t="s">
        <v>5683</v>
      </c>
      <c r="V168" s="34" t="s">
        <v>4999</v>
      </c>
      <c r="W168" s="36">
        <v>43388</v>
      </c>
      <c r="X168" s="44" t="s">
        <v>264</v>
      </c>
      <c r="Y168" s="38">
        <v>43389</v>
      </c>
      <c r="Z168" s="39">
        <v>43389</v>
      </c>
      <c r="AA168" s="45" t="e">
        <v>#VALUE!</v>
      </c>
      <c r="AB168" s="46" t="e">
        <v>#VALUE!</v>
      </c>
      <c r="AC168" s="25" t="s">
        <v>10869</v>
      </c>
      <c r="AD168" s="42" t="s">
        <v>4999</v>
      </c>
      <c r="AE168" s="43"/>
      <c r="AF168" s="27"/>
    </row>
    <row r="169" spans="1:32" s="2" customFormat="1" ht="12.75" x14ac:dyDescent="0.2">
      <c r="A169" s="28">
        <v>0</v>
      </c>
      <c r="B169" s="29" t="s">
        <v>12470</v>
      </c>
      <c r="C169" s="30" t="s">
        <v>8369</v>
      </c>
      <c r="D169" s="30">
        <v>180173</v>
      </c>
      <c r="E169" s="30" t="s">
        <v>12471</v>
      </c>
      <c r="F169" s="30" t="s">
        <v>6820</v>
      </c>
      <c r="G169" s="30" t="s">
        <v>6829</v>
      </c>
      <c r="H169" s="30" t="s">
        <v>12472</v>
      </c>
      <c r="I169" s="30" t="s">
        <v>12473</v>
      </c>
      <c r="J169" s="30" t="s">
        <v>3190</v>
      </c>
      <c r="K169" s="31">
        <v>43382</v>
      </c>
      <c r="L169" s="30" t="s">
        <v>9350</v>
      </c>
      <c r="M169" s="31">
        <v>43383</v>
      </c>
      <c r="N169" s="31">
        <v>43383</v>
      </c>
      <c r="O169" s="32">
        <v>43383</v>
      </c>
      <c r="P169" s="33" t="s">
        <v>10852</v>
      </c>
      <c r="Q169" s="34" t="s">
        <v>10852</v>
      </c>
      <c r="R169" s="35">
        <v>43383</v>
      </c>
      <c r="S169" s="34" t="s">
        <v>12474</v>
      </c>
      <c r="T169" s="34">
        <v>1</v>
      </c>
      <c r="U169" s="34" t="s">
        <v>5683</v>
      </c>
      <c r="V169" s="34" t="s">
        <v>4999</v>
      </c>
      <c r="W169" s="36">
        <v>43388</v>
      </c>
      <c r="X169" s="44" t="s">
        <v>264</v>
      </c>
      <c r="Y169" s="38">
        <v>43389</v>
      </c>
      <c r="Z169" s="39">
        <v>43389</v>
      </c>
      <c r="AA169" s="45" t="e">
        <v>#VALUE!</v>
      </c>
      <c r="AB169" s="46" t="e">
        <v>#VALUE!</v>
      </c>
      <c r="AC169" s="25" t="s">
        <v>10869</v>
      </c>
      <c r="AD169" s="42" t="s">
        <v>4999</v>
      </c>
      <c r="AE169" s="43"/>
      <c r="AF169" s="27"/>
    </row>
    <row r="170" spans="1:32" s="2" customFormat="1" ht="12.75" x14ac:dyDescent="0.2">
      <c r="A170" s="28">
        <v>0</v>
      </c>
      <c r="B170" s="29" t="s">
        <v>12475</v>
      </c>
      <c r="C170" s="30" t="s">
        <v>12476</v>
      </c>
      <c r="D170" s="30">
        <v>180153</v>
      </c>
      <c r="E170" s="30" t="s">
        <v>12477</v>
      </c>
      <c r="F170" s="30" t="s">
        <v>6820</v>
      </c>
      <c r="G170" s="30" t="s">
        <v>6829</v>
      </c>
      <c r="H170" s="30" t="s">
        <v>12478</v>
      </c>
      <c r="I170" s="30" t="s">
        <v>12479</v>
      </c>
      <c r="J170" s="30" t="s">
        <v>12480</v>
      </c>
      <c r="K170" s="31">
        <v>43348</v>
      </c>
      <c r="L170" s="30" t="s">
        <v>264</v>
      </c>
      <c r="M170" s="31">
        <v>43348</v>
      </c>
      <c r="N170" s="31">
        <v>43354</v>
      </c>
      <c r="O170" s="32">
        <v>43383</v>
      </c>
      <c r="P170" s="33" t="s">
        <v>10852</v>
      </c>
      <c r="Q170" s="34"/>
      <c r="R170" s="35"/>
      <c r="S170" s="34"/>
      <c r="T170" s="34"/>
      <c r="U170" s="34" t="s">
        <v>5683</v>
      </c>
      <c r="V170" s="34"/>
      <c r="W170" s="36"/>
      <c r="X170" s="44"/>
      <c r="Y170" s="38"/>
      <c r="Z170" s="39"/>
      <c r="AA170" s="45" t="e">
        <v>#VALUE!</v>
      </c>
      <c r="AB170" s="46" t="e">
        <v>#VALUE!</v>
      </c>
      <c r="AC170" s="25"/>
      <c r="AD170" s="42"/>
      <c r="AE170" s="55" t="s">
        <v>12481</v>
      </c>
      <c r="AF170" s="63"/>
    </row>
    <row r="171" spans="1:32" s="2" customFormat="1" ht="12.75" x14ac:dyDescent="0.2">
      <c r="A171" s="28">
        <v>0</v>
      </c>
      <c r="B171" s="29" t="s">
        <v>12482</v>
      </c>
      <c r="C171" s="30" t="s">
        <v>9377</v>
      </c>
      <c r="D171" s="30">
        <v>180177</v>
      </c>
      <c r="E171" s="30" t="s">
        <v>12483</v>
      </c>
      <c r="F171" s="30" t="s">
        <v>6820</v>
      </c>
      <c r="G171" s="30" t="s">
        <v>6829</v>
      </c>
      <c r="H171" s="30" t="s">
        <v>12484</v>
      </c>
      <c r="I171" s="30" t="s">
        <v>12485</v>
      </c>
      <c r="J171" s="30" t="s">
        <v>12486</v>
      </c>
      <c r="K171" s="31">
        <v>43391</v>
      </c>
      <c r="L171" s="30" t="s">
        <v>9350</v>
      </c>
      <c r="M171" s="31">
        <v>43391</v>
      </c>
      <c r="N171" s="31">
        <v>43391</v>
      </c>
      <c r="O171" s="32">
        <v>43392</v>
      </c>
      <c r="P171" s="33" t="s">
        <v>10852</v>
      </c>
      <c r="Q171" s="34" t="s">
        <v>9350</v>
      </c>
      <c r="R171" s="35">
        <v>43392</v>
      </c>
      <c r="S171" s="34" t="s">
        <v>12487</v>
      </c>
      <c r="T171" s="34">
        <v>1</v>
      </c>
      <c r="U171" s="34" t="s">
        <v>5683</v>
      </c>
      <c r="V171" s="34" t="s">
        <v>4999</v>
      </c>
      <c r="W171" s="36">
        <v>43398</v>
      </c>
      <c r="X171" s="44" t="s">
        <v>264</v>
      </c>
      <c r="Y171" s="38">
        <v>43399</v>
      </c>
      <c r="Z171" s="39">
        <v>43399</v>
      </c>
      <c r="AA171" s="45" t="e">
        <v>#VALUE!</v>
      </c>
      <c r="AB171" s="46" t="e">
        <v>#VALUE!</v>
      </c>
      <c r="AC171" s="25" t="s">
        <v>10869</v>
      </c>
      <c r="AD171" s="42" t="s">
        <v>4999</v>
      </c>
      <c r="AE171" s="43"/>
      <c r="AF171" s="27"/>
    </row>
    <row r="172" spans="1:32" s="2" customFormat="1" ht="12.75" x14ac:dyDescent="0.2">
      <c r="A172" s="28">
        <v>0</v>
      </c>
      <c r="B172" s="29" t="s">
        <v>12488</v>
      </c>
      <c r="C172" s="30" t="s">
        <v>3483</v>
      </c>
      <c r="D172" s="30">
        <v>180178</v>
      </c>
      <c r="E172" s="30" t="s">
        <v>12489</v>
      </c>
      <c r="F172" s="30" t="s">
        <v>6820</v>
      </c>
      <c r="G172" s="30" t="s">
        <v>6829</v>
      </c>
      <c r="H172" s="30" t="s">
        <v>12490</v>
      </c>
      <c r="I172" s="30" t="s">
        <v>12491</v>
      </c>
      <c r="J172" s="30" t="s">
        <v>12492</v>
      </c>
      <c r="K172" s="31">
        <v>43392</v>
      </c>
      <c r="L172" s="30" t="s">
        <v>9350</v>
      </c>
      <c r="M172" s="31">
        <v>43392</v>
      </c>
      <c r="N172" s="31">
        <v>43392</v>
      </c>
      <c r="O172" s="32">
        <v>43392</v>
      </c>
      <c r="P172" s="33" t="s">
        <v>10852</v>
      </c>
      <c r="Q172" s="34" t="s">
        <v>9350</v>
      </c>
      <c r="R172" s="35">
        <v>43396</v>
      </c>
      <c r="S172" s="34" t="s">
        <v>12493</v>
      </c>
      <c r="T172" s="34">
        <v>1</v>
      </c>
      <c r="U172" s="34" t="s">
        <v>5683</v>
      </c>
      <c r="V172" s="34" t="s">
        <v>4999</v>
      </c>
      <c r="W172" s="36">
        <v>43396</v>
      </c>
      <c r="X172" s="44" t="s">
        <v>264</v>
      </c>
      <c r="Y172" s="38">
        <v>43397</v>
      </c>
      <c r="Z172" s="39">
        <v>43397</v>
      </c>
      <c r="AA172" s="45" t="e">
        <v>#VALUE!</v>
      </c>
      <c r="AB172" s="46" t="e">
        <v>#VALUE!</v>
      </c>
      <c r="AC172" s="25" t="s">
        <v>10869</v>
      </c>
      <c r="AD172" s="42" t="s">
        <v>4999</v>
      </c>
      <c r="AE172" s="43"/>
      <c r="AF172" s="27"/>
    </row>
    <row r="173" spans="1:32" s="2" customFormat="1" ht="12.75" x14ac:dyDescent="0.2">
      <c r="A173" s="28">
        <v>0</v>
      </c>
      <c r="B173" s="29" t="s">
        <v>12494</v>
      </c>
      <c r="C173" s="30" t="s">
        <v>8322</v>
      </c>
      <c r="D173" s="30">
        <v>180147</v>
      </c>
      <c r="E173" s="30" t="s">
        <v>12495</v>
      </c>
      <c r="F173" s="30" t="s">
        <v>6820</v>
      </c>
      <c r="G173" s="30" t="s">
        <v>6829</v>
      </c>
      <c r="H173" s="30" t="s">
        <v>12496</v>
      </c>
      <c r="I173" s="30" t="s">
        <v>9211</v>
      </c>
      <c r="J173" s="30" t="s">
        <v>5529</v>
      </c>
      <c r="K173" s="31">
        <v>43342</v>
      </c>
      <c r="L173" s="30" t="s">
        <v>9350</v>
      </c>
      <c r="M173" s="31">
        <v>43342</v>
      </c>
      <c r="N173" s="31">
        <v>43342</v>
      </c>
      <c r="O173" s="32">
        <v>43343</v>
      </c>
      <c r="P173" s="33" t="s">
        <v>10852</v>
      </c>
      <c r="Q173" s="34" t="s">
        <v>9350</v>
      </c>
      <c r="R173" s="35">
        <v>43393</v>
      </c>
      <c r="S173" s="34" t="s">
        <v>6287</v>
      </c>
      <c r="T173" s="34">
        <v>6</v>
      </c>
      <c r="U173" s="34" t="s">
        <v>5683</v>
      </c>
      <c r="V173" s="34" t="s">
        <v>4999</v>
      </c>
      <c r="W173" s="36">
        <v>43397</v>
      </c>
      <c r="X173" s="44" t="s">
        <v>264</v>
      </c>
      <c r="Y173" s="38">
        <v>43397</v>
      </c>
      <c r="Z173" s="39">
        <v>43397</v>
      </c>
      <c r="AA173" s="45" t="e">
        <v>#VALUE!</v>
      </c>
      <c r="AB173" s="46" t="e">
        <v>#VALUE!</v>
      </c>
      <c r="AC173" s="25" t="s">
        <v>10869</v>
      </c>
      <c r="AD173" s="42" t="s">
        <v>4999</v>
      </c>
      <c r="AE173" s="43"/>
      <c r="AF173" s="27"/>
    </row>
    <row r="174" spans="1:32" s="2" customFormat="1" ht="51" x14ac:dyDescent="0.2">
      <c r="A174" s="28">
        <v>0</v>
      </c>
      <c r="B174" s="49" t="s">
        <v>12497</v>
      </c>
      <c r="C174" s="50" t="s">
        <v>10548</v>
      </c>
      <c r="D174" s="50">
        <v>180175</v>
      </c>
      <c r="E174" s="50" t="s">
        <v>12498</v>
      </c>
      <c r="F174" s="50" t="s">
        <v>6820</v>
      </c>
      <c r="G174" s="50" t="s">
        <v>6829</v>
      </c>
      <c r="H174" s="50" t="s">
        <v>11305</v>
      </c>
      <c r="I174" s="50" t="s">
        <v>10391</v>
      </c>
      <c r="J174" s="50" t="s">
        <v>8879</v>
      </c>
      <c r="K174" s="51">
        <v>43388</v>
      </c>
      <c r="L174" s="50" t="s">
        <v>9350</v>
      </c>
      <c r="M174" s="51">
        <v>43388</v>
      </c>
      <c r="N174" s="51">
        <v>43395</v>
      </c>
      <c r="O174" s="52">
        <v>43395</v>
      </c>
      <c r="P174" s="33" t="s">
        <v>10852</v>
      </c>
      <c r="Q174" s="34" t="s">
        <v>10853</v>
      </c>
      <c r="R174" s="35">
        <v>43396</v>
      </c>
      <c r="S174" s="34" t="s">
        <v>5008</v>
      </c>
      <c r="T174" s="34">
        <v>6</v>
      </c>
      <c r="U174" s="34" t="s">
        <v>5683</v>
      </c>
      <c r="V174" s="34" t="s">
        <v>4999</v>
      </c>
      <c r="W174" s="36">
        <v>43410</v>
      </c>
      <c r="X174" s="44" t="s">
        <v>264</v>
      </c>
      <c r="Y174" s="38">
        <v>43411</v>
      </c>
      <c r="Z174" s="39">
        <v>43411</v>
      </c>
      <c r="AA174" s="45" t="e">
        <v>#VALUE!</v>
      </c>
      <c r="AB174" s="46" t="e">
        <v>#VALUE!</v>
      </c>
      <c r="AC174" s="53" t="s">
        <v>10869</v>
      </c>
      <c r="AD174" s="54" t="s">
        <v>4999</v>
      </c>
      <c r="AE174" s="55" t="s">
        <v>12499</v>
      </c>
    </row>
    <row r="175" spans="1:32" s="2" customFormat="1" ht="25.5" x14ac:dyDescent="0.2">
      <c r="A175" s="28">
        <v>0</v>
      </c>
      <c r="B175" s="49" t="s">
        <v>12500</v>
      </c>
      <c r="C175" s="50" t="s">
        <v>9361</v>
      </c>
      <c r="D175" s="50">
        <v>180180</v>
      </c>
      <c r="E175" s="50" t="s">
        <v>12501</v>
      </c>
      <c r="F175" s="50" t="s">
        <v>6820</v>
      </c>
      <c r="G175" s="50" t="s">
        <v>6829</v>
      </c>
      <c r="H175" s="50" t="s">
        <v>12502</v>
      </c>
      <c r="I175" s="50" t="s">
        <v>12503</v>
      </c>
      <c r="J175" s="50" t="s">
        <v>12504</v>
      </c>
      <c r="K175" s="51">
        <v>43396</v>
      </c>
      <c r="L175" s="50" t="s">
        <v>9350</v>
      </c>
      <c r="M175" s="51">
        <v>43396</v>
      </c>
      <c r="N175" s="51">
        <v>43396</v>
      </c>
      <c r="O175" s="52">
        <v>43397</v>
      </c>
      <c r="P175" s="33" t="s">
        <v>10852</v>
      </c>
      <c r="Q175" s="34" t="s">
        <v>10852</v>
      </c>
      <c r="R175" s="35">
        <v>43399</v>
      </c>
      <c r="S175" s="34" t="s">
        <v>12505</v>
      </c>
      <c r="T175" s="34">
        <v>1</v>
      </c>
      <c r="U175" s="34" t="s">
        <v>5683</v>
      </c>
      <c r="V175" s="34" t="s">
        <v>4999</v>
      </c>
      <c r="W175" s="36">
        <v>43410</v>
      </c>
      <c r="X175" s="44" t="s">
        <v>264</v>
      </c>
      <c r="Y175" s="38">
        <v>43410</v>
      </c>
      <c r="Z175" s="39">
        <v>43410</v>
      </c>
      <c r="AA175" s="45" t="e">
        <v>#VALUE!</v>
      </c>
      <c r="AB175" s="46" t="e">
        <v>#VALUE!</v>
      </c>
      <c r="AC175" s="53" t="s">
        <v>10869</v>
      </c>
      <c r="AD175" s="54" t="s">
        <v>4999</v>
      </c>
      <c r="AE175" s="55" t="s">
        <v>12380</v>
      </c>
    </row>
    <row r="176" spans="1:32" s="2" customFormat="1" ht="25.5" x14ac:dyDescent="0.2">
      <c r="A176" s="28">
        <v>0</v>
      </c>
      <c r="B176" s="49" t="s">
        <v>12506</v>
      </c>
      <c r="C176" s="50" t="s">
        <v>9361</v>
      </c>
      <c r="D176" s="50">
        <v>180180</v>
      </c>
      <c r="E176" s="50" t="s">
        <v>12507</v>
      </c>
      <c r="F176" s="50" t="s">
        <v>6820</v>
      </c>
      <c r="G176" s="50" t="s">
        <v>6829</v>
      </c>
      <c r="H176" s="50" t="s">
        <v>9594</v>
      </c>
      <c r="I176" s="50" t="s">
        <v>12508</v>
      </c>
      <c r="J176" s="50" t="s">
        <v>12504</v>
      </c>
      <c r="K176" s="51">
        <v>43396</v>
      </c>
      <c r="L176" s="50" t="s">
        <v>9350</v>
      </c>
      <c r="M176" s="51">
        <v>43396</v>
      </c>
      <c r="N176" s="51">
        <v>43396</v>
      </c>
      <c r="O176" s="52">
        <v>43397</v>
      </c>
      <c r="P176" s="33" t="s">
        <v>10852</v>
      </c>
      <c r="Q176" s="34" t="s">
        <v>10852</v>
      </c>
      <c r="R176" s="35">
        <v>43399</v>
      </c>
      <c r="S176" s="34" t="s">
        <v>12509</v>
      </c>
      <c r="T176" s="34">
        <v>1</v>
      </c>
      <c r="U176" s="34" t="s">
        <v>5683</v>
      </c>
      <c r="V176" s="34" t="s">
        <v>4999</v>
      </c>
      <c r="W176" s="36">
        <v>43410</v>
      </c>
      <c r="X176" s="44" t="s">
        <v>264</v>
      </c>
      <c r="Y176" s="38">
        <v>43410</v>
      </c>
      <c r="Z176" s="39">
        <v>43410</v>
      </c>
      <c r="AA176" s="45" t="e">
        <v>#VALUE!</v>
      </c>
      <c r="AB176" s="46" t="e">
        <v>#VALUE!</v>
      </c>
      <c r="AC176" s="53" t="s">
        <v>10869</v>
      </c>
      <c r="AD176" s="54" t="s">
        <v>4999</v>
      </c>
      <c r="AE176" s="55"/>
    </row>
    <row r="177" spans="1:32" s="2" customFormat="1" ht="12.75" x14ac:dyDescent="0.2">
      <c r="A177" s="28">
        <v>0</v>
      </c>
      <c r="B177" s="29" t="s">
        <v>12510</v>
      </c>
      <c r="C177" s="30" t="s">
        <v>9580</v>
      </c>
      <c r="D177" s="30">
        <v>180182</v>
      </c>
      <c r="E177" s="30" t="s">
        <v>12511</v>
      </c>
      <c r="F177" s="30" t="s">
        <v>6820</v>
      </c>
      <c r="G177" s="30" t="s">
        <v>6829</v>
      </c>
      <c r="H177" s="30" t="s">
        <v>12512</v>
      </c>
      <c r="I177" s="30" t="s">
        <v>12513</v>
      </c>
      <c r="J177" s="30" t="s">
        <v>3744</v>
      </c>
      <c r="K177" s="31">
        <v>43397</v>
      </c>
      <c r="L177" s="30" t="s">
        <v>9350</v>
      </c>
      <c r="M177" s="31">
        <v>43397</v>
      </c>
      <c r="N177" s="31">
        <v>43397</v>
      </c>
      <c r="O177" s="32">
        <v>43420</v>
      </c>
      <c r="P177" s="33" t="s">
        <v>10852</v>
      </c>
      <c r="Q177" s="34" t="s">
        <v>10853</v>
      </c>
      <c r="R177" s="35">
        <v>43448</v>
      </c>
      <c r="S177" s="34" t="s">
        <v>12514</v>
      </c>
      <c r="T177" s="34">
        <v>3</v>
      </c>
      <c r="U177" s="34" t="s">
        <v>5683</v>
      </c>
      <c r="V177" s="34" t="s">
        <v>4999</v>
      </c>
      <c r="W177" s="36">
        <v>43461</v>
      </c>
      <c r="X177" s="44" t="s">
        <v>264</v>
      </c>
      <c r="Y177" s="38">
        <v>43468</v>
      </c>
      <c r="Z177" s="39">
        <v>43468</v>
      </c>
      <c r="AA177" s="45" t="e">
        <v>#VALUE!</v>
      </c>
      <c r="AB177" s="46" t="e">
        <v>#VALUE!</v>
      </c>
      <c r="AC177" s="25" t="s">
        <v>10869</v>
      </c>
      <c r="AD177" s="42" t="s">
        <v>4999</v>
      </c>
      <c r="AE177" s="43" t="s">
        <v>12515</v>
      </c>
      <c r="AF177" s="27"/>
    </row>
    <row r="178" spans="1:32" s="2" customFormat="1" ht="12.75" x14ac:dyDescent="0.2">
      <c r="A178" s="28">
        <v>1</v>
      </c>
      <c r="B178" s="29" t="s">
        <v>12516</v>
      </c>
      <c r="C178" s="30" t="s">
        <v>9580</v>
      </c>
      <c r="D178" s="30" t="s">
        <v>5683</v>
      </c>
      <c r="E178" s="30" t="s">
        <v>12517</v>
      </c>
      <c r="F178" s="30" t="s">
        <v>6820</v>
      </c>
      <c r="G178" s="30" t="s">
        <v>6829</v>
      </c>
      <c r="H178" s="30" t="s">
        <v>12518</v>
      </c>
      <c r="I178" s="30" t="s">
        <v>12519</v>
      </c>
      <c r="J178" s="30" t="s">
        <v>12520</v>
      </c>
      <c r="K178" s="31" t="s">
        <v>5683</v>
      </c>
      <c r="L178" s="30" t="s">
        <v>5683</v>
      </c>
      <c r="M178" s="31" t="s">
        <v>5683</v>
      </c>
      <c r="N178" s="31" t="s">
        <v>5683</v>
      </c>
      <c r="O178" s="32" t="s">
        <v>5683</v>
      </c>
      <c r="P178" s="33" t="s">
        <v>10852</v>
      </c>
      <c r="Q178" s="34" t="s">
        <v>5683</v>
      </c>
      <c r="R178" s="35" t="s">
        <v>5683</v>
      </c>
      <c r="S178" s="34" t="s">
        <v>5683</v>
      </c>
      <c r="T178" s="34" t="s">
        <v>5683</v>
      </c>
      <c r="U178" s="34" t="s">
        <v>5683</v>
      </c>
      <c r="V178" s="34" t="s">
        <v>4999</v>
      </c>
      <c r="W178" s="36">
        <v>43557</v>
      </c>
      <c r="X178" s="44"/>
      <c r="Y178" s="38"/>
      <c r="Z178" s="39"/>
      <c r="AA178" s="45" t="e">
        <v>#VALUE!</v>
      </c>
      <c r="AB178" s="46" t="e">
        <v>#VALUE!</v>
      </c>
      <c r="AC178" s="25"/>
      <c r="AD178" s="42"/>
      <c r="AE178" s="43"/>
      <c r="AF178" s="27"/>
    </row>
    <row r="179" spans="1:32" s="2" customFormat="1" ht="12.75" x14ac:dyDescent="0.2">
      <c r="A179" s="28">
        <v>0</v>
      </c>
      <c r="B179" s="29" t="s">
        <v>12516</v>
      </c>
      <c r="C179" s="30" t="s">
        <v>9580</v>
      </c>
      <c r="D179" s="30">
        <v>180182</v>
      </c>
      <c r="E179" s="30" t="s">
        <v>12521</v>
      </c>
      <c r="F179" s="30" t="s">
        <v>6820</v>
      </c>
      <c r="G179" s="30" t="s">
        <v>6829</v>
      </c>
      <c r="H179" s="30" t="s">
        <v>12518</v>
      </c>
      <c r="I179" s="30" t="s">
        <v>12519</v>
      </c>
      <c r="J179" s="30" t="s">
        <v>12520</v>
      </c>
      <c r="K179" s="31">
        <v>43397</v>
      </c>
      <c r="L179" s="30" t="s">
        <v>9350</v>
      </c>
      <c r="M179" s="31">
        <v>43397</v>
      </c>
      <c r="N179" s="31">
        <v>43397</v>
      </c>
      <c r="O179" s="32">
        <v>43420</v>
      </c>
      <c r="P179" s="33" t="s">
        <v>10852</v>
      </c>
      <c r="Q179" s="34" t="s">
        <v>10853</v>
      </c>
      <c r="R179" s="35">
        <v>43448</v>
      </c>
      <c r="S179" s="34" t="s">
        <v>12522</v>
      </c>
      <c r="T179" s="34">
        <v>1</v>
      </c>
      <c r="U179" s="34" t="s">
        <v>5683</v>
      </c>
      <c r="V179" s="34" t="s">
        <v>4999</v>
      </c>
      <c r="W179" s="36">
        <v>43518</v>
      </c>
      <c r="X179" s="44" t="s">
        <v>264</v>
      </c>
      <c r="Y179" s="38">
        <v>43518</v>
      </c>
      <c r="Z179" s="39">
        <v>43518</v>
      </c>
      <c r="AA179" s="45" t="e">
        <v>#VALUE!</v>
      </c>
      <c r="AB179" s="46" t="e">
        <v>#VALUE!</v>
      </c>
      <c r="AC179" s="25" t="s">
        <v>10855</v>
      </c>
      <c r="AD179" s="42" t="s">
        <v>4999</v>
      </c>
      <c r="AE179" s="43" t="s">
        <v>12515</v>
      </c>
      <c r="AF179" s="27"/>
    </row>
    <row r="180" spans="1:32" s="2" customFormat="1" ht="12.75" x14ac:dyDescent="0.2">
      <c r="A180" s="28">
        <v>0</v>
      </c>
      <c r="B180" s="29" t="s">
        <v>12523</v>
      </c>
      <c r="C180" s="30" t="s">
        <v>9580</v>
      </c>
      <c r="D180" s="30">
        <v>180182</v>
      </c>
      <c r="E180" s="30" t="s">
        <v>12524</v>
      </c>
      <c r="F180" s="30" t="s">
        <v>6820</v>
      </c>
      <c r="G180" s="30" t="s">
        <v>6829</v>
      </c>
      <c r="H180" s="30" t="s">
        <v>5632</v>
      </c>
      <c r="I180" s="30" t="s">
        <v>12525</v>
      </c>
      <c r="J180" s="30" t="s">
        <v>3744</v>
      </c>
      <c r="K180" s="31">
        <v>43397</v>
      </c>
      <c r="L180" s="30" t="s">
        <v>9350</v>
      </c>
      <c r="M180" s="31">
        <v>43397</v>
      </c>
      <c r="N180" s="31">
        <v>43397</v>
      </c>
      <c r="O180" s="32">
        <v>43420</v>
      </c>
      <c r="P180" s="33" t="s">
        <v>10852</v>
      </c>
      <c r="Q180" s="34" t="s">
        <v>10853</v>
      </c>
      <c r="R180" s="35">
        <v>43448</v>
      </c>
      <c r="S180" s="34" t="s">
        <v>12526</v>
      </c>
      <c r="T180" s="34">
        <v>1</v>
      </c>
      <c r="U180" s="34" t="s">
        <v>5683</v>
      </c>
      <c r="V180" s="34" t="s">
        <v>4999</v>
      </c>
      <c r="W180" s="36">
        <v>43461</v>
      </c>
      <c r="X180" s="44" t="s">
        <v>264</v>
      </c>
      <c r="Y180" s="38">
        <v>43468</v>
      </c>
      <c r="Z180" s="39">
        <v>43468</v>
      </c>
      <c r="AA180" s="45" t="e">
        <v>#VALUE!</v>
      </c>
      <c r="AB180" s="46" t="e">
        <v>#VALUE!</v>
      </c>
      <c r="AC180" s="25" t="s">
        <v>10869</v>
      </c>
      <c r="AD180" s="42" t="s">
        <v>4999</v>
      </c>
      <c r="AE180" s="43" t="s">
        <v>12515</v>
      </c>
      <c r="AF180" s="27"/>
    </row>
    <row r="181" spans="1:32" s="2" customFormat="1" ht="12.75" x14ac:dyDescent="0.2">
      <c r="A181" s="28">
        <v>0</v>
      </c>
      <c r="B181" s="29" t="s">
        <v>12527</v>
      </c>
      <c r="C181" s="30" t="s">
        <v>8369</v>
      </c>
      <c r="D181" s="30">
        <v>180181</v>
      </c>
      <c r="E181" s="30" t="s">
        <v>12528</v>
      </c>
      <c r="F181" s="30" t="s">
        <v>6820</v>
      </c>
      <c r="G181" s="30" t="s">
        <v>6829</v>
      </c>
      <c r="H181" s="30" t="s">
        <v>12529</v>
      </c>
      <c r="I181" s="30">
        <v>5550</v>
      </c>
      <c r="J181" s="30" t="s">
        <v>1426</v>
      </c>
      <c r="K181" s="31">
        <v>43398</v>
      </c>
      <c r="L181" s="30" t="s">
        <v>9350</v>
      </c>
      <c r="M181" s="31">
        <v>43398</v>
      </c>
      <c r="N181" s="31">
        <v>43398</v>
      </c>
      <c r="O181" s="32">
        <v>43398</v>
      </c>
      <c r="P181" s="33" t="s">
        <v>10852</v>
      </c>
      <c r="Q181" s="34" t="s">
        <v>10852</v>
      </c>
      <c r="R181" s="35">
        <v>43398</v>
      </c>
      <c r="S181" s="34" t="s">
        <v>12530</v>
      </c>
      <c r="T181" s="34">
        <v>2</v>
      </c>
      <c r="U181" s="34" t="s">
        <v>5683</v>
      </c>
      <c r="V181" s="34" t="s">
        <v>4999</v>
      </c>
      <c r="W181" s="36">
        <v>43399</v>
      </c>
      <c r="X181" s="44" t="s">
        <v>264</v>
      </c>
      <c r="Y181" s="38">
        <v>43402</v>
      </c>
      <c r="Z181" s="39">
        <v>43402</v>
      </c>
      <c r="AA181" s="45" t="e">
        <v>#VALUE!</v>
      </c>
      <c r="AB181" s="46" t="e">
        <v>#VALUE!</v>
      </c>
      <c r="AC181" s="25" t="s">
        <v>10869</v>
      </c>
      <c r="AD181" s="42" t="s">
        <v>4999</v>
      </c>
      <c r="AE181" s="43"/>
      <c r="AF181" s="27"/>
    </row>
    <row r="182" spans="1:32" s="2" customFormat="1" ht="12.75" x14ac:dyDescent="0.2">
      <c r="A182" s="28">
        <v>0</v>
      </c>
      <c r="B182" s="29" t="s">
        <v>12531</v>
      </c>
      <c r="C182" s="30" t="s">
        <v>3386</v>
      </c>
      <c r="D182" s="30">
        <v>180194</v>
      </c>
      <c r="E182" s="30" t="s">
        <v>12532</v>
      </c>
      <c r="F182" s="30" t="s">
        <v>6820</v>
      </c>
      <c r="G182" s="30" t="s">
        <v>6829</v>
      </c>
      <c r="H182" s="30" t="s">
        <v>12533</v>
      </c>
      <c r="I182" s="30" t="s">
        <v>12534</v>
      </c>
      <c r="J182" s="30" t="s">
        <v>5638</v>
      </c>
      <c r="K182" s="31">
        <v>43410</v>
      </c>
      <c r="L182" s="30" t="s">
        <v>9350</v>
      </c>
      <c r="M182" s="31">
        <v>43410</v>
      </c>
      <c r="N182" s="31">
        <v>43410</v>
      </c>
      <c r="O182" s="52">
        <v>43411</v>
      </c>
      <c r="P182" s="33" t="s">
        <v>10852</v>
      </c>
      <c r="Q182" s="34" t="s">
        <v>10852</v>
      </c>
      <c r="R182" s="35">
        <v>43412</v>
      </c>
      <c r="S182" s="34" t="s">
        <v>12535</v>
      </c>
      <c r="T182" s="34">
        <v>2</v>
      </c>
      <c r="U182" s="34" t="s">
        <v>5683</v>
      </c>
      <c r="V182" s="34" t="s">
        <v>4999</v>
      </c>
      <c r="W182" s="36">
        <v>43417</v>
      </c>
      <c r="X182" s="44" t="s">
        <v>264</v>
      </c>
      <c r="Y182" s="38">
        <v>43417</v>
      </c>
      <c r="Z182" s="39">
        <v>43417</v>
      </c>
      <c r="AA182" s="45" t="e">
        <v>#VALUE!</v>
      </c>
      <c r="AB182" s="46" t="e">
        <v>#VALUE!</v>
      </c>
      <c r="AC182" s="25" t="s">
        <v>10869</v>
      </c>
      <c r="AD182" s="42" t="s">
        <v>4999</v>
      </c>
      <c r="AE182" s="43"/>
      <c r="AF182" s="27"/>
    </row>
    <row r="183" spans="1:32" s="2" customFormat="1" ht="12.75" x14ac:dyDescent="0.2">
      <c r="A183" s="28">
        <v>0</v>
      </c>
      <c r="B183" s="29" t="s">
        <v>12536</v>
      </c>
      <c r="C183" s="30" t="s">
        <v>8322</v>
      </c>
      <c r="D183" s="30">
        <v>180193</v>
      </c>
      <c r="E183" s="30" t="s">
        <v>12537</v>
      </c>
      <c r="F183" s="30" t="s">
        <v>6820</v>
      </c>
      <c r="G183" s="30" t="s">
        <v>6829</v>
      </c>
      <c r="H183" s="30" t="s">
        <v>10893</v>
      </c>
      <c r="I183" s="30" t="s">
        <v>12538</v>
      </c>
      <c r="J183" s="30" t="s">
        <v>5529</v>
      </c>
      <c r="K183" s="31">
        <v>43410</v>
      </c>
      <c r="L183" s="30" t="s">
        <v>9350</v>
      </c>
      <c r="M183" s="31">
        <v>43410</v>
      </c>
      <c r="N183" s="31">
        <v>43410</v>
      </c>
      <c r="O183" s="32">
        <v>43411</v>
      </c>
      <c r="P183" s="33" t="s">
        <v>10852</v>
      </c>
      <c r="Q183" s="34" t="s">
        <v>10852</v>
      </c>
      <c r="R183" s="35">
        <v>43416</v>
      </c>
      <c r="S183" s="34" t="s">
        <v>2743</v>
      </c>
      <c r="T183" s="34">
        <v>6</v>
      </c>
      <c r="U183" s="34" t="s">
        <v>5683</v>
      </c>
      <c r="V183" s="34" t="s">
        <v>4999</v>
      </c>
      <c r="W183" s="36">
        <v>43418</v>
      </c>
      <c r="X183" s="44" t="s">
        <v>264</v>
      </c>
      <c r="Y183" s="38">
        <v>43418</v>
      </c>
      <c r="Z183" s="39">
        <v>43418</v>
      </c>
      <c r="AA183" s="45" t="e">
        <v>#VALUE!</v>
      </c>
      <c r="AB183" s="46" t="e">
        <v>#VALUE!</v>
      </c>
      <c r="AC183" s="25" t="s">
        <v>10869</v>
      </c>
      <c r="AD183" s="42" t="s">
        <v>4999</v>
      </c>
      <c r="AE183" s="43"/>
      <c r="AF183" s="27"/>
    </row>
    <row r="184" spans="1:32" s="2" customFormat="1" ht="12.75" x14ac:dyDescent="0.2">
      <c r="A184" s="28">
        <v>0</v>
      </c>
      <c r="B184" s="29" t="s">
        <v>12539</v>
      </c>
      <c r="C184" s="30" t="s">
        <v>8322</v>
      </c>
      <c r="D184" s="30">
        <v>180193</v>
      </c>
      <c r="E184" s="30" t="s">
        <v>12540</v>
      </c>
      <c r="F184" s="30" t="s">
        <v>6820</v>
      </c>
      <c r="G184" s="30" t="s">
        <v>6829</v>
      </c>
      <c r="H184" s="30" t="s">
        <v>12541</v>
      </c>
      <c r="I184" s="30" t="s">
        <v>12542</v>
      </c>
      <c r="J184" s="30" t="s">
        <v>5529</v>
      </c>
      <c r="K184" s="31">
        <v>43410</v>
      </c>
      <c r="L184" s="30" t="s">
        <v>9350</v>
      </c>
      <c r="M184" s="31">
        <v>43410</v>
      </c>
      <c r="N184" s="31">
        <v>43410</v>
      </c>
      <c r="O184" s="32">
        <v>43411</v>
      </c>
      <c r="P184" s="33" t="s">
        <v>10852</v>
      </c>
      <c r="Q184" s="34" t="s">
        <v>10852</v>
      </c>
      <c r="R184" s="35">
        <v>43416</v>
      </c>
      <c r="S184" s="34" t="s">
        <v>11029</v>
      </c>
      <c r="T184" s="34">
        <v>7</v>
      </c>
      <c r="U184" s="34" t="s">
        <v>5683</v>
      </c>
      <c r="V184" s="34" t="s">
        <v>4999</v>
      </c>
      <c r="W184" s="36">
        <v>43417</v>
      </c>
      <c r="X184" s="44" t="s">
        <v>264</v>
      </c>
      <c r="Y184" s="38">
        <v>43417</v>
      </c>
      <c r="Z184" s="39">
        <v>43417</v>
      </c>
      <c r="AA184" s="45" t="e">
        <v>#VALUE!</v>
      </c>
      <c r="AB184" s="46" t="e">
        <v>#VALUE!</v>
      </c>
      <c r="AC184" s="25" t="s">
        <v>10869</v>
      </c>
      <c r="AD184" s="42" t="s">
        <v>4999</v>
      </c>
      <c r="AE184" s="56"/>
      <c r="AF184" s="27"/>
    </row>
    <row r="185" spans="1:32" s="2" customFormat="1" ht="25.5" x14ac:dyDescent="0.2">
      <c r="A185" s="28">
        <v>0</v>
      </c>
      <c r="B185" s="49" t="s">
        <v>12543</v>
      </c>
      <c r="C185" s="50" t="s">
        <v>9361</v>
      </c>
      <c r="D185" s="50">
        <v>180191</v>
      </c>
      <c r="E185" s="50" t="s">
        <v>12544</v>
      </c>
      <c r="F185" s="50" t="s">
        <v>6820</v>
      </c>
      <c r="G185" s="50" t="s">
        <v>6829</v>
      </c>
      <c r="H185" s="50" t="s">
        <v>12545</v>
      </c>
      <c r="I185" s="50" t="s">
        <v>12546</v>
      </c>
      <c r="J185" s="50" t="s">
        <v>12442</v>
      </c>
      <c r="K185" s="51">
        <v>43407</v>
      </c>
      <c r="L185" s="50" t="s">
        <v>9350</v>
      </c>
      <c r="M185" s="51">
        <v>43409</v>
      </c>
      <c r="N185" s="51">
        <v>43411</v>
      </c>
      <c r="O185" s="52">
        <v>43411</v>
      </c>
      <c r="P185" s="33" t="s">
        <v>10852</v>
      </c>
      <c r="Q185" s="34" t="s">
        <v>10852</v>
      </c>
      <c r="R185" s="35">
        <v>43416</v>
      </c>
      <c r="S185" s="34" t="s">
        <v>12547</v>
      </c>
      <c r="T185" s="34">
        <v>4</v>
      </c>
      <c r="U185" s="34" t="s">
        <v>5683</v>
      </c>
      <c r="V185" s="34" t="s">
        <v>4999</v>
      </c>
      <c r="W185" s="36">
        <v>43430</v>
      </c>
      <c r="X185" s="44" t="s">
        <v>264</v>
      </c>
      <c r="Y185" s="38">
        <v>43430</v>
      </c>
      <c r="Z185" s="39">
        <v>43430</v>
      </c>
      <c r="AA185" s="45" t="e">
        <v>#VALUE!</v>
      </c>
      <c r="AB185" s="46" t="e">
        <v>#VALUE!</v>
      </c>
      <c r="AC185" s="53" t="s">
        <v>10869</v>
      </c>
      <c r="AD185" s="54" t="s">
        <v>4999</v>
      </c>
      <c r="AE185" s="55"/>
    </row>
    <row r="186" spans="1:32" s="2" customFormat="1" ht="25.5" x14ac:dyDescent="0.2">
      <c r="A186" s="28">
        <v>0</v>
      </c>
      <c r="B186" s="49" t="s">
        <v>12548</v>
      </c>
      <c r="C186" s="50" t="s">
        <v>9361</v>
      </c>
      <c r="D186" s="50">
        <v>180191</v>
      </c>
      <c r="E186" s="50" t="s">
        <v>12549</v>
      </c>
      <c r="F186" s="50" t="s">
        <v>6820</v>
      </c>
      <c r="G186" s="50" t="s">
        <v>6829</v>
      </c>
      <c r="H186" s="50" t="s">
        <v>12550</v>
      </c>
      <c r="I186" s="50" t="s">
        <v>12551</v>
      </c>
      <c r="J186" s="50" t="s">
        <v>12442</v>
      </c>
      <c r="K186" s="51">
        <v>43407</v>
      </c>
      <c r="L186" s="50" t="s">
        <v>9350</v>
      </c>
      <c r="M186" s="51">
        <v>43409</v>
      </c>
      <c r="N186" s="51">
        <v>43411</v>
      </c>
      <c r="O186" s="52">
        <v>43411</v>
      </c>
      <c r="P186" s="33" t="s">
        <v>10852</v>
      </c>
      <c r="Q186" s="34" t="s">
        <v>10852</v>
      </c>
      <c r="R186" s="35">
        <v>43416</v>
      </c>
      <c r="S186" s="34" t="s">
        <v>12552</v>
      </c>
      <c r="T186" s="34">
        <v>4</v>
      </c>
      <c r="U186" s="34" t="s">
        <v>5683</v>
      </c>
      <c r="V186" s="34" t="s">
        <v>4999</v>
      </c>
      <c r="W186" s="36">
        <v>43430</v>
      </c>
      <c r="X186" s="44" t="s">
        <v>264</v>
      </c>
      <c r="Y186" s="38">
        <v>43430</v>
      </c>
      <c r="Z186" s="39">
        <v>43430</v>
      </c>
      <c r="AA186" s="45" t="e">
        <v>#VALUE!</v>
      </c>
      <c r="AB186" s="46" t="e">
        <v>#VALUE!</v>
      </c>
      <c r="AC186" s="53" t="s">
        <v>10869</v>
      </c>
      <c r="AD186" s="54" t="s">
        <v>4999</v>
      </c>
      <c r="AE186" s="55"/>
    </row>
    <row r="187" spans="1:32" s="2" customFormat="1" ht="25.5" x14ac:dyDescent="0.2">
      <c r="A187" s="28">
        <v>0</v>
      </c>
      <c r="B187" s="49" t="s">
        <v>12553</v>
      </c>
      <c r="C187" s="50" t="s">
        <v>9361</v>
      </c>
      <c r="D187" s="50">
        <v>180191</v>
      </c>
      <c r="E187" s="50" t="s">
        <v>12554</v>
      </c>
      <c r="F187" s="50" t="s">
        <v>6820</v>
      </c>
      <c r="G187" s="50" t="s">
        <v>6829</v>
      </c>
      <c r="H187" s="50" t="s">
        <v>12555</v>
      </c>
      <c r="I187" s="50" t="s">
        <v>12556</v>
      </c>
      <c r="J187" s="50" t="s">
        <v>12442</v>
      </c>
      <c r="K187" s="51">
        <v>43407</v>
      </c>
      <c r="L187" s="50" t="s">
        <v>9350</v>
      </c>
      <c r="M187" s="51">
        <v>43409</v>
      </c>
      <c r="N187" s="51">
        <v>43411</v>
      </c>
      <c r="O187" s="52">
        <v>43411</v>
      </c>
      <c r="P187" s="33" t="s">
        <v>10852</v>
      </c>
      <c r="Q187" s="34" t="s">
        <v>10852</v>
      </c>
      <c r="R187" s="35">
        <v>43416</v>
      </c>
      <c r="S187" s="34" t="s">
        <v>12557</v>
      </c>
      <c r="T187" s="34">
        <v>4</v>
      </c>
      <c r="U187" s="34" t="s">
        <v>5683</v>
      </c>
      <c r="V187" s="34" t="s">
        <v>4999</v>
      </c>
      <c r="W187" s="36">
        <v>43430</v>
      </c>
      <c r="X187" s="44" t="s">
        <v>264</v>
      </c>
      <c r="Y187" s="38">
        <v>43430</v>
      </c>
      <c r="Z187" s="39">
        <v>43430</v>
      </c>
      <c r="AA187" s="45" t="e">
        <v>#VALUE!</v>
      </c>
      <c r="AB187" s="46" t="e">
        <v>#VALUE!</v>
      </c>
      <c r="AC187" s="53" t="s">
        <v>10869</v>
      </c>
      <c r="AD187" s="54" t="s">
        <v>4999</v>
      </c>
      <c r="AE187" s="55"/>
    </row>
    <row r="188" spans="1:32" s="2" customFormat="1" ht="12.75" x14ac:dyDescent="0.2">
      <c r="A188" s="28">
        <v>0</v>
      </c>
      <c r="B188" s="29" t="s">
        <v>12558</v>
      </c>
      <c r="C188" s="30" t="s">
        <v>8322</v>
      </c>
      <c r="D188" s="30">
        <v>180197</v>
      </c>
      <c r="E188" s="30" t="s">
        <v>12559</v>
      </c>
      <c r="F188" s="30" t="s">
        <v>6820</v>
      </c>
      <c r="G188" s="30" t="s">
        <v>6829</v>
      </c>
      <c r="H188" s="30" t="s">
        <v>12560</v>
      </c>
      <c r="I188" s="30" t="s">
        <v>12561</v>
      </c>
      <c r="J188" s="30" t="s">
        <v>11028</v>
      </c>
      <c r="K188" s="31">
        <v>43413</v>
      </c>
      <c r="L188" s="30" t="s">
        <v>9350</v>
      </c>
      <c r="M188" s="31">
        <v>43413</v>
      </c>
      <c r="N188" s="31">
        <v>43413</v>
      </c>
      <c r="O188" s="32">
        <v>43416</v>
      </c>
      <c r="P188" s="33" t="s">
        <v>10852</v>
      </c>
      <c r="Q188" s="34" t="s">
        <v>10852</v>
      </c>
      <c r="R188" s="35">
        <v>43416</v>
      </c>
      <c r="S188" s="34" t="s">
        <v>7144</v>
      </c>
      <c r="T188" s="34">
        <v>9</v>
      </c>
      <c r="U188" s="34" t="s">
        <v>5683</v>
      </c>
      <c r="V188" s="34" t="s">
        <v>4999</v>
      </c>
      <c r="W188" s="36">
        <v>43430</v>
      </c>
      <c r="X188" s="44" t="s">
        <v>264</v>
      </c>
      <c r="Y188" s="38">
        <v>43430</v>
      </c>
      <c r="Z188" s="39">
        <v>43430</v>
      </c>
      <c r="AA188" s="45" t="e">
        <v>#VALUE!</v>
      </c>
      <c r="AB188" s="46" t="e">
        <v>#VALUE!</v>
      </c>
      <c r="AC188" s="25" t="s">
        <v>10869</v>
      </c>
      <c r="AD188" s="42" t="s">
        <v>4999</v>
      </c>
      <c r="AE188" s="56"/>
      <c r="AF188" s="27"/>
    </row>
    <row r="189" spans="1:32" s="2" customFormat="1" ht="12.75" x14ac:dyDescent="0.2">
      <c r="A189" s="28">
        <v>0</v>
      </c>
      <c r="B189" s="29" t="s">
        <v>12562</v>
      </c>
      <c r="C189" s="30" t="s">
        <v>8326</v>
      </c>
      <c r="D189" s="30">
        <v>180199</v>
      </c>
      <c r="E189" s="30" t="s">
        <v>12563</v>
      </c>
      <c r="F189" s="30" t="s">
        <v>6820</v>
      </c>
      <c r="G189" s="30" t="s">
        <v>6829</v>
      </c>
      <c r="H189" s="30" t="s">
        <v>12564</v>
      </c>
      <c r="I189" s="30" t="s">
        <v>12565</v>
      </c>
      <c r="J189" s="30" t="s">
        <v>11217</v>
      </c>
      <c r="K189" s="31">
        <v>43416</v>
      </c>
      <c r="L189" s="30" t="s">
        <v>9350</v>
      </c>
      <c r="M189" s="31">
        <v>43416</v>
      </c>
      <c r="N189" s="31">
        <v>43417</v>
      </c>
      <c r="O189" s="32">
        <v>43417</v>
      </c>
      <c r="P189" s="33" t="s">
        <v>10852</v>
      </c>
      <c r="Q189" s="34" t="s">
        <v>10852</v>
      </c>
      <c r="R189" s="35">
        <v>43420</v>
      </c>
      <c r="S189" s="34" t="s">
        <v>12566</v>
      </c>
      <c r="T189" s="34">
        <v>2</v>
      </c>
      <c r="U189" s="34" t="s">
        <v>5683</v>
      </c>
      <c r="V189" s="34" t="s">
        <v>4999</v>
      </c>
      <c r="W189" s="36">
        <v>43433</v>
      </c>
      <c r="X189" s="44" t="s">
        <v>264</v>
      </c>
      <c r="Y189" s="38">
        <v>43444</v>
      </c>
      <c r="Z189" s="39">
        <v>43444</v>
      </c>
      <c r="AA189" s="45" t="e">
        <v>#VALUE!</v>
      </c>
      <c r="AB189" s="46" t="e">
        <v>#VALUE!</v>
      </c>
      <c r="AC189" s="25" t="s">
        <v>10869</v>
      </c>
      <c r="AD189" s="42" t="s">
        <v>4999</v>
      </c>
      <c r="AE189" s="43"/>
      <c r="AF189" s="27"/>
    </row>
    <row r="190" spans="1:32" s="2" customFormat="1" ht="12.75" x14ac:dyDescent="0.2">
      <c r="A190" s="28">
        <v>0</v>
      </c>
      <c r="B190" s="29" t="s">
        <v>12567</v>
      </c>
      <c r="C190" s="30" t="s">
        <v>3483</v>
      </c>
      <c r="D190" s="30">
        <v>180192</v>
      </c>
      <c r="E190" s="30" t="s">
        <v>12568</v>
      </c>
      <c r="F190" s="30" t="s">
        <v>6820</v>
      </c>
      <c r="G190" s="30" t="s">
        <v>6829</v>
      </c>
      <c r="H190" s="30" t="s">
        <v>12569</v>
      </c>
      <c r="I190" s="30" t="s">
        <v>4043</v>
      </c>
      <c r="J190" s="30" t="s">
        <v>12570</v>
      </c>
      <c r="K190" s="31">
        <v>43409</v>
      </c>
      <c r="L190" s="30" t="s">
        <v>9350</v>
      </c>
      <c r="M190" s="31">
        <v>43409</v>
      </c>
      <c r="N190" s="31">
        <v>43418</v>
      </c>
      <c r="O190" s="32">
        <v>43418</v>
      </c>
      <c r="P190" s="33" t="s">
        <v>10852</v>
      </c>
      <c r="Q190" s="34" t="s">
        <v>10853</v>
      </c>
      <c r="R190" s="35">
        <v>43420</v>
      </c>
      <c r="S190" s="34" t="s">
        <v>12571</v>
      </c>
      <c r="T190" s="34">
        <v>7</v>
      </c>
      <c r="U190" s="34" t="s">
        <v>5683</v>
      </c>
      <c r="V190" s="34" t="s">
        <v>4999</v>
      </c>
      <c r="W190" s="36">
        <v>43423</v>
      </c>
      <c r="X190" s="44" t="s">
        <v>6850</v>
      </c>
      <c r="Y190" s="38">
        <v>43423</v>
      </c>
      <c r="Z190" s="39">
        <v>43423</v>
      </c>
      <c r="AA190" s="45" t="e">
        <v>#VALUE!</v>
      </c>
      <c r="AB190" s="46" t="e">
        <v>#VALUE!</v>
      </c>
      <c r="AC190" s="25" t="s">
        <v>10869</v>
      </c>
      <c r="AD190" s="42" t="s">
        <v>4999</v>
      </c>
      <c r="AE190" s="43"/>
      <c r="AF190" s="27"/>
    </row>
    <row r="191" spans="1:32" s="2" customFormat="1" ht="12.75" x14ac:dyDescent="0.2">
      <c r="A191" s="28">
        <v>0</v>
      </c>
      <c r="B191" s="29" t="s">
        <v>12572</v>
      </c>
      <c r="C191" s="30" t="s">
        <v>3483</v>
      </c>
      <c r="D191" s="30">
        <v>180200</v>
      </c>
      <c r="E191" s="30" t="s">
        <v>12573</v>
      </c>
      <c r="F191" s="30" t="s">
        <v>6820</v>
      </c>
      <c r="G191" s="30" t="s">
        <v>6829</v>
      </c>
      <c r="H191" s="30" t="s">
        <v>12574</v>
      </c>
      <c r="I191" s="30" t="s">
        <v>12575</v>
      </c>
      <c r="J191" s="30" t="s">
        <v>12576</v>
      </c>
      <c r="K191" s="31">
        <v>43417</v>
      </c>
      <c r="L191" s="30" t="s">
        <v>9350</v>
      </c>
      <c r="M191" s="31">
        <v>43417</v>
      </c>
      <c r="N191" s="31">
        <v>43417</v>
      </c>
      <c r="O191" s="32">
        <v>43418</v>
      </c>
      <c r="P191" s="33" t="s">
        <v>10852</v>
      </c>
      <c r="Q191" s="34" t="s">
        <v>10853</v>
      </c>
      <c r="R191" s="35">
        <v>43420</v>
      </c>
      <c r="S191" s="34" t="s">
        <v>12577</v>
      </c>
      <c r="T191" s="34">
        <v>4</v>
      </c>
      <c r="U191" s="34" t="s">
        <v>5683</v>
      </c>
      <c r="V191" s="34" t="s">
        <v>4999</v>
      </c>
      <c r="W191" s="36">
        <v>43423</v>
      </c>
      <c r="X191" s="44" t="s">
        <v>264</v>
      </c>
      <c r="Y191" s="38">
        <v>43426</v>
      </c>
      <c r="Z191" s="39">
        <v>43426</v>
      </c>
      <c r="AA191" s="45" t="e">
        <v>#VALUE!</v>
      </c>
      <c r="AB191" s="46" t="e">
        <v>#VALUE!</v>
      </c>
      <c r="AC191" s="25" t="s">
        <v>10869</v>
      </c>
      <c r="AD191" s="42" t="s">
        <v>4999</v>
      </c>
      <c r="AE191" s="43"/>
      <c r="AF191" s="27"/>
    </row>
    <row r="192" spans="1:32" s="2" customFormat="1" ht="12.75" x14ac:dyDescent="0.2">
      <c r="A192" s="28">
        <v>0</v>
      </c>
      <c r="B192" s="29" t="s">
        <v>12578</v>
      </c>
      <c r="C192" s="30" t="s">
        <v>3483</v>
      </c>
      <c r="D192" s="30">
        <v>180200</v>
      </c>
      <c r="E192" s="30" t="s">
        <v>12579</v>
      </c>
      <c r="F192" s="30" t="s">
        <v>6820</v>
      </c>
      <c r="G192" s="30" t="s">
        <v>6829</v>
      </c>
      <c r="H192" s="30" t="s">
        <v>12580</v>
      </c>
      <c r="I192" s="30" t="s">
        <v>12581</v>
      </c>
      <c r="J192" s="30" t="s">
        <v>12576</v>
      </c>
      <c r="K192" s="31">
        <v>43417</v>
      </c>
      <c r="L192" s="30" t="s">
        <v>9350</v>
      </c>
      <c r="M192" s="31">
        <v>43417</v>
      </c>
      <c r="N192" s="31">
        <v>43417</v>
      </c>
      <c r="O192" s="32">
        <v>43418</v>
      </c>
      <c r="P192" s="33" t="s">
        <v>10852</v>
      </c>
      <c r="Q192" s="34" t="s">
        <v>10853</v>
      </c>
      <c r="R192" s="35">
        <v>43420</v>
      </c>
      <c r="S192" s="34" t="s">
        <v>12582</v>
      </c>
      <c r="T192" s="34">
        <v>4</v>
      </c>
      <c r="U192" s="34" t="s">
        <v>5683</v>
      </c>
      <c r="V192" s="34" t="s">
        <v>4999</v>
      </c>
      <c r="W192" s="36">
        <v>43423</v>
      </c>
      <c r="X192" s="44" t="s">
        <v>264</v>
      </c>
      <c r="Y192" s="38">
        <v>43426</v>
      </c>
      <c r="Z192" s="39">
        <v>43426</v>
      </c>
      <c r="AA192" s="45" t="e">
        <v>#VALUE!</v>
      </c>
      <c r="AB192" s="46" t="e">
        <v>#VALUE!</v>
      </c>
      <c r="AC192" s="25" t="s">
        <v>10869</v>
      </c>
      <c r="AD192" s="42" t="s">
        <v>4999</v>
      </c>
      <c r="AE192" s="43"/>
      <c r="AF192" s="27"/>
    </row>
    <row r="193" spans="1:32" s="2" customFormat="1" ht="12.75" x14ac:dyDescent="0.2">
      <c r="A193" s="28">
        <v>0</v>
      </c>
      <c r="B193" s="29" t="s">
        <v>12583</v>
      </c>
      <c r="C193" s="30" t="s">
        <v>7245</v>
      </c>
      <c r="D193" s="30">
        <v>180163</v>
      </c>
      <c r="E193" s="30" t="s">
        <v>12584</v>
      </c>
      <c r="F193" s="30" t="s">
        <v>6820</v>
      </c>
      <c r="G193" s="30" t="s">
        <v>6829</v>
      </c>
      <c r="H193" s="30" t="s">
        <v>12585</v>
      </c>
      <c r="I193" s="30" t="s">
        <v>11693</v>
      </c>
      <c r="J193" s="30" t="s">
        <v>8300</v>
      </c>
      <c r="K193" s="31">
        <v>43374</v>
      </c>
      <c r="L193" s="30" t="s">
        <v>9350</v>
      </c>
      <c r="M193" s="31">
        <v>43376</v>
      </c>
      <c r="N193" s="31">
        <v>43376</v>
      </c>
      <c r="O193" s="32">
        <v>43426</v>
      </c>
      <c r="P193" s="33" t="s">
        <v>10852</v>
      </c>
      <c r="Q193" s="34" t="s">
        <v>10852</v>
      </c>
      <c r="R193" s="35">
        <v>43454</v>
      </c>
      <c r="S193" s="34" t="s">
        <v>4215</v>
      </c>
      <c r="T193" s="34">
        <v>20</v>
      </c>
      <c r="U193" s="34" t="s">
        <v>5683</v>
      </c>
      <c r="V193" s="34" t="s">
        <v>4999</v>
      </c>
      <c r="W193" s="36">
        <v>43454</v>
      </c>
      <c r="X193" s="44" t="s">
        <v>264</v>
      </c>
      <c r="Y193" s="38">
        <v>43454</v>
      </c>
      <c r="Z193" s="39">
        <v>43454</v>
      </c>
      <c r="AA193" s="45" t="e">
        <v>#VALUE!</v>
      </c>
      <c r="AB193" s="46" t="e">
        <v>#VALUE!</v>
      </c>
      <c r="AC193" s="25" t="s">
        <v>10869</v>
      </c>
      <c r="AD193" s="42" t="s">
        <v>4999</v>
      </c>
      <c r="AE193" s="43"/>
      <c r="AF193" s="27"/>
    </row>
    <row r="194" spans="1:32" s="2" customFormat="1" ht="12.75" x14ac:dyDescent="0.2">
      <c r="A194" s="28">
        <v>0</v>
      </c>
      <c r="B194" s="29" t="s">
        <v>12586</v>
      </c>
      <c r="C194" s="30" t="s">
        <v>8369</v>
      </c>
      <c r="D194" s="30">
        <v>180167</v>
      </c>
      <c r="E194" s="30" t="s">
        <v>12587</v>
      </c>
      <c r="F194" s="30" t="s">
        <v>6820</v>
      </c>
      <c r="G194" s="30" t="s">
        <v>6829</v>
      </c>
      <c r="H194" s="30" t="s">
        <v>12282</v>
      </c>
      <c r="I194" s="30" t="s">
        <v>12588</v>
      </c>
      <c r="J194" s="30" t="s">
        <v>12589</v>
      </c>
      <c r="K194" s="31">
        <v>43426</v>
      </c>
      <c r="L194" s="30" t="s">
        <v>9350</v>
      </c>
      <c r="M194" s="31">
        <v>43426</v>
      </c>
      <c r="N194" s="61">
        <v>43426</v>
      </c>
      <c r="O194" s="62">
        <v>43426</v>
      </c>
      <c r="P194" s="33" t="s">
        <v>10852</v>
      </c>
      <c r="Q194" s="34" t="s">
        <v>10852</v>
      </c>
      <c r="R194" s="35">
        <v>43427</v>
      </c>
      <c r="S194" s="34" t="s">
        <v>9018</v>
      </c>
      <c r="T194" s="34">
        <v>1</v>
      </c>
      <c r="U194" s="34" t="s">
        <v>5683</v>
      </c>
      <c r="V194" s="34" t="s">
        <v>4999</v>
      </c>
      <c r="W194" s="36">
        <v>43437</v>
      </c>
      <c r="X194" s="44" t="s">
        <v>264</v>
      </c>
      <c r="Y194" s="38">
        <v>43438</v>
      </c>
      <c r="Z194" s="39">
        <v>43438</v>
      </c>
      <c r="AA194" s="45" t="e">
        <v>#VALUE!</v>
      </c>
      <c r="AB194" s="46" t="e">
        <v>#VALUE!</v>
      </c>
      <c r="AC194" s="25" t="s">
        <v>10869</v>
      </c>
      <c r="AD194" s="42" t="s">
        <v>4999</v>
      </c>
      <c r="AE194" s="43"/>
      <c r="AF194" s="27"/>
    </row>
    <row r="195" spans="1:32" s="2" customFormat="1" ht="12.75" x14ac:dyDescent="0.2">
      <c r="A195" s="28">
        <v>0</v>
      </c>
      <c r="B195" s="29" t="s">
        <v>12590</v>
      </c>
      <c r="C195" s="30" t="s">
        <v>8369</v>
      </c>
      <c r="D195" s="30">
        <v>180167</v>
      </c>
      <c r="E195" s="30" t="s">
        <v>12591</v>
      </c>
      <c r="F195" s="30" t="s">
        <v>6820</v>
      </c>
      <c r="G195" s="30" t="s">
        <v>6829</v>
      </c>
      <c r="H195" s="30" t="s">
        <v>12592</v>
      </c>
      <c r="I195" s="30" t="s">
        <v>12593</v>
      </c>
      <c r="J195" s="30" t="s">
        <v>12594</v>
      </c>
      <c r="K195" s="31">
        <v>43426</v>
      </c>
      <c r="L195" s="30" t="s">
        <v>9350</v>
      </c>
      <c r="M195" s="31">
        <v>43426</v>
      </c>
      <c r="N195" s="31">
        <v>43426</v>
      </c>
      <c r="O195" s="32">
        <v>43426</v>
      </c>
      <c r="P195" s="33" t="s">
        <v>10852</v>
      </c>
      <c r="Q195" s="34" t="s">
        <v>10852</v>
      </c>
      <c r="R195" s="35">
        <v>43427</v>
      </c>
      <c r="S195" s="34" t="s">
        <v>12595</v>
      </c>
      <c r="T195" s="34">
        <v>3</v>
      </c>
      <c r="U195" s="34" t="s">
        <v>5683</v>
      </c>
      <c r="V195" s="34" t="s">
        <v>4999</v>
      </c>
      <c r="W195" s="36">
        <v>43437</v>
      </c>
      <c r="X195" s="44" t="s">
        <v>264</v>
      </c>
      <c r="Y195" s="38">
        <v>43438</v>
      </c>
      <c r="Z195" s="39">
        <v>43438</v>
      </c>
      <c r="AA195" s="45" t="e">
        <v>#VALUE!</v>
      </c>
      <c r="AB195" s="46" t="e">
        <v>#VALUE!</v>
      </c>
      <c r="AC195" s="25" t="s">
        <v>10869</v>
      </c>
      <c r="AD195" s="42" t="s">
        <v>4999</v>
      </c>
      <c r="AE195" s="43"/>
      <c r="AF195" s="27"/>
    </row>
    <row r="196" spans="1:32" s="2" customFormat="1" ht="12.75" x14ac:dyDescent="0.2">
      <c r="A196" s="28">
        <v>0</v>
      </c>
      <c r="B196" s="29" t="s">
        <v>12596</v>
      </c>
      <c r="C196" s="30" t="s">
        <v>8369</v>
      </c>
      <c r="D196" s="30">
        <v>180207</v>
      </c>
      <c r="E196" s="30" t="s">
        <v>12597</v>
      </c>
      <c r="F196" s="30" t="s">
        <v>6820</v>
      </c>
      <c r="G196" s="30" t="s">
        <v>6829</v>
      </c>
      <c r="H196" s="30" t="s">
        <v>12598</v>
      </c>
      <c r="I196" s="30" t="s">
        <v>12599</v>
      </c>
      <c r="J196" s="30" t="s">
        <v>12594</v>
      </c>
      <c r="K196" s="31">
        <v>43428</v>
      </c>
      <c r="L196" s="30" t="s">
        <v>9350</v>
      </c>
      <c r="M196" s="31">
        <v>43430</v>
      </c>
      <c r="N196" s="31">
        <v>43430</v>
      </c>
      <c r="O196" s="32">
        <v>43430</v>
      </c>
      <c r="P196" s="33" t="s">
        <v>10852</v>
      </c>
      <c r="Q196" s="34" t="s">
        <v>10852</v>
      </c>
      <c r="R196" s="35">
        <v>43438</v>
      </c>
      <c r="S196" s="34" t="s">
        <v>7693</v>
      </c>
      <c r="T196" s="34">
        <v>20</v>
      </c>
      <c r="U196" s="34" t="s">
        <v>5683</v>
      </c>
      <c r="V196" s="34" t="s">
        <v>4999</v>
      </c>
      <c r="W196" s="36">
        <v>43438</v>
      </c>
      <c r="X196" s="44" t="s">
        <v>264</v>
      </c>
      <c r="Y196" s="38">
        <v>43438</v>
      </c>
      <c r="Z196" s="38">
        <v>43438</v>
      </c>
      <c r="AA196" s="45" t="e">
        <v>#VALUE!</v>
      </c>
      <c r="AB196" s="46" t="e">
        <v>#VALUE!</v>
      </c>
      <c r="AC196" s="25" t="s">
        <v>10869</v>
      </c>
      <c r="AD196" s="42" t="s">
        <v>4999</v>
      </c>
      <c r="AE196" s="43"/>
      <c r="AF196" s="27"/>
    </row>
    <row r="197" spans="1:32" s="2" customFormat="1" ht="12.75" x14ac:dyDescent="0.2">
      <c r="A197" s="28">
        <v>0</v>
      </c>
      <c r="B197" s="29" t="s">
        <v>12600</v>
      </c>
      <c r="C197" s="30" t="s">
        <v>9377</v>
      </c>
      <c r="D197" s="30">
        <v>180206</v>
      </c>
      <c r="E197" s="30" t="s">
        <v>12601</v>
      </c>
      <c r="F197" s="30" t="s">
        <v>6820</v>
      </c>
      <c r="G197" s="30" t="s">
        <v>6829</v>
      </c>
      <c r="H197" s="30" t="s">
        <v>12602</v>
      </c>
      <c r="I197" s="30" t="s">
        <v>12603</v>
      </c>
      <c r="J197" s="30" t="s">
        <v>11315</v>
      </c>
      <c r="K197" s="31">
        <v>43427</v>
      </c>
      <c r="L197" s="30" t="s">
        <v>9350</v>
      </c>
      <c r="M197" s="31">
        <v>43427</v>
      </c>
      <c r="N197" s="31">
        <v>43427</v>
      </c>
      <c r="O197" s="32">
        <v>43430</v>
      </c>
      <c r="P197" s="33" t="s">
        <v>10852</v>
      </c>
      <c r="Q197" s="34" t="s">
        <v>10852</v>
      </c>
      <c r="R197" s="35">
        <v>43432</v>
      </c>
      <c r="S197" s="34" t="s">
        <v>11007</v>
      </c>
      <c r="T197" s="34">
        <v>3</v>
      </c>
      <c r="U197" s="34" t="s">
        <v>5683</v>
      </c>
      <c r="V197" s="34" t="s">
        <v>4999</v>
      </c>
      <c r="W197" s="36">
        <v>43434</v>
      </c>
      <c r="X197" s="44" t="s">
        <v>264</v>
      </c>
      <c r="Y197" s="38">
        <v>43437</v>
      </c>
      <c r="Z197" s="38">
        <v>43437</v>
      </c>
      <c r="AA197" s="45" t="e">
        <v>#VALUE!</v>
      </c>
      <c r="AB197" s="46" t="e">
        <v>#VALUE!</v>
      </c>
      <c r="AC197" s="25" t="s">
        <v>10869</v>
      </c>
      <c r="AD197" s="42" t="s">
        <v>4999</v>
      </c>
      <c r="AE197" s="43"/>
      <c r="AF197" s="27"/>
    </row>
    <row r="198" spans="1:32" s="2" customFormat="1" ht="12.75" x14ac:dyDescent="0.2">
      <c r="A198" s="64">
        <v>0</v>
      </c>
      <c r="B198" s="29" t="s">
        <v>12604</v>
      </c>
      <c r="C198" s="30" t="s">
        <v>8369</v>
      </c>
      <c r="D198" s="30">
        <v>180208</v>
      </c>
      <c r="E198" s="30" t="s">
        <v>12605</v>
      </c>
      <c r="F198" s="30" t="s">
        <v>6820</v>
      </c>
      <c r="G198" s="30" t="s">
        <v>6829</v>
      </c>
      <c r="H198" s="30" t="s">
        <v>2560</v>
      </c>
      <c r="I198" s="30" t="s">
        <v>12606</v>
      </c>
      <c r="J198" s="30" t="s">
        <v>12607</v>
      </c>
      <c r="K198" s="31"/>
      <c r="L198" s="30" t="s">
        <v>9350</v>
      </c>
      <c r="M198" s="31">
        <v>43430</v>
      </c>
      <c r="N198" s="31">
        <v>43430</v>
      </c>
      <c r="O198" s="32">
        <v>43430</v>
      </c>
      <c r="P198" s="33" t="s">
        <v>10852</v>
      </c>
      <c r="Q198" s="34" t="s">
        <v>10852</v>
      </c>
      <c r="R198" s="35">
        <v>43438</v>
      </c>
      <c r="S198" s="34" t="s">
        <v>12608</v>
      </c>
      <c r="T198" s="34">
        <v>1</v>
      </c>
      <c r="U198" s="34" t="s">
        <v>5683</v>
      </c>
      <c r="V198" s="34" t="s">
        <v>4999</v>
      </c>
      <c r="W198" s="36">
        <v>43438</v>
      </c>
      <c r="X198" s="44" t="s">
        <v>264</v>
      </c>
      <c r="Y198" s="38">
        <v>43438</v>
      </c>
      <c r="Z198" s="39">
        <v>43438</v>
      </c>
      <c r="AA198" s="45" t="e">
        <v>#VALUE!</v>
      </c>
      <c r="AB198" s="46" t="e">
        <v>#VALUE!</v>
      </c>
      <c r="AC198" s="25" t="s">
        <v>10869</v>
      </c>
      <c r="AD198" s="42" t="s">
        <v>4999</v>
      </c>
      <c r="AE198" s="43"/>
      <c r="AF198" s="27"/>
    </row>
    <row r="199" spans="1:32" s="2" customFormat="1" ht="12.75" x14ac:dyDescent="0.2">
      <c r="A199" s="28">
        <v>0</v>
      </c>
      <c r="B199" s="29" t="s">
        <v>12609</v>
      </c>
      <c r="C199" s="30" t="s">
        <v>9024</v>
      </c>
      <c r="D199" s="30">
        <v>180209</v>
      </c>
      <c r="E199" s="30" t="s">
        <v>12610</v>
      </c>
      <c r="F199" s="30" t="s">
        <v>6820</v>
      </c>
      <c r="G199" s="30" t="s">
        <v>6829</v>
      </c>
      <c r="H199" s="30" t="s">
        <v>10957</v>
      </c>
      <c r="I199" s="30" t="s">
        <v>12611</v>
      </c>
      <c r="J199" s="30" t="s">
        <v>2504</v>
      </c>
      <c r="K199" s="31">
        <v>43432</v>
      </c>
      <c r="L199" s="30" t="s">
        <v>9350</v>
      </c>
      <c r="M199" s="31">
        <v>43432</v>
      </c>
      <c r="N199" s="31">
        <v>43432</v>
      </c>
      <c r="O199" s="32">
        <v>43434</v>
      </c>
      <c r="P199" s="33" t="s">
        <v>10852</v>
      </c>
      <c r="Q199" s="34" t="s">
        <v>10852</v>
      </c>
      <c r="R199" s="35">
        <v>43437</v>
      </c>
      <c r="S199" s="34" t="s">
        <v>10909</v>
      </c>
      <c r="T199" s="34">
        <v>1</v>
      </c>
      <c r="U199" s="34" t="s">
        <v>5683</v>
      </c>
      <c r="V199" s="34" t="s">
        <v>4999</v>
      </c>
      <c r="W199" s="36">
        <v>43454</v>
      </c>
      <c r="X199" s="44" t="s">
        <v>264</v>
      </c>
      <c r="Y199" s="38">
        <v>43454</v>
      </c>
      <c r="Z199" s="39">
        <v>43454</v>
      </c>
      <c r="AA199" s="45" t="e">
        <v>#VALUE!</v>
      </c>
      <c r="AB199" s="46" t="e">
        <v>#VALUE!</v>
      </c>
      <c r="AC199" s="25" t="s">
        <v>10869</v>
      </c>
      <c r="AD199" s="42" t="s">
        <v>4999</v>
      </c>
      <c r="AE199" s="43"/>
      <c r="AF199" s="27"/>
    </row>
    <row r="200" spans="1:32" s="2" customFormat="1" ht="12.75" x14ac:dyDescent="0.2">
      <c r="A200" s="28">
        <v>0</v>
      </c>
      <c r="B200" s="29" t="s">
        <v>12612</v>
      </c>
      <c r="C200" s="30" t="s">
        <v>9377</v>
      </c>
      <c r="D200" s="30">
        <v>180216</v>
      </c>
      <c r="E200" s="30" t="s">
        <v>12613</v>
      </c>
      <c r="F200" s="30" t="s">
        <v>6820</v>
      </c>
      <c r="G200" s="30" t="s">
        <v>6829</v>
      </c>
      <c r="H200" s="30" t="s">
        <v>11629</v>
      </c>
      <c r="I200" s="30" t="s">
        <v>12614</v>
      </c>
      <c r="J200" s="30" t="s">
        <v>8268</v>
      </c>
      <c r="K200" s="31">
        <v>43438</v>
      </c>
      <c r="L200" s="30" t="s">
        <v>9350</v>
      </c>
      <c r="M200" s="31">
        <v>43438</v>
      </c>
      <c r="N200" s="31">
        <v>43438</v>
      </c>
      <c r="O200" s="32">
        <v>43438</v>
      </c>
      <c r="P200" s="33" t="s">
        <v>10852</v>
      </c>
      <c r="Q200" s="34" t="s">
        <v>10852</v>
      </c>
      <c r="R200" s="35">
        <v>43447</v>
      </c>
      <c r="S200" s="34" t="s">
        <v>12615</v>
      </c>
      <c r="T200" s="34">
        <v>1</v>
      </c>
      <c r="U200" s="34" t="s">
        <v>5683</v>
      </c>
      <c r="V200" s="34" t="s">
        <v>4999</v>
      </c>
      <c r="W200" s="36">
        <v>43448</v>
      </c>
      <c r="X200" s="44" t="s">
        <v>264</v>
      </c>
      <c r="Y200" s="38">
        <v>43451</v>
      </c>
      <c r="Z200" s="39">
        <v>43451</v>
      </c>
      <c r="AA200" s="45" t="e">
        <v>#VALUE!</v>
      </c>
      <c r="AB200" s="46" t="e">
        <v>#VALUE!</v>
      </c>
      <c r="AC200" s="25" t="s">
        <v>10869</v>
      </c>
      <c r="AD200" s="42" t="s">
        <v>4999</v>
      </c>
      <c r="AE200" s="43"/>
      <c r="AF200" s="27"/>
    </row>
    <row r="201" spans="1:32" s="2" customFormat="1" ht="12.75" x14ac:dyDescent="0.2">
      <c r="A201" s="28">
        <v>1</v>
      </c>
      <c r="B201" s="29" t="s">
        <v>12616</v>
      </c>
      <c r="C201" s="30" t="s">
        <v>9377</v>
      </c>
      <c r="D201" s="30" t="s">
        <v>5683</v>
      </c>
      <c r="E201" s="30" t="s">
        <v>12617</v>
      </c>
      <c r="F201" s="30" t="s">
        <v>6820</v>
      </c>
      <c r="G201" s="30" t="s">
        <v>6829</v>
      </c>
      <c r="H201" s="30" t="s">
        <v>12618</v>
      </c>
      <c r="I201" s="30" t="s">
        <v>12619</v>
      </c>
      <c r="J201" s="30" t="s">
        <v>8268</v>
      </c>
      <c r="K201" s="31" t="s">
        <v>5683</v>
      </c>
      <c r="L201" s="30" t="s">
        <v>5683</v>
      </c>
      <c r="M201" s="31" t="s">
        <v>5683</v>
      </c>
      <c r="N201" s="31" t="s">
        <v>5683</v>
      </c>
      <c r="O201" s="32" t="s">
        <v>5683</v>
      </c>
      <c r="P201" s="33" t="s">
        <v>10852</v>
      </c>
      <c r="Q201" s="34" t="s">
        <v>5683</v>
      </c>
      <c r="R201" s="35" t="s">
        <v>5683</v>
      </c>
      <c r="S201" s="34" t="s">
        <v>11153</v>
      </c>
      <c r="T201" s="34" t="s">
        <v>5683</v>
      </c>
      <c r="U201" s="34" t="s">
        <v>5683</v>
      </c>
      <c r="V201" s="34" t="s">
        <v>4999</v>
      </c>
      <c r="W201" s="36">
        <v>43454</v>
      </c>
      <c r="X201" s="44"/>
      <c r="Y201" s="38"/>
      <c r="Z201" s="39"/>
      <c r="AA201" s="45" t="e">
        <v>#VALUE!</v>
      </c>
      <c r="AB201" s="46" t="e">
        <v>#VALUE!</v>
      </c>
      <c r="AC201" s="25" t="s">
        <v>5683</v>
      </c>
      <c r="AD201" s="42"/>
      <c r="AE201" s="43"/>
      <c r="AF201" s="27"/>
    </row>
    <row r="202" spans="1:32" s="2" customFormat="1" ht="12.75" x14ac:dyDescent="0.2">
      <c r="A202" s="28">
        <v>0</v>
      </c>
      <c r="B202" s="29" t="s">
        <v>12616</v>
      </c>
      <c r="C202" s="30" t="s">
        <v>9377</v>
      </c>
      <c r="D202" s="30">
        <v>180220</v>
      </c>
      <c r="E202" s="30" t="s">
        <v>12617</v>
      </c>
      <c r="F202" s="30" t="s">
        <v>6820</v>
      </c>
      <c r="G202" s="30" t="s">
        <v>6829</v>
      </c>
      <c r="H202" s="30" t="s">
        <v>12618</v>
      </c>
      <c r="I202" s="30" t="s">
        <v>12619</v>
      </c>
      <c r="J202" s="30" t="s">
        <v>8268</v>
      </c>
      <c r="K202" s="31">
        <v>43439</v>
      </c>
      <c r="L202" s="30" t="s">
        <v>9350</v>
      </c>
      <c r="M202" s="31">
        <v>43439</v>
      </c>
      <c r="N202" s="31">
        <v>43439</v>
      </c>
      <c r="O202" s="32">
        <v>43439</v>
      </c>
      <c r="P202" s="33" t="s">
        <v>10852</v>
      </c>
      <c r="Q202" s="34" t="s">
        <v>10852</v>
      </c>
      <c r="R202" s="35">
        <v>43447</v>
      </c>
      <c r="S202" s="34" t="s">
        <v>11153</v>
      </c>
      <c r="T202" s="34">
        <v>3</v>
      </c>
      <c r="U202" s="34" t="s">
        <v>5683</v>
      </c>
      <c r="V202" s="34" t="s">
        <v>4999</v>
      </c>
      <c r="W202" s="36">
        <v>43448</v>
      </c>
      <c r="X202" s="44" t="s">
        <v>264</v>
      </c>
      <c r="Y202" s="38">
        <v>43451</v>
      </c>
      <c r="Z202" s="39">
        <v>43451</v>
      </c>
      <c r="AA202" s="45" t="e">
        <v>#VALUE!</v>
      </c>
      <c r="AB202" s="46" t="e">
        <v>#VALUE!</v>
      </c>
      <c r="AC202" s="25" t="s">
        <v>10869</v>
      </c>
      <c r="AD202" s="42" t="s">
        <v>4999</v>
      </c>
      <c r="AE202" s="43"/>
      <c r="AF202" s="27"/>
    </row>
    <row r="203" spans="1:32" s="2" customFormat="1" ht="12.75" x14ac:dyDescent="0.2">
      <c r="A203" s="28">
        <v>0</v>
      </c>
      <c r="B203" s="29" t="s">
        <v>12620</v>
      </c>
      <c r="C203" s="30" t="s">
        <v>8369</v>
      </c>
      <c r="D203" s="30">
        <v>180223</v>
      </c>
      <c r="E203" s="30" t="s">
        <v>12621</v>
      </c>
      <c r="F203" s="30" t="s">
        <v>6820</v>
      </c>
      <c r="G203" s="30" t="s">
        <v>6829</v>
      </c>
      <c r="H203" s="30" t="s">
        <v>6277</v>
      </c>
      <c r="I203" s="30" t="s">
        <v>12622</v>
      </c>
      <c r="J203" s="30" t="s">
        <v>12623</v>
      </c>
      <c r="K203" s="31">
        <v>43441</v>
      </c>
      <c r="L203" s="30" t="s">
        <v>9350</v>
      </c>
      <c r="M203" s="31">
        <v>43441</v>
      </c>
      <c r="N203" s="31">
        <v>43441</v>
      </c>
      <c r="O203" s="32">
        <v>43444</v>
      </c>
      <c r="P203" s="33" t="s">
        <v>10852</v>
      </c>
      <c r="Q203" s="34" t="s">
        <v>10852</v>
      </c>
      <c r="R203" s="35">
        <v>43445</v>
      </c>
      <c r="S203" s="34" t="s">
        <v>2518</v>
      </c>
      <c r="T203" s="34">
        <v>2</v>
      </c>
      <c r="U203" s="34" t="s">
        <v>5683</v>
      </c>
      <c r="V203" s="34" t="s">
        <v>4999</v>
      </c>
      <c r="W203" s="36">
        <v>43448</v>
      </c>
      <c r="X203" s="44" t="s">
        <v>264</v>
      </c>
      <c r="Y203" s="38">
        <v>43448</v>
      </c>
      <c r="Z203" s="39">
        <v>43448</v>
      </c>
      <c r="AA203" s="45" t="e">
        <v>#VALUE!</v>
      </c>
      <c r="AB203" s="46" t="e">
        <v>#VALUE!</v>
      </c>
      <c r="AC203" s="25" t="s">
        <v>10869</v>
      </c>
      <c r="AD203" s="42" t="s">
        <v>4999</v>
      </c>
      <c r="AE203" s="43"/>
      <c r="AF203" s="27"/>
    </row>
    <row r="204" spans="1:32" s="2" customFormat="1" ht="12.75" x14ac:dyDescent="0.2">
      <c r="A204" s="28">
        <v>0</v>
      </c>
      <c r="B204" s="29" t="s">
        <v>12624</v>
      </c>
      <c r="C204" s="30" t="s">
        <v>9557</v>
      </c>
      <c r="D204" s="30">
        <v>180230</v>
      </c>
      <c r="E204" s="30" t="s">
        <v>12625</v>
      </c>
      <c r="F204" s="30" t="s">
        <v>6820</v>
      </c>
      <c r="G204" s="30" t="s">
        <v>6829</v>
      </c>
      <c r="H204" s="30" t="s">
        <v>11293</v>
      </c>
      <c r="I204" s="30" t="s">
        <v>12626</v>
      </c>
      <c r="J204" s="30" t="s">
        <v>2858</v>
      </c>
      <c r="K204" s="31">
        <v>43451</v>
      </c>
      <c r="L204" s="30" t="s">
        <v>9350</v>
      </c>
      <c r="M204" s="31">
        <v>43451</v>
      </c>
      <c r="N204" s="31">
        <v>43451</v>
      </c>
      <c r="O204" s="32">
        <v>43453</v>
      </c>
      <c r="P204" s="33" t="s">
        <v>10852</v>
      </c>
      <c r="Q204" s="34" t="s">
        <v>10853</v>
      </c>
      <c r="R204" s="35">
        <v>43453</v>
      </c>
      <c r="S204" s="34" t="s">
        <v>2859</v>
      </c>
      <c r="T204" s="34">
        <v>4</v>
      </c>
      <c r="U204" s="34" t="s">
        <v>5683</v>
      </c>
      <c r="V204" s="34" t="s">
        <v>4999</v>
      </c>
      <c r="W204" s="36">
        <v>43454</v>
      </c>
      <c r="X204" s="44" t="s">
        <v>264</v>
      </c>
      <c r="Y204" s="38">
        <v>43454</v>
      </c>
      <c r="Z204" s="39">
        <v>43454</v>
      </c>
      <c r="AA204" s="45" t="e">
        <v>#VALUE!</v>
      </c>
      <c r="AB204" s="46" t="e">
        <v>#VALUE!</v>
      </c>
      <c r="AC204" s="25" t="s">
        <v>10869</v>
      </c>
      <c r="AD204" s="42" t="s">
        <v>4999</v>
      </c>
      <c r="AE204" s="43"/>
      <c r="AF204" s="27"/>
    </row>
  </sheetData>
  <autoFilter ref="A5:AF204" xr:uid="{11B91C34-8DA5-42D1-8D22-78BE2150A73D}"/>
  <mergeCells count="4">
    <mergeCell ref="A4:O4"/>
    <mergeCell ref="P4:W4"/>
    <mergeCell ref="X4:AB4"/>
    <mergeCell ref="A1:AF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329EF-93A4-4384-B7C5-CB25007D13ED}">
  <sheetPr codeName="Planilha5"/>
  <dimension ref="A1:AF32"/>
  <sheetViews>
    <sheetView showGridLines="0" workbookViewId="0">
      <selection activeCell="H11" sqref="H11"/>
    </sheetView>
  </sheetViews>
  <sheetFormatPr defaultRowHeight="15" x14ac:dyDescent="0.25"/>
  <cols>
    <col min="1" max="1" width="7.5703125" bestFit="1" customWidth="1"/>
    <col min="2" max="2" width="15.5703125" bestFit="1" customWidth="1"/>
    <col min="3" max="3" width="15.42578125" bestFit="1" customWidth="1"/>
    <col min="4" max="4" width="8.5703125" bestFit="1" customWidth="1"/>
    <col min="5" max="5" width="9.5703125" bestFit="1" customWidth="1"/>
    <col min="6" max="6" width="7.5703125" bestFit="1" customWidth="1"/>
    <col min="7" max="7" width="11" bestFit="1" customWidth="1"/>
    <col min="8" max="8" width="48.42578125" bestFit="1" customWidth="1"/>
    <col min="9" max="9" width="22.5703125" bestFit="1" customWidth="1"/>
    <col min="10" max="10" width="28.42578125" bestFit="1" customWidth="1"/>
    <col min="11" max="11" width="12.42578125" bestFit="1" customWidth="1"/>
    <col min="12" max="12" width="19.5703125" bestFit="1" customWidth="1"/>
    <col min="13" max="13" width="18.42578125" bestFit="1" customWidth="1"/>
    <col min="14" max="17" width="12.42578125" bestFit="1" customWidth="1"/>
    <col min="18" max="18" width="16.42578125" bestFit="1" customWidth="1"/>
    <col min="19" max="19" width="19.5703125" bestFit="1" customWidth="1"/>
    <col min="20" max="22" width="12.42578125" bestFit="1" customWidth="1"/>
    <col min="23" max="23" width="15.42578125" bestFit="1" customWidth="1"/>
    <col min="24" max="25" width="12.42578125" bestFit="1" customWidth="1"/>
    <col min="26" max="26" width="12.5703125" bestFit="1" customWidth="1"/>
    <col min="27" max="28" width="9" bestFit="1" customWidth="1"/>
    <col min="29" max="29" width="11.5703125" bestFit="1" customWidth="1"/>
    <col min="30" max="30" width="4.42578125" bestFit="1" customWidth="1"/>
    <col min="32" max="32" width="96.42578125" bestFit="1" customWidth="1"/>
  </cols>
  <sheetData>
    <row r="1" spans="1:32" s="6" customFormat="1" ht="15" customHeight="1" x14ac:dyDescent="0.2">
      <c r="A1" s="482" t="s">
        <v>9340</v>
      </c>
      <c r="B1" s="455"/>
      <c r="C1" s="455"/>
      <c r="D1" s="455"/>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row>
    <row r="2" spans="1:32" s="6" customFormat="1" ht="15" customHeight="1" x14ac:dyDescent="0.2">
      <c r="A2" s="482"/>
      <c r="B2" s="455"/>
      <c r="C2" s="455"/>
      <c r="D2" s="455"/>
      <c r="E2" s="455"/>
      <c r="F2" s="455"/>
      <c r="G2" s="455"/>
      <c r="H2" s="455"/>
      <c r="I2" s="455"/>
      <c r="J2" s="455"/>
      <c r="K2" s="455"/>
      <c r="L2" s="455"/>
      <c r="M2" s="455"/>
      <c r="N2" s="455"/>
      <c r="O2" s="455"/>
      <c r="P2" s="455"/>
      <c r="Q2" s="455"/>
      <c r="R2" s="455"/>
      <c r="S2" s="455"/>
      <c r="T2" s="455"/>
      <c r="U2" s="455"/>
      <c r="V2" s="455"/>
      <c r="W2" s="455"/>
      <c r="X2" s="455"/>
      <c r="Y2" s="455"/>
      <c r="Z2" s="455"/>
      <c r="AA2" s="455"/>
      <c r="AB2" s="455"/>
      <c r="AC2" s="455"/>
      <c r="AD2" s="455"/>
      <c r="AE2" s="455"/>
    </row>
    <row r="3" spans="1:32" s="6" customFormat="1" ht="15" customHeight="1" thickBot="1" x14ac:dyDescent="0.25">
      <c r="A3" s="482"/>
      <c r="B3" s="455"/>
      <c r="C3" s="455"/>
      <c r="D3" s="455"/>
      <c r="E3" s="455"/>
      <c r="F3" s="455"/>
      <c r="G3" s="455"/>
      <c r="H3" s="455"/>
      <c r="I3" s="455"/>
      <c r="J3" s="455"/>
      <c r="K3" s="455"/>
      <c r="L3" s="455"/>
      <c r="M3" s="455"/>
      <c r="N3" s="455"/>
      <c r="O3" s="455"/>
      <c r="P3" s="455"/>
      <c r="Q3" s="455"/>
      <c r="R3" s="455"/>
      <c r="S3" s="455"/>
      <c r="T3" s="455"/>
      <c r="U3" s="455"/>
      <c r="V3" s="455"/>
      <c r="W3" s="455"/>
      <c r="X3" s="455"/>
      <c r="Y3" s="455"/>
      <c r="Z3" s="455"/>
      <c r="AA3" s="455"/>
      <c r="AB3" s="455"/>
      <c r="AC3" s="455"/>
      <c r="AD3" s="455"/>
      <c r="AE3" s="455"/>
    </row>
    <row r="4" spans="1:32" s="6" customFormat="1" ht="14.25" thickTop="1" thickBot="1" x14ac:dyDescent="0.25">
      <c r="A4" s="483" t="s">
        <v>0</v>
      </c>
      <c r="B4" s="483"/>
      <c r="C4" s="483"/>
      <c r="D4" s="483"/>
      <c r="E4" s="483"/>
      <c r="F4" s="483"/>
      <c r="G4" s="483"/>
      <c r="H4" s="483"/>
      <c r="I4" s="484"/>
      <c r="J4" s="484"/>
      <c r="K4" s="485"/>
      <c r="L4" s="485"/>
      <c r="M4" s="485"/>
      <c r="N4" s="485"/>
      <c r="O4" s="485"/>
      <c r="P4" s="486" t="s">
        <v>1</v>
      </c>
      <c r="Q4" s="486"/>
      <c r="R4" s="486"/>
      <c r="S4" s="486"/>
      <c r="T4" s="486"/>
      <c r="U4" s="486"/>
      <c r="V4" s="486"/>
      <c r="W4" s="487"/>
      <c r="X4" s="488" t="s">
        <v>2</v>
      </c>
      <c r="Y4" s="488"/>
      <c r="Z4" s="488"/>
      <c r="AA4" s="488"/>
      <c r="AB4" s="488"/>
      <c r="AE4" s="7"/>
    </row>
    <row r="5" spans="1:32" s="6" customFormat="1" ht="37.15" customHeight="1" thickTop="1" x14ac:dyDescent="0.2">
      <c r="A5" s="10" t="s">
        <v>6810</v>
      </c>
      <c r="B5" s="11" t="s">
        <v>4</v>
      </c>
      <c r="C5" s="12" t="s">
        <v>5</v>
      </c>
      <c r="D5" s="12" t="s">
        <v>7</v>
      </c>
      <c r="E5" s="12" t="s">
        <v>8</v>
      </c>
      <c r="F5" s="12" t="s">
        <v>6811</v>
      </c>
      <c r="G5" s="12" t="s">
        <v>4992</v>
      </c>
      <c r="H5" s="13" t="s">
        <v>9</v>
      </c>
      <c r="I5" s="12" t="s">
        <v>4993</v>
      </c>
      <c r="J5" s="12" t="s">
        <v>11</v>
      </c>
      <c r="K5" s="14" t="s">
        <v>12</v>
      </c>
      <c r="L5" s="14" t="s">
        <v>6812</v>
      </c>
      <c r="M5" s="14" t="s">
        <v>6813</v>
      </c>
      <c r="N5" s="14" t="s">
        <v>6814</v>
      </c>
      <c r="O5" s="15" t="s">
        <v>13</v>
      </c>
      <c r="P5" s="16" t="s">
        <v>14</v>
      </c>
      <c r="Q5" s="17" t="s">
        <v>8237</v>
      </c>
      <c r="R5" s="18" t="s">
        <v>8238</v>
      </c>
      <c r="S5" s="17" t="s">
        <v>6815</v>
      </c>
      <c r="T5" s="17" t="s">
        <v>8239</v>
      </c>
      <c r="U5" s="19" t="s">
        <v>8240</v>
      </c>
      <c r="V5" s="17" t="s">
        <v>6816</v>
      </c>
      <c r="W5" s="20" t="s">
        <v>17</v>
      </c>
      <c r="X5" s="21" t="s">
        <v>18</v>
      </c>
      <c r="Y5" s="22" t="s">
        <v>19</v>
      </c>
      <c r="Z5" s="22" t="s">
        <v>20</v>
      </c>
      <c r="AA5" s="23" t="s">
        <v>8241</v>
      </c>
      <c r="AB5" s="24" t="s">
        <v>8242</v>
      </c>
      <c r="AC5" s="120" t="s">
        <v>8243</v>
      </c>
      <c r="AD5" s="120" t="s">
        <v>21</v>
      </c>
      <c r="AE5" s="7"/>
    </row>
    <row r="6" spans="1:32" s="6" customFormat="1" ht="15" customHeight="1" x14ac:dyDescent="0.2">
      <c r="A6" s="50">
        <v>0</v>
      </c>
      <c r="B6" s="29" t="s">
        <v>7575</v>
      </c>
      <c r="C6" s="30" t="s">
        <v>3483</v>
      </c>
      <c r="D6" s="30">
        <v>180664</v>
      </c>
      <c r="E6" s="30" t="s">
        <v>12627</v>
      </c>
      <c r="F6" s="30" t="s">
        <v>6820</v>
      </c>
      <c r="G6" s="30" t="s">
        <v>6829</v>
      </c>
      <c r="H6" s="30" t="s">
        <v>12628</v>
      </c>
      <c r="I6" s="30" t="s">
        <v>12629</v>
      </c>
      <c r="J6" s="30" t="s">
        <v>12459</v>
      </c>
      <c r="K6" s="31" t="s">
        <v>8143</v>
      </c>
      <c r="L6" s="30" t="s">
        <v>8143</v>
      </c>
      <c r="M6" s="31" t="s">
        <v>8143</v>
      </c>
      <c r="N6" s="31" t="s">
        <v>8143</v>
      </c>
      <c r="O6" s="31" t="s">
        <v>8143</v>
      </c>
      <c r="P6" s="34" t="s">
        <v>8143</v>
      </c>
      <c r="Q6" s="34" t="s">
        <v>8143</v>
      </c>
      <c r="R6" s="35" t="s">
        <v>8143</v>
      </c>
      <c r="S6" s="34" t="s">
        <v>8143</v>
      </c>
      <c r="T6" s="34" t="s">
        <v>8143</v>
      </c>
      <c r="U6" s="34" t="s">
        <v>8143</v>
      </c>
      <c r="V6" s="34" t="s">
        <v>8143</v>
      </c>
      <c r="W6" s="35" t="s">
        <v>8143</v>
      </c>
      <c r="X6" s="70" t="s">
        <v>8143</v>
      </c>
      <c r="Y6" s="38" t="s">
        <v>8143</v>
      </c>
      <c r="Z6" s="38" t="s">
        <v>8143</v>
      </c>
      <c r="AA6" s="70"/>
      <c r="AB6" s="70"/>
      <c r="AC6" s="137"/>
      <c r="AD6" s="137"/>
      <c r="AE6" s="138"/>
      <c r="AF6" s="27"/>
    </row>
    <row r="7" spans="1:32" s="2" customFormat="1" ht="12.75" x14ac:dyDescent="0.2">
      <c r="A7" s="121">
        <v>0</v>
      </c>
      <c r="B7" s="122" t="s">
        <v>12630</v>
      </c>
      <c r="C7" s="123" t="s">
        <v>12093</v>
      </c>
      <c r="D7" s="123">
        <v>170001</v>
      </c>
      <c r="E7" s="123">
        <v>170001</v>
      </c>
      <c r="F7" s="123" t="s">
        <v>6820</v>
      </c>
      <c r="G7" s="123" t="s">
        <v>6829</v>
      </c>
      <c r="H7" s="123" t="s">
        <v>2840</v>
      </c>
      <c r="I7" s="123" t="s">
        <v>12631</v>
      </c>
      <c r="J7" s="123" t="s">
        <v>12632</v>
      </c>
      <c r="K7" s="124">
        <v>42899</v>
      </c>
      <c r="L7" s="123" t="s">
        <v>264</v>
      </c>
      <c r="M7" s="124">
        <v>42906</v>
      </c>
      <c r="N7" s="124">
        <v>42906</v>
      </c>
      <c r="O7" s="125">
        <v>42906</v>
      </c>
      <c r="P7" s="126" t="s">
        <v>12633</v>
      </c>
      <c r="Q7" s="127" t="s">
        <v>12634</v>
      </c>
      <c r="R7" s="128">
        <v>42914</v>
      </c>
      <c r="S7" s="127" t="s">
        <v>12099</v>
      </c>
      <c r="T7" s="127">
        <v>16</v>
      </c>
      <c r="U7" s="127" t="s">
        <v>5683</v>
      </c>
      <c r="V7" s="127" t="s">
        <v>4999</v>
      </c>
      <c r="W7" s="129">
        <v>42921</v>
      </c>
      <c r="X7" s="130" t="s">
        <v>6850</v>
      </c>
      <c r="Y7" s="131">
        <v>42921</v>
      </c>
      <c r="Z7" s="132">
        <v>42921</v>
      </c>
      <c r="AA7" s="133" t="e">
        <v>#VALUE!</v>
      </c>
      <c r="AB7" s="134" t="e">
        <v>#VALUE!</v>
      </c>
      <c r="AC7" s="135" t="s">
        <v>12635</v>
      </c>
      <c r="AD7" s="136" t="s">
        <v>4999</v>
      </c>
      <c r="AE7" s="43"/>
      <c r="AF7" s="27" t="s">
        <v>4999</v>
      </c>
    </row>
    <row r="8" spans="1:32" s="2" customFormat="1" ht="12.75" x14ac:dyDescent="0.2">
      <c r="A8" s="28">
        <v>0</v>
      </c>
      <c r="B8" s="29" t="s">
        <v>12636</v>
      </c>
      <c r="C8" s="30" t="s">
        <v>6169</v>
      </c>
      <c r="D8" s="30">
        <v>170002</v>
      </c>
      <c r="E8" s="30">
        <v>170002</v>
      </c>
      <c r="F8" s="30" t="s">
        <v>6820</v>
      </c>
      <c r="G8" s="30" t="s">
        <v>6829</v>
      </c>
      <c r="H8" s="30" t="s">
        <v>9573</v>
      </c>
      <c r="I8" s="30" t="s">
        <v>12637</v>
      </c>
      <c r="J8" s="30" t="s">
        <v>127</v>
      </c>
      <c r="K8" s="31">
        <v>42941</v>
      </c>
      <c r="L8" s="31" t="s">
        <v>264</v>
      </c>
      <c r="M8" s="31">
        <v>42941</v>
      </c>
      <c r="N8" s="31">
        <v>42941</v>
      </c>
      <c r="O8" s="32">
        <v>42942</v>
      </c>
      <c r="P8" s="33" t="s">
        <v>12633</v>
      </c>
      <c r="Q8" s="34" t="s">
        <v>10154</v>
      </c>
      <c r="R8" s="35">
        <v>42947</v>
      </c>
      <c r="S8" s="34" t="s">
        <v>9575</v>
      </c>
      <c r="T8" s="34">
        <v>1</v>
      </c>
      <c r="U8" s="34" t="s">
        <v>5683</v>
      </c>
      <c r="V8" s="34" t="s">
        <v>4999</v>
      </c>
      <c r="W8" s="36">
        <v>42947</v>
      </c>
      <c r="X8" s="37" t="s">
        <v>6850</v>
      </c>
      <c r="Y8" s="38">
        <v>42947</v>
      </c>
      <c r="Z8" s="39">
        <v>42947</v>
      </c>
      <c r="AA8" s="40" t="e">
        <v>#VALUE!</v>
      </c>
      <c r="AB8" s="41" t="e">
        <v>#VALUE!</v>
      </c>
      <c r="AC8" s="25" t="s">
        <v>12635</v>
      </c>
      <c r="AD8" s="42" t="s">
        <v>4999</v>
      </c>
      <c r="AE8" s="43"/>
      <c r="AF8" s="27"/>
    </row>
    <row r="9" spans="1:32" s="2" customFormat="1" ht="12.75" x14ac:dyDescent="0.2">
      <c r="A9" s="28">
        <v>1</v>
      </c>
      <c r="B9" s="29" t="s">
        <v>12638</v>
      </c>
      <c r="C9" s="30" t="s">
        <v>9478</v>
      </c>
      <c r="D9" s="30" t="s">
        <v>5683</v>
      </c>
      <c r="E9" s="30" t="s">
        <v>12639</v>
      </c>
      <c r="F9" s="30" t="s">
        <v>6820</v>
      </c>
      <c r="G9" s="30" t="s">
        <v>6829</v>
      </c>
      <c r="H9" s="30" t="s">
        <v>519</v>
      </c>
      <c r="I9" s="30" t="s">
        <v>7086</v>
      </c>
      <c r="J9" s="30" t="s">
        <v>12640</v>
      </c>
      <c r="K9" s="31" t="s">
        <v>5683</v>
      </c>
      <c r="L9" s="30" t="s">
        <v>5683</v>
      </c>
      <c r="M9" s="31" t="s">
        <v>5683</v>
      </c>
      <c r="N9" s="31" t="s">
        <v>5683</v>
      </c>
      <c r="O9" s="32" t="s">
        <v>5683</v>
      </c>
      <c r="P9" s="33" t="s">
        <v>10852</v>
      </c>
      <c r="Q9" s="34" t="s">
        <v>5683</v>
      </c>
      <c r="R9" s="35" t="s">
        <v>5683</v>
      </c>
      <c r="S9" s="34" t="s">
        <v>12641</v>
      </c>
      <c r="T9" s="34" t="s">
        <v>5683</v>
      </c>
      <c r="U9" s="34" t="s">
        <v>5683</v>
      </c>
      <c r="V9" s="34" t="s">
        <v>4999</v>
      </c>
      <c r="W9" s="36">
        <v>43174</v>
      </c>
      <c r="X9" s="44" t="s">
        <v>6850</v>
      </c>
      <c r="Y9" s="38">
        <v>43178</v>
      </c>
      <c r="Z9" s="39">
        <v>43178</v>
      </c>
      <c r="AA9" s="45" t="e">
        <v>#VALUE!</v>
      </c>
      <c r="AB9" s="46" t="e">
        <v>#VALUE!</v>
      </c>
      <c r="AC9" s="25" t="s">
        <v>5683</v>
      </c>
      <c r="AD9" s="42" t="s">
        <v>5683</v>
      </c>
      <c r="AE9" s="43"/>
      <c r="AF9" s="27" t="s">
        <v>4999</v>
      </c>
    </row>
    <row r="10" spans="1:32" s="2" customFormat="1" ht="12.75" x14ac:dyDescent="0.2">
      <c r="A10" s="28">
        <v>0</v>
      </c>
      <c r="B10" s="47" t="s">
        <v>12638</v>
      </c>
      <c r="C10" s="48" t="s">
        <v>9478</v>
      </c>
      <c r="D10" s="48">
        <v>170008</v>
      </c>
      <c r="E10" s="48">
        <v>170008</v>
      </c>
      <c r="F10" s="48" t="s">
        <v>6820</v>
      </c>
      <c r="G10" s="48" t="s">
        <v>6829</v>
      </c>
      <c r="H10" s="48" t="s">
        <v>519</v>
      </c>
      <c r="I10" s="48" t="s">
        <v>7086</v>
      </c>
      <c r="J10" s="30" t="s">
        <v>12640</v>
      </c>
      <c r="K10" s="31">
        <v>42949</v>
      </c>
      <c r="L10" s="30" t="s">
        <v>264</v>
      </c>
      <c r="M10" s="31">
        <v>42949</v>
      </c>
      <c r="N10" s="31">
        <v>42955</v>
      </c>
      <c r="O10" s="32">
        <v>42955</v>
      </c>
      <c r="P10" s="33" t="s">
        <v>12633</v>
      </c>
      <c r="Q10" s="34" t="s">
        <v>10154</v>
      </c>
      <c r="R10" s="35">
        <v>42964</v>
      </c>
      <c r="S10" s="34" t="s">
        <v>12641</v>
      </c>
      <c r="T10" s="34">
        <v>1</v>
      </c>
      <c r="U10" s="34" t="s">
        <v>5683</v>
      </c>
      <c r="V10" s="34" t="s">
        <v>4999</v>
      </c>
      <c r="W10" s="36">
        <v>42984</v>
      </c>
      <c r="X10" s="44" t="s">
        <v>6850</v>
      </c>
      <c r="Y10" s="38">
        <v>42984</v>
      </c>
      <c r="Z10" s="39">
        <v>43005</v>
      </c>
      <c r="AA10" s="45" t="e">
        <v>#VALUE!</v>
      </c>
      <c r="AB10" s="46" t="e">
        <v>#VALUE!</v>
      </c>
      <c r="AC10" s="25" t="s">
        <v>12041</v>
      </c>
      <c r="AD10" s="42" t="s">
        <v>4999</v>
      </c>
      <c r="AE10" s="43"/>
      <c r="AF10" s="27" t="s">
        <v>4999</v>
      </c>
    </row>
    <row r="11" spans="1:32" s="2" customFormat="1" ht="12.75" x14ac:dyDescent="0.2">
      <c r="A11" s="28">
        <v>0</v>
      </c>
      <c r="B11" s="49" t="s">
        <v>12642</v>
      </c>
      <c r="C11" s="50" t="s">
        <v>8729</v>
      </c>
      <c r="D11" s="50">
        <v>170014</v>
      </c>
      <c r="E11" s="50">
        <v>170014</v>
      </c>
      <c r="F11" s="50" t="s">
        <v>6820</v>
      </c>
      <c r="G11" s="50" t="s">
        <v>6829</v>
      </c>
      <c r="H11" s="50" t="s">
        <v>12643</v>
      </c>
      <c r="I11" s="50" t="s">
        <v>12644</v>
      </c>
      <c r="J11" s="50" t="s">
        <v>12645</v>
      </c>
      <c r="K11" s="51">
        <v>42977</v>
      </c>
      <c r="L11" s="50" t="s">
        <v>264</v>
      </c>
      <c r="M11" s="51">
        <v>42977</v>
      </c>
      <c r="N11" s="51">
        <v>42977</v>
      </c>
      <c r="O11" s="52">
        <v>43011</v>
      </c>
      <c r="P11" s="33" t="s">
        <v>12633</v>
      </c>
      <c r="Q11" s="34" t="s">
        <v>10154</v>
      </c>
      <c r="R11" s="35">
        <v>43003</v>
      </c>
      <c r="S11" s="34" t="s">
        <v>12646</v>
      </c>
      <c r="T11" s="34">
        <v>1</v>
      </c>
      <c r="U11" s="34" t="s">
        <v>5683</v>
      </c>
      <c r="V11" s="34" t="s">
        <v>4999</v>
      </c>
      <c r="W11" s="36">
        <v>43013</v>
      </c>
      <c r="X11" s="44" t="s">
        <v>6850</v>
      </c>
      <c r="Y11" s="38">
        <v>43013</v>
      </c>
      <c r="Z11" s="39">
        <v>43013</v>
      </c>
      <c r="AA11" s="45" t="e">
        <v>#VALUE!</v>
      </c>
      <c r="AB11" s="46" t="e">
        <v>#VALUE!</v>
      </c>
      <c r="AC11" s="53" t="s">
        <v>12635</v>
      </c>
      <c r="AD11" s="54" t="s">
        <v>4999</v>
      </c>
      <c r="AE11" s="55"/>
    </row>
    <row r="12" spans="1:32" s="2" customFormat="1" ht="12.75" x14ac:dyDescent="0.2">
      <c r="A12" s="28">
        <v>0</v>
      </c>
      <c r="B12" s="29" t="s">
        <v>12647</v>
      </c>
      <c r="C12" s="30" t="s">
        <v>6169</v>
      </c>
      <c r="D12" s="30">
        <v>170013</v>
      </c>
      <c r="E12" s="30">
        <v>170015</v>
      </c>
      <c r="F12" s="30" t="s">
        <v>6820</v>
      </c>
      <c r="G12" s="30" t="s">
        <v>6829</v>
      </c>
      <c r="H12" s="30" t="s">
        <v>12648</v>
      </c>
      <c r="I12" s="30" t="s">
        <v>12649</v>
      </c>
      <c r="J12" s="30" t="s">
        <v>8789</v>
      </c>
      <c r="K12" s="31">
        <v>42976</v>
      </c>
      <c r="L12" s="31" t="s">
        <v>264</v>
      </c>
      <c r="M12" s="31">
        <v>42977</v>
      </c>
      <c r="N12" s="31">
        <v>42977</v>
      </c>
      <c r="O12" s="32">
        <v>42977</v>
      </c>
      <c r="P12" s="33" t="s">
        <v>12633</v>
      </c>
      <c r="Q12" s="34" t="s">
        <v>10154</v>
      </c>
      <c r="R12" s="35">
        <v>43024</v>
      </c>
      <c r="S12" s="34" t="s">
        <v>3416</v>
      </c>
      <c r="T12" s="34">
        <v>1</v>
      </c>
      <c r="U12" s="34" t="s">
        <v>5683</v>
      </c>
      <c r="V12" s="34" t="s">
        <v>4999</v>
      </c>
      <c r="W12" s="36">
        <v>43024</v>
      </c>
      <c r="X12" s="44" t="s">
        <v>6850</v>
      </c>
      <c r="Y12" s="38">
        <v>43025</v>
      </c>
      <c r="Z12" s="39">
        <v>43025</v>
      </c>
      <c r="AA12" s="45" t="e">
        <v>#VALUE!</v>
      </c>
      <c r="AB12" s="46" t="e">
        <v>#VALUE!</v>
      </c>
      <c r="AC12" s="25" t="s">
        <v>12635</v>
      </c>
      <c r="AD12" s="42" t="s">
        <v>4999</v>
      </c>
      <c r="AE12" s="43"/>
      <c r="AF12" s="27"/>
    </row>
    <row r="13" spans="1:32" s="2" customFormat="1" ht="12.75" x14ac:dyDescent="0.2">
      <c r="A13" s="28">
        <v>0</v>
      </c>
      <c r="B13" s="29" t="s">
        <v>12650</v>
      </c>
      <c r="C13" s="30" t="s">
        <v>6169</v>
      </c>
      <c r="D13" s="30">
        <v>170013</v>
      </c>
      <c r="E13" s="30">
        <v>170016</v>
      </c>
      <c r="F13" s="30" t="s">
        <v>6820</v>
      </c>
      <c r="G13" s="30" t="s">
        <v>6829</v>
      </c>
      <c r="H13" s="30" t="s">
        <v>141</v>
      </c>
      <c r="I13" s="30" t="s">
        <v>12651</v>
      </c>
      <c r="J13" s="30" t="s">
        <v>6579</v>
      </c>
      <c r="K13" s="31">
        <v>42976</v>
      </c>
      <c r="L13" s="31" t="s">
        <v>264</v>
      </c>
      <c r="M13" s="31">
        <v>42977</v>
      </c>
      <c r="N13" s="31">
        <v>42977</v>
      </c>
      <c r="O13" s="32">
        <v>42977</v>
      </c>
      <c r="P13" s="33" t="s">
        <v>12633</v>
      </c>
      <c r="Q13" s="34" t="s">
        <v>10154</v>
      </c>
      <c r="R13" s="35">
        <v>43025</v>
      </c>
      <c r="S13" s="34" t="s">
        <v>7129</v>
      </c>
      <c r="T13" s="34">
        <v>1</v>
      </c>
      <c r="U13" s="34" t="s">
        <v>5683</v>
      </c>
      <c r="V13" s="34" t="s">
        <v>4999</v>
      </c>
      <c r="W13" s="36">
        <v>43025</v>
      </c>
      <c r="X13" s="44" t="s">
        <v>6850</v>
      </c>
      <c r="Y13" s="38">
        <v>43025</v>
      </c>
      <c r="Z13" s="39">
        <v>43025</v>
      </c>
      <c r="AA13" s="45" t="e">
        <v>#VALUE!</v>
      </c>
      <c r="AB13" s="46" t="e">
        <v>#VALUE!</v>
      </c>
      <c r="AC13" s="25" t="s">
        <v>12635</v>
      </c>
      <c r="AD13" s="42" t="s">
        <v>4999</v>
      </c>
      <c r="AE13" s="43"/>
      <c r="AF13" s="27"/>
    </row>
    <row r="14" spans="1:32" s="2" customFormat="1" ht="12.75" x14ac:dyDescent="0.2">
      <c r="A14" s="28">
        <v>0</v>
      </c>
      <c r="B14" s="29" t="s">
        <v>12652</v>
      </c>
      <c r="C14" s="30" t="s">
        <v>12653</v>
      </c>
      <c r="D14" s="30">
        <v>170017</v>
      </c>
      <c r="E14" s="30">
        <v>170017</v>
      </c>
      <c r="F14" s="30" t="s">
        <v>6820</v>
      </c>
      <c r="G14" s="30" t="s">
        <v>6829</v>
      </c>
      <c r="H14" s="30" t="s">
        <v>12654</v>
      </c>
      <c r="I14" s="30" t="s">
        <v>12655</v>
      </c>
      <c r="J14" s="30" t="s">
        <v>12656</v>
      </c>
      <c r="K14" s="31">
        <v>42978</v>
      </c>
      <c r="L14" s="30" t="s">
        <v>264</v>
      </c>
      <c r="M14" s="31">
        <v>42978</v>
      </c>
      <c r="N14" s="31">
        <v>42979</v>
      </c>
      <c r="O14" s="32">
        <v>42982</v>
      </c>
      <c r="P14" s="33" t="s">
        <v>12633</v>
      </c>
      <c r="Q14" s="34" t="s">
        <v>10154</v>
      </c>
      <c r="R14" s="35">
        <v>42990</v>
      </c>
      <c r="S14" s="34" t="s">
        <v>12657</v>
      </c>
      <c r="T14" s="34">
        <v>1</v>
      </c>
      <c r="U14" s="34" t="s">
        <v>5683</v>
      </c>
      <c r="V14" s="34" t="s">
        <v>4999</v>
      </c>
      <c r="W14" s="36">
        <v>43012</v>
      </c>
      <c r="X14" s="44" t="s">
        <v>6850</v>
      </c>
      <c r="Y14" s="38">
        <v>43013</v>
      </c>
      <c r="Z14" s="39">
        <v>43013</v>
      </c>
      <c r="AA14" s="45" t="e">
        <v>#VALUE!</v>
      </c>
      <c r="AB14" s="46" t="e">
        <v>#VALUE!</v>
      </c>
      <c r="AC14" s="25" t="s">
        <v>12635</v>
      </c>
      <c r="AD14" s="42" t="s">
        <v>4999</v>
      </c>
      <c r="AE14" s="56"/>
      <c r="AF14" s="27"/>
    </row>
    <row r="15" spans="1:32" s="2" customFormat="1" ht="12.75" x14ac:dyDescent="0.2">
      <c r="A15" s="28">
        <v>0</v>
      </c>
      <c r="B15" s="29" t="s">
        <v>12658</v>
      </c>
      <c r="C15" s="30" t="s">
        <v>12093</v>
      </c>
      <c r="D15" s="30">
        <v>170018</v>
      </c>
      <c r="E15" s="30">
        <v>170018</v>
      </c>
      <c r="F15" s="30" t="s">
        <v>6820</v>
      </c>
      <c r="G15" s="30" t="s">
        <v>6829</v>
      </c>
      <c r="H15" s="30" t="s">
        <v>11305</v>
      </c>
      <c r="I15" s="30" t="s">
        <v>11461</v>
      </c>
      <c r="J15" s="30" t="s">
        <v>12632</v>
      </c>
      <c r="K15" s="31">
        <v>42978</v>
      </c>
      <c r="L15" s="30" t="s">
        <v>264</v>
      </c>
      <c r="M15" s="31">
        <v>42978</v>
      </c>
      <c r="N15" s="31">
        <v>42979</v>
      </c>
      <c r="O15" s="32">
        <v>42979</v>
      </c>
      <c r="P15" s="33" t="s">
        <v>12633</v>
      </c>
      <c r="Q15" s="34" t="s">
        <v>264</v>
      </c>
      <c r="R15" s="35">
        <v>42982</v>
      </c>
      <c r="S15" s="34" t="s">
        <v>12209</v>
      </c>
      <c r="T15" s="34">
        <v>2</v>
      </c>
      <c r="U15" s="34" t="s">
        <v>5683</v>
      </c>
      <c r="V15" s="34" t="s">
        <v>4999</v>
      </c>
      <c r="W15" s="36">
        <v>42983</v>
      </c>
      <c r="X15" s="44" t="s">
        <v>6850</v>
      </c>
      <c r="Y15" s="38">
        <v>42998</v>
      </c>
      <c r="Z15" s="39">
        <v>42998</v>
      </c>
      <c r="AA15" s="45" t="e">
        <v>#VALUE!</v>
      </c>
      <c r="AB15" s="46" t="e">
        <v>#VALUE!</v>
      </c>
      <c r="AC15" s="25" t="s">
        <v>12635</v>
      </c>
      <c r="AD15" s="42" t="s">
        <v>4999</v>
      </c>
      <c r="AE15" s="43"/>
      <c r="AF15" s="27" t="s">
        <v>12659</v>
      </c>
    </row>
    <row r="16" spans="1:32" s="2" customFormat="1" ht="12.75" x14ac:dyDescent="0.2">
      <c r="A16" s="28">
        <v>0</v>
      </c>
      <c r="B16" s="29" t="s">
        <v>12660</v>
      </c>
      <c r="C16" s="30" t="s">
        <v>12093</v>
      </c>
      <c r="D16" s="30">
        <v>170047</v>
      </c>
      <c r="E16" s="30" t="s">
        <v>12661</v>
      </c>
      <c r="F16" s="30" t="s">
        <v>6820</v>
      </c>
      <c r="G16" s="30" t="s">
        <v>6829</v>
      </c>
      <c r="H16" s="30" t="s">
        <v>2840</v>
      </c>
      <c r="I16" s="30" t="s">
        <v>12662</v>
      </c>
      <c r="J16" s="30" t="s">
        <v>12663</v>
      </c>
      <c r="K16" s="31">
        <v>43070</v>
      </c>
      <c r="L16" s="30" t="s">
        <v>264</v>
      </c>
      <c r="M16" s="31">
        <v>43070</v>
      </c>
      <c r="N16" s="31">
        <v>43070</v>
      </c>
      <c r="O16" s="32">
        <v>43074</v>
      </c>
      <c r="P16" s="33" t="s">
        <v>10852</v>
      </c>
      <c r="Q16" s="34" t="s">
        <v>10852</v>
      </c>
      <c r="R16" s="35">
        <v>43073</v>
      </c>
      <c r="S16" s="34" t="s">
        <v>12664</v>
      </c>
      <c r="T16" s="34">
        <v>4</v>
      </c>
      <c r="U16" s="34" t="s">
        <v>5683</v>
      </c>
      <c r="V16" s="34" t="s">
        <v>4999</v>
      </c>
      <c r="W16" s="36">
        <v>43084</v>
      </c>
      <c r="X16" s="44" t="s">
        <v>6850</v>
      </c>
      <c r="Y16" s="38">
        <v>43074</v>
      </c>
      <c r="Z16" s="39">
        <v>43089</v>
      </c>
      <c r="AA16" s="45" t="e">
        <v>#VALUE!</v>
      </c>
      <c r="AB16" s="46" t="e">
        <v>#VALUE!</v>
      </c>
      <c r="AC16" s="25" t="s">
        <v>12041</v>
      </c>
      <c r="AD16" s="42" t="s">
        <v>4999</v>
      </c>
      <c r="AE16" s="43"/>
      <c r="AF16" s="27" t="s">
        <v>12100</v>
      </c>
    </row>
    <row r="17" spans="1:32" s="2" customFormat="1" ht="12.75" x14ac:dyDescent="0.2">
      <c r="A17" s="28">
        <v>0</v>
      </c>
      <c r="B17" s="29" t="s">
        <v>12665</v>
      </c>
      <c r="C17" s="30" t="s">
        <v>12093</v>
      </c>
      <c r="D17" s="30">
        <v>170047</v>
      </c>
      <c r="E17" s="30" t="s">
        <v>12666</v>
      </c>
      <c r="F17" s="30" t="s">
        <v>6820</v>
      </c>
      <c r="G17" s="30" t="s">
        <v>6829</v>
      </c>
      <c r="H17" s="30" t="s">
        <v>135</v>
      </c>
      <c r="I17" s="30" t="s">
        <v>12667</v>
      </c>
      <c r="J17" s="30" t="s">
        <v>12668</v>
      </c>
      <c r="K17" s="31">
        <v>43070</v>
      </c>
      <c r="L17" s="30" t="s">
        <v>264</v>
      </c>
      <c r="M17" s="31">
        <v>43070</v>
      </c>
      <c r="N17" s="31">
        <v>43070</v>
      </c>
      <c r="O17" s="32">
        <v>43074</v>
      </c>
      <c r="P17" s="33" t="s">
        <v>10852</v>
      </c>
      <c r="Q17" s="34" t="s">
        <v>10852</v>
      </c>
      <c r="R17" s="35">
        <v>43073</v>
      </c>
      <c r="S17" s="34" t="s">
        <v>12669</v>
      </c>
      <c r="T17" s="34">
        <v>1</v>
      </c>
      <c r="U17" s="34" t="s">
        <v>5683</v>
      </c>
      <c r="V17" s="34" t="s">
        <v>4999</v>
      </c>
      <c r="W17" s="36">
        <v>43098</v>
      </c>
      <c r="X17" s="44" t="s">
        <v>6850</v>
      </c>
      <c r="Y17" s="38">
        <v>43098</v>
      </c>
      <c r="Z17" s="39">
        <v>43098</v>
      </c>
      <c r="AA17" s="45" t="e">
        <v>#VALUE!</v>
      </c>
      <c r="AB17" s="46" t="e">
        <v>#VALUE!</v>
      </c>
      <c r="AC17" s="25" t="s">
        <v>12041</v>
      </c>
      <c r="AD17" s="42" t="s">
        <v>4999</v>
      </c>
      <c r="AE17" s="43"/>
      <c r="AF17" s="27" t="s">
        <v>12100</v>
      </c>
    </row>
    <row r="18" spans="1:32" s="2" customFormat="1" ht="12.75" x14ac:dyDescent="0.2">
      <c r="A18" s="28">
        <v>0</v>
      </c>
      <c r="B18" s="29" t="s">
        <v>12670</v>
      </c>
      <c r="C18" s="30" t="s">
        <v>6169</v>
      </c>
      <c r="D18" s="30">
        <v>170026</v>
      </c>
      <c r="E18" s="30">
        <v>170026</v>
      </c>
      <c r="F18" s="30" t="s">
        <v>6820</v>
      </c>
      <c r="G18" s="30" t="s">
        <v>6829</v>
      </c>
      <c r="H18" s="30" t="s">
        <v>12144</v>
      </c>
      <c r="I18" s="30" t="s">
        <v>12671</v>
      </c>
      <c r="J18" s="30" t="s">
        <v>8789</v>
      </c>
      <c r="K18" s="31">
        <v>43007</v>
      </c>
      <c r="L18" s="31" t="s">
        <v>264</v>
      </c>
      <c r="M18" s="31">
        <v>43007</v>
      </c>
      <c r="N18" s="31">
        <v>43007</v>
      </c>
      <c r="O18" s="32">
        <v>43007</v>
      </c>
      <c r="P18" s="33" t="s">
        <v>10852</v>
      </c>
      <c r="Q18" s="34" t="s">
        <v>10852</v>
      </c>
      <c r="R18" s="35">
        <v>43084</v>
      </c>
      <c r="S18" s="34" t="s">
        <v>3416</v>
      </c>
      <c r="T18" s="34">
        <v>1</v>
      </c>
      <c r="U18" s="34" t="s">
        <v>5683</v>
      </c>
      <c r="V18" s="34" t="s">
        <v>4999</v>
      </c>
      <c r="W18" s="36">
        <v>43084</v>
      </c>
      <c r="X18" s="44" t="s">
        <v>6850</v>
      </c>
      <c r="Y18" s="38">
        <v>43084</v>
      </c>
      <c r="Z18" s="39">
        <v>43084</v>
      </c>
      <c r="AA18" s="45" t="e">
        <v>#VALUE!</v>
      </c>
      <c r="AB18" s="46" t="e">
        <v>#VALUE!</v>
      </c>
      <c r="AC18" s="25" t="s">
        <v>12041</v>
      </c>
      <c r="AD18" s="42" t="s">
        <v>4999</v>
      </c>
      <c r="AE18" s="43"/>
      <c r="AF18" s="27" t="s">
        <v>4999</v>
      </c>
    </row>
    <row r="19" spans="1:32" s="2" customFormat="1" ht="12.75" x14ac:dyDescent="0.2">
      <c r="A19" s="28">
        <v>0</v>
      </c>
      <c r="B19" s="29" t="s">
        <v>12672</v>
      </c>
      <c r="C19" s="30" t="s">
        <v>6169</v>
      </c>
      <c r="D19" s="30">
        <v>170027</v>
      </c>
      <c r="E19" s="30">
        <v>170027</v>
      </c>
      <c r="F19" s="30" t="s">
        <v>6820</v>
      </c>
      <c r="G19" s="30" t="s">
        <v>6829</v>
      </c>
      <c r="H19" s="30" t="s">
        <v>12673</v>
      </c>
      <c r="I19" s="30" t="s">
        <v>12054</v>
      </c>
      <c r="J19" s="30" t="s">
        <v>3190</v>
      </c>
      <c r="K19" s="31">
        <v>43007</v>
      </c>
      <c r="L19" s="31" t="s">
        <v>264</v>
      </c>
      <c r="M19" s="31">
        <v>43007</v>
      </c>
      <c r="N19" s="31">
        <v>43007</v>
      </c>
      <c r="O19" s="32">
        <v>43007</v>
      </c>
      <c r="P19" s="33" t="s">
        <v>10154</v>
      </c>
      <c r="Q19" s="34" t="s">
        <v>10154</v>
      </c>
      <c r="R19" s="35">
        <v>43039</v>
      </c>
      <c r="S19" s="34" t="s">
        <v>12350</v>
      </c>
      <c r="T19" s="34">
        <v>1</v>
      </c>
      <c r="U19" s="34" t="s">
        <v>5683</v>
      </c>
      <c r="V19" s="34" t="s">
        <v>4999</v>
      </c>
      <c r="W19" s="36">
        <v>43040</v>
      </c>
      <c r="X19" s="44" t="s">
        <v>6850</v>
      </c>
      <c r="Y19" s="38">
        <v>43040</v>
      </c>
      <c r="Z19" s="39">
        <v>43040</v>
      </c>
      <c r="AA19" s="45" t="e">
        <v>#VALUE!</v>
      </c>
      <c r="AB19" s="46" t="e">
        <v>#VALUE!</v>
      </c>
      <c r="AC19" s="25" t="s">
        <v>12041</v>
      </c>
      <c r="AD19" s="42" t="s">
        <v>4999</v>
      </c>
      <c r="AE19" s="43"/>
      <c r="AF19" s="27" t="s">
        <v>4999</v>
      </c>
    </row>
    <row r="20" spans="1:32" s="2" customFormat="1" ht="12.75" x14ac:dyDescent="0.2">
      <c r="A20" s="28">
        <v>1</v>
      </c>
      <c r="B20" s="29" t="s">
        <v>12674</v>
      </c>
      <c r="C20" s="30" t="s">
        <v>8369</v>
      </c>
      <c r="D20" s="30" t="s">
        <v>5683</v>
      </c>
      <c r="E20" s="30" t="s">
        <v>12675</v>
      </c>
      <c r="F20" s="30" t="s">
        <v>6820</v>
      </c>
      <c r="G20" s="30" t="s">
        <v>6829</v>
      </c>
      <c r="H20" s="30" t="s">
        <v>12676</v>
      </c>
      <c r="I20" s="30" t="s">
        <v>12677</v>
      </c>
      <c r="J20" s="30" t="s">
        <v>12678</v>
      </c>
      <c r="K20" s="31" t="s">
        <v>5683</v>
      </c>
      <c r="L20" s="30" t="s">
        <v>5683</v>
      </c>
      <c r="M20" s="31" t="s">
        <v>5683</v>
      </c>
      <c r="N20" s="31" t="s">
        <v>5683</v>
      </c>
      <c r="O20" s="32" t="s">
        <v>5683</v>
      </c>
      <c r="P20" s="33" t="s">
        <v>10852</v>
      </c>
      <c r="Q20" s="34" t="s">
        <v>5683</v>
      </c>
      <c r="R20" s="35" t="s">
        <v>5683</v>
      </c>
      <c r="S20" s="34" t="s">
        <v>12679</v>
      </c>
      <c r="T20" s="34" t="s">
        <v>5683</v>
      </c>
      <c r="U20" s="34" t="s">
        <v>5683</v>
      </c>
      <c r="V20" s="34" t="s">
        <v>4999</v>
      </c>
      <c r="W20" s="36">
        <v>43174</v>
      </c>
      <c r="X20" s="44" t="s">
        <v>6850</v>
      </c>
      <c r="Y20" s="38">
        <v>43178</v>
      </c>
      <c r="Z20" s="39">
        <v>43178</v>
      </c>
      <c r="AA20" s="45" t="e">
        <v>#VALUE!</v>
      </c>
      <c r="AB20" s="46" t="e">
        <v>#VALUE!</v>
      </c>
      <c r="AC20" s="25" t="s">
        <v>5683</v>
      </c>
      <c r="AD20" s="42" t="s">
        <v>5683</v>
      </c>
      <c r="AE20" s="43"/>
      <c r="AF20" s="27" t="s">
        <v>4999</v>
      </c>
    </row>
    <row r="21" spans="1:32" s="2" customFormat="1" ht="12.75" x14ac:dyDescent="0.2">
      <c r="A21" s="28">
        <v>0</v>
      </c>
      <c r="B21" s="29" t="s">
        <v>12674</v>
      </c>
      <c r="C21" s="30" t="s">
        <v>8369</v>
      </c>
      <c r="D21" s="30">
        <v>170033</v>
      </c>
      <c r="E21" s="30">
        <v>170033</v>
      </c>
      <c r="F21" s="30" t="s">
        <v>6820</v>
      </c>
      <c r="G21" s="30" t="s">
        <v>6829</v>
      </c>
      <c r="H21" s="30" t="s">
        <v>12676</v>
      </c>
      <c r="I21" s="30" t="s">
        <v>12677</v>
      </c>
      <c r="J21" s="30" t="s">
        <v>12678</v>
      </c>
      <c r="K21" s="31">
        <v>43033</v>
      </c>
      <c r="L21" s="30" t="s">
        <v>264</v>
      </c>
      <c r="M21" s="31">
        <v>43033</v>
      </c>
      <c r="N21" s="31">
        <v>43033</v>
      </c>
      <c r="O21" s="32">
        <v>43033</v>
      </c>
      <c r="P21" s="33" t="s">
        <v>10852</v>
      </c>
      <c r="Q21" s="34" t="s">
        <v>10852</v>
      </c>
      <c r="R21" s="35">
        <v>43040</v>
      </c>
      <c r="S21" s="34" t="s">
        <v>12679</v>
      </c>
      <c r="T21" s="34">
        <v>3</v>
      </c>
      <c r="U21" s="34" t="s">
        <v>5683</v>
      </c>
      <c r="V21" s="34" t="s">
        <v>4999</v>
      </c>
      <c r="W21" s="36">
        <v>43040</v>
      </c>
      <c r="X21" s="44" t="s">
        <v>6850</v>
      </c>
      <c r="Y21" s="38">
        <v>43040</v>
      </c>
      <c r="Z21" s="39">
        <v>43040</v>
      </c>
      <c r="AA21" s="45" t="e">
        <v>#VALUE!</v>
      </c>
      <c r="AB21" s="46" t="e">
        <v>#VALUE!</v>
      </c>
      <c r="AC21" s="25" t="s">
        <v>12041</v>
      </c>
      <c r="AD21" s="42" t="s">
        <v>4999</v>
      </c>
      <c r="AE21" s="43"/>
      <c r="AF21" s="27"/>
    </row>
    <row r="22" spans="1:32" s="2" customFormat="1" ht="12.75" x14ac:dyDescent="0.2">
      <c r="A22" s="28">
        <v>1</v>
      </c>
      <c r="B22" s="29" t="s">
        <v>12680</v>
      </c>
      <c r="C22" s="30" t="s">
        <v>6169</v>
      </c>
      <c r="D22" s="30" t="s">
        <v>5683</v>
      </c>
      <c r="E22" s="30" t="s">
        <v>12681</v>
      </c>
      <c r="F22" s="30" t="s">
        <v>6820</v>
      </c>
      <c r="G22" s="30" t="s">
        <v>6829</v>
      </c>
      <c r="H22" s="30" t="s">
        <v>519</v>
      </c>
      <c r="I22" s="30" t="s">
        <v>12682</v>
      </c>
      <c r="J22" s="30" t="s">
        <v>12640</v>
      </c>
      <c r="K22" s="31" t="s">
        <v>5683</v>
      </c>
      <c r="L22" s="31" t="s">
        <v>5683</v>
      </c>
      <c r="M22" s="31" t="s">
        <v>5683</v>
      </c>
      <c r="N22" s="31" t="s">
        <v>5683</v>
      </c>
      <c r="O22" s="32" t="s">
        <v>5683</v>
      </c>
      <c r="P22" s="33" t="s">
        <v>10852</v>
      </c>
      <c r="Q22" s="34" t="s">
        <v>5683</v>
      </c>
      <c r="R22" s="35" t="s">
        <v>5683</v>
      </c>
      <c r="S22" s="34" t="s">
        <v>7088</v>
      </c>
      <c r="T22" s="34" t="s">
        <v>5683</v>
      </c>
      <c r="U22" s="34" t="s">
        <v>5683</v>
      </c>
      <c r="V22" s="34" t="s">
        <v>4999</v>
      </c>
      <c r="W22" s="36">
        <v>43174</v>
      </c>
      <c r="X22" s="44" t="s">
        <v>6850</v>
      </c>
      <c r="Y22" s="38">
        <v>43178</v>
      </c>
      <c r="Z22" s="39">
        <v>43178</v>
      </c>
      <c r="AA22" s="45" t="e">
        <v>#VALUE!</v>
      </c>
      <c r="AB22" s="46" t="e">
        <v>#VALUE!</v>
      </c>
      <c r="AC22" s="25" t="s">
        <v>5683</v>
      </c>
      <c r="AD22" s="42" t="s">
        <v>5683</v>
      </c>
      <c r="AE22" s="43"/>
      <c r="AF22" s="27"/>
    </row>
    <row r="23" spans="1:32" s="2" customFormat="1" ht="12.75" x14ac:dyDescent="0.2">
      <c r="A23" s="28">
        <v>0</v>
      </c>
      <c r="B23" s="29" t="s">
        <v>12680</v>
      </c>
      <c r="C23" s="30" t="s">
        <v>6169</v>
      </c>
      <c r="D23" s="30">
        <v>170027</v>
      </c>
      <c r="E23" s="30">
        <v>170034</v>
      </c>
      <c r="F23" s="30" t="s">
        <v>6820</v>
      </c>
      <c r="G23" s="30" t="s">
        <v>6829</v>
      </c>
      <c r="H23" s="30" t="s">
        <v>519</v>
      </c>
      <c r="I23" s="30" t="s">
        <v>12682</v>
      </c>
      <c r="J23" s="30" t="s">
        <v>12640</v>
      </c>
      <c r="K23" s="31">
        <v>43007</v>
      </c>
      <c r="L23" s="31" t="s">
        <v>264</v>
      </c>
      <c r="M23" s="31">
        <v>43007</v>
      </c>
      <c r="N23" s="31">
        <v>43007</v>
      </c>
      <c r="O23" s="32">
        <v>43007</v>
      </c>
      <c r="P23" s="33" t="s">
        <v>10154</v>
      </c>
      <c r="Q23" s="34" t="s">
        <v>10154</v>
      </c>
      <c r="R23" s="35">
        <v>43039</v>
      </c>
      <c r="S23" s="34" t="s">
        <v>7088</v>
      </c>
      <c r="T23" s="34">
        <v>1</v>
      </c>
      <c r="U23" s="34" t="s">
        <v>5683</v>
      </c>
      <c r="V23" s="34" t="s">
        <v>4999</v>
      </c>
      <c r="W23" s="36">
        <v>43040</v>
      </c>
      <c r="X23" s="44" t="s">
        <v>6850</v>
      </c>
      <c r="Y23" s="38">
        <v>43040</v>
      </c>
      <c r="Z23" s="39">
        <v>43040</v>
      </c>
      <c r="AA23" s="45" t="e">
        <v>#VALUE!</v>
      </c>
      <c r="AB23" s="46" t="e">
        <v>#VALUE!</v>
      </c>
      <c r="AC23" s="25" t="s">
        <v>12041</v>
      </c>
      <c r="AD23" s="42" t="s">
        <v>4999</v>
      </c>
      <c r="AE23" s="43"/>
      <c r="AF23" s="27"/>
    </row>
    <row r="24" spans="1:32" s="2" customFormat="1" ht="12.75" x14ac:dyDescent="0.2">
      <c r="A24" s="28">
        <v>1</v>
      </c>
      <c r="B24" s="29" t="s">
        <v>12683</v>
      </c>
      <c r="C24" s="30" t="s">
        <v>6169</v>
      </c>
      <c r="D24" s="30" t="s">
        <v>5683</v>
      </c>
      <c r="E24" s="30" t="s">
        <v>12684</v>
      </c>
      <c r="F24" s="30" t="s">
        <v>6820</v>
      </c>
      <c r="G24" s="30" t="s">
        <v>6829</v>
      </c>
      <c r="H24" s="30" t="s">
        <v>107</v>
      </c>
      <c r="I24" s="30" t="s">
        <v>12062</v>
      </c>
      <c r="J24" s="30" t="s">
        <v>12063</v>
      </c>
      <c r="K24" s="31" t="s">
        <v>5683</v>
      </c>
      <c r="L24" s="31" t="s">
        <v>5683</v>
      </c>
      <c r="M24" s="31" t="s">
        <v>5683</v>
      </c>
      <c r="N24" s="31" t="s">
        <v>5683</v>
      </c>
      <c r="O24" s="32" t="s">
        <v>5683</v>
      </c>
      <c r="P24" s="33" t="s">
        <v>10852</v>
      </c>
      <c r="Q24" s="34" t="s">
        <v>5683</v>
      </c>
      <c r="R24" s="35" t="s">
        <v>5683</v>
      </c>
      <c r="S24" s="34" t="s">
        <v>12685</v>
      </c>
      <c r="T24" s="34" t="s">
        <v>5683</v>
      </c>
      <c r="U24" s="34" t="s">
        <v>5683</v>
      </c>
      <c r="V24" s="34" t="s">
        <v>4999</v>
      </c>
      <c r="W24" s="36">
        <v>43174</v>
      </c>
      <c r="X24" s="44" t="s">
        <v>6850</v>
      </c>
      <c r="Y24" s="38">
        <v>43178</v>
      </c>
      <c r="Z24" s="39">
        <v>43178</v>
      </c>
      <c r="AA24" s="45" t="e">
        <v>#VALUE!</v>
      </c>
      <c r="AB24" s="46" t="e">
        <v>#VALUE!</v>
      </c>
      <c r="AC24" s="25" t="s">
        <v>5683</v>
      </c>
      <c r="AD24" s="42" t="s">
        <v>5683</v>
      </c>
      <c r="AE24" s="43"/>
      <c r="AF24" s="27" t="s">
        <v>4999</v>
      </c>
    </row>
    <row r="25" spans="1:32" s="2" customFormat="1" ht="12.75" x14ac:dyDescent="0.2">
      <c r="A25" s="28">
        <v>0</v>
      </c>
      <c r="B25" s="29" t="s">
        <v>12683</v>
      </c>
      <c r="C25" s="30" t="s">
        <v>6169</v>
      </c>
      <c r="D25" s="30">
        <v>170027</v>
      </c>
      <c r="E25" s="30">
        <v>170035</v>
      </c>
      <c r="F25" s="30" t="s">
        <v>6820</v>
      </c>
      <c r="G25" s="30" t="s">
        <v>6829</v>
      </c>
      <c r="H25" s="30" t="s">
        <v>107</v>
      </c>
      <c r="I25" s="30" t="s">
        <v>12062</v>
      </c>
      <c r="J25" s="30" t="s">
        <v>12063</v>
      </c>
      <c r="K25" s="31">
        <v>43007</v>
      </c>
      <c r="L25" s="31" t="s">
        <v>264</v>
      </c>
      <c r="M25" s="31">
        <v>43007</v>
      </c>
      <c r="N25" s="31">
        <v>43007</v>
      </c>
      <c r="O25" s="32">
        <v>43007</v>
      </c>
      <c r="P25" s="33" t="s">
        <v>10154</v>
      </c>
      <c r="Q25" s="34" t="s">
        <v>10154</v>
      </c>
      <c r="R25" s="35">
        <v>43039</v>
      </c>
      <c r="S25" s="34" t="s">
        <v>12685</v>
      </c>
      <c r="T25" s="34">
        <v>2</v>
      </c>
      <c r="U25" s="34" t="s">
        <v>5683</v>
      </c>
      <c r="V25" s="34" t="s">
        <v>4999</v>
      </c>
      <c r="W25" s="36">
        <v>43040</v>
      </c>
      <c r="X25" s="44" t="s">
        <v>6850</v>
      </c>
      <c r="Y25" s="38">
        <v>43040</v>
      </c>
      <c r="Z25" s="39">
        <v>43040</v>
      </c>
      <c r="AA25" s="45" t="e">
        <v>#VALUE!</v>
      </c>
      <c r="AB25" s="46" t="e">
        <v>#VALUE!</v>
      </c>
      <c r="AC25" s="25" t="s">
        <v>12041</v>
      </c>
      <c r="AD25" s="42" t="s">
        <v>4999</v>
      </c>
      <c r="AE25" s="43"/>
      <c r="AF25" s="27"/>
    </row>
    <row r="26" spans="1:32" s="2" customFormat="1" ht="12.75" x14ac:dyDescent="0.2">
      <c r="A26" s="28">
        <v>0</v>
      </c>
      <c r="B26" s="29" t="s">
        <v>12686</v>
      </c>
      <c r="C26" s="30" t="s">
        <v>6169</v>
      </c>
      <c r="D26" s="30">
        <v>170036</v>
      </c>
      <c r="E26" s="30" t="s">
        <v>12687</v>
      </c>
      <c r="F26" s="30" t="s">
        <v>6820</v>
      </c>
      <c r="G26" s="30" t="s">
        <v>6829</v>
      </c>
      <c r="H26" s="30" t="s">
        <v>9907</v>
      </c>
      <c r="I26" s="30" t="s">
        <v>12688</v>
      </c>
      <c r="J26" s="30" t="s">
        <v>12063</v>
      </c>
      <c r="K26" s="31">
        <v>43053</v>
      </c>
      <c r="L26" s="31" t="s">
        <v>264</v>
      </c>
      <c r="M26" s="31">
        <v>43053</v>
      </c>
      <c r="N26" s="31">
        <v>43054</v>
      </c>
      <c r="O26" s="32">
        <v>43055</v>
      </c>
      <c r="P26" s="33" t="s">
        <v>10852</v>
      </c>
      <c r="Q26" s="34" t="s">
        <v>10852</v>
      </c>
      <c r="R26" s="35">
        <v>43080</v>
      </c>
      <c r="S26" s="34" t="s">
        <v>8798</v>
      </c>
      <c r="T26" s="34">
        <v>1</v>
      </c>
      <c r="U26" s="34" t="s">
        <v>5683</v>
      </c>
      <c r="V26" s="34" t="s">
        <v>4999</v>
      </c>
      <c r="W26" s="36">
        <v>43081</v>
      </c>
      <c r="X26" s="44" t="s">
        <v>6850</v>
      </c>
      <c r="Y26" s="38">
        <v>43081</v>
      </c>
      <c r="Z26" s="39">
        <v>43082</v>
      </c>
      <c r="AA26" s="45" t="e">
        <v>#VALUE!</v>
      </c>
      <c r="AB26" s="46" t="e">
        <v>#VALUE!</v>
      </c>
      <c r="AC26" s="25" t="s">
        <v>12041</v>
      </c>
      <c r="AD26" s="42" t="s">
        <v>4999</v>
      </c>
      <c r="AE26" s="43"/>
      <c r="AF26" s="27"/>
    </row>
    <row r="27" spans="1:32" s="2" customFormat="1" ht="12.75" x14ac:dyDescent="0.2">
      <c r="A27" s="28">
        <v>0</v>
      </c>
      <c r="B27" s="29" t="s">
        <v>12689</v>
      </c>
      <c r="C27" s="30" t="s">
        <v>6169</v>
      </c>
      <c r="D27" s="30">
        <v>170036</v>
      </c>
      <c r="E27" s="30" t="s">
        <v>12690</v>
      </c>
      <c r="F27" s="30" t="s">
        <v>6820</v>
      </c>
      <c r="G27" s="30" t="s">
        <v>6829</v>
      </c>
      <c r="H27" s="30" t="s">
        <v>12691</v>
      </c>
      <c r="I27" s="30" t="s">
        <v>12692</v>
      </c>
      <c r="J27" s="30" t="s">
        <v>6579</v>
      </c>
      <c r="K27" s="31">
        <v>43053</v>
      </c>
      <c r="L27" s="31" t="s">
        <v>264</v>
      </c>
      <c r="M27" s="31">
        <v>43053</v>
      </c>
      <c r="N27" s="31">
        <v>43054</v>
      </c>
      <c r="O27" s="32">
        <v>43055</v>
      </c>
      <c r="P27" s="33" t="s">
        <v>10852</v>
      </c>
      <c r="Q27" s="34" t="s">
        <v>10852</v>
      </c>
      <c r="R27" s="35">
        <v>43081</v>
      </c>
      <c r="S27" s="34" t="s">
        <v>4114</v>
      </c>
      <c r="T27" s="34">
        <v>4</v>
      </c>
      <c r="U27" s="34" t="s">
        <v>5683</v>
      </c>
      <c r="V27" s="34" t="s">
        <v>4999</v>
      </c>
      <c r="W27" s="36">
        <v>43082</v>
      </c>
      <c r="X27" s="44" t="s">
        <v>6850</v>
      </c>
      <c r="Y27" s="38">
        <v>43082</v>
      </c>
      <c r="Z27" s="39">
        <v>43082</v>
      </c>
      <c r="AA27" s="45" t="e">
        <v>#VALUE!</v>
      </c>
      <c r="AB27" s="46" t="e">
        <v>#VALUE!</v>
      </c>
      <c r="AC27" s="25" t="s">
        <v>12041</v>
      </c>
      <c r="AD27" s="42" t="s">
        <v>4999</v>
      </c>
      <c r="AE27" s="43"/>
      <c r="AF27" s="27"/>
    </row>
    <row r="28" spans="1:32" s="2" customFormat="1" ht="12.75" x14ac:dyDescent="0.2">
      <c r="A28" s="28">
        <v>0</v>
      </c>
      <c r="B28" s="29" t="s">
        <v>12693</v>
      </c>
      <c r="C28" s="30" t="s">
        <v>8369</v>
      </c>
      <c r="D28" s="30">
        <v>170038</v>
      </c>
      <c r="E28" s="30">
        <v>170038</v>
      </c>
      <c r="F28" s="30" t="s">
        <v>6820</v>
      </c>
      <c r="G28" s="30" t="s">
        <v>6829</v>
      </c>
      <c r="H28" s="30" t="s">
        <v>12694</v>
      </c>
      <c r="I28" s="30" t="s">
        <v>12695</v>
      </c>
      <c r="J28" s="30" t="s">
        <v>12696</v>
      </c>
      <c r="K28" s="31">
        <v>43054</v>
      </c>
      <c r="L28" s="30" t="s">
        <v>264</v>
      </c>
      <c r="M28" s="31">
        <v>43054</v>
      </c>
      <c r="N28" s="31">
        <v>43054</v>
      </c>
      <c r="O28" s="32">
        <v>43054</v>
      </c>
      <c r="P28" s="33" t="s">
        <v>10852</v>
      </c>
      <c r="Q28" s="34" t="s">
        <v>10852</v>
      </c>
      <c r="R28" s="35">
        <v>43054</v>
      </c>
      <c r="S28" s="34" t="s">
        <v>12697</v>
      </c>
      <c r="T28" s="34">
        <v>3</v>
      </c>
      <c r="U28" s="34" t="s">
        <v>5683</v>
      </c>
      <c r="V28" s="34" t="s">
        <v>4999</v>
      </c>
      <c r="W28" s="36">
        <v>43054</v>
      </c>
      <c r="X28" s="44" t="s">
        <v>6850</v>
      </c>
      <c r="Y28" s="38">
        <v>43063</v>
      </c>
      <c r="Z28" s="39">
        <v>43063</v>
      </c>
      <c r="AA28" s="45" t="e">
        <v>#VALUE!</v>
      </c>
      <c r="AB28" s="46" t="e">
        <v>#VALUE!</v>
      </c>
      <c r="AC28" s="25" t="s">
        <v>12041</v>
      </c>
      <c r="AD28" s="42" t="s">
        <v>4999</v>
      </c>
      <c r="AE28" s="43"/>
      <c r="AF28" s="27"/>
    </row>
    <row r="29" spans="1:32" s="2" customFormat="1" ht="12.75" x14ac:dyDescent="0.2">
      <c r="A29" s="28">
        <v>0</v>
      </c>
      <c r="B29" s="29" t="s">
        <v>12698</v>
      </c>
      <c r="C29" s="30" t="s">
        <v>6169</v>
      </c>
      <c r="D29" s="30">
        <v>170041</v>
      </c>
      <c r="E29" s="30" t="s">
        <v>12699</v>
      </c>
      <c r="F29" s="30" t="s">
        <v>6820</v>
      </c>
      <c r="G29" s="30" t="s">
        <v>6829</v>
      </c>
      <c r="H29" s="30" t="s">
        <v>12700</v>
      </c>
      <c r="I29" s="30" t="s">
        <v>12054</v>
      </c>
      <c r="J29" s="30" t="s">
        <v>3190</v>
      </c>
      <c r="K29" s="31">
        <v>43063</v>
      </c>
      <c r="L29" s="31" t="s">
        <v>264</v>
      </c>
      <c r="M29" s="31">
        <v>43063</v>
      </c>
      <c r="N29" s="31">
        <v>43063</v>
      </c>
      <c r="O29" s="32">
        <v>43081</v>
      </c>
      <c r="P29" s="33" t="s">
        <v>10852</v>
      </c>
      <c r="Q29" s="34" t="s">
        <v>10852</v>
      </c>
      <c r="R29" s="35">
        <v>43084</v>
      </c>
      <c r="S29" s="34">
        <v>1389797</v>
      </c>
      <c r="T29" s="34">
        <v>8</v>
      </c>
      <c r="U29" s="34" t="s">
        <v>5683</v>
      </c>
      <c r="V29" s="34" t="s">
        <v>4999</v>
      </c>
      <c r="W29" s="36">
        <v>43089</v>
      </c>
      <c r="X29" s="44" t="s">
        <v>6850</v>
      </c>
      <c r="Y29" s="38">
        <v>43089</v>
      </c>
      <c r="Z29" s="39">
        <v>43089</v>
      </c>
      <c r="AA29" s="45" t="e">
        <v>#VALUE!</v>
      </c>
      <c r="AB29" s="46" t="e">
        <v>#VALUE!</v>
      </c>
      <c r="AC29" s="25" t="s">
        <v>12041</v>
      </c>
      <c r="AD29" s="42" t="s">
        <v>4999</v>
      </c>
      <c r="AE29" s="43"/>
      <c r="AF29" s="27"/>
    </row>
    <row r="30" spans="1:32" s="2" customFormat="1" ht="12.75" x14ac:dyDescent="0.2">
      <c r="A30" s="28">
        <v>0</v>
      </c>
      <c r="B30" s="29" t="s">
        <v>12701</v>
      </c>
      <c r="C30" s="30" t="s">
        <v>6169</v>
      </c>
      <c r="D30" s="30">
        <v>170041</v>
      </c>
      <c r="E30" s="30" t="s">
        <v>12702</v>
      </c>
      <c r="F30" s="30" t="s">
        <v>6820</v>
      </c>
      <c r="G30" s="30" t="s">
        <v>6829</v>
      </c>
      <c r="H30" s="30" t="s">
        <v>519</v>
      </c>
      <c r="I30" s="30" t="s">
        <v>12682</v>
      </c>
      <c r="J30" s="30" t="s">
        <v>12640</v>
      </c>
      <c r="K30" s="31">
        <v>43063</v>
      </c>
      <c r="L30" s="31" t="s">
        <v>264</v>
      </c>
      <c r="M30" s="31">
        <v>43063</v>
      </c>
      <c r="N30" s="31">
        <v>43063</v>
      </c>
      <c r="O30" s="32">
        <v>43081</v>
      </c>
      <c r="P30" s="33" t="s">
        <v>10852</v>
      </c>
      <c r="Q30" s="34" t="s">
        <v>10852</v>
      </c>
      <c r="R30" s="35">
        <v>43084</v>
      </c>
      <c r="S30" s="34" t="s">
        <v>7088</v>
      </c>
      <c r="T30" s="34">
        <v>4</v>
      </c>
      <c r="U30" s="34" t="s">
        <v>5683</v>
      </c>
      <c r="V30" s="34" t="s">
        <v>4999</v>
      </c>
      <c r="W30" s="36">
        <v>43089</v>
      </c>
      <c r="X30" s="44" t="s">
        <v>6850</v>
      </c>
      <c r="Y30" s="38">
        <v>43089</v>
      </c>
      <c r="Z30" s="39">
        <v>43089</v>
      </c>
      <c r="AA30" s="45" t="e">
        <v>#VALUE!</v>
      </c>
      <c r="AB30" s="46" t="e">
        <v>#VALUE!</v>
      </c>
      <c r="AC30" s="25" t="s">
        <v>12041</v>
      </c>
      <c r="AD30" s="42" t="s">
        <v>4999</v>
      </c>
      <c r="AE30" s="43"/>
      <c r="AF30" s="27"/>
    </row>
    <row r="31" spans="1:32" s="2" customFormat="1" ht="12.75" x14ac:dyDescent="0.2">
      <c r="A31" s="28">
        <v>0</v>
      </c>
      <c r="B31" s="29" t="s">
        <v>12703</v>
      </c>
      <c r="C31" s="30" t="s">
        <v>6169</v>
      </c>
      <c r="D31" s="30">
        <v>170041</v>
      </c>
      <c r="E31" s="30" t="s">
        <v>12704</v>
      </c>
      <c r="F31" s="30" t="s">
        <v>6820</v>
      </c>
      <c r="G31" s="30" t="s">
        <v>6829</v>
      </c>
      <c r="H31" s="30" t="s">
        <v>12705</v>
      </c>
      <c r="I31" s="30" t="s">
        <v>12054</v>
      </c>
      <c r="J31" s="30" t="s">
        <v>3190</v>
      </c>
      <c r="K31" s="31">
        <v>43063</v>
      </c>
      <c r="L31" s="31" t="s">
        <v>264</v>
      </c>
      <c r="M31" s="31">
        <v>43063</v>
      </c>
      <c r="N31" s="31">
        <v>43063</v>
      </c>
      <c r="O31" s="32">
        <v>43081</v>
      </c>
      <c r="P31" s="33" t="s">
        <v>10852</v>
      </c>
      <c r="Q31" s="34" t="s">
        <v>10852</v>
      </c>
      <c r="R31" s="35">
        <v>43084</v>
      </c>
      <c r="S31" s="34">
        <v>1389797</v>
      </c>
      <c r="T31" s="34">
        <v>4</v>
      </c>
      <c r="U31" s="34" t="s">
        <v>5683</v>
      </c>
      <c r="V31" s="34" t="s">
        <v>4999</v>
      </c>
      <c r="W31" s="36">
        <v>43089</v>
      </c>
      <c r="X31" s="44" t="s">
        <v>6850</v>
      </c>
      <c r="Y31" s="38">
        <v>43089</v>
      </c>
      <c r="Z31" s="39">
        <v>43089</v>
      </c>
      <c r="AA31" s="45" t="e">
        <v>#VALUE!</v>
      </c>
      <c r="AB31" s="46" t="e">
        <v>#VALUE!</v>
      </c>
      <c r="AC31" s="25" t="s">
        <v>12041</v>
      </c>
      <c r="AD31" s="42" t="s">
        <v>4999</v>
      </c>
      <c r="AE31" s="56"/>
      <c r="AF31" s="27"/>
    </row>
    <row r="32" spans="1:32" s="2" customFormat="1" ht="12.75" x14ac:dyDescent="0.2">
      <c r="A32" s="28">
        <v>0</v>
      </c>
      <c r="B32" s="29" t="s">
        <v>12706</v>
      </c>
      <c r="C32" s="30" t="s">
        <v>8369</v>
      </c>
      <c r="D32" s="30">
        <v>170046</v>
      </c>
      <c r="E32" s="30">
        <v>170046</v>
      </c>
      <c r="F32" s="30" t="s">
        <v>6820</v>
      </c>
      <c r="G32" s="30" t="s">
        <v>6829</v>
      </c>
      <c r="H32" s="30" t="s">
        <v>12707</v>
      </c>
      <c r="I32" s="30" t="s">
        <v>12708</v>
      </c>
      <c r="J32" s="30" t="s">
        <v>12165</v>
      </c>
      <c r="K32" s="31">
        <v>43069</v>
      </c>
      <c r="L32" s="30" t="s">
        <v>264</v>
      </c>
      <c r="M32" s="31">
        <v>43069</v>
      </c>
      <c r="N32" s="31">
        <v>43069</v>
      </c>
      <c r="O32" s="32">
        <v>43069</v>
      </c>
      <c r="P32" s="33" t="s">
        <v>10852</v>
      </c>
      <c r="Q32" s="34" t="s">
        <v>10852</v>
      </c>
      <c r="R32" s="35">
        <v>43070</v>
      </c>
      <c r="S32" s="34" t="s">
        <v>12709</v>
      </c>
      <c r="T32" s="34">
        <v>1</v>
      </c>
      <c r="U32" s="34" t="s">
        <v>5683</v>
      </c>
      <c r="V32" s="34" t="s">
        <v>4999</v>
      </c>
      <c r="W32" s="36">
        <v>43077</v>
      </c>
      <c r="X32" s="44" t="s">
        <v>6850</v>
      </c>
      <c r="Y32" s="38">
        <v>43124</v>
      </c>
      <c r="Z32" s="39">
        <v>43077</v>
      </c>
      <c r="AA32" s="45" t="e">
        <v>#VALUE!</v>
      </c>
      <c r="AB32" s="46" t="e">
        <v>#VALUE!</v>
      </c>
      <c r="AC32" s="25" t="s">
        <v>12041</v>
      </c>
      <c r="AD32" s="42" t="s">
        <v>4999</v>
      </c>
      <c r="AE32" s="43"/>
      <c r="AF32" s="27"/>
    </row>
  </sheetData>
  <autoFilter ref="A5:AF5" xr:uid="{17F329EF-93A4-4384-B7C5-CB25007D13ED}"/>
  <mergeCells count="4">
    <mergeCell ref="A4:O4"/>
    <mergeCell ref="P4:W4"/>
    <mergeCell ref="X4:AB4"/>
    <mergeCell ref="A1:AE3"/>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2B476-0F43-4BFA-A4A8-63949B03B26C}">
  <dimension ref="A1:AF34"/>
  <sheetViews>
    <sheetView showGridLines="0" topLeftCell="A28" workbookViewId="0">
      <selection activeCell="I34" sqref="I34:J34"/>
    </sheetView>
  </sheetViews>
  <sheetFormatPr defaultRowHeight="15" x14ac:dyDescent="0.25"/>
  <sheetData>
    <row r="1" spans="1:32" x14ac:dyDescent="0.25">
      <c r="A1" s="489" t="s">
        <v>6805</v>
      </c>
      <c r="B1" s="489"/>
      <c r="C1" s="489"/>
      <c r="D1" s="489"/>
      <c r="E1" s="489"/>
      <c r="F1" s="489"/>
      <c r="G1" s="489"/>
      <c r="H1" s="489"/>
      <c r="I1" s="489"/>
      <c r="J1" s="489"/>
      <c r="K1" s="489"/>
      <c r="L1" s="489"/>
      <c r="M1" s="489"/>
      <c r="N1" s="489"/>
      <c r="O1" s="489"/>
      <c r="P1" s="489"/>
      <c r="Q1" s="489"/>
      <c r="R1" s="489"/>
      <c r="S1" s="489"/>
      <c r="T1" s="489"/>
      <c r="U1" s="489"/>
      <c r="V1" s="489"/>
      <c r="W1" s="489"/>
      <c r="X1" s="489"/>
      <c r="Y1" s="489"/>
      <c r="Z1" s="489"/>
      <c r="AA1" s="489"/>
      <c r="AB1" s="489"/>
      <c r="AC1" s="489"/>
      <c r="AD1" s="489"/>
      <c r="AE1" s="489"/>
      <c r="AF1" s="489"/>
    </row>
    <row r="2" spans="1:32" x14ac:dyDescent="0.25">
      <c r="A2" s="489"/>
      <c r="B2" s="489"/>
      <c r="C2" s="489"/>
      <c r="D2" s="489"/>
      <c r="E2" s="489"/>
      <c r="F2" s="489"/>
      <c r="G2" s="489"/>
      <c r="H2" s="489"/>
      <c r="I2" s="489"/>
      <c r="J2" s="489"/>
      <c r="K2" s="489"/>
      <c r="L2" s="489"/>
      <c r="M2" s="489"/>
      <c r="N2" s="489"/>
      <c r="O2" s="489"/>
      <c r="P2" s="489"/>
      <c r="Q2" s="489"/>
      <c r="R2" s="489"/>
      <c r="S2" s="489"/>
      <c r="T2" s="489"/>
      <c r="U2" s="489"/>
      <c r="V2" s="489"/>
      <c r="W2" s="489"/>
      <c r="X2" s="489"/>
      <c r="Y2" s="489"/>
      <c r="Z2" s="489"/>
      <c r="AA2" s="489"/>
      <c r="AB2" s="489"/>
      <c r="AC2" s="489"/>
      <c r="AD2" s="489"/>
      <c r="AE2" s="489"/>
      <c r="AF2" s="489"/>
    </row>
    <row r="3" spans="1:32" x14ac:dyDescent="0.25">
      <c r="A3" s="489"/>
      <c r="B3" s="489"/>
      <c r="C3" s="489"/>
      <c r="D3" s="489"/>
      <c r="E3" s="489"/>
      <c r="F3" s="489"/>
      <c r="G3" s="489"/>
      <c r="H3" s="489"/>
      <c r="I3" s="489"/>
      <c r="J3" s="489"/>
      <c r="K3" s="489"/>
      <c r="L3" s="489"/>
      <c r="M3" s="489"/>
      <c r="N3" s="489"/>
      <c r="O3" s="489"/>
      <c r="P3" s="489"/>
      <c r="Q3" s="489"/>
      <c r="R3" s="489"/>
      <c r="S3" s="489"/>
      <c r="T3" s="489"/>
      <c r="U3" s="489"/>
      <c r="V3" s="489"/>
      <c r="W3" s="489"/>
      <c r="X3" s="489"/>
      <c r="Y3" s="489"/>
      <c r="Z3" s="489"/>
      <c r="AA3" s="489"/>
      <c r="AB3" s="489"/>
      <c r="AC3" s="489"/>
      <c r="AD3" s="489"/>
      <c r="AE3" s="489"/>
      <c r="AF3" s="489"/>
    </row>
    <row r="4" spans="1:32" x14ac:dyDescent="0.25">
      <c r="A4" s="450" t="s">
        <v>6806</v>
      </c>
      <c r="B4" s="450"/>
      <c r="C4" s="451"/>
      <c r="D4" s="433" t="s">
        <v>0</v>
      </c>
      <c r="E4" s="434"/>
      <c r="F4" s="434"/>
      <c r="G4" s="434"/>
      <c r="H4" s="434"/>
      <c r="I4" s="434"/>
      <c r="J4" s="434"/>
      <c r="K4" s="434"/>
      <c r="L4" s="434"/>
      <c r="M4" s="434"/>
      <c r="N4" s="434"/>
      <c r="O4" s="434"/>
      <c r="P4" s="434"/>
      <c r="Q4" s="434"/>
      <c r="R4" s="435"/>
      <c r="S4" s="436" t="s">
        <v>1</v>
      </c>
      <c r="T4" s="437"/>
      <c r="U4" s="437"/>
      <c r="V4" s="437"/>
      <c r="W4" s="437"/>
      <c r="X4" s="437"/>
      <c r="Y4" s="438"/>
      <c r="Z4" s="439" t="s">
        <v>2</v>
      </c>
      <c r="AA4" s="440"/>
      <c r="AB4" s="440"/>
      <c r="AC4" s="440"/>
      <c r="AD4" s="490"/>
      <c r="AE4" s="315"/>
      <c r="AF4" s="315"/>
    </row>
    <row r="5" spans="1:32" ht="90" thickBot="1" x14ac:dyDescent="0.3">
      <c r="A5" s="297" t="s">
        <v>6807</v>
      </c>
      <c r="B5" s="298" t="s">
        <v>6808</v>
      </c>
      <c r="C5" s="299" t="s">
        <v>6809</v>
      </c>
      <c r="D5" s="297" t="s">
        <v>6810</v>
      </c>
      <c r="E5" s="297" t="s">
        <v>4</v>
      </c>
      <c r="F5" s="297" t="s">
        <v>5</v>
      </c>
      <c r="G5" s="297" t="s">
        <v>7</v>
      </c>
      <c r="H5" s="297" t="s">
        <v>8</v>
      </c>
      <c r="I5" s="297" t="s">
        <v>6811</v>
      </c>
      <c r="J5" s="297" t="s">
        <v>4992</v>
      </c>
      <c r="K5" s="297" t="s">
        <v>9</v>
      </c>
      <c r="L5" s="297" t="s">
        <v>4993</v>
      </c>
      <c r="M5" s="297" t="s">
        <v>11</v>
      </c>
      <c r="N5" s="300" t="s">
        <v>12</v>
      </c>
      <c r="O5" s="300" t="s">
        <v>6812</v>
      </c>
      <c r="P5" s="300" t="s">
        <v>6813</v>
      </c>
      <c r="Q5" s="300" t="s">
        <v>6814</v>
      </c>
      <c r="R5" s="300" t="s">
        <v>13</v>
      </c>
      <c r="S5" s="301" t="s">
        <v>14</v>
      </c>
      <c r="T5" s="301" t="s">
        <v>4994</v>
      </c>
      <c r="U5" s="302" t="s">
        <v>4995</v>
      </c>
      <c r="V5" s="301" t="s">
        <v>6815</v>
      </c>
      <c r="W5" s="301" t="s">
        <v>16</v>
      </c>
      <c r="X5" s="301" t="s">
        <v>6816</v>
      </c>
      <c r="Y5" s="302" t="s">
        <v>17</v>
      </c>
      <c r="Z5" s="303" t="s">
        <v>18</v>
      </c>
      <c r="AA5" s="299" t="s">
        <v>19</v>
      </c>
      <c r="AB5" s="299" t="s">
        <v>20</v>
      </c>
      <c r="AC5" s="304" t="s">
        <v>8241</v>
      </c>
      <c r="AD5" s="304" t="s">
        <v>8242</v>
      </c>
      <c r="AE5" s="305" t="s">
        <v>8243</v>
      </c>
      <c r="AF5" s="305" t="s">
        <v>21</v>
      </c>
    </row>
    <row r="6" spans="1:32" ht="51.75" thickBot="1" x14ac:dyDescent="0.3">
      <c r="E6" s="306" t="str">
        <f t="shared" ref="E6:E31" si="0">IF(OR(ISBLANK(H6),ISBLANK(I6),ISBLANK(J6),ISBLANK(K6),ISBLANK(L6),ISBLANK(M6),ISBLANK(N6),ISBLANK(O6),ISBLANK(P6),ISBLANK(Q6),ISBLANK(R6),ISBLANK(S6),ISBLANK(T6),ISBLANK(U6),ISBLANK(V6))=TRUE,"P","OK")</f>
        <v>P</v>
      </c>
      <c r="F6" s="307" t="str">
        <f t="shared" ref="F6:F31" si="1">IF(OR(ISBLANK(W6),ISBLANK(X6),ISBLANK(Y6),ISBLANK(Z6),ISBLANK(AA6),ISBLANK(AB6),ISBLANK(AC6),ISBLANK(AD6))=TRUE,"P","OK")</f>
        <v>P</v>
      </c>
      <c r="G6" s="308" t="str">
        <f t="shared" ref="G6:G31" si="2">IF(OR(ISBLANK(AE6),ISBLANK(AF6),ISBLANK(AG6))=TRUE,"P","OK")</f>
        <v>P</v>
      </c>
      <c r="H6" s="28">
        <v>0</v>
      </c>
      <c r="I6" s="49" t="s">
        <v>12710</v>
      </c>
      <c r="J6" s="49" t="s">
        <v>69</v>
      </c>
    </row>
    <row r="7" spans="1:32" ht="51.75" thickBot="1" x14ac:dyDescent="0.3">
      <c r="E7" s="306" t="str">
        <f t="shared" si="0"/>
        <v>P</v>
      </c>
      <c r="F7" s="307" t="str">
        <f t="shared" si="1"/>
        <v>P</v>
      </c>
      <c r="G7" s="308" t="str">
        <f t="shared" si="2"/>
        <v>P</v>
      </c>
      <c r="H7" s="28">
        <v>0</v>
      </c>
      <c r="I7" s="49" t="s">
        <v>12711</v>
      </c>
      <c r="J7" s="49" t="s">
        <v>69</v>
      </c>
    </row>
    <row r="8" spans="1:32" ht="51.75" thickBot="1" x14ac:dyDescent="0.3">
      <c r="E8" s="306" t="str">
        <f t="shared" si="0"/>
        <v>P</v>
      </c>
      <c r="F8" s="307" t="str">
        <f t="shared" si="1"/>
        <v>P</v>
      </c>
      <c r="G8" s="308" t="str">
        <f t="shared" si="2"/>
        <v>P</v>
      </c>
      <c r="H8" s="28">
        <v>0</v>
      </c>
      <c r="I8" s="49" t="s">
        <v>12712</v>
      </c>
      <c r="J8" s="49" t="s">
        <v>69</v>
      </c>
    </row>
    <row r="9" spans="1:32" ht="51.75" thickBot="1" x14ac:dyDescent="0.3">
      <c r="E9" s="306" t="str">
        <f t="shared" si="0"/>
        <v>P</v>
      </c>
      <c r="F9" s="307" t="str">
        <f t="shared" si="1"/>
        <v>P</v>
      </c>
      <c r="G9" s="308" t="str">
        <f t="shared" si="2"/>
        <v>P</v>
      </c>
      <c r="H9" s="28">
        <v>0</v>
      </c>
      <c r="I9" s="49" t="s">
        <v>12713</v>
      </c>
      <c r="J9" s="49" t="s">
        <v>69</v>
      </c>
    </row>
    <row r="10" spans="1:32" ht="51.75" thickBot="1" x14ac:dyDescent="0.3">
      <c r="E10" s="306" t="str">
        <f t="shared" si="0"/>
        <v>P</v>
      </c>
      <c r="F10" s="307" t="str">
        <f t="shared" si="1"/>
        <v>P</v>
      </c>
      <c r="G10" s="308" t="str">
        <f t="shared" si="2"/>
        <v>P</v>
      </c>
      <c r="H10" s="28">
        <v>0</v>
      </c>
      <c r="I10" s="49" t="s">
        <v>12714</v>
      </c>
      <c r="J10" s="49" t="s">
        <v>69</v>
      </c>
    </row>
    <row r="11" spans="1:32" ht="51.75" thickBot="1" x14ac:dyDescent="0.3">
      <c r="E11" s="306" t="str">
        <f t="shared" si="0"/>
        <v>P</v>
      </c>
      <c r="F11" s="307" t="str">
        <f t="shared" si="1"/>
        <v>P</v>
      </c>
      <c r="G11" s="308" t="str">
        <f t="shared" si="2"/>
        <v>P</v>
      </c>
      <c r="H11" s="28">
        <v>0</v>
      </c>
      <c r="I11" s="49" t="s">
        <v>12715</v>
      </c>
      <c r="J11" s="49" t="s">
        <v>69</v>
      </c>
    </row>
    <row r="12" spans="1:32" ht="51.75" thickBot="1" x14ac:dyDescent="0.3">
      <c r="E12" s="306" t="str">
        <f t="shared" si="0"/>
        <v>P</v>
      </c>
      <c r="F12" s="307" t="str">
        <f t="shared" si="1"/>
        <v>P</v>
      </c>
      <c r="G12" s="308" t="str">
        <f t="shared" si="2"/>
        <v>P</v>
      </c>
      <c r="H12" s="28">
        <v>0</v>
      </c>
      <c r="I12" s="49" t="s">
        <v>12716</v>
      </c>
      <c r="J12" s="49" t="s">
        <v>69</v>
      </c>
    </row>
    <row r="13" spans="1:32" ht="51.75" thickBot="1" x14ac:dyDescent="0.3">
      <c r="E13" s="306" t="str">
        <f t="shared" si="0"/>
        <v>P</v>
      </c>
      <c r="F13" s="307" t="str">
        <f t="shared" si="1"/>
        <v>P</v>
      </c>
      <c r="G13" s="308" t="str">
        <f t="shared" si="2"/>
        <v>P</v>
      </c>
      <c r="H13" s="28">
        <v>0</v>
      </c>
      <c r="I13" s="49" t="s">
        <v>12717</v>
      </c>
      <c r="J13" s="49" t="s">
        <v>69</v>
      </c>
    </row>
    <row r="14" spans="1:32" ht="51.75" thickBot="1" x14ac:dyDescent="0.3">
      <c r="E14" s="306" t="str">
        <f t="shared" si="0"/>
        <v>P</v>
      </c>
      <c r="F14" s="307" t="str">
        <f t="shared" si="1"/>
        <v>P</v>
      </c>
      <c r="G14" s="308" t="str">
        <f t="shared" si="2"/>
        <v>P</v>
      </c>
      <c r="H14" s="28">
        <v>0</v>
      </c>
      <c r="I14" s="49" t="s">
        <v>12718</v>
      </c>
      <c r="J14" s="49" t="s">
        <v>69</v>
      </c>
    </row>
    <row r="15" spans="1:32" ht="51.75" thickBot="1" x14ac:dyDescent="0.3">
      <c r="E15" s="306" t="str">
        <f t="shared" si="0"/>
        <v>P</v>
      </c>
      <c r="F15" s="307" t="str">
        <f t="shared" si="1"/>
        <v>P</v>
      </c>
      <c r="G15" s="308" t="str">
        <f t="shared" si="2"/>
        <v>P</v>
      </c>
      <c r="H15" s="28">
        <v>0</v>
      </c>
      <c r="I15" s="49" t="s">
        <v>12719</v>
      </c>
      <c r="J15" s="49" t="s">
        <v>69</v>
      </c>
    </row>
    <row r="16" spans="1:32" ht="51.75" thickBot="1" x14ac:dyDescent="0.3">
      <c r="E16" s="306" t="str">
        <f t="shared" si="0"/>
        <v>P</v>
      </c>
      <c r="F16" s="307" t="str">
        <f t="shared" si="1"/>
        <v>P</v>
      </c>
      <c r="G16" s="308" t="str">
        <f t="shared" si="2"/>
        <v>P</v>
      </c>
      <c r="H16" s="28">
        <v>0</v>
      </c>
      <c r="I16" s="49" t="s">
        <v>12720</v>
      </c>
      <c r="J16" s="49" t="s">
        <v>69</v>
      </c>
    </row>
    <row r="17" spans="5:10" ht="51.75" thickBot="1" x14ac:dyDescent="0.3">
      <c r="E17" s="306" t="str">
        <f t="shared" si="0"/>
        <v>P</v>
      </c>
      <c r="F17" s="307" t="str">
        <f t="shared" si="1"/>
        <v>P</v>
      </c>
      <c r="G17" s="308" t="str">
        <f t="shared" si="2"/>
        <v>P</v>
      </c>
      <c r="H17" s="28">
        <v>0</v>
      </c>
      <c r="I17" s="49" t="s">
        <v>12721</v>
      </c>
      <c r="J17" s="49" t="s">
        <v>69</v>
      </c>
    </row>
    <row r="18" spans="5:10" ht="51.75" thickBot="1" x14ac:dyDescent="0.3">
      <c r="E18" s="306" t="str">
        <f t="shared" si="0"/>
        <v>P</v>
      </c>
      <c r="F18" s="307" t="str">
        <f t="shared" si="1"/>
        <v>P</v>
      </c>
      <c r="G18" s="308" t="str">
        <f t="shared" si="2"/>
        <v>P</v>
      </c>
      <c r="H18" s="28">
        <v>0</v>
      </c>
      <c r="I18" s="49" t="s">
        <v>12722</v>
      </c>
      <c r="J18" s="49" t="s">
        <v>69</v>
      </c>
    </row>
    <row r="19" spans="5:10" ht="51.75" thickBot="1" x14ac:dyDescent="0.3">
      <c r="E19" s="306" t="str">
        <f t="shared" si="0"/>
        <v>P</v>
      </c>
      <c r="F19" s="307" t="str">
        <f t="shared" si="1"/>
        <v>P</v>
      </c>
      <c r="G19" s="308" t="str">
        <f t="shared" si="2"/>
        <v>P</v>
      </c>
      <c r="H19" s="28">
        <v>0</v>
      </c>
      <c r="I19" s="49" t="s">
        <v>12723</v>
      </c>
      <c r="J19" s="49" t="s">
        <v>69</v>
      </c>
    </row>
    <row r="20" spans="5:10" ht="51.75" thickBot="1" x14ac:dyDescent="0.3">
      <c r="E20" s="306" t="str">
        <f t="shared" si="0"/>
        <v>P</v>
      </c>
      <c r="F20" s="307" t="str">
        <f t="shared" si="1"/>
        <v>P</v>
      </c>
      <c r="G20" s="308" t="str">
        <f t="shared" si="2"/>
        <v>P</v>
      </c>
      <c r="H20" s="28">
        <v>0</v>
      </c>
      <c r="I20" s="49" t="s">
        <v>12724</v>
      </c>
      <c r="J20" s="49" t="s">
        <v>69</v>
      </c>
    </row>
    <row r="21" spans="5:10" ht="51.75" thickBot="1" x14ac:dyDescent="0.3">
      <c r="E21" s="306" t="str">
        <f t="shared" si="0"/>
        <v>P</v>
      </c>
      <c r="F21" s="307" t="str">
        <f t="shared" si="1"/>
        <v>P</v>
      </c>
      <c r="G21" s="308" t="str">
        <f t="shared" si="2"/>
        <v>P</v>
      </c>
      <c r="H21" s="28">
        <v>0</v>
      </c>
      <c r="I21" s="49" t="s">
        <v>12725</v>
      </c>
      <c r="J21" s="49" t="s">
        <v>69</v>
      </c>
    </row>
    <row r="22" spans="5:10" ht="51.75" thickBot="1" x14ac:dyDescent="0.3">
      <c r="E22" s="306" t="str">
        <f t="shared" si="0"/>
        <v>P</v>
      </c>
      <c r="F22" s="307" t="str">
        <f t="shared" si="1"/>
        <v>P</v>
      </c>
      <c r="G22" s="308" t="str">
        <f t="shared" si="2"/>
        <v>P</v>
      </c>
      <c r="H22" s="28">
        <v>0</v>
      </c>
      <c r="I22" s="49" t="s">
        <v>12726</v>
      </c>
      <c r="J22" s="49" t="s">
        <v>69</v>
      </c>
    </row>
    <row r="23" spans="5:10" ht="51.75" thickBot="1" x14ac:dyDescent="0.3">
      <c r="E23" s="306" t="str">
        <f t="shared" si="0"/>
        <v>P</v>
      </c>
      <c r="F23" s="307" t="str">
        <f t="shared" si="1"/>
        <v>P</v>
      </c>
      <c r="G23" s="308" t="str">
        <f t="shared" si="2"/>
        <v>P</v>
      </c>
      <c r="H23" s="28">
        <v>0</v>
      </c>
      <c r="I23" s="49" t="s">
        <v>12727</v>
      </c>
      <c r="J23" s="49" t="s">
        <v>69</v>
      </c>
    </row>
    <row r="24" spans="5:10" ht="51.75" thickBot="1" x14ac:dyDescent="0.3">
      <c r="E24" s="306" t="str">
        <f t="shared" si="0"/>
        <v>P</v>
      </c>
      <c r="F24" s="307" t="str">
        <f t="shared" si="1"/>
        <v>P</v>
      </c>
      <c r="G24" s="308" t="str">
        <f t="shared" si="2"/>
        <v>P</v>
      </c>
      <c r="H24" s="28">
        <v>0</v>
      </c>
      <c r="I24" s="49" t="s">
        <v>12728</v>
      </c>
      <c r="J24" s="49" t="s">
        <v>69</v>
      </c>
    </row>
    <row r="25" spans="5:10" ht="51.75" thickBot="1" x14ac:dyDescent="0.3">
      <c r="E25" s="306" t="str">
        <f t="shared" si="0"/>
        <v>P</v>
      </c>
      <c r="F25" s="307" t="str">
        <f t="shared" si="1"/>
        <v>P</v>
      </c>
      <c r="G25" s="308" t="str">
        <f t="shared" si="2"/>
        <v>P</v>
      </c>
      <c r="H25" s="28">
        <v>0</v>
      </c>
      <c r="I25" s="49" t="s">
        <v>12729</v>
      </c>
      <c r="J25" s="49" t="s">
        <v>69</v>
      </c>
    </row>
    <row r="26" spans="5:10" ht="51.75" thickBot="1" x14ac:dyDescent="0.3">
      <c r="E26" s="306" t="str">
        <f t="shared" si="0"/>
        <v>P</v>
      </c>
      <c r="F26" s="307" t="str">
        <f t="shared" si="1"/>
        <v>P</v>
      </c>
      <c r="G26" s="308" t="str">
        <f t="shared" si="2"/>
        <v>P</v>
      </c>
      <c r="H26" s="28">
        <v>0</v>
      </c>
      <c r="I26" s="49" t="s">
        <v>12730</v>
      </c>
      <c r="J26" s="49" t="s">
        <v>69</v>
      </c>
    </row>
    <row r="27" spans="5:10" ht="51.75" thickBot="1" x14ac:dyDescent="0.3">
      <c r="E27" s="306" t="str">
        <f t="shared" si="0"/>
        <v>P</v>
      </c>
      <c r="F27" s="307" t="str">
        <f t="shared" si="1"/>
        <v>P</v>
      </c>
      <c r="G27" s="308" t="str">
        <f t="shared" si="2"/>
        <v>P</v>
      </c>
      <c r="H27" s="28">
        <v>0</v>
      </c>
      <c r="I27" s="49" t="s">
        <v>12731</v>
      </c>
      <c r="J27" s="49" t="s">
        <v>69</v>
      </c>
    </row>
    <row r="28" spans="5:10" ht="51.75" thickBot="1" x14ac:dyDescent="0.3">
      <c r="E28" s="306" t="str">
        <f t="shared" si="0"/>
        <v>P</v>
      </c>
      <c r="F28" s="307" t="str">
        <f t="shared" si="1"/>
        <v>P</v>
      </c>
      <c r="G28" s="308" t="str">
        <f t="shared" si="2"/>
        <v>P</v>
      </c>
      <c r="H28" s="28">
        <v>0</v>
      </c>
      <c r="I28" s="49" t="s">
        <v>12732</v>
      </c>
      <c r="J28" s="49" t="s">
        <v>69</v>
      </c>
    </row>
    <row r="29" spans="5:10" ht="51.75" thickBot="1" x14ac:dyDescent="0.3">
      <c r="E29" s="306" t="str">
        <f t="shared" si="0"/>
        <v>P</v>
      </c>
      <c r="F29" s="307" t="str">
        <f t="shared" si="1"/>
        <v>P</v>
      </c>
      <c r="G29" s="308" t="str">
        <f t="shared" si="2"/>
        <v>P</v>
      </c>
      <c r="H29" s="28">
        <v>0</v>
      </c>
      <c r="I29" s="49" t="s">
        <v>12733</v>
      </c>
      <c r="J29" s="49" t="s">
        <v>69</v>
      </c>
    </row>
    <row r="30" spans="5:10" ht="51.75" thickBot="1" x14ac:dyDescent="0.3">
      <c r="E30" s="306" t="str">
        <f t="shared" si="0"/>
        <v>P</v>
      </c>
      <c r="F30" s="307" t="str">
        <f t="shared" si="1"/>
        <v>P</v>
      </c>
      <c r="G30" s="308" t="str">
        <f t="shared" si="2"/>
        <v>P</v>
      </c>
      <c r="H30" s="28">
        <v>0</v>
      </c>
      <c r="I30" s="49" t="s">
        <v>12734</v>
      </c>
      <c r="J30" s="49" t="s">
        <v>69</v>
      </c>
    </row>
    <row r="31" spans="5:10" ht="51" x14ac:dyDescent="0.25">
      <c r="E31" s="306" t="str">
        <f t="shared" si="0"/>
        <v>P</v>
      </c>
      <c r="F31" s="307" t="str">
        <f t="shared" si="1"/>
        <v>P</v>
      </c>
      <c r="G31" s="308" t="str">
        <f t="shared" si="2"/>
        <v>P</v>
      </c>
      <c r="H31" s="28">
        <v>0</v>
      </c>
      <c r="I31" s="49" t="s">
        <v>12735</v>
      </c>
      <c r="J31" s="49" t="s">
        <v>69</v>
      </c>
    </row>
    <row r="32" spans="5:10" ht="51" x14ac:dyDescent="0.25">
      <c r="I32" s="49" t="s">
        <v>12736</v>
      </c>
      <c r="J32" s="49" t="s">
        <v>69</v>
      </c>
    </row>
    <row r="33" spans="9:10" ht="51" x14ac:dyDescent="0.25">
      <c r="I33" s="49" t="s">
        <v>12737</v>
      </c>
      <c r="J33" s="49" t="s">
        <v>69</v>
      </c>
    </row>
    <row r="34" spans="9:10" ht="51" x14ac:dyDescent="0.25">
      <c r="I34" s="49" t="s">
        <v>12738</v>
      </c>
      <c r="J34" s="49" t="s">
        <v>69</v>
      </c>
    </row>
  </sheetData>
  <mergeCells count="5">
    <mergeCell ref="A1:AF3"/>
    <mergeCell ref="A4:C4"/>
    <mergeCell ref="D4:R4"/>
    <mergeCell ref="S4:Y4"/>
    <mergeCell ref="Z4:AD4"/>
  </mergeCells>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EB980-0C9D-4BDC-AC91-92725B7A14B7}">
  <dimension ref="A1:U348"/>
  <sheetViews>
    <sheetView showGridLines="0" zoomScaleNormal="100" workbookViewId="0">
      <pane xSplit="9" topLeftCell="O1" activePane="topRight" state="frozen"/>
      <selection pane="topRight" activeCell="F166" sqref="F166"/>
    </sheetView>
  </sheetViews>
  <sheetFormatPr defaultRowHeight="15" zeroHeight="1" x14ac:dyDescent="0.25"/>
  <cols>
    <col min="2" max="2" width="16.42578125" customWidth="1"/>
    <col min="3" max="3" width="17.42578125" customWidth="1"/>
    <col min="4" max="4" width="14.42578125" customWidth="1"/>
    <col min="5" max="5" width="20.5703125" customWidth="1"/>
    <col min="6" max="6" width="16.42578125" customWidth="1"/>
    <col min="7" max="7" width="17.5703125" customWidth="1"/>
    <col min="8" max="8" width="19" customWidth="1"/>
    <col min="9" max="9" width="28.5703125" customWidth="1"/>
    <col min="10" max="10" width="38.42578125" customWidth="1"/>
    <col min="11" max="11" width="34.42578125" customWidth="1"/>
    <col min="12" max="12" width="31.5703125" customWidth="1"/>
    <col min="13" max="13" width="22.42578125" customWidth="1"/>
    <col min="14" max="14" width="25" customWidth="1"/>
    <col min="15" max="15" width="33" customWidth="1"/>
    <col min="16" max="16" width="21.5703125" customWidth="1"/>
    <col min="17" max="17" width="31.5703125" customWidth="1"/>
  </cols>
  <sheetData>
    <row r="1" spans="2:17" x14ac:dyDescent="0.25"/>
    <row r="2" spans="2:17" x14ac:dyDescent="0.25">
      <c r="B2" s="491" t="s">
        <v>12739</v>
      </c>
      <c r="C2" s="492"/>
      <c r="D2" s="492"/>
      <c r="E2" s="492"/>
      <c r="F2" s="492"/>
      <c r="G2" s="492"/>
      <c r="H2" s="492"/>
      <c r="I2" s="491"/>
      <c r="J2" s="491"/>
      <c r="K2" s="491"/>
      <c r="L2" s="491"/>
      <c r="M2" s="491"/>
      <c r="N2" s="491"/>
      <c r="O2" s="491"/>
      <c r="P2" s="491"/>
      <c r="Q2" s="492"/>
    </row>
    <row r="3" spans="2:17" x14ac:dyDescent="0.25">
      <c r="B3" s="491"/>
      <c r="C3" s="492"/>
      <c r="D3" s="492"/>
      <c r="E3" s="492"/>
      <c r="F3" s="492"/>
      <c r="G3" s="492"/>
      <c r="H3" s="492"/>
      <c r="I3" s="491"/>
      <c r="J3" s="491"/>
      <c r="K3" s="491"/>
      <c r="L3" s="491"/>
      <c r="M3" s="491"/>
      <c r="N3" s="491"/>
      <c r="O3" s="491"/>
      <c r="P3" s="491"/>
      <c r="Q3" s="492"/>
    </row>
    <row r="4" spans="2:17" x14ac:dyDescent="0.25">
      <c r="B4" s="491"/>
      <c r="C4" s="492"/>
      <c r="D4" s="492"/>
      <c r="E4" s="492"/>
      <c r="F4" s="492"/>
      <c r="G4" s="492"/>
      <c r="H4" s="492"/>
      <c r="I4" s="491"/>
      <c r="J4" s="491"/>
      <c r="K4" s="491"/>
      <c r="L4" s="491"/>
      <c r="M4" s="491"/>
      <c r="N4" s="491"/>
      <c r="O4" s="491"/>
      <c r="P4" s="491"/>
      <c r="Q4" s="492"/>
    </row>
    <row r="5" spans="2:17" x14ac:dyDescent="0.25">
      <c r="B5" s="491"/>
      <c r="C5" s="492"/>
      <c r="D5" s="492"/>
      <c r="E5" s="492"/>
      <c r="F5" s="492"/>
      <c r="G5" s="492"/>
      <c r="H5" s="492"/>
      <c r="I5" s="491"/>
      <c r="J5" s="491"/>
      <c r="K5" s="491"/>
      <c r="L5" s="491"/>
      <c r="M5" s="491"/>
      <c r="N5" s="491"/>
      <c r="O5" s="491"/>
      <c r="P5" s="491"/>
      <c r="Q5" s="492"/>
    </row>
    <row r="6" spans="2:17" x14ac:dyDescent="0.25">
      <c r="B6" s="491"/>
      <c r="C6" s="492"/>
      <c r="D6" s="492"/>
      <c r="E6" s="492"/>
      <c r="F6" s="492"/>
      <c r="G6" s="492"/>
      <c r="H6" s="492"/>
      <c r="I6" s="491"/>
      <c r="J6" s="491"/>
      <c r="K6" s="491"/>
      <c r="L6" s="491"/>
      <c r="M6" s="491"/>
      <c r="N6" s="491"/>
      <c r="O6" s="491"/>
      <c r="P6" s="491"/>
      <c r="Q6" s="492"/>
    </row>
    <row r="7" spans="2:17" ht="30" x14ac:dyDescent="0.25">
      <c r="B7" s="383" t="s">
        <v>12740</v>
      </c>
      <c r="C7" s="383" t="s">
        <v>12741</v>
      </c>
      <c r="D7" s="383" t="s">
        <v>6811</v>
      </c>
      <c r="E7" s="383" t="s">
        <v>12742</v>
      </c>
      <c r="F7" s="383" t="s">
        <v>12743</v>
      </c>
      <c r="G7" s="383" t="s">
        <v>8</v>
      </c>
      <c r="H7" s="383" t="s">
        <v>12744</v>
      </c>
      <c r="I7" s="383" t="s">
        <v>12745</v>
      </c>
      <c r="J7" s="383" t="s">
        <v>12746</v>
      </c>
      <c r="K7" s="383" t="s">
        <v>12747</v>
      </c>
      <c r="L7" s="383" t="s">
        <v>12748</v>
      </c>
      <c r="M7" s="383" t="s">
        <v>12749</v>
      </c>
      <c r="N7" s="383" t="s">
        <v>12750</v>
      </c>
      <c r="O7" s="383" t="s">
        <v>12751</v>
      </c>
      <c r="P7" s="384" t="s">
        <v>12752</v>
      </c>
      <c r="Q7" s="383" t="s">
        <v>12753</v>
      </c>
    </row>
    <row r="8" spans="2:17" s="354" customFormat="1" ht="57" x14ac:dyDescent="0.2">
      <c r="B8" s="349" t="s">
        <v>12754</v>
      </c>
      <c r="C8" s="349" t="s">
        <v>12755</v>
      </c>
      <c r="D8" s="349" t="s">
        <v>7152</v>
      </c>
      <c r="E8" s="349" t="s">
        <v>12756</v>
      </c>
      <c r="F8" s="349">
        <v>180020</v>
      </c>
      <c r="G8" s="349" t="s">
        <v>12757</v>
      </c>
      <c r="H8" s="349" t="s">
        <v>12758</v>
      </c>
      <c r="I8" s="349" t="s">
        <v>8229</v>
      </c>
      <c r="J8" s="349" t="s">
        <v>8230</v>
      </c>
      <c r="K8" s="349" t="s">
        <v>8231</v>
      </c>
      <c r="L8" s="349" t="s">
        <v>8232</v>
      </c>
      <c r="M8" s="349" t="s">
        <v>11551</v>
      </c>
      <c r="N8" s="349" t="s">
        <v>12759</v>
      </c>
      <c r="O8" s="349" t="s">
        <v>12760</v>
      </c>
      <c r="P8" s="349" t="s">
        <v>12761</v>
      </c>
      <c r="Q8" s="349">
        <v>2019</v>
      </c>
    </row>
    <row r="9" spans="2:17" s="354" customFormat="1" ht="57" x14ac:dyDescent="0.2">
      <c r="B9" s="349" t="s">
        <v>12754</v>
      </c>
      <c r="C9" s="349" t="s">
        <v>12762</v>
      </c>
      <c r="D9" s="349" t="s">
        <v>7152</v>
      </c>
      <c r="E9" s="349" t="s">
        <v>12756</v>
      </c>
      <c r="F9" s="349">
        <v>180101</v>
      </c>
      <c r="G9" s="349" t="s">
        <v>12763</v>
      </c>
      <c r="H9" s="349" t="s">
        <v>12764</v>
      </c>
      <c r="I9" s="349" t="s">
        <v>8229</v>
      </c>
      <c r="J9" s="349" t="s">
        <v>8230</v>
      </c>
      <c r="K9" s="349" t="s">
        <v>8231</v>
      </c>
      <c r="L9" s="349" t="s">
        <v>8232</v>
      </c>
      <c r="M9" s="349" t="s">
        <v>11551</v>
      </c>
      <c r="N9" s="349" t="s">
        <v>12759</v>
      </c>
      <c r="O9" s="349" t="s">
        <v>12760</v>
      </c>
      <c r="P9" s="349" t="s">
        <v>12761</v>
      </c>
      <c r="Q9" s="349">
        <v>2019</v>
      </c>
    </row>
    <row r="10" spans="2:17" s="354" customFormat="1" ht="57" x14ac:dyDescent="0.2">
      <c r="B10" s="349" t="s">
        <v>12754</v>
      </c>
      <c r="C10" s="349" t="s">
        <v>12765</v>
      </c>
      <c r="D10" s="349" t="s">
        <v>7152</v>
      </c>
      <c r="E10" s="349" t="s">
        <v>12756</v>
      </c>
      <c r="F10" s="349">
        <v>180257</v>
      </c>
      <c r="G10" s="349" t="s">
        <v>12766</v>
      </c>
      <c r="H10" s="349" t="s">
        <v>12767</v>
      </c>
      <c r="I10" s="349" t="s">
        <v>8229</v>
      </c>
      <c r="J10" s="349" t="s">
        <v>8230</v>
      </c>
      <c r="K10" s="349" t="s">
        <v>8231</v>
      </c>
      <c r="L10" s="349" t="s">
        <v>8232</v>
      </c>
      <c r="M10" s="349"/>
      <c r="N10" s="349" t="s">
        <v>12768</v>
      </c>
      <c r="O10" s="349" t="s">
        <v>12768</v>
      </c>
      <c r="P10" s="349" t="s">
        <v>12761</v>
      </c>
      <c r="Q10" s="349">
        <v>2019</v>
      </c>
    </row>
    <row r="11" spans="2:17" s="354" customFormat="1" ht="57" x14ac:dyDescent="0.2">
      <c r="B11" s="349" t="s">
        <v>12754</v>
      </c>
      <c r="C11" s="349" t="s">
        <v>12765</v>
      </c>
      <c r="D11" s="349" t="s">
        <v>7152</v>
      </c>
      <c r="E11" s="349" t="s">
        <v>12756</v>
      </c>
      <c r="F11" s="349">
        <v>180258</v>
      </c>
      <c r="G11" s="349" t="s">
        <v>12769</v>
      </c>
      <c r="H11" s="349" t="s">
        <v>12767</v>
      </c>
      <c r="I11" s="349" t="s">
        <v>8229</v>
      </c>
      <c r="J11" s="349" t="s">
        <v>8230</v>
      </c>
      <c r="K11" s="349" t="s">
        <v>8231</v>
      </c>
      <c r="L11" s="349" t="s">
        <v>8232</v>
      </c>
      <c r="M11" s="349" t="s">
        <v>12770</v>
      </c>
      <c r="N11" s="349" t="s">
        <v>10993</v>
      </c>
      <c r="O11" s="349" t="s">
        <v>12768</v>
      </c>
      <c r="P11" s="349" t="s">
        <v>12761</v>
      </c>
      <c r="Q11" s="349">
        <v>2019</v>
      </c>
    </row>
    <row r="12" spans="2:17" s="354" customFormat="1" ht="57" x14ac:dyDescent="0.2">
      <c r="B12" s="349" t="s">
        <v>12754</v>
      </c>
      <c r="C12" s="349" t="s">
        <v>12765</v>
      </c>
      <c r="D12" s="349" t="s">
        <v>7152</v>
      </c>
      <c r="E12" s="349" t="s">
        <v>12756</v>
      </c>
      <c r="F12" s="349">
        <v>180506</v>
      </c>
      <c r="G12" s="349" t="s">
        <v>12771</v>
      </c>
      <c r="H12" s="349" t="s">
        <v>12772</v>
      </c>
      <c r="I12" s="349" t="s">
        <v>8229</v>
      </c>
      <c r="J12" s="349" t="s">
        <v>8230</v>
      </c>
      <c r="K12" s="349" t="s">
        <v>8231</v>
      </c>
      <c r="L12" s="349" t="s">
        <v>8232</v>
      </c>
      <c r="M12" s="349" t="s">
        <v>12773</v>
      </c>
      <c r="N12" s="349" t="s">
        <v>12774</v>
      </c>
      <c r="O12" s="349" t="s">
        <v>12775</v>
      </c>
      <c r="P12" s="349" t="s">
        <v>12761</v>
      </c>
      <c r="Q12" s="349">
        <v>2019</v>
      </c>
    </row>
    <row r="13" spans="2:17" s="354" customFormat="1" ht="57" x14ac:dyDescent="0.2">
      <c r="B13" s="349" t="s">
        <v>12754</v>
      </c>
      <c r="C13" s="349" t="s">
        <v>12765</v>
      </c>
      <c r="D13" s="349" t="s">
        <v>7152</v>
      </c>
      <c r="E13" s="349" t="s">
        <v>12756</v>
      </c>
      <c r="F13" s="349">
        <v>181363</v>
      </c>
      <c r="G13" s="349" t="s">
        <v>8518</v>
      </c>
      <c r="H13" s="349" t="s">
        <v>8516</v>
      </c>
      <c r="I13" s="349" t="s">
        <v>8229</v>
      </c>
      <c r="J13" s="349" t="s">
        <v>8230</v>
      </c>
      <c r="K13" s="349" t="s">
        <v>8231</v>
      </c>
      <c r="L13" s="349" t="s">
        <v>8232</v>
      </c>
      <c r="M13" s="349" t="s">
        <v>12776</v>
      </c>
      <c r="N13" s="349" t="s">
        <v>12777</v>
      </c>
      <c r="O13" s="349"/>
      <c r="P13" s="349" t="s">
        <v>12778</v>
      </c>
      <c r="Q13" s="349">
        <v>2019</v>
      </c>
    </row>
    <row r="14" spans="2:17" s="354" customFormat="1" ht="57" x14ac:dyDescent="0.2">
      <c r="B14" s="349" t="s">
        <v>12754</v>
      </c>
      <c r="C14" s="349" t="s">
        <v>12765</v>
      </c>
      <c r="D14" s="349" t="s">
        <v>7152</v>
      </c>
      <c r="E14" s="349" t="s">
        <v>12756</v>
      </c>
      <c r="F14" s="349">
        <v>181134</v>
      </c>
      <c r="G14" s="349" t="s">
        <v>12779</v>
      </c>
      <c r="H14" s="349" t="s">
        <v>12780</v>
      </c>
      <c r="I14" s="349" t="s">
        <v>12781</v>
      </c>
      <c r="J14" s="349" t="s">
        <v>12782</v>
      </c>
      <c r="K14" s="349" t="s">
        <v>8231</v>
      </c>
      <c r="L14" s="349" t="s">
        <v>8232</v>
      </c>
      <c r="M14" s="349" t="s">
        <v>12783</v>
      </c>
      <c r="N14" s="349" t="s">
        <v>12784</v>
      </c>
      <c r="O14" s="349" t="s">
        <v>12785</v>
      </c>
      <c r="P14" s="349" t="s">
        <v>264</v>
      </c>
      <c r="Q14" s="349">
        <v>2019</v>
      </c>
    </row>
    <row r="15" spans="2:17" s="354" customFormat="1" ht="57" x14ac:dyDescent="0.2">
      <c r="B15" s="349" t="s">
        <v>12754</v>
      </c>
      <c r="C15" s="349" t="s">
        <v>12765</v>
      </c>
      <c r="D15" s="349" t="s">
        <v>7152</v>
      </c>
      <c r="E15" s="349" t="s">
        <v>12756</v>
      </c>
      <c r="F15" s="349">
        <v>180077</v>
      </c>
      <c r="G15" s="349" t="s">
        <v>12786</v>
      </c>
      <c r="H15" s="349" t="s">
        <v>12787</v>
      </c>
      <c r="I15" s="349" t="s">
        <v>6169</v>
      </c>
      <c r="J15" s="349" t="s">
        <v>12788</v>
      </c>
      <c r="K15" s="349" t="s">
        <v>12789</v>
      </c>
      <c r="L15" s="349" t="s">
        <v>8232</v>
      </c>
      <c r="M15" s="349" t="s">
        <v>2032</v>
      </c>
      <c r="N15" s="349" t="s">
        <v>12790</v>
      </c>
      <c r="O15" s="349" t="s">
        <v>12791</v>
      </c>
      <c r="P15" s="349" t="s">
        <v>12761</v>
      </c>
      <c r="Q15" s="349">
        <v>2019</v>
      </c>
    </row>
    <row r="16" spans="2:17" s="354" customFormat="1" ht="42.75" x14ac:dyDescent="0.2">
      <c r="B16" s="349" t="s">
        <v>12754</v>
      </c>
      <c r="C16" s="349" t="s">
        <v>12765</v>
      </c>
      <c r="D16" s="349" t="s">
        <v>7152</v>
      </c>
      <c r="E16" s="349" t="s">
        <v>12756</v>
      </c>
      <c r="F16" s="349">
        <v>181645</v>
      </c>
      <c r="G16" s="349" t="s">
        <v>12792</v>
      </c>
      <c r="H16" s="349" t="s">
        <v>12793</v>
      </c>
      <c r="I16" s="349" t="s">
        <v>6357</v>
      </c>
      <c r="J16" s="349" t="s">
        <v>12794</v>
      </c>
      <c r="K16" s="349" t="s">
        <v>12795</v>
      </c>
      <c r="L16" s="349" t="s">
        <v>8232</v>
      </c>
      <c r="M16" s="349" t="s">
        <v>12796</v>
      </c>
      <c r="N16" s="349" t="s">
        <v>12797</v>
      </c>
      <c r="O16" s="349" t="s">
        <v>12798</v>
      </c>
      <c r="P16" s="349" t="s">
        <v>464</v>
      </c>
      <c r="Q16" s="349">
        <v>2019</v>
      </c>
    </row>
    <row r="17" spans="2:17" s="354" customFormat="1" ht="57" x14ac:dyDescent="0.2">
      <c r="B17" s="349" t="s">
        <v>12754</v>
      </c>
      <c r="C17" s="349" t="s">
        <v>12765</v>
      </c>
      <c r="D17" s="349" t="s">
        <v>7152</v>
      </c>
      <c r="E17" s="349" t="s">
        <v>12756</v>
      </c>
      <c r="F17" s="349">
        <v>180598</v>
      </c>
      <c r="G17" s="349" t="s">
        <v>12799</v>
      </c>
      <c r="H17" s="349" t="s">
        <v>12800</v>
      </c>
      <c r="I17" s="349" t="s">
        <v>12801</v>
      </c>
      <c r="J17" s="349" t="s">
        <v>12802</v>
      </c>
      <c r="K17" s="349" t="s">
        <v>12803</v>
      </c>
      <c r="L17" s="349" t="s">
        <v>8232</v>
      </c>
      <c r="M17" s="349" t="s">
        <v>12804</v>
      </c>
      <c r="N17" s="349" t="s">
        <v>12805</v>
      </c>
      <c r="O17" s="349" t="s">
        <v>12806</v>
      </c>
      <c r="P17" s="349" t="s">
        <v>12807</v>
      </c>
      <c r="Q17" s="349">
        <v>2019</v>
      </c>
    </row>
    <row r="18" spans="2:17" s="354" customFormat="1" ht="57" x14ac:dyDescent="0.2">
      <c r="B18" s="349" t="s">
        <v>12754</v>
      </c>
      <c r="C18" s="349" t="s">
        <v>12765</v>
      </c>
      <c r="D18" s="349" t="s">
        <v>7152</v>
      </c>
      <c r="E18" s="349" t="s">
        <v>12756</v>
      </c>
      <c r="F18" s="349">
        <v>180716</v>
      </c>
      <c r="G18" s="349" t="s">
        <v>12808</v>
      </c>
      <c r="H18" s="349" t="s">
        <v>12809</v>
      </c>
      <c r="I18" s="349" t="s">
        <v>12801</v>
      </c>
      <c r="J18" s="349" t="s">
        <v>12802</v>
      </c>
      <c r="K18" s="349" t="s">
        <v>12803</v>
      </c>
      <c r="L18" s="349" t="s">
        <v>8232</v>
      </c>
      <c r="M18" s="349" t="s">
        <v>12810</v>
      </c>
      <c r="N18" s="349" t="s">
        <v>12811</v>
      </c>
      <c r="O18" s="349" t="s">
        <v>12812</v>
      </c>
      <c r="P18" s="349" t="s">
        <v>12813</v>
      </c>
      <c r="Q18" s="349">
        <v>2019</v>
      </c>
    </row>
    <row r="19" spans="2:17" s="354" customFormat="1" ht="57" x14ac:dyDescent="0.2">
      <c r="B19" s="349" t="s">
        <v>12754</v>
      </c>
      <c r="C19" s="349" t="s">
        <v>12765</v>
      </c>
      <c r="D19" s="349" t="s">
        <v>7152</v>
      </c>
      <c r="E19" s="349" t="s">
        <v>12756</v>
      </c>
      <c r="F19" s="349">
        <v>181426</v>
      </c>
      <c r="G19" s="349" t="s">
        <v>12814</v>
      </c>
      <c r="H19" s="349" t="s">
        <v>12815</v>
      </c>
      <c r="I19" s="349" t="s">
        <v>12801</v>
      </c>
      <c r="J19" s="349" t="s">
        <v>12802</v>
      </c>
      <c r="K19" s="349" t="s">
        <v>12803</v>
      </c>
      <c r="L19" s="349" t="s">
        <v>8232</v>
      </c>
      <c r="M19" s="349" t="s">
        <v>12816</v>
      </c>
      <c r="N19" s="349" t="s">
        <v>12817</v>
      </c>
      <c r="O19" s="349" t="s">
        <v>12818</v>
      </c>
      <c r="P19" s="349" t="s">
        <v>264</v>
      </c>
      <c r="Q19" s="349">
        <v>2019</v>
      </c>
    </row>
    <row r="20" spans="2:17" s="354" customFormat="1" ht="57" x14ac:dyDescent="0.2">
      <c r="B20" s="349" t="s">
        <v>12754</v>
      </c>
      <c r="C20" s="349" t="s">
        <v>12755</v>
      </c>
      <c r="D20" s="349" t="s">
        <v>7152</v>
      </c>
      <c r="E20" s="349" t="s">
        <v>12756</v>
      </c>
      <c r="F20" s="349">
        <v>181012</v>
      </c>
      <c r="G20" s="349" t="s">
        <v>12819</v>
      </c>
      <c r="H20" s="349" t="s">
        <v>12820</v>
      </c>
      <c r="I20" s="349" t="s">
        <v>12801</v>
      </c>
      <c r="J20" s="349" t="s">
        <v>12802</v>
      </c>
      <c r="K20" s="349" t="s">
        <v>12803</v>
      </c>
      <c r="L20" s="349" t="s">
        <v>8232</v>
      </c>
      <c r="M20" s="349" t="s">
        <v>12821</v>
      </c>
      <c r="N20" s="349" t="s">
        <v>12822</v>
      </c>
      <c r="O20" s="349" t="s">
        <v>12818</v>
      </c>
      <c r="P20" s="349" t="s">
        <v>12823</v>
      </c>
      <c r="Q20" s="349">
        <v>2019</v>
      </c>
    </row>
    <row r="21" spans="2:17" s="354" customFormat="1" ht="57" x14ac:dyDescent="0.2">
      <c r="B21" s="349" t="s">
        <v>12754</v>
      </c>
      <c r="C21" s="349" t="s">
        <v>12765</v>
      </c>
      <c r="D21" s="349" t="s">
        <v>7152</v>
      </c>
      <c r="E21" s="349" t="s">
        <v>12756</v>
      </c>
      <c r="F21" s="349">
        <v>181029</v>
      </c>
      <c r="G21" s="349" t="s">
        <v>12824</v>
      </c>
      <c r="H21" s="349" t="s">
        <v>12825</v>
      </c>
      <c r="I21" s="349" t="s">
        <v>12826</v>
      </c>
      <c r="J21" s="349" t="s">
        <v>12827</v>
      </c>
      <c r="K21" s="349" t="s">
        <v>12828</v>
      </c>
      <c r="L21" s="349" t="s">
        <v>8232</v>
      </c>
      <c r="M21" s="349" t="s">
        <v>12829</v>
      </c>
      <c r="N21" s="349" t="s">
        <v>12830</v>
      </c>
      <c r="O21" s="349" t="s">
        <v>12812</v>
      </c>
      <c r="P21" s="349" t="s">
        <v>28</v>
      </c>
      <c r="Q21" s="349">
        <v>2019</v>
      </c>
    </row>
    <row r="22" spans="2:17" s="354" customFormat="1" ht="57" x14ac:dyDescent="0.2">
      <c r="B22" s="349" t="s">
        <v>12754</v>
      </c>
      <c r="C22" s="349" t="s">
        <v>12765</v>
      </c>
      <c r="D22" s="349" t="s">
        <v>7152</v>
      </c>
      <c r="E22" s="349" t="s">
        <v>12756</v>
      </c>
      <c r="F22" s="349">
        <v>181029</v>
      </c>
      <c r="G22" s="349" t="s">
        <v>12831</v>
      </c>
      <c r="H22" s="349" t="s">
        <v>12832</v>
      </c>
      <c r="I22" s="349" t="s">
        <v>12826</v>
      </c>
      <c r="J22" s="349" t="s">
        <v>12827</v>
      </c>
      <c r="K22" s="349" t="s">
        <v>12828</v>
      </c>
      <c r="L22" s="349" t="s">
        <v>8232</v>
      </c>
      <c r="M22" s="349" t="s">
        <v>12833</v>
      </c>
      <c r="N22" s="349" t="s">
        <v>12834</v>
      </c>
      <c r="O22" s="349" t="s">
        <v>12812</v>
      </c>
      <c r="P22" s="349" t="s">
        <v>28</v>
      </c>
      <c r="Q22" s="349">
        <v>2019</v>
      </c>
    </row>
    <row r="23" spans="2:17" s="354" customFormat="1" ht="57" x14ac:dyDescent="0.2">
      <c r="B23" s="349" t="s">
        <v>12754</v>
      </c>
      <c r="C23" s="349" t="s">
        <v>12765</v>
      </c>
      <c r="D23" s="349" t="s">
        <v>7152</v>
      </c>
      <c r="E23" s="349" t="s">
        <v>12756</v>
      </c>
      <c r="F23" s="349">
        <v>180875</v>
      </c>
      <c r="G23" s="349" t="s">
        <v>12835</v>
      </c>
      <c r="H23" s="349" t="s">
        <v>12836</v>
      </c>
      <c r="I23" s="349" t="s">
        <v>12837</v>
      </c>
      <c r="J23" s="349" t="s">
        <v>12838</v>
      </c>
      <c r="K23" s="349" t="s">
        <v>12839</v>
      </c>
      <c r="L23" s="349" t="s">
        <v>12840</v>
      </c>
      <c r="M23" s="349" t="s">
        <v>12841</v>
      </c>
      <c r="N23" s="349" t="s">
        <v>12842</v>
      </c>
      <c r="O23" s="349" t="s">
        <v>12843</v>
      </c>
      <c r="P23" s="349" t="s">
        <v>12823</v>
      </c>
      <c r="Q23" s="349">
        <v>2019</v>
      </c>
    </row>
    <row r="24" spans="2:17" s="354" customFormat="1" ht="42.75" x14ac:dyDescent="0.2">
      <c r="B24" s="349" t="s">
        <v>12754</v>
      </c>
      <c r="C24" s="349" t="s">
        <v>12765</v>
      </c>
      <c r="D24" s="349" t="s">
        <v>7152</v>
      </c>
      <c r="E24" s="349" t="s">
        <v>12756</v>
      </c>
      <c r="F24" s="349">
        <v>180447</v>
      </c>
      <c r="G24" s="349" t="s">
        <v>12844</v>
      </c>
      <c r="H24" s="349" t="s">
        <v>12845</v>
      </c>
      <c r="I24" s="349" t="s">
        <v>12846</v>
      </c>
      <c r="J24" s="349" t="s">
        <v>12847</v>
      </c>
      <c r="K24" s="349" t="s">
        <v>12848</v>
      </c>
      <c r="L24" s="349" t="s">
        <v>8232</v>
      </c>
      <c r="M24" s="349" t="s">
        <v>12849</v>
      </c>
      <c r="N24" s="349" t="s">
        <v>12850</v>
      </c>
      <c r="O24" s="349" t="s">
        <v>12851</v>
      </c>
      <c r="P24" s="349" t="s">
        <v>12807</v>
      </c>
      <c r="Q24" s="349">
        <v>2019</v>
      </c>
    </row>
    <row r="25" spans="2:17" s="354" customFormat="1" ht="57" x14ac:dyDescent="0.2">
      <c r="B25" s="349" t="s">
        <v>12754</v>
      </c>
      <c r="C25" s="349" t="s">
        <v>12765</v>
      </c>
      <c r="D25" s="349" t="s">
        <v>7152</v>
      </c>
      <c r="E25" s="349" t="s">
        <v>12756</v>
      </c>
      <c r="F25" s="349">
        <v>180987</v>
      </c>
      <c r="G25" s="349" t="s">
        <v>12852</v>
      </c>
      <c r="H25" s="349" t="s">
        <v>12853</v>
      </c>
      <c r="I25" s="349" t="s">
        <v>12854</v>
      </c>
      <c r="J25" s="349" t="s">
        <v>12855</v>
      </c>
      <c r="K25" s="349" t="s">
        <v>12856</v>
      </c>
      <c r="L25" s="349" t="s">
        <v>12857</v>
      </c>
      <c r="M25" s="349" t="s">
        <v>12858</v>
      </c>
      <c r="N25" s="349" t="s">
        <v>12859</v>
      </c>
      <c r="O25" s="349" t="s">
        <v>12860</v>
      </c>
      <c r="P25" s="349" t="s">
        <v>10154</v>
      </c>
      <c r="Q25" s="349">
        <v>2019</v>
      </c>
    </row>
    <row r="26" spans="2:17" s="354" customFormat="1" ht="71.25" x14ac:dyDescent="0.2">
      <c r="B26" s="349" t="s">
        <v>12754</v>
      </c>
      <c r="C26" s="349" t="s">
        <v>12765</v>
      </c>
      <c r="D26" s="349" t="s">
        <v>7152</v>
      </c>
      <c r="E26" s="349" t="s">
        <v>12756</v>
      </c>
      <c r="F26" s="349">
        <v>181263</v>
      </c>
      <c r="G26" s="349" t="s">
        <v>12861</v>
      </c>
      <c r="H26" s="349" t="s">
        <v>12862</v>
      </c>
      <c r="I26" s="349" t="s">
        <v>12863</v>
      </c>
      <c r="J26" s="349" t="s">
        <v>12864</v>
      </c>
      <c r="K26" s="349" t="s">
        <v>12848</v>
      </c>
      <c r="L26" s="349" t="s">
        <v>8232</v>
      </c>
      <c r="M26" s="349" t="s">
        <v>12865</v>
      </c>
      <c r="N26" s="349" t="s">
        <v>12866</v>
      </c>
      <c r="O26" s="349" t="s">
        <v>12867</v>
      </c>
      <c r="P26" s="349" t="s">
        <v>12868</v>
      </c>
      <c r="Q26" s="349">
        <v>2019</v>
      </c>
    </row>
    <row r="27" spans="2:17" s="354" customFormat="1" ht="42.75" x14ac:dyDescent="0.2">
      <c r="B27" s="349" t="s">
        <v>12754</v>
      </c>
      <c r="C27" s="349" t="s">
        <v>12765</v>
      </c>
      <c r="D27" s="349" t="s">
        <v>7152</v>
      </c>
      <c r="E27" s="349" t="s">
        <v>12756</v>
      </c>
      <c r="F27" s="349">
        <v>181235</v>
      </c>
      <c r="G27" s="349" t="s">
        <v>12869</v>
      </c>
      <c r="H27" s="349" t="s">
        <v>12870</v>
      </c>
      <c r="I27" s="349" t="s">
        <v>12871</v>
      </c>
      <c r="J27" s="349" t="s">
        <v>12872</v>
      </c>
      <c r="K27" s="349" t="s">
        <v>8231</v>
      </c>
      <c r="L27" s="349" t="s">
        <v>8232</v>
      </c>
      <c r="M27" s="349" t="s">
        <v>2460</v>
      </c>
      <c r="N27" s="349" t="s">
        <v>12873</v>
      </c>
      <c r="O27" s="349" t="s">
        <v>12798</v>
      </c>
      <c r="P27" s="349" t="s">
        <v>10154</v>
      </c>
      <c r="Q27" s="349">
        <v>2019</v>
      </c>
    </row>
    <row r="28" spans="2:17" s="354" customFormat="1" ht="42.75" x14ac:dyDescent="0.2">
      <c r="B28" s="349" t="s">
        <v>12754</v>
      </c>
      <c r="C28" s="349" t="s">
        <v>12765</v>
      </c>
      <c r="D28" s="349" t="s">
        <v>7152</v>
      </c>
      <c r="E28" s="349" t="s">
        <v>12756</v>
      </c>
      <c r="F28" s="349">
        <v>181342</v>
      </c>
      <c r="G28" s="349" t="s">
        <v>12874</v>
      </c>
      <c r="H28" s="349" t="s">
        <v>12875</v>
      </c>
      <c r="I28" s="349" t="s">
        <v>12871</v>
      </c>
      <c r="J28" s="349" t="s">
        <v>12872</v>
      </c>
      <c r="K28" s="349" t="s">
        <v>8231</v>
      </c>
      <c r="L28" s="349" t="s">
        <v>8232</v>
      </c>
      <c r="M28" s="349" t="s">
        <v>2460</v>
      </c>
      <c r="N28" s="349" t="s">
        <v>12876</v>
      </c>
      <c r="O28" s="349" t="s">
        <v>12798</v>
      </c>
      <c r="P28" s="349" t="s">
        <v>12823</v>
      </c>
      <c r="Q28" s="349">
        <v>2019</v>
      </c>
    </row>
    <row r="29" spans="2:17" s="354" customFormat="1" ht="42.75" x14ac:dyDescent="0.2">
      <c r="B29" s="349" t="s">
        <v>12754</v>
      </c>
      <c r="C29" s="349" t="s">
        <v>12765</v>
      </c>
      <c r="D29" s="349" t="s">
        <v>7152</v>
      </c>
      <c r="E29" s="349" t="s">
        <v>12756</v>
      </c>
      <c r="F29" s="349">
        <v>181438</v>
      </c>
      <c r="G29" s="349" t="s">
        <v>12877</v>
      </c>
      <c r="H29" s="349" t="s">
        <v>12878</v>
      </c>
      <c r="I29" s="349" t="s">
        <v>12871</v>
      </c>
      <c r="J29" s="349" t="s">
        <v>12872</v>
      </c>
      <c r="K29" s="349" t="s">
        <v>8231</v>
      </c>
      <c r="L29" s="349" t="s">
        <v>8232</v>
      </c>
      <c r="M29" s="349" t="s">
        <v>12879</v>
      </c>
      <c r="N29" s="349" t="s">
        <v>12876</v>
      </c>
      <c r="O29" s="349" t="s">
        <v>12798</v>
      </c>
      <c r="P29" s="349" t="s">
        <v>464</v>
      </c>
      <c r="Q29" s="349">
        <v>2019</v>
      </c>
    </row>
    <row r="30" spans="2:17" s="354" customFormat="1" ht="42.75" x14ac:dyDescent="0.2">
      <c r="B30" s="349" t="s">
        <v>12754</v>
      </c>
      <c r="C30" s="349" t="s">
        <v>12755</v>
      </c>
      <c r="D30" s="349" t="s">
        <v>7152</v>
      </c>
      <c r="E30" s="349" t="s">
        <v>12756</v>
      </c>
      <c r="F30" s="349">
        <v>181472</v>
      </c>
      <c r="G30" s="349" t="s">
        <v>12880</v>
      </c>
      <c r="H30" s="349" t="s">
        <v>12881</v>
      </c>
      <c r="I30" s="349" t="s">
        <v>12871</v>
      </c>
      <c r="J30" s="349" t="s">
        <v>12872</v>
      </c>
      <c r="K30" s="349" t="s">
        <v>8231</v>
      </c>
      <c r="L30" s="349" t="s">
        <v>8232</v>
      </c>
      <c r="M30" s="349" t="s">
        <v>12879</v>
      </c>
      <c r="N30" s="349" t="s">
        <v>12882</v>
      </c>
      <c r="O30" s="349" t="s">
        <v>12798</v>
      </c>
      <c r="P30" s="349" t="s">
        <v>464</v>
      </c>
      <c r="Q30" s="349">
        <v>2019</v>
      </c>
    </row>
    <row r="31" spans="2:17" s="354" customFormat="1" ht="42.75" x14ac:dyDescent="0.2">
      <c r="B31" s="349" t="s">
        <v>12754</v>
      </c>
      <c r="C31" s="349" t="s">
        <v>12765</v>
      </c>
      <c r="D31" s="349" t="s">
        <v>7152</v>
      </c>
      <c r="E31" s="349" t="s">
        <v>12756</v>
      </c>
      <c r="F31" s="349">
        <v>181634</v>
      </c>
      <c r="G31" s="349" t="s">
        <v>12883</v>
      </c>
      <c r="H31" s="349" t="s">
        <v>12884</v>
      </c>
      <c r="I31" s="349" t="s">
        <v>12871</v>
      </c>
      <c r="J31" s="349" t="s">
        <v>12872</v>
      </c>
      <c r="K31" s="349" t="s">
        <v>8231</v>
      </c>
      <c r="L31" s="349" t="s">
        <v>8232</v>
      </c>
      <c r="M31" s="349" t="s">
        <v>12879</v>
      </c>
      <c r="N31" s="349" t="s">
        <v>12885</v>
      </c>
      <c r="O31" s="349" t="s">
        <v>12886</v>
      </c>
      <c r="P31" s="349" t="s">
        <v>28</v>
      </c>
      <c r="Q31" s="349">
        <v>2019</v>
      </c>
    </row>
    <row r="32" spans="2:17" s="354" customFormat="1" ht="42.75" x14ac:dyDescent="0.2">
      <c r="B32" s="349" t="s">
        <v>12754</v>
      </c>
      <c r="C32" s="349" t="s">
        <v>12765</v>
      </c>
      <c r="D32" s="349" t="s">
        <v>7152</v>
      </c>
      <c r="E32" s="349" t="s">
        <v>12756</v>
      </c>
      <c r="F32" s="349">
        <v>180809</v>
      </c>
      <c r="G32" s="349" t="s">
        <v>12887</v>
      </c>
      <c r="H32" s="349" t="s">
        <v>12888</v>
      </c>
      <c r="I32" s="349" t="s">
        <v>12871</v>
      </c>
      <c r="J32" s="349" t="s">
        <v>12872</v>
      </c>
      <c r="K32" s="349" t="s">
        <v>8231</v>
      </c>
      <c r="L32" s="349" t="s">
        <v>8232</v>
      </c>
      <c r="M32" s="349" t="s">
        <v>12889</v>
      </c>
      <c r="N32" s="349" t="s">
        <v>12890</v>
      </c>
      <c r="O32" s="349" t="s">
        <v>12891</v>
      </c>
      <c r="P32" s="349" t="s">
        <v>28</v>
      </c>
      <c r="Q32" s="349">
        <v>2019</v>
      </c>
    </row>
    <row r="33" spans="2:17" s="354" customFormat="1" ht="42.75" x14ac:dyDescent="0.2">
      <c r="B33" s="349" t="s">
        <v>12754</v>
      </c>
      <c r="C33" s="349" t="s">
        <v>12755</v>
      </c>
      <c r="D33" s="349" t="s">
        <v>7152</v>
      </c>
      <c r="E33" s="349" t="s">
        <v>12756</v>
      </c>
      <c r="F33" s="349">
        <v>180064</v>
      </c>
      <c r="G33" s="349" t="s">
        <v>12892</v>
      </c>
      <c r="H33" s="349" t="s">
        <v>12893</v>
      </c>
      <c r="I33" s="349" t="s">
        <v>12894</v>
      </c>
      <c r="J33" s="349" t="s">
        <v>12895</v>
      </c>
      <c r="K33" s="349" t="s">
        <v>12896</v>
      </c>
      <c r="L33" s="349" t="s">
        <v>8232</v>
      </c>
      <c r="M33" s="349" t="s">
        <v>12810</v>
      </c>
      <c r="N33" s="349" t="s">
        <v>12897</v>
      </c>
      <c r="O33" s="349" t="s">
        <v>12775</v>
      </c>
      <c r="P33" s="349" t="s">
        <v>12898</v>
      </c>
      <c r="Q33" s="349">
        <v>2019</v>
      </c>
    </row>
    <row r="34" spans="2:17" s="354" customFormat="1" ht="57" x14ac:dyDescent="0.2">
      <c r="B34" s="349" t="s">
        <v>12754</v>
      </c>
      <c r="C34" s="349" t="s">
        <v>12765</v>
      </c>
      <c r="D34" s="349" t="s">
        <v>7152</v>
      </c>
      <c r="E34" s="349" t="s">
        <v>12756</v>
      </c>
      <c r="F34" s="349">
        <v>180271</v>
      </c>
      <c r="G34" s="349" t="s">
        <v>12899</v>
      </c>
      <c r="H34" s="349" t="s">
        <v>12900</v>
      </c>
      <c r="I34" s="349" t="s">
        <v>11573</v>
      </c>
      <c r="J34" s="349" t="s">
        <v>12901</v>
      </c>
      <c r="K34" s="349" t="s">
        <v>12902</v>
      </c>
      <c r="L34" s="349" t="s">
        <v>8232</v>
      </c>
      <c r="M34" s="349" t="s">
        <v>12903</v>
      </c>
      <c r="N34" s="349" t="s">
        <v>12904</v>
      </c>
      <c r="O34" s="349" t="s">
        <v>12775</v>
      </c>
      <c r="P34" s="349" t="s">
        <v>12905</v>
      </c>
      <c r="Q34" s="349">
        <v>2019</v>
      </c>
    </row>
    <row r="35" spans="2:17" s="354" customFormat="1" ht="42.75" x14ac:dyDescent="0.2">
      <c r="B35" s="349" t="s">
        <v>12754</v>
      </c>
      <c r="C35" s="349" t="s">
        <v>12765</v>
      </c>
      <c r="D35" s="349" t="s">
        <v>7152</v>
      </c>
      <c r="E35" s="349" t="s">
        <v>12756</v>
      </c>
      <c r="F35" s="349">
        <v>180095</v>
      </c>
      <c r="G35" s="349" t="s">
        <v>12906</v>
      </c>
      <c r="H35" s="349" t="s">
        <v>12907</v>
      </c>
      <c r="I35" s="349" t="s">
        <v>12908</v>
      </c>
      <c r="J35" s="349" t="s">
        <v>12909</v>
      </c>
      <c r="K35" s="349" t="s">
        <v>12910</v>
      </c>
      <c r="L35" s="349" t="s">
        <v>12911</v>
      </c>
      <c r="M35" s="349" t="s">
        <v>12912</v>
      </c>
      <c r="N35" s="349" t="s">
        <v>12913</v>
      </c>
      <c r="O35" s="349" t="s">
        <v>12775</v>
      </c>
      <c r="P35" s="349" t="s">
        <v>12898</v>
      </c>
      <c r="Q35" s="349">
        <v>2019</v>
      </c>
    </row>
    <row r="36" spans="2:17" s="354" customFormat="1" ht="57" x14ac:dyDescent="0.2">
      <c r="B36" s="349" t="s">
        <v>12754</v>
      </c>
      <c r="C36" s="349" t="s">
        <v>12765</v>
      </c>
      <c r="D36" s="349" t="s">
        <v>7152</v>
      </c>
      <c r="E36" s="349" t="s">
        <v>12756</v>
      </c>
      <c r="F36" s="349">
        <v>180034</v>
      </c>
      <c r="G36" s="349" t="s">
        <v>12914</v>
      </c>
      <c r="H36" s="349" t="s">
        <v>12915</v>
      </c>
      <c r="I36" s="349" t="s">
        <v>12916</v>
      </c>
      <c r="J36" s="349" t="s">
        <v>12917</v>
      </c>
      <c r="K36" s="349" t="s">
        <v>8231</v>
      </c>
      <c r="L36" s="349" t="s">
        <v>8232</v>
      </c>
      <c r="M36" s="349" t="s">
        <v>12918</v>
      </c>
      <c r="N36" s="349" t="s">
        <v>12919</v>
      </c>
      <c r="O36" s="349" t="s">
        <v>12920</v>
      </c>
      <c r="P36" s="349" t="s">
        <v>12898</v>
      </c>
      <c r="Q36" s="349">
        <v>2019</v>
      </c>
    </row>
    <row r="37" spans="2:17" s="354" customFormat="1" ht="42.75" x14ac:dyDescent="0.2">
      <c r="B37" s="349" t="s">
        <v>12754</v>
      </c>
      <c r="C37" s="349" t="s">
        <v>12765</v>
      </c>
      <c r="D37" s="349" t="s">
        <v>7152</v>
      </c>
      <c r="E37" s="349" t="s">
        <v>12756</v>
      </c>
      <c r="F37" s="349">
        <v>180304</v>
      </c>
      <c r="G37" s="349" t="s">
        <v>12921</v>
      </c>
      <c r="H37" s="349" t="s">
        <v>12922</v>
      </c>
      <c r="I37" s="349" t="s">
        <v>12923</v>
      </c>
      <c r="J37" s="349" t="s">
        <v>12924</v>
      </c>
      <c r="K37" s="349" t="s">
        <v>12925</v>
      </c>
      <c r="L37" s="349" t="s">
        <v>12926</v>
      </c>
      <c r="M37" s="349" t="s">
        <v>12927</v>
      </c>
      <c r="N37" s="349" t="s">
        <v>12928</v>
      </c>
      <c r="O37" s="349" t="s">
        <v>12929</v>
      </c>
      <c r="P37" s="349" t="s">
        <v>12930</v>
      </c>
      <c r="Q37" s="349">
        <v>2019</v>
      </c>
    </row>
    <row r="38" spans="2:17" s="354" customFormat="1" ht="42.75" x14ac:dyDescent="0.2">
      <c r="B38" s="349" t="s">
        <v>12754</v>
      </c>
      <c r="C38" s="349" t="s">
        <v>12765</v>
      </c>
      <c r="D38" s="349" t="s">
        <v>7152</v>
      </c>
      <c r="E38" s="349" t="s">
        <v>12756</v>
      </c>
      <c r="F38" s="349">
        <v>180307</v>
      </c>
      <c r="G38" s="349" t="s">
        <v>12931</v>
      </c>
      <c r="H38" s="349" t="s">
        <v>12932</v>
      </c>
      <c r="I38" s="349" t="s">
        <v>12923</v>
      </c>
      <c r="J38" s="349" t="s">
        <v>12924</v>
      </c>
      <c r="K38" s="349" t="s">
        <v>12925</v>
      </c>
      <c r="L38" s="349" t="s">
        <v>12926</v>
      </c>
      <c r="M38" s="349" t="s">
        <v>12933</v>
      </c>
      <c r="N38" s="349" t="s">
        <v>12928</v>
      </c>
      <c r="O38" s="349" t="s">
        <v>12929</v>
      </c>
      <c r="P38" s="349" t="s">
        <v>12930</v>
      </c>
      <c r="Q38" s="349">
        <v>2019</v>
      </c>
    </row>
    <row r="39" spans="2:17" s="354" customFormat="1" ht="114" x14ac:dyDescent="0.2">
      <c r="B39" s="349" t="s">
        <v>12754</v>
      </c>
      <c r="C39" s="349" t="s">
        <v>12755</v>
      </c>
      <c r="D39" s="349" t="s">
        <v>7152</v>
      </c>
      <c r="E39" s="349" t="s">
        <v>12756</v>
      </c>
      <c r="F39" s="349">
        <v>170009</v>
      </c>
      <c r="G39" s="349" t="s">
        <v>12934</v>
      </c>
      <c r="H39" s="349" t="s">
        <v>12935</v>
      </c>
      <c r="I39" s="349" t="s">
        <v>12936</v>
      </c>
      <c r="J39" s="349" t="s">
        <v>12937</v>
      </c>
      <c r="K39" s="349" t="s">
        <v>8231</v>
      </c>
      <c r="L39" s="349" t="s">
        <v>8232</v>
      </c>
      <c r="M39" s="349" t="s">
        <v>12938</v>
      </c>
      <c r="N39" s="349" t="s">
        <v>12939</v>
      </c>
      <c r="O39" s="349" t="s">
        <v>12940</v>
      </c>
      <c r="P39" s="349" t="s">
        <v>12761</v>
      </c>
      <c r="Q39" s="349">
        <v>2019</v>
      </c>
    </row>
    <row r="40" spans="2:17" s="354" customFormat="1" ht="57" x14ac:dyDescent="0.2">
      <c r="B40" s="349" t="s">
        <v>12754</v>
      </c>
      <c r="C40" s="349" t="s">
        <v>12755</v>
      </c>
      <c r="D40" s="349" t="s">
        <v>7152</v>
      </c>
      <c r="E40" s="349" t="s">
        <v>12756</v>
      </c>
      <c r="F40" s="349">
        <v>170010</v>
      </c>
      <c r="G40" s="349" t="s">
        <v>12941</v>
      </c>
      <c r="H40" s="349" t="s">
        <v>12942</v>
      </c>
      <c r="I40" s="349" t="s">
        <v>12936</v>
      </c>
      <c r="J40" s="349" t="s">
        <v>12937</v>
      </c>
      <c r="K40" s="349" t="s">
        <v>8231</v>
      </c>
      <c r="L40" s="349" t="s">
        <v>8232</v>
      </c>
      <c r="M40" s="349" t="s">
        <v>12810</v>
      </c>
      <c r="N40" s="349" t="s">
        <v>12943</v>
      </c>
      <c r="O40" s="349" t="s">
        <v>12944</v>
      </c>
      <c r="P40" s="349" t="s">
        <v>12761</v>
      </c>
      <c r="Q40" s="349">
        <v>2019</v>
      </c>
    </row>
    <row r="41" spans="2:17" s="354" customFormat="1" ht="71.25" x14ac:dyDescent="0.2">
      <c r="B41" s="349" t="s">
        <v>12754</v>
      </c>
      <c r="C41" s="349" t="s">
        <v>12762</v>
      </c>
      <c r="D41" s="349" t="s">
        <v>7152</v>
      </c>
      <c r="E41" s="349" t="s">
        <v>12756</v>
      </c>
      <c r="F41" s="349">
        <v>170019</v>
      </c>
      <c r="G41" s="349" t="s">
        <v>12945</v>
      </c>
      <c r="H41" s="349" t="s">
        <v>12946</v>
      </c>
      <c r="I41" s="349" t="s">
        <v>12936</v>
      </c>
      <c r="J41" s="349" t="s">
        <v>12937</v>
      </c>
      <c r="K41" s="349" t="s">
        <v>8231</v>
      </c>
      <c r="L41" s="349" t="s">
        <v>8232</v>
      </c>
      <c r="M41" s="349" t="s">
        <v>12947</v>
      </c>
      <c r="N41" s="349" t="s">
        <v>12948</v>
      </c>
      <c r="O41" s="349" t="s">
        <v>12949</v>
      </c>
      <c r="P41" s="349" t="s">
        <v>12761</v>
      </c>
      <c r="Q41" s="349">
        <v>2019</v>
      </c>
    </row>
    <row r="42" spans="2:17" s="354" customFormat="1" ht="57" x14ac:dyDescent="0.2">
      <c r="B42" s="349" t="s">
        <v>12754</v>
      </c>
      <c r="C42" s="349" t="s">
        <v>12755</v>
      </c>
      <c r="D42" s="349" t="s">
        <v>7152</v>
      </c>
      <c r="E42" s="349" t="s">
        <v>12756</v>
      </c>
      <c r="F42" s="349">
        <v>170048</v>
      </c>
      <c r="G42" s="349" t="s">
        <v>12950</v>
      </c>
      <c r="H42" s="349" t="s">
        <v>12951</v>
      </c>
      <c r="I42" s="349" t="s">
        <v>12936</v>
      </c>
      <c r="J42" s="349" t="s">
        <v>12937</v>
      </c>
      <c r="K42" s="349" t="s">
        <v>8231</v>
      </c>
      <c r="L42" s="349" t="s">
        <v>8232</v>
      </c>
      <c r="M42" s="349" t="s">
        <v>12912</v>
      </c>
      <c r="N42" s="349" t="s">
        <v>12952</v>
      </c>
      <c r="O42" s="349" t="s">
        <v>12953</v>
      </c>
      <c r="P42" s="349" t="s">
        <v>12761</v>
      </c>
      <c r="Q42" s="349">
        <v>2019</v>
      </c>
    </row>
    <row r="43" spans="2:17" s="354" customFormat="1" ht="57" x14ac:dyDescent="0.2">
      <c r="B43" s="349" t="s">
        <v>12754</v>
      </c>
      <c r="C43" s="349" t="s">
        <v>12755</v>
      </c>
      <c r="D43" s="349" t="s">
        <v>7152</v>
      </c>
      <c r="E43" s="349" t="s">
        <v>12756</v>
      </c>
      <c r="F43" s="349">
        <v>170029</v>
      </c>
      <c r="G43" s="349" t="s">
        <v>12954</v>
      </c>
      <c r="H43" s="349" t="s">
        <v>12955</v>
      </c>
      <c r="I43" s="349" t="s">
        <v>12936</v>
      </c>
      <c r="J43" s="349" t="s">
        <v>12937</v>
      </c>
      <c r="K43" s="349" t="s">
        <v>8231</v>
      </c>
      <c r="L43" s="349" t="s">
        <v>8232</v>
      </c>
      <c r="M43" s="349" t="s">
        <v>12956</v>
      </c>
      <c r="N43" s="349" t="s">
        <v>12957</v>
      </c>
      <c r="O43" s="349" t="s">
        <v>12958</v>
      </c>
      <c r="P43" s="349" t="s">
        <v>12761</v>
      </c>
      <c r="Q43" s="349">
        <v>2019</v>
      </c>
    </row>
    <row r="44" spans="2:17" s="354" customFormat="1" ht="85.5" x14ac:dyDescent="0.2">
      <c r="B44" s="349" t="s">
        <v>12754</v>
      </c>
      <c r="C44" s="349" t="s">
        <v>12762</v>
      </c>
      <c r="D44" s="349" t="s">
        <v>7152</v>
      </c>
      <c r="E44" s="349" t="s">
        <v>12756</v>
      </c>
      <c r="F44" s="349">
        <v>180012</v>
      </c>
      <c r="G44" s="349" t="s">
        <v>12959</v>
      </c>
      <c r="H44" s="349" t="s">
        <v>12960</v>
      </c>
      <c r="I44" s="349" t="s">
        <v>12936</v>
      </c>
      <c r="J44" s="349" t="s">
        <v>12937</v>
      </c>
      <c r="K44" s="349" t="s">
        <v>8231</v>
      </c>
      <c r="L44" s="349" t="s">
        <v>8232</v>
      </c>
      <c r="M44" s="349" t="s">
        <v>12961</v>
      </c>
      <c r="N44" s="349" t="s">
        <v>12962</v>
      </c>
      <c r="O44" s="349" t="s">
        <v>12963</v>
      </c>
      <c r="P44" s="349" t="s">
        <v>12761</v>
      </c>
      <c r="Q44" s="349">
        <v>2019</v>
      </c>
    </row>
    <row r="45" spans="2:17" s="354" customFormat="1" ht="71.25" x14ac:dyDescent="0.2">
      <c r="B45" s="349" t="s">
        <v>12754</v>
      </c>
      <c r="C45" s="349" t="s">
        <v>12762</v>
      </c>
      <c r="D45" s="349" t="s">
        <v>7152</v>
      </c>
      <c r="E45" s="349" t="s">
        <v>12756</v>
      </c>
      <c r="F45" s="349">
        <v>180013</v>
      </c>
      <c r="G45" s="349" t="s">
        <v>12964</v>
      </c>
      <c r="H45" s="349" t="s">
        <v>12965</v>
      </c>
      <c r="I45" s="349" t="s">
        <v>12936</v>
      </c>
      <c r="J45" s="349" t="s">
        <v>12937</v>
      </c>
      <c r="K45" s="349" t="s">
        <v>8231</v>
      </c>
      <c r="L45" s="349" t="s">
        <v>8232</v>
      </c>
      <c r="M45" s="349" t="s">
        <v>12966</v>
      </c>
      <c r="N45" s="349" t="s">
        <v>12967</v>
      </c>
      <c r="O45" s="349" t="s">
        <v>12968</v>
      </c>
      <c r="P45" s="349" t="s">
        <v>12761</v>
      </c>
      <c r="Q45" s="349">
        <v>2019</v>
      </c>
    </row>
    <row r="46" spans="2:17" s="354" customFormat="1" ht="71.25" x14ac:dyDescent="0.2">
      <c r="B46" s="349" t="s">
        <v>12754</v>
      </c>
      <c r="C46" s="349" t="s">
        <v>12765</v>
      </c>
      <c r="D46" s="349" t="s">
        <v>7152</v>
      </c>
      <c r="E46" s="349" t="s">
        <v>12756</v>
      </c>
      <c r="F46" s="349">
        <v>180062</v>
      </c>
      <c r="G46" s="349" t="s">
        <v>12969</v>
      </c>
      <c r="H46" s="349" t="s">
        <v>12970</v>
      </c>
      <c r="I46" s="349" t="s">
        <v>12936</v>
      </c>
      <c r="J46" s="349" t="s">
        <v>12937</v>
      </c>
      <c r="K46" s="349" t="s">
        <v>8231</v>
      </c>
      <c r="L46" s="349" t="s">
        <v>8232</v>
      </c>
      <c r="M46" s="349" t="s">
        <v>11551</v>
      </c>
      <c r="N46" s="349" t="s">
        <v>12971</v>
      </c>
      <c r="O46" s="349" t="s">
        <v>12972</v>
      </c>
      <c r="P46" s="349" t="s">
        <v>12761</v>
      </c>
      <c r="Q46" s="349">
        <v>2019</v>
      </c>
    </row>
    <row r="47" spans="2:17" s="354" customFormat="1" ht="71.25" x14ac:dyDescent="0.2">
      <c r="B47" s="349" t="s">
        <v>12754</v>
      </c>
      <c r="C47" s="349" t="s">
        <v>12755</v>
      </c>
      <c r="D47" s="349" t="s">
        <v>7152</v>
      </c>
      <c r="E47" s="349" t="s">
        <v>12756</v>
      </c>
      <c r="F47" s="349">
        <v>180063</v>
      </c>
      <c r="G47" s="349" t="s">
        <v>12973</v>
      </c>
      <c r="H47" s="349" t="s">
        <v>12974</v>
      </c>
      <c r="I47" s="349" t="s">
        <v>12936</v>
      </c>
      <c r="J47" s="349" t="s">
        <v>12937</v>
      </c>
      <c r="K47" s="349" t="s">
        <v>8231</v>
      </c>
      <c r="L47" s="349" t="s">
        <v>8232</v>
      </c>
      <c r="M47" s="349" t="s">
        <v>11551</v>
      </c>
      <c r="N47" s="349" t="s">
        <v>12975</v>
      </c>
      <c r="O47" s="349" t="s">
        <v>12972</v>
      </c>
      <c r="P47" s="349" t="s">
        <v>12761</v>
      </c>
      <c r="Q47" s="349">
        <v>2019</v>
      </c>
    </row>
    <row r="48" spans="2:17" s="354" customFormat="1" ht="57" x14ac:dyDescent="0.2">
      <c r="B48" s="349" t="s">
        <v>12754</v>
      </c>
      <c r="C48" s="349" t="s">
        <v>12765</v>
      </c>
      <c r="D48" s="349" t="s">
        <v>7152</v>
      </c>
      <c r="E48" s="349" t="s">
        <v>12756</v>
      </c>
      <c r="F48" s="349">
        <v>180099</v>
      </c>
      <c r="G48" s="349" t="s">
        <v>12976</v>
      </c>
      <c r="H48" s="349" t="s">
        <v>12977</v>
      </c>
      <c r="I48" s="349" t="s">
        <v>12936</v>
      </c>
      <c r="J48" s="349" t="s">
        <v>12937</v>
      </c>
      <c r="K48" s="349" t="s">
        <v>8231</v>
      </c>
      <c r="L48" s="349" t="s">
        <v>8232</v>
      </c>
      <c r="M48" s="349" t="s">
        <v>12978</v>
      </c>
      <c r="N48" s="349" t="s">
        <v>12979</v>
      </c>
      <c r="O48" s="349" t="s">
        <v>12980</v>
      </c>
      <c r="P48" s="349" t="s">
        <v>12761</v>
      </c>
      <c r="Q48" s="349">
        <v>2019</v>
      </c>
    </row>
    <row r="49" spans="2:17" s="354" customFormat="1" ht="57" x14ac:dyDescent="0.2">
      <c r="B49" s="349" t="s">
        <v>12754</v>
      </c>
      <c r="C49" s="349" t="s">
        <v>12755</v>
      </c>
      <c r="D49" s="349" t="s">
        <v>7152</v>
      </c>
      <c r="E49" s="349" t="s">
        <v>12756</v>
      </c>
      <c r="F49" s="349">
        <v>180093</v>
      </c>
      <c r="G49" s="349" t="s">
        <v>12981</v>
      </c>
      <c r="H49" s="349" t="s">
        <v>12982</v>
      </c>
      <c r="I49" s="349" t="s">
        <v>12936</v>
      </c>
      <c r="J49" s="349" t="s">
        <v>12937</v>
      </c>
      <c r="K49" s="349" t="s">
        <v>8231</v>
      </c>
      <c r="L49" s="349" t="s">
        <v>8232</v>
      </c>
      <c r="M49" s="349" t="s">
        <v>12912</v>
      </c>
      <c r="N49" s="349" t="s">
        <v>12983</v>
      </c>
      <c r="O49" s="349" t="s">
        <v>12775</v>
      </c>
      <c r="P49" s="349" t="s">
        <v>12761</v>
      </c>
      <c r="Q49" s="349">
        <v>2019</v>
      </c>
    </row>
    <row r="50" spans="2:17" s="354" customFormat="1" ht="71.25" x14ac:dyDescent="0.2">
      <c r="B50" s="349" t="s">
        <v>12754</v>
      </c>
      <c r="C50" s="349" t="s">
        <v>12765</v>
      </c>
      <c r="D50" s="349" t="s">
        <v>7152</v>
      </c>
      <c r="E50" s="349" t="s">
        <v>12756</v>
      </c>
      <c r="F50" s="349">
        <v>180212</v>
      </c>
      <c r="G50" s="349" t="s">
        <v>12984</v>
      </c>
      <c r="H50" s="349" t="s">
        <v>12985</v>
      </c>
      <c r="I50" s="349" t="s">
        <v>12936</v>
      </c>
      <c r="J50" s="349" t="s">
        <v>12937</v>
      </c>
      <c r="K50" s="349" t="s">
        <v>8231</v>
      </c>
      <c r="L50" s="349" t="s">
        <v>8232</v>
      </c>
      <c r="M50" s="349" t="s">
        <v>12912</v>
      </c>
      <c r="N50" s="349" t="s">
        <v>12986</v>
      </c>
      <c r="O50" s="349" t="s">
        <v>12972</v>
      </c>
      <c r="P50" s="349" t="s">
        <v>12761</v>
      </c>
      <c r="Q50" s="349">
        <v>2019</v>
      </c>
    </row>
    <row r="51" spans="2:17" s="354" customFormat="1" ht="71.25" x14ac:dyDescent="0.2">
      <c r="B51" s="349" t="s">
        <v>12754</v>
      </c>
      <c r="C51" s="349" t="s">
        <v>12765</v>
      </c>
      <c r="D51" s="349" t="s">
        <v>7152</v>
      </c>
      <c r="E51" s="349" t="s">
        <v>12756</v>
      </c>
      <c r="F51" s="349">
        <v>180262</v>
      </c>
      <c r="G51" s="349" t="s">
        <v>12987</v>
      </c>
      <c r="H51" s="349" t="s">
        <v>12970</v>
      </c>
      <c r="I51" s="349" t="s">
        <v>12936</v>
      </c>
      <c r="J51" s="349" t="s">
        <v>12937</v>
      </c>
      <c r="K51" s="349" t="s">
        <v>8231</v>
      </c>
      <c r="L51" s="349" t="s">
        <v>8232</v>
      </c>
      <c r="M51" s="349" t="s">
        <v>11551</v>
      </c>
      <c r="N51" s="349" t="s">
        <v>12988</v>
      </c>
      <c r="O51" s="349" t="s">
        <v>12972</v>
      </c>
      <c r="P51" s="349" t="s">
        <v>12761</v>
      </c>
      <c r="Q51" s="349">
        <v>2019</v>
      </c>
    </row>
    <row r="52" spans="2:17" s="354" customFormat="1" ht="57" x14ac:dyDescent="0.2">
      <c r="B52" s="349" t="s">
        <v>12754</v>
      </c>
      <c r="C52" s="349" t="s">
        <v>12765</v>
      </c>
      <c r="D52" s="349" t="s">
        <v>7152</v>
      </c>
      <c r="E52" s="349" t="s">
        <v>12756</v>
      </c>
      <c r="F52" s="349">
        <v>180279</v>
      </c>
      <c r="G52" s="349" t="s">
        <v>12989</v>
      </c>
      <c r="H52" s="349" t="s">
        <v>12990</v>
      </c>
      <c r="I52" s="349" t="s">
        <v>12936</v>
      </c>
      <c r="J52" s="349" t="s">
        <v>12937</v>
      </c>
      <c r="K52" s="349" t="s">
        <v>8231</v>
      </c>
      <c r="L52" s="349" t="s">
        <v>8232</v>
      </c>
      <c r="M52" s="349" t="s">
        <v>11551</v>
      </c>
      <c r="N52" s="349" t="s">
        <v>12991</v>
      </c>
      <c r="O52" s="349" t="s">
        <v>12775</v>
      </c>
      <c r="P52" s="349" t="s">
        <v>12761</v>
      </c>
      <c r="Q52" s="349">
        <v>2019</v>
      </c>
    </row>
    <row r="53" spans="2:17" s="354" customFormat="1" ht="57" x14ac:dyDescent="0.2">
      <c r="B53" s="349" t="s">
        <v>12754</v>
      </c>
      <c r="C53" s="349" t="s">
        <v>12765</v>
      </c>
      <c r="D53" s="349" t="s">
        <v>7152</v>
      </c>
      <c r="E53" s="349" t="s">
        <v>12756</v>
      </c>
      <c r="F53" s="349">
        <v>180312</v>
      </c>
      <c r="G53" s="349" t="s">
        <v>12992</v>
      </c>
      <c r="H53" s="349" t="s">
        <v>12993</v>
      </c>
      <c r="I53" s="349" t="s">
        <v>12936</v>
      </c>
      <c r="J53" s="349" t="s">
        <v>12937</v>
      </c>
      <c r="K53" s="349" t="s">
        <v>8231</v>
      </c>
      <c r="L53" s="349" t="s">
        <v>8232</v>
      </c>
      <c r="M53" s="349" t="s">
        <v>11551</v>
      </c>
      <c r="N53" s="349" t="s">
        <v>12994</v>
      </c>
      <c r="O53" s="349" t="s">
        <v>12775</v>
      </c>
      <c r="P53" s="349" t="s">
        <v>12995</v>
      </c>
      <c r="Q53" s="349">
        <v>2019</v>
      </c>
    </row>
    <row r="54" spans="2:17" s="354" customFormat="1" ht="57" x14ac:dyDescent="0.2">
      <c r="B54" s="349" t="s">
        <v>12754</v>
      </c>
      <c r="C54" s="349" t="s">
        <v>12765</v>
      </c>
      <c r="D54" s="349" t="s">
        <v>7152</v>
      </c>
      <c r="E54" s="349" t="s">
        <v>12756</v>
      </c>
      <c r="F54" s="349">
        <v>180205</v>
      </c>
      <c r="G54" s="349" t="s">
        <v>12996</v>
      </c>
      <c r="H54" s="349" t="s">
        <v>12997</v>
      </c>
      <c r="I54" s="349" t="s">
        <v>12936</v>
      </c>
      <c r="J54" s="349" t="s">
        <v>12937</v>
      </c>
      <c r="K54" s="349" t="s">
        <v>8231</v>
      </c>
      <c r="L54" s="349" t="s">
        <v>8232</v>
      </c>
      <c r="M54" s="349" t="s">
        <v>11551</v>
      </c>
      <c r="N54" s="349" t="s">
        <v>12998</v>
      </c>
      <c r="O54" s="349" t="s">
        <v>12775</v>
      </c>
      <c r="P54" s="349" t="s">
        <v>12761</v>
      </c>
      <c r="Q54" s="349">
        <v>2019</v>
      </c>
    </row>
    <row r="55" spans="2:17" s="354" customFormat="1" ht="57" x14ac:dyDescent="0.2">
      <c r="B55" s="349" t="s">
        <v>12754</v>
      </c>
      <c r="C55" s="349" t="s">
        <v>12765</v>
      </c>
      <c r="D55" s="349" t="s">
        <v>7152</v>
      </c>
      <c r="E55" s="349" t="s">
        <v>12756</v>
      </c>
      <c r="F55" s="349">
        <v>180402</v>
      </c>
      <c r="G55" s="349" t="s">
        <v>12999</v>
      </c>
      <c r="H55" s="349" t="s">
        <v>13000</v>
      </c>
      <c r="I55" s="349" t="s">
        <v>12936</v>
      </c>
      <c r="J55" s="349" t="s">
        <v>12937</v>
      </c>
      <c r="K55" s="349" t="s">
        <v>8231</v>
      </c>
      <c r="L55" s="349" t="s">
        <v>8232</v>
      </c>
      <c r="M55" s="349" t="s">
        <v>13001</v>
      </c>
      <c r="N55" s="349" t="s">
        <v>13002</v>
      </c>
      <c r="O55" s="349" t="s">
        <v>13003</v>
      </c>
      <c r="P55" s="349" t="s">
        <v>12807</v>
      </c>
      <c r="Q55" s="349">
        <v>2019</v>
      </c>
    </row>
    <row r="56" spans="2:17" s="354" customFormat="1" ht="57" x14ac:dyDescent="0.2">
      <c r="B56" s="349" t="s">
        <v>12754</v>
      </c>
      <c r="C56" s="349" t="s">
        <v>12765</v>
      </c>
      <c r="D56" s="349" t="s">
        <v>7152</v>
      </c>
      <c r="E56" s="349" t="s">
        <v>12756</v>
      </c>
      <c r="F56" s="349">
        <v>180493</v>
      </c>
      <c r="G56" s="349" t="s">
        <v>13004</v>
      </c>
      <c r="H56" s="349" t="s">
        <v>13005</v>
      </c>
      <c r="I56" s="349" t="s">
        <v>12936</v>
      </c>
      <c r="J56" s="349" t="s">
        <v>12937</v>
      </c>
      <c r="K56" s="349" t="s">
        <v>8231</v>
      </c>
      <c r="L56" s="349" t="s">
        <v>8232</v>
      </c>
      <c r="M56" s="349" t="s">
        <v>13006</v>
      </c>
      <c r="N56" s="349" t="s">
        <v>13007</v>
      </c>
      <c r="O56" s="349" t="s">
        <v>13008</v>
      </c>
      <c r="P56" s="349" t="s">
        <v>12761</v>
      </c>
      <c r="Q56" s="349">
        <v>2019</v>
      </c>
    </row>
    <row r="57" spans="2:17" s="354" customFormat="1" ht="57" x14ac:dyDescent="0.2">
      <c r="B57" s="349" t="s">
        <v>12754</v>
      </c>
      <c r="C57" s="349" t="s">
        <v>12765</v>
      </c>
      <c r="D57" s="349" t="s">
        <v>7152</v>
      </c>
      <c r="E57" s="349" t="s">
        <v>12756</v>
      </c>
      <c r="F57" s="349">
        <v>180578</v>
      </c>
      <c r="G57" s="349" t="s">
        <v>13009</v>
      </c>
      <c r="H57" s="349" t="s">
        <v>13010</v>
      </c>
      <c r="I57" s="349" t="s">
        <v>12936</v>
      </c>
      <c r="J57" s="349" t="s">
        <v>12937</v>
      </c>
      <c r="K57" s="349" t="s">
        <v>8231</v>
      </c>
      <c r="L57" s="349" t="s">
        <v>8232</v>
      </c>
      <c r="M57" s="349" t="s">
        <v>13011</v>
      </c>
      <c r="N57" s="349" t="s">
        <v>13012</v>
      </c>
      <c r="O57" s="349" t="s">
        <v>13013</v>
      </c>
      <c r="P57" s="349" t="s">
        <v>12761</v>
      </c>
      <c r="Q57" s="349">
        <v>2019</v>
      </c>
    </row>
    <row r="58" spans="2:17" s="354" customFormat="1" ht="57" x14ac:dyDescent="0.2">
      <c r="B58" s="349" t="s">
        <v>12754</v>
      </c>
      <c r="C58" s="349" t="s">
        <v>12765</v>
      </c>
      <c r="D58" s="349" t="s">
        <v>7152</v>
      </c>
      <c r="E58" s="349" t="s">
        <v>12756</v>
      </c>
      <c r="F58" s="349">
        <v>180630</v>
      </c>
      <c r="G58" s="349" t="s">
        <v>13014</v>
      </c>
      <c r="H58" s="349" t="s">
        <v>13015</v>
      </c>
      <c r="I58" s="349" t="s">
        <v>12936</v>
      </c>
      <c r="J58" s="349" t="s">
        <v>12937</v>
      </c>
      <c r="K58" s="349" t="s">
        <v>8231</v>
      </c>
      <c r="L58" s="349" t="s">
        <v>8232</v>
      </c>
      <c r="M58" s="349" t="s">
        <v>12810</v>
      </c>
      <c r="N58" s="349" t="s">
        <v>13016</v>
      </c>
      <c r="O58" s="349" t="s">
        <v>13003</v>
      </c>
      <c r="P58" s="349" t="s">
        <v>12761</v>
      </c>
      <c r="Q58" s="349">
        <v>2019</v>
      </c>
    </row>
    <row r="59" spans="2:17" s="354" customFormat="1" ht="85.5" x14ac:dyDescent="0.2">
      <c r="B59" s="349" t="s">
        <v>12754</v>
      </c>
      <c r="C59" s="349" t="s">
        <v>12765</v>
      </c>
      <c r="D59" s="349" t="s">
        <v>7152</v>
      </c>
      <c r="E59" s="349" t="s">
        <v>12756</v>
      </c>
      <c r="F59" s="349">
        <v>180707</v>
      </c>
      <c r="G59" s="349" t="s">
        <v>13017</v>
      </c>
      <c r="H59" s="349" t="s">
        <v>13018</v>
      </c>
      <c r="I59" s="349" t="s">
        <v>12936</v>
      </c>
      <c r="J59" s="349" t="s">
        <v>12937</v>
      </c>
      <c r="K59" s="349" t="s">
        <v>8231</v>
      </c>
      <c r="L59" s="349" t="s">
        <v>8232</v>
      </c>
      <c r="M59" s="349" t="s">
        <v>12912</v>
      </c>
      <c r="N59" s="349" t="s">
        <v>13019</v>
      </c>
      <c r="O59" s="349" t="s">
        <v>13020</v>
      </c>
      <c r="P59" s="349" t="s">
        <v>264</v>
      </c>
      <c r="Q59" s="349">
        <v>2019</v>
      </c>
    </row>
    <row r="60" spans="2:17" s="354" customFormat="1" ht="57" x14ac:dyDescent="0.2">
      <c r="B60" s="349" t="s">
        <v>12754</v>
      </c>
      <c r="C60" s="349" t="s">
        <v>12765</v>
      </c>
      <c r="D60" s="349" t="s">
        <v>7152</v>
      </c>
      <c r="E60" s="349" t="s">
        <v>12756</v>
      </c>
      <c r="F60" s="349">
        <v>180725</v>
      </c>
      <c r="G60" s="349" t="s">
        <v>13021</v>
      </c>
      <c r="H60" s="349" t="s">
        <v>13022</v>
      </c>
      <c r="I60" s="349" t="s">
        <v>12936</v>
      </c>
      <c r="J60" s="349" t="s">
        <v>12937</v>
      </c>
      <c r="K60" s="349" t="s">
        <v>8231</v>
      </c>
      <c r="L60" s="349" t="s">
        <v>8232</v>
      </c>
      <c r="M60" s="349" t="s">
        <v>13023</v>
      </c>
      <c r="N60" s="349" t="s">
        <v>13024</v>
      </c>
      <c r="O60" s="349" t="s">
        <v>13025</v>
      </c>
      <c r="P60" s="349" t="s">
        <v>264</v>
      </c>
      <c r="Q60" s="349">
        <v>2019</v>
      </c>
    </row>
    <row r="61" spans="2:17" s="354" customFormat="1" ht="57" x14ac:dyDescent="0.2">
      <c r="B61" s="349" t="s">
        <v>12754</v>
      </c>
      <c r="C61" s="349" t="s">
        <v>12765</v>
      </c>
      <c r="D61" s="349" t="s">
        <v>7152</v>
      </c>
      <c r="E61" s="349" t="s">
        <v>12756</v>
      </c>
      <c r="F61" s="349">
        <v>180964</v>
      </c>
      <c r="G61" s="349" t="s">
        <v>13026</v>
      </c>
      <c r="H61" s="349" t="s">
        <v>13027</v>
      </c>
      <c r="I61" s="349" t="s">
        <v>12936</v>
      </c>
      <c r="J61" s="349" t="s">
        <v>12937</v>
      </c>
      <c r="K61" s="349" t="s">
        <v>8231</v>
      </c>
      <c r="L61" s="349" t="s">
        <v>8232</v>
      </c>
      <c r="M61" s="349" t="s">
        <v>13028</v>
      </c>
      <c r="N61" s="349" t="s">
        <v>13029</v>
      </c>
      <c r="O61" s="349" t="s">
        <v>13030</v>
      </c>
      <c r="P61" s="349" t="s">
        <v>264</v>
      </c>
      <c r="Q61" s="349">
        <v>2019</v>
      </c>
    </row>
    <row r="62" spans="2:17" s="354" customFormat="1" ht="57" x14ac:dyDescent="0.2">
      <c r="B62" s="349" t="s">
        <v>12754</v>
      </c>
      <c r="C62" s="349" t="s">
        <v>12765</v>
      </c>
      <c r="D62" s="349" t="s">
        <v>7152</v>
      </c>
      <c r="E62" s="349" t="s">
        <v>12756</v>
      </c>
      <c r="F62" s="349">
        <v>180798</v>
      </c>
      <c r="G62" s="349" t="s">
        <v>13031</v>
      </c>
      <c r="H62" s="349" t="s">
        <v>13032</v>
      </c>
      <c r="I62" s="349" t="s">
        <v>12936</v>
      </c>
      <c r="J62" s="349" t="s">
        <v>12937</v>
      </c>
      <c r="K62" s="349" t="s">
        <v>8231</v>
      </c>
      <c r="L62" s="349" t="s">
        <v>8232</v>
      </c>
      <c r="M62" s="349" t="s">
        <v>13023</v>
      </c>
      <c r="N62" s="349" t="s">
        <v>13024</v>
      </c>
      <c r="O62" s="349" t="s">
        <v>12818</v>
      </c>
      <c r="P62" s="349" t="s">
        <v>13033</v>
      </c>
      <c r="Q62" s="349">
        <v>2019</v>
      </c>
    </row>
    <row r="63" spans="2:17" s="354" customFormat="1" ht="57" x14ac:dyDescent="0.2">
      <c r="B63" s="349" t="s">
        <v>12754</v>
      </c>
      <c r="C63" s="349" t="s">
        <v>12765</v>
      </c>
      <c r="D63" s="349" t="s">
        <v>7152</v>
      </c>
      <c r="E63" s="349" t="s">
        <v>12756</v>
      </c>
      <c r="F63" s="349">
        <v>181197</v>
      </c>
      <c r="G63" s="349" t="s">
        <v>13034</v>
      </c>
      <c r="H63" s="349" t="s">
        <v>13035</v>
      </c>
      <c r="I63" s="349" t="s">
        <v>12936</v>
      </c>
      <c r="J63" s="349" t="s">
        <v>12937</v>
      </c>
      <c r="K63" s="349" t="s">
        <v>8231</v>
      </c>
      <c r="L63" s="349" t="s">
        <v>8232</v>
      </c>
      <c r="M63" s="349" t="s">
        <v>13036</v>
      </c>
      <c r="N63" s="349" t="s">
        <v>13037</v>
      </c>
      <c r="O63" s="349" t="s">
        <v>12812</v>
      </c>
      <c r="P63" s="349" t="s">
        <v>13038</v>
      </c>
      <c r="Q63" s="349">
        <v>2019</v>
      </c>
    </row>
    <row r="64" spans="2:17" s="354" customFormat="1" ht="57" x14ac:dyDescent="0.2">
      <c r="B64" s="349" t="s">
        <v>12754</v>
      </c>
      <c r="C64" s="349" t="s">
        <v>12765</v>
      </c>
      <c r="D64" s="349" t="s">
        <v>7152</v>
      </c>
      <c r="E64" s="349" t="s">
        <v>12756</v>
      </c>
      <c r="F64" s="349">
        <v>181425</v>
      </c>
      <c r="G64" s="349" t="s">
        <v>13039</v>
      </c>
      <c r="H64" s="349" t="s">
        <v>13040</v>
      </c>
      <c r="I64" s="349" t="s">
        <v>12936</v>
      </c>
      <c r="J64" s="349" t="s">
        <v>12937</v>
      </c>
      <c r="K64" s="349" t="s">
        <v>8231</v>
      </c>
      <c r="L64" s="349" t="s">
        <v>8232</v>
      </c>
      <c r="M64" s="349" t="s">
        <v>13041</v>
      </c>
      <c r="N64" s="349" t="s">
        <v>13042</v>
      </c>
      <c r="O64" s="349" t="s">
        <v>12812</v>
      </c>
      <c r="P64" s="349" t="s">
        <v>28</v>
      </c>
      <c r="Q64" s="349">
        <v>2019</v>
      </c>
    </row>
    <row r="65" spans="1:21" s="354" customFormat="1" ht="57" x14ac:dyDescent="0.2">
      <c r="B65" s="349" t="s">
        <v>12754</v>
      </c>
      <c r="C65" s="349" t="s">
        <v>12765</v>
      </c>
      <c r="D65" s="349" t="s">
        <v>7152</v>
      </c>
      <c r="E65" s="349" t="s">
        <v>12756</v>
      </c>
      <c r="F65" s="349">
        <v>181657</v>
      </c>
      <c r="G65" s="349" t="s">
        <v>13043</v>
      </c>
      <c r="H65" s="349" t="s">
        <v>13044</v>
      </c>
      <c r="I65" s="349" t="s">
        <v>12936</v>
      </c>
      <c r="J65" s="349" t="s">
        <v>12937</v>
      </c>
      <c r="K65" s="349" t="s">
        <v>8231</v>
      </c>
      <c r="L65" s="349" t="s">
        <v>8232</v>
      </c>
      <c r="M65" s="349" t="s">
        <v>13045</v>
      </c>
      <c r="N65" s="349" t="s">
        <v>13046</v>
      </c>
      <c r="O65" s="349" t="s">
        <v>13047</v>
      </c>
      <c r="P65" s="349" t="s">
        <v>28</v>
      </c>
      <c r="Q65" s="349">
        <v>2019</v>
      </c>
    </row>
    <row r="66" spans="1:21" s="354" customFormat="1" ht="57" x14ac:dyDescent="0.2">
      <c r="B66" s="349" t="s">
        <v>12754</v>
      </c>
      <c r="C66" s="349" t="s">
        <v>12765</v>
      </c>
      <c r="D66" s="349" t="s">
        <v>7152</v>
      </c>
      <c r="E66" s="349" t="s">
        <v>12756</v>
      </c>
      <c r="F66" s="349">
        <v>181727</v>
      </c>
      <c r="G66" s="349" t="s">
        <v>13048</v>
      </c>
      <c r="H66" s="349" t="s">
        <v>13049</v>
      </c>
      <c r="I66" s="349" t="s">
        <v>12936</v>
      </c>
      <c r="J66" s="349" t="s">
        <v>12937</v>
      </c>
      <c r="K66" s="349" t="s">
        <v>8231</v>
      </c>
      <c r="L66" s="349" t="s">
        <v>8232</v>
      </c>
      <c r="M66" s="349" t="s">
        <v>13050</v>
      </c>
      <c r="N66" s="349" t="s">
        <v>13051</v>
      </c>
      <c r="O66" s="349" t="s">
        <v>13052</v>
      </c>
      <c r="P66" s="349" t="s">
        <v>28</v>
      </c>
      <c r="Q66" s="349">
        <v>2019</v>
      </c>
    </row>
    <row r="67" spans="1:21" s="354" customFormat="1" ht="57" x14ac:dyDescent="0.2">
      <c r="B67" s="349" t="s">
        <v>12754</v>
      </c>
      <c r="C67" s="349" t="s">
        <v>12765</v>
      </c>
      <c r="D67" s="349" t="s">
        <v>7152</v>
      </c>
      <c r="E67" s="349" t="s">
        <v>12756</v>
      </c>
      <c r="F67" s="349">
        <v>181668</v>
      </c>
      <c r="G67" s="349" t="s">
        <v>13053</v>
      </c>
      <c r="H67" s="349" t="s">
        <v>13054</v>
      </c>
      <c r="I67" s="349" t="s">
        <v>12936</v>
      </c>
      <c r="J67" s="349" t="s">
        <v>12937</v>
      </c>
      <c r="K67" s="349" t="s">
        <v>8231</v>
      </c>
      <c r="L67" s="349" t="s">
        <v>8232</v>
      </c>
      <c r="M67" s="349" t="s">
        <v>11551</v>
      </c>
      <c r="N67" s="349" t="s">
        <v>13055</v>
      </c>
      <c r="O67" s="349" t="s">
        <v>13047</v>
      </c>
      <c r="P67" s="349" t="s">
        <v>13056</v>
      </c>
      <c r="Q67" s="349">
        <v>2019</v>
      </c>
    </row>
    <row r="68" spans="1:21" s="354" customFormat="1" ht="42.75" x14ac:dyDescent="0.2">
      <c r="B68" s="349" t="s">
        <v>12754</v>
      </c>
      <c r="C68" s="349" t="s">
        <v>12765</v>
      </c>
      <c r="D68" s="349" t="s">
        <v>7152</v>
      </c>
      <c r="E68" s="349" t="s">
        <v>12756</v>
      </c>
      <c r="F68" s="349">
        <v>180287</v>
      </c>
      <c r="G68" s="349" t="s">
        <v>13057</v>
      </c>
      <c r="H68" s="349" t="s">
        <v>13058</v>
      </c>
      <c r="I68" s="349" t="s">
        <v>13059</v>
      </c>
      <c r="J68" s="349" t="s">
        <v>13060</v>
      </c>
      <c r="K68" s="349" t="s">
        <v>13061</v>
      </c>
      <c r="L68" s="349" t="s">
        <v>13062</v>
      </c>
      <c r="M68" s="349" t="s">
        <v>10372</v>
      </c>
      <c r="N68" s="349" t="s">
        <v>5989</v>
      </c>
      <c r="O68" s="349" t="s">
        <v>12791</v>
      </c>
      <c r="P68" s="349" t="s">
        <v>12761</v>
      </c>
      <c r="Q68" s="349">
        <v>2019</v>
      </c>
    </row>
    <row r="69" spans="1:21" s="354" customFormat="1" ht="42.75" x14ac:dyDescent="0.2">
      <c r="B69" s="349" t="s">
        <v>12754</v>
      </c>
      <c r="C69" s="349" t="s">
        <v>12765</v>
      </c>
      <c r="D69" s="349" t="s">
        <v>7152</v>
      </c>
      <c r="E69" s="349" t="s">
        <v>12756</v>
      </c>
      <c r="F69" s="349">
        <v>181775</v>
      </c>
      <c r="G69" s="349" t="s">
        <v>13063</v>
      </c>
      <c r="H69" s="349" t="s">
        <v>13064</v>
      </c>
      <c r="I69" s="349" t="s">
        <v>12936</v>
      </c>
      <c r="J69" s="349" t="s">
        <v>13065</v>
      </c>
      <c r="K69" s="349" t="s">
        <v>8231</v>
      </c>
      <c r="L69" s="349" t="s">
        <v>8232</v>
      </c>
      <c r="M69" s="349" t="s">
        <v>13045</v>
      </c>
      <c r="N69" s="349" t="s">
        <v>13066</v>
      </c>
      <c r="O69" s="349" t="s">
        <v>13047</v>
      </c>
      <c r="P69" s="349" t="s">
        <v>28</v>
      </c>
      <c r="Q69" s="349">
        <v>2019</v>
      </c>
    </row>
    <row r="70" spans="1:21" s="354" customFormat="1" ht="57" x14ac:dyDescent="0.2">
      <c r="B70" s="349" t="s">
        <v>12754</v>
      </c>
      <c r="C70" s="349" t="s">
        <v>12765</v>
      </c>
      <c r="D70" s="349" t="s">
        <v>7152</v>
      </c>
      <c r="E70" s="349" t="s">
        <v>13067</v>
      </c>
      <c r="F70" s="349">
        <v>181774</v>
      </c>
      <c r="G70" s="349" t="s">
        <v>13068</v>
      </c>
      <c r="H70" s="349" t="s">
        <v>13069</v>
      </c>
      <c r="I70" s="349" t="s">
        <v>12871</v>
      </c>
      <c r="J70" s="349" t="s">
        <v>13070</v>
      </c>
      <c r="K70" s="349" t="s">
        <v>8231</v>
      </c>
      <c r="L70" s="349" t="s">
        <v>8232</v>
      </c>
      <c r="M70" s="349" t="s">
        <v>13071</v>
      </c>
      <c r="N70" s="349" t="s">
        <v>13072</v>
      </c>
      <c r="O70" s="349" t="s">
        <v>13073</v>
      </c>
      <c r="P70" s="349" t="s">
        <v>28</v>
      </c>
      <c r="Q70" s="349">
        <v>2019</v>
      </c>
    </row>
    <row r="71" spans="1:21" s="354" customFormat="1" ht="86.25" customHeight="1" x14ac:dyDescent="0.2">
      <c r="B71" s="349" t="s">
        <v>12754</v>
      </c>
      <c r="C71" s="349" t="s">
        <v>13074</v>
      </c>
      <c r="D71" s="349" t="s">
        <v>7152</v>
      </c>
      <c r="E71" s="349" t="s">
        <v>13067</v>
      </c>
      <c r="F71" s="349">
        <v>180628</v>
      </c>
      <c r="G71" s="349" t="s">
        <v>13075</v>
      </c>
      <c r="H71" s="349" t="s">
        <v>13076</v>
      </c>
      <c r="I71" s="349" t="s">
        <v>13077</v>
      </c>
      <c r="J71" s="349" t="s">
        <v>13078</v>
      </c>
      <c r="K71" s="349" t="s">
        <v>8231</v>
      </c>
      <c r="L71" s="349" t="s">
        <v>8232</v>
      </c>
      <c r="M71" s="349" t="s">
        <v>13079</v>
      </c>
      <c r="N71" s="349" t="s">
        <v>13080</v>
      </c>
      <c r="O71" s="349" t="s">
        <v>13081</v>
      </c>
      <c r="P71" s="349" t="s">
        <v>464</v>
      </c>
      <c r="Q71" s="349">
        <v>2019</v>
      </c>
    </row>
    <row r="72" spans="1:21" s="354" customFormat="1" ht="57" x14ac:dyDescent="0.2">
      <c r="B72" s="349" t="s">
        <v>12754</v>
      </c>
      <c r="C72" s="349" t="s">
        <v>12765</v>
      </c>
      <c r="D72" s="349" t="s">
        <v>7152</v>
      </c>
      <c r="E72" s="349" t="s">
        <v>13082</v>
      </c>
      <c r="F72" s="349">
        <v>181945</v>
      </c>
      <c r="G72" s="349" t="s">
        <v>13083</v>
      </c>
      <c r="H72" s="349" t="s">
        <v>13084</v>
      </c>
      <c r="I72" s="349" t="s">
        <v>8229</v>
      </c>
      <c r="J72" s="349" t="s">
        <v>8230</v>
      </c>
      <c r="K72" s="349" t="s">
        <v>8231</v>
      </c>
      <c r="L72" s="349" t="s">
        <v>8232</v>
      </c>
      <c r="M72" s="349" t="s">
        <v>13045</v>
      </c>
      <c r="N72" s="349" t="s">
        <v>12784</v>
      </c>
      <c r="O72" s="349" t="s">
        <v>13047</v>
      </c>
      <c r="P72" s="349" t="s">
        <v>28</v>
      </c>
      <c r="Q72" s="349">
        <v>2019</v>
      </c>
    </row>
    <row r="73" spans="1:21" s="354" customFormat="1" ht="14.25" x14ac:dyDescent="0.2">
      <c r="B73" s="349" t="s">
        <v>12754</v>
      </c>
      <c r="C73" s="349" t="s">
        <v>12765</v>
      </c>
      <c r="D73" s="349" t="s">
        <v>7152</v>
      </c>
      <c r="E73" s="349" t="s">
        <v>13082</v>
      </c>
      <c r="F73" s="349"/>
      <c r="G73" s="349"/>
      <c r="H73" s="349" t="s">
        <v>13085</v>
      </c>
      <c r="I73" s="349" t="s">
        <v>13086</v>
      </c>
      <c r="J73" s="349"/>
      <c r="K73" s="349"/>
      <c r="L73" s="349"/>
      <c r="M73" s="349"/>
      <c r="N73" s="349"/>
      <c r="O73" s="349"/>
      <c r="P73" s="349"/>
      <c r="Q73" s="349">
        <v>2019</v>
      </c>
    </row>
    <row r="74" spans="1:21" s="354" customFormat="1" ht="57" x14ac:dyDescent="0.2">
      <c r="B74" s="349" t="s">
        <v>12754</v>
      </c>
      <c r="C74" s="349" t="s">
        <v>12765</v>
      </c>
      <c r="D74" s="349" t="s">
        <v>7152</v>
      </c>
      <c r="E74" s="349" t="s">
        <v>13082</v>
      </c>
      <c r="F74" s="349">
        <v>181937</v>
      </c>
      <c r="G74" s="349" t="s">
        <v>13087</v>
      </c>
      <c r="H74" s="349" t="s">
        <v>13088</v>
      </c>
      <c r="I74" s="349" t="s">
        <v>12863</v>
      </c>
      <c r="J74" s="349" t="s">
        <v>13089</v>
      </c>
      <c r="K74" s="349" t="s">
        <v>12848</v>
      </c>
      <c r="L74" s="349" t="s">
        <v>8232</v>
      </c>
      <c r="M74" s="349" t="s">
        <v>13090</v>
      </c>
      <c r="N74" s="349" t="s">
        <v>13091</v>
      </c>
      <c r="O74" s="349" t="s">
        <v>13092</v>
      </c>
      <c r="P74" s="349" t="s">
        <v>13093</v>
      </c>
      <c r="Q74" s="349">
        <v>44804</v>
      </c>
    </row>
    <row r="75" spans="1:21" s="357" customFormat="1" ht="57" x14ac:dyDescent="0.2">
      <c r="A75" s="354"/>
      <c r="B75" s="356" t="s">
        <v>12754</v>
      </c>
      <c r="C75" s="349" t="s">
        <v>13094</v>
      </c>
      <c r="D75" s="349" t="s">
        <v>13095</v>
      </c>
      <c r="E75" s="349" t="s">
        <v>13096</v>
      </c>
      <c r="F75" s="349">
        <v>180612</v>
      </c>
      <c r="G75" s="349" t="s">
        <v>13097</v>
      </c>
      <c r="H75" s="349" t="s">
        <v>13098</v>
      </c>
      <c r="I75" s="349" t="s">
        <v>13099</v>
      </c>
      <c r="J75" s="349" t="s">
        <v>13100</v>
      </c>
      <c r="K75" s="349" t="s">
        <v>8231</v>
      </c>
      <c r="L75" s="349" t="s">
        <v>8232</v>
      </c>
      <c r="M75" s="349" t="s">
        <v>13101</v>
      </c>
      <c r="N75" s="349" t="s">
        <v>13102</v>
      </c>
      <c r="O75" s="349"/>
      <c r="P75" s="349"/>
      <c r="Q75" s="349"/>
      <c r="R75" s="354"/>
      <c r="S75" s="354"/>
      <c r="T75" s="354"/>
      <c r="U75" s="354"/>
    </row>
    <row r="76" spans="1:21" s="354" customFormat="1" ht="57" x14ac:dyDescent="0.2">
      <c r="B76" s="349" t="s">
        <v>12754</v>
      </c>
      <c r="C76" s="349" t="s">
        <v>12765</v>
      </c>
      <c r="D76" s="349" t="s">
        <v>7152</v>
      </c>
      <c r="E76" s="349" t="s">
        <v>13082</v>
      </c>
      <c r="F76" s="349">
        <v>182347</v>
      </c>
      <c r="G76" s="349" t="s">
        <v>13103</v>
      </c>
      <c r="H76" s="349" t="s">
        <v>13104</v>
      </c>
      <c r="I76" s="349" t="s">
        <v>12801</v>
      </c>
      <c r="J76" s="349" t="s">
        <v>12802</v>
      </c>
      <c r="K76" s="349" t="s">
        <v>12803</v>
      </c>
      <c r="L76" s="349" t="s">
        <v>8232</v>
      </c>
      <c r="M76" s="349" t="s">
        <v>12816</v>
      </c>
      <c r="N76" s="349" t="s">
        <v>13105</v>
      </c>
      <c r="O76" s="349" t="s">
        <v>13106</v>
      </c>
      <c r="P76" s="349" t="s">
        <v>28</v>
      </c>
      <c r="Q76" s="349">
        <v>44936</v>
      </c>
    </row>
    <row r="77" spans="1:21" s="354" customFormat="1" ht="57" x14ac:dyDescent="0.2">
      <c r="B77" s="349" t="s">
        <v>12754</v>
      </c>
      <c r="C77" s="349" t="s">
        <v>12765</v>
      </c>
      <c r="D77" s="349" t="s">
        <v>7152</v>
      </c>
      <c r="E77" s="349" t="s">
        <v>13082</v>
      </c>
      <c r="F77" s="349">
        <v>182347</v>
      </c>
      <c r="G77" s="349" t="s">
        <v>13107</v>
      </c>
      <c r="H77" s="349" t="s">
        <v>13108</v>
      </c>
      <c r="I77" s="349" t="s">
        <v>12801</v>
      </c>
      <c r="J77" s="349" t="s">
        <v>12802</v>
      </c>
      <c r="K77" s="349" t="s">
        <v>12803</v>
      </c>
      <c r="L77" s="349" t="s">
        <v>8232</v>
      </c>
      <c r="M77" s="349" t="s">
        <v>12816</v>
      </c>
      <c r="N77" s="349" t="s">
        <v>13109</v>
      </c>
      <c r="O77" s="349" t="s">
        <v>13106</v>
      </c>
      <c r="P77" s="349" t="s">
        <v>28</v>
      </c>
      <c r="Q77" s="349">
        <v>44936</v>
      </c>
    </row>
    <row r="78" spans="1:21" s="354" customFormat="1" ht="28.5" x14ac:dyDescent="0.2">
      <c r="J78" s="349" t="s">
        <v>13110</v>
      </c>
      <c r="K78" s="349" t="s">
        <v>13111</v>
      </c>
      <c r="L78" s="349" t="s">
        <v>13112</v>
      </c>
      <c r="M78" s="349" t="s">
        <v>11792</v>
      </c>
      <c r="N78" s="349" t="s">
        <v>1996</v>
      </c>
      <c r="O78" s="349"/>
      <c r="P78" s="349"/>
      <c r="Q78" s="349"/>
      <c r="R78" s="355"/>
      <c r="S78" s="355"/>
      <c r="T78" s="355"/>
      <c r="U78" s="355"/>
    </row>
    <row r="79" spans="1:21" s="354" customFormat="1" ht="42.75" x14ac:dyDescent="0.2">
      <c r="B79" s="349" t="s">
        <v>12754</v>
      </c>
      <c r="C79" s="349" t="s">
        <v>12765</v>
      </c>
      <c r="D79" s="349" t="s">
        <v>6820</v>
      </c>
      <c r="E79" s="349" t="s">
        <v>13082</v>
      </c>
      <c r="F79" s="349">
        <v>182039</v>
      </c>
      <c r="G79" s="349" t="s">
        <v>13113</v>
      </c>
      <c r="H79" s="349" t="s">
        <v>13114</v>
      </c>
      <c r="I79" s="349" t="s">
        <v>13115</v>
      </c>
      <c r="J79" s="349" t="s">
        <v>13116</v>
      </c>
      <c r="K79" s="349" t="s">
        <v>13117</v>
      </c>
      <c r="L79" s="349" t="s">
        <v>8232</v>
      </c>
      <c r="M79" s="349" t="s">
        <v>12816</v>
      </c>
      <c r="N79" s="349" t="s">
        <v>13118</v>
      </c>
      <c r="O79" s="349" t="s">
        <v>13106</v>
      </c>
      <c r="P79" s="349" t="s">
        <v>28</v>
      </c>
      <c r="Q79" s="349">
        <v>44894</v>
      </c>
      <c r="R79" s="355"/>
      <c r="S79" s="355"/>
      <c r="T79" s="355"/>
      <c r="U79" s="355"/>
    </row>
    <row r="80" spans="1:21" s="354" customFormat="1" ht="42.75" x14ac:dyDescent="0.2">
      <c r="B80" s="349" t="s">
        <v>12754</v>
      </c>
      <c r="C80" s="349" t="s">
        <v>12765</v>
      </c>
      <c r="D80" s="349" t="s">
        <v>6820</v>
      </c>
      <c r="E80" s="349" t="s">
        <v>13082</v>
      </c>
      <c r="F80" s="349">
        <v>182039</v>
      </c>
      <c r="G80" s="349" t="s">
        <v>13119</v>
      </c>
      <c r="H80" s="349" t="s">
        <v>13120</v>
      </c>
      <c r="I80" s="349" t="s">
        <v>13115</v>
      </c>
      <c r="J80" s="349" t="s">
        <v>13116</v>
      </c>
      <c r="K80" s="349" t="s">
        <v>13117</v>
      </c>
      <c r="L80" s="349" t="s">
        <v>8232</v>
      </c>
      <c r="M80" s="349" t="s">
        <v>12816</v>
      </c>
      <c r="N80" s="349" t="s">
        <v>13121</v>
      </c>
      <c r="O80" s="349" t="s">
        <v>13106</v>
      </c>
      <c r="P80" s="349" t="s">
        <v>28</v>
      </c>
      <c r="Q80" s="349">
        <v>44894</v>
      </c>
      <c r="R80" s="355"/>
      <c r="S80" s="355"/>
      <c r="T80" s="355"/>
      <c r="U80" s="355"/>
    </row>
    <row r="81" spans="2:17" s="354" customFormat="1" ht="71.25" x14ac:dyDescent="0.2">
      <c r="B81" s="349" t="s">
        <v>12754</v>
      </c>
      <c r="C81" s="349" t="s">
        <v>12765</v>
      </c>
      <c r="D81" s="349" t="s">
        <v>7152</v>
      </c>
      <c r="E81" s="349" t="s">
        <v>13082</v>
      </c>
      <c r="F81" s="349">
        <v>181737</v>
      </c>
      <c r="G81" s="349" t="s">
        <v>13122</v>
      </c>
      <c r="H81" s="349" t="s">
        <v>13123</v>
      </c>
      <c r="I81" s="349" t="s">
        <v>12863</v>
      </c>
      <c r="J81" s="349" t="s">
        <v>13089</v>
      </c>
      <c r="K81" s="349" t="s">
        <v>12848</v>
      </c>
      <c r="L81" s="349" t="s">
        <v>8232</v>
      </c>
      <c r="M81" s="349" t="s">
        <v>13124</v>
      </c>
      <c r="N81" s="349" t="s">
        <v>13125</v>
      </c>
      <c r="O81" s="349" t="s">
        <v>13126</v>
      </c>
      <c r="P81" s="349" t="s">
        <v>13093</v>
      </c>
      <c r="Q81" s="349">
        <v>45006</v>
      </c>
    </row>
    <row r="82" spans="2:17" ht="57" x14ac:dyDescent="0.25">
      <c r="B82" s="348" t="s">
        <v>12754</v>
      </c>
      <c r="C82" s="349" t="s">
        <v>12765</v>
      </c>
      <c r="D82" s="349" t="s">
        <v>6820</v>
      </c>
      <c r="E82" s="349" t="s">
        <v>13082</v>
      </c>
      <c r="F82" s="349">
        <v>182273</v>
      </c>
      <c r="G82" s="349" t="s">
        <v>13127</v>
      </c>
      <c r="H82" s="349" t="s">
        <v>13128</v>
      </c>
      <c r="I82" s="349" t="s">
        <v>12871</v>
      </c>
      <c r="J82" s="349" t="s">
        <v>13129</v>
      </c>
      <c r="K82" s="349" t="s">
        <v>8231</v>
      </c>
      <c r="L82" s="349" t="s">
        <v>8232</v>
      </c>
      <c r="M82" s="349" t="s">
        <v>13071</v>
      </c>
      <c r="N82" s="349" t="s">
        <v>13130</v>
      </c>
      <c r="O82" s="349" t="s">
        <v>13131</v>
      </c>
      <c r="P82" s="349" t="s">
        <v>28</v>
      </c>
      <c r="Q82" s="349">
        <v>44950</v>
      </c>
    </row>
    <row r="83" spans="2:17" ht="57" x14ac:dyDescent="0.25">
      <c r="B83" s="348" t="s">
        <v>12754</v>
      </c>
      <c r="C83" s="349" t="s">
        <v>12765</v>
      </c>
      <c r="D83" s="349" t="s">
        <v>6820</v>
      </c>
      <c r="E83" s="349" t="s">
        <v>13082</v>
      </c>
      <c r="F83" s="349">
        <v>182470</v>
      </c>
      <c r="G83" s="349" t="s">
        <v>13132</v>
      </c>
      <c r="H83" s="349" t="s">
        <v>6222</v>
      </c>
      <c r="I83" s="349" t="s">
        <v>8229</v>
      </c>
      <c r="J83" s="349" t="s">
        <v>8230</v>
      </c>
      <c r="K83" s="349" t="s">
        <v>8231</v>
      </c>
      <c r="L83" s="349" t="s">
        <v>8232</v>
      </c>
      <c r="M83" s="349" t="s">
        <v>13133</v>
      </c>
      <c r="N83" s="349" t="s">
        <v>12784</v>
      </c>
      <c r="O83" s="349" t="s">
        <v>13134</v>
      </c>
      <c r="P83" s="349" t="s">
        <v>28</v>
      </c>
      <c r="Q83" s="349">
        <v>44964</v>
      </c>
    </row>
    <row r="84" spans="2:17" ht="57" x14ac:dyDescent="0.25">
      <c r="B84" s="348" t="s">
        <v>12754</v>
      </c>
      <c r="C84" s="349" t="s">
        <v>12765</v>
      </c>
      <c r="D84" s="349" t="s">
        <v>6820</v>
      </c>
      <c r="E84" s="349" t="s">
        <v>13082</v>
      </c>
      <c r="F84" s="349">
        <v>182470</v>
      </c>
      <c r="G84" s="349" t="s">
        <v>13135</v>
      </c>
      <c r="H84" s="349" t="s">
        <v>13136</v>
      </c>
      <c r="I84" s="349" t="s">
        <v>8229</v>
      </c>
      <c r="J84" s="349" t="s">
        <v>8230</v>
      </c>
      <c r="K84" s="349" t="s">
        <v>8231</v>
      </c>
      <c r="L84" s="349" t="s">
        <v>8232</v>
      </c>
      <c r="M84" s="349" t="s">
        <v>13137</v>
      </c>
      <c r="N84" s="349" t="s">
        <v>12784</v>
      </c>
      <c r="O84" s="349" t="s">
        <v>13134</v>
      </c>
      <c r="P84" s="349" t="s">
        <v>28</v>
      </c>
      <c r="Q84" s="349">
        <v>44964</v>
      </c>
    </row>
    <row r="85" spans="2:17" ht="57" x14ac:dyDescent="0.25">
      <c r="B85" s="348" t="s">
        <v>12754</v>
      </c>
      <c r="C85" s="349" t="s">
        <v>12765</v>
      </c>
      <c r="D85" s="349" t="s">
        <v>6820</v>
      </c>
      <c r="E85" s="349" t="s">
        <v>13082</v>
      </c>
      <c r="F85" s="349">
        <v>182459</v>
      </c>
      <c r="G85" s="349" t="s">
        <v>13138</v>
      </c>
      <c r="H85" s="349" t="s">
        <v>6239</v>
      </c>
      <c r="I85" s="349" t="s">
        <v>12871</v>
      </c>
      <c r="J85" s="349" t="s">
        <v>13129</v>
      </c>
      <c r="K85" s="349" t="s">
        <v>8231</v>
      </c>
      <c r="L85" s="349" t="s">
        <v>8232</v>
      </c>
      <c r="M85" s="349" t="s">
        <v>13071</v>
      </c>
      <c r="N85" s="349" t="s">
        <v>13139</v>
      </c>
      <c r="O85" s="349" t="s">
        <v>13092</v>
      </c>
      <c r="P85" s="349" t="s">
        <v>28</v>
      </c>
      <c r="Q85" s="349">
        <v>44987</v>
      </c>
    </row>
    <row r="86" spans="2:17" x14ac:dyDescent="0.25">
      <c r="B86" s="348" t="s">
        <v>13140</v>
      </c>
      <c r="C86" s="349" t="s">
        <v>12765</v>
      </c>
      <c r="D86" s="349" t="s">
        <v>6820</v>
      </c>
      <c r="E86" s="349" t="s">
        <v>13082</v>
      </c>
      <c r="F86" s="349">
        <v>182361</v>
      </c>
      <c r="G86" s="349" t="s">
        <v>13141</v>
      </c>
      <c r="H86" s="349" t="s">
        <v>13142</v>
      </c>
      <c r="I86" s="349" t="s">
        <v>13143</v>
      </c>
      <c r="J86" s="349"/>
      <c r="K86" s="349"/>
      <c r="L86" s="349"/>
      <c r="M86" s="349"/>
      <c r="N86" s="349"/>
      <c r="O86" s="349"/>
      <c r="P86" s="349"/>
      <c r="Q86" s="349"/>
    </row>
    <row r="87" spans="2:17" ht="28.5" x14ac:dyDescent="0.25">
      <c r="B87" s="348" t="s">
        <v>13140</v>
      </c>
      <c r="C87" s="349" t="s">
        <v>12765</v>
      </c>
      <c r="D87" s="349" t="s">
        <v>6820</v>
      </c>
      <c r="E87" s="349" t="s">
        <v>13082</v>
      </c>
      <c r="F87" s="349">
        <v>182637</v>
      </c>
      <c r="G87" s="349" t="s">
        <v>13144</v>
      </c>
      <c r="H87" s="349" t="s">
        <v>13145</v>
      </c>
      <c r="I87" s="349" t="s">
        <v>12871</v>
      </c>
      <c r="J87" s="349"/>
      <c r="K87" s="349"/>
      <c r="L87" s="349"/>
      <c r="M87" s="349"/>
      <c r="N87" s="349"/>
      <c r="O87" s="349"/>
      <c r="P87" s="349"/>
      <c r="Q87" s="349"/>
    </row>
    <row r="88" spans="2:17" ht="57" x14ac:dyDescent="0.25">
      <c r="B88" s="348" t="s">
        <v>13140</v>
      </c>
      <c r="C88" s="349" t="s">
        <v>12765</v>
      </c>
      <c r="D88" s="349" t="s">
        <v>7152</v>
      </c>
      <c r="E88" s="349" t="s">
        <v>13082</v>
      </c>
      <c r="F88" s="349">
        <v>182595</v>
      </c>
      <c r="G88" s="349" t="s">
        <v>13146</v>
      </c>
      <c r="H88" s="349" t="s">
        <v>13147</v>
      </c>
      <c r="I88" s="349" t="s">
        <v>12871</v>
      </c>
      <c r="J88" s="349" t="s">
        <v>13129</v>
      </c>
      <c r="K88" s="349" t="s">
        <v>8231</v>
      </c>
      <c r="L88" s="349" t="s">
        <v>8232</v>
      </c>
      <c r="M88" s="349" t="s">
        <v>13071</v>
      </c>
      <c r="N88" s="349" t="s">
        <v>13148</v>
      </c>
      <c r="O88" s="349" t="s">
        <v>13092</v>
      </c>
      <c r="P88" s="349" t="s">
        <v>464</v>
      </c>
      <c r="Q88" s="353">
        <v>45091</v>
      </c>
    </row>
    <row r="89" spans="2:17" ht="57" x14ac:dyDescent="0.25">
      <c r="B89" s="358" t="s">
        <v>13149</v>
      </c>
      <c r="C89" s="349" t="s">
        <v>12765</v>
      </c>
      <c r="D89" s="349" t="s">
        <v>7152</v>
      </c>
      <c r="E89" s="349" t="s">
        <v>13082</v>
      </c>
      <c r="F89" s="349">
        <v>182603</v>
      </c>
      <c r="G89" s="349" t="s">
        <v>13150</v>
      </c>
      <c r="H89" s="349" t="s">
        <v>13151</v>
      </c>
      <c r="I89" s="349" t="s">
        <v>12871</v>
      </c>
      <c r="J89" s="349" t="s">
        <v>13129</v>
      </c>
      <c r="K89" s="349" t="s">
        <v>8231</v>
      </c>
      <c r="L89" s="349" t="s">
        <v>8232</v>
      </c>
      <c r="M89" s="349" t="s">
        <v>13071</v>
      </c>
      <c r="N89" s="349" t="s">
        <v>13148</v>
      </c>
      <c r="O89" s="349" t="s">
        <v>13092</v>
      </c>
      <c r="P89" s="349" t="s">
        <v>464</v>
      </c>
      <c r="Q89" s="353">
        <v>45091</v>
      </c>
    </row>
    <row r="90" spans="2:17" ht="71.25" x14ac:dyDescent="0.25">
      <c r="B90" s="358" t="s">
        <v>13149</v>
      </c>
      <c r="C90" s="349" t="s">
        <v>12765</v>
      </c>
      <c r="D90" s="349" t="s">
        <v>6820</v>
      </c>
      <c r="E90" s="349" t="s">
        <v>13082</v>
      </c>
      <c r="F90" s="349">
        <v>181810</v>
      </c>
      <c r="G90" s="349" t="s">
        <v>13152</v>
      </c>
      <c r="H90" s="349" t="s">
        <v>13153</v>
      </c>
      <c r="I90" s="349" t="s">
        <v>13154</v>
      </c>
      <c r="J90" s="349" t="s">
        <v>13155</v>
      </c>
      <c r="K90" s="349" t="s">
        <v>13156</v>
      </c>
      <c r="L90" s="349" t="s">
        <v>8232</v>
      </c>
      <c r="M90" s="349" t="s">
        <v>13157</v>
      </c>
      <c r="N90" s="349" t="s">
        <v>13158</v>
      </c>
      <c r="O90" s="349" t="s">
        <v>13159</v>
      </c>
      <c r="P90" s="349" t="s">
        <v>13093</v>
      </c>
      <c r="Q90" s="353"/>
    </row>
    <row r="91" spans="2:17" ht="25.5" x14ac:dyDescent="0.25">
      <c r="B91" s="358" t="s">
        <v>13149</v>
      </c>
      <c r="C91" s="349" t="s">
        <v>12765</v>
      </c>
      <c r="D91" s="349" t="s">
        <v>6820</v>
      </c>
      <c r="E91" s="349" t="s">
        <v>13082</v>
      </c>
      <c r="F91" s="49">
        <v>182651</v>
      </c>
      <c r="G91" s="49" t="s">
        <v>13160</v>
      </c>
      <c r="H91" s="49" t="s">
        <v>13161</v>
      </c>
      <c r="I91" s="49" t="s">
        <v>5921</v>
      </c>
      <c r="J91" s="49">
        <v>182651</v>
      </c>
      <c r="K91" s="49" t="s">
        <v>13160</v>
      </c>
      <c r="L91" s="49" t="s">
        <v>13162</v>
      </c>
      <c r="M91" s="49" t="s">
        <v>13163</v>
      </c>
      <c r="N91" s="49" t="s">
        <v>13164</v>
      </c>
      <c r="O91" s="349"/>
      <c r="P91" s="349"/>
      <c r="Q91" s="353"/>
    </row>
    <row r="92" spans="2:17" ht="25.5" x14ac:dyDescent="0.25">
      <c r="B92" s="358" t="s">
        <v>13149</v>
      </c>
      <c r="C92" s="349" t="s">
        <v>12765</v>
      </c>
      <c r="D92" s="349" t="s">
        <v>6820</v>
      </c>
      <c r="E92" s="349" t="s">
        <v>13082</v>
      </c>
      <c r="F92" s="49">
        <v>182650</v>
      </c>
      <c r="G92" s="49" t="s">
        <v>13165</v>
      </c>
      <c r="H92" s="49" t="s">
        <v>13166</v>
      </c>
      <c r="I92" s="49" t="s">
        <v>5921</v>
      </c>
      <c r="J92" s="49">
        <v>182650</v>
      </c>
      <c r="K92" s="49" t="s">
        <v>13165</v>
      </c>
      <c r="L92" s="49" t="s">
        <v>13162</v>
      </c>
      <c r="M92" s="49" t="s">
        <v>13167</v>
      </c>
      <c r="N92" s="49" t="s">
        <v>13168</v>
      </c>
      <c r="O92" s="349"/>
      <c r="P92" s="349"/>
      <c r="Q92" s="353"/>
    </row>
    <row r="93" spans="2:17" x14ac:dyDescent="0.25">
      <c r="B93" s="358"/>
      <c r="C93" s="349"/>
      <c r="D93" s="349"/>
      <c r="E93" s="349"/>
      <c r="F93" s="49">
        <v>182769</v>
      </c>
      <c r="G93" s="49"/>
      <c r="H93" s="49" t="s">
        <v>13169</v>
      </c>
      <c r="I93" s="49" t="s">
        <v>5630</v>
      </c>
      <c r="J93" s="49"/>
      <c r="K93" s="49"/>
      <c r="L93" s="49"/>
      <c r="M93" s="49"/>
      <c r="N93" s="49"/>
      <c r="O93" s="349"/>
      <c r="P93" s="349"/>
      <c r="Q93" s="353"/>
    </row>
    <row r="94" spans="2:17" ht="14.25" customHeight="1" x14ac:dyDescent="0.25">
      <c r="B94" s="350"/>
      <c r="C94" s="349"/>
      <c r="D94" s="349"/>
      <c r="E94" s="349"/>
      <c r="F94" s="349"/>
      <c r="G94" s="349"/>
      <c r="H94" s="349" t="s">
        <v>13170</v>
      </c>
      <c r="I94" s="349"/>
      <c r="J94" s="349"/>
      <c r="K94" s="349"/>
      <c r="L94" s="349"/>
      <c r="M94" s="349"/>
      <c r="N94" s="349"/>
      <c r="O94" s="349"/>
      <c r="P94" s="349"/>
      <c r="Q94" s="349"/>
    </row>
    <row r="95" spans="2:17" x14ac:dyDescent="0.25">
      <c r="B95" s="350"/>
      <c r="C95" s="349"/>
      <c r="D95" s="349"/>
      <c r="E95" s="349"/>
      <c r="F95" s="349"/>
      <c r="G95" s="349"/>
      <c r="H95" s="349" t="s">
        <v>13171</v>
      </c>
      <c r="I95" s="349"/>
      <c r="J95" s="349"/>
      <c r="K95" s="349"/>
      <c r="L95" s="349"/>
      <c r="M95" s="349"/>
      <c r="N95" s="349"/>
      <c r="O95" s="349"/>
      <c r="P95" s="349"/>
      <c r="Q95" s="349"/>
    </row>
    <row r="96" spans="2:17" x14ac:dyDescent="0.25">
      <c r="B96" s="350"/>
      <c r="C96" s="349"/>
      <c r="D96" s="349"/>
      <c r="E96" s="349"/>
      <c r="F96" s="349"/>
      <c r="G96" s="349"/>
      <c r="H96" s="349" t="s">
        <v>13172</v>
      </c>
      <c r="I96" s="349"/>
      <c r="J96" s="349"/>
      <c r="K96" s="349"/>
      <c r="L96" s="349"/>
      <c r="M96" s="349"/>
      <c r="N96" s="349"/>
      <c r="O96" s="349"/>
      <c r="P96" s="349"/>
      <c r="Q96" s="349"/>
    </row>
    <row r="97" spans="2:17" x14ac:dyDescent="0.25">
      <c r="B97" s="350"/>
      <c r="C97" s="349"/>
      <c r="D97" s="349"/>
      <c r="E97" s="349"/>
      <c r="F97" s="349"/>
      <c r="G97" s="349"/>
      <c r="H97" s="349" t="s">
        <v>13173</v>
      </c>
      <c r="I97" s="349"/>
      <c r="J97" s="349"/>
      <c r="K97" s="349"/>
      <c r="L97" s="349"/>
      <c r="M97" s="349"/>
      <c r="N97" s="349"/>
      <c r="O97" s="349"/>
      <c r="P97" s="349"/>
      <c r="Q97" s="349"/>
    </row>
    <row r="98" spans="2:17" x14ac:dyDescent="0.25">
      <c r="B98" s="350"/>
      <c r="C98" s="349"/>
      <c r="D98" s="349"/>
      <c r="E98" s="349"/>
      <c r="F98" s="349"/>
      <c r="G98" s="349"/>
      <c r="H98" s="349" t="s">
        <v>13174</v>
      </c>
      <c r="I98" s="349"/>
      <c r="J98" s="349"/>
      <c r="K98" s="349"/>
      <c r="L98" s="349"/>
      <c r="M98" s="349"/>
      <c r="N98" s="349"/>
      <c r="O98" s="349"/>
      <c r="P98" s="349"/>
      <c r="Q98" s="349"/>
    </row>
    <row r="99" spans="2:17" x14ac:dyDescent="0.25">
      <c r="B99" s="350"/>
      <c r="C99" s="349"/>
      <c r="D99" s="349"/>
      <c r="E99" s="349"/>
      <c r="F99" s="349"/>
      <c r="G99" s="349"/>
      <c r="H99" s="349" t="s">
        <v>13175</v>
      </c>
      <c r="I99" s="349"/>
      <c r="J99" s="349"/>
      <c r="K99" s="349"/>
      <c r="L99" s="349"/>
      <c r="M99" s="349"/>
      <c r="N99" s="349"/>
      <c r="O99" s="349"/>
      <c r="P99" s="349"/>
      <c r="Q99" s="349"/>
    </row>
    <row r="100" spans="2:17" x14ac:dyDescent="0.25">
      <c r="B100" s="352"/>
      <c r="C100" s="349"/>
      <c r="D100" s="349"/>
      <c r="E100" s="349"/>
      <c r="F100" s="349"/>
      <c r="G100" s="349"/>
      <c r="H100" s="349" t="s">
        <v>6269</v>
      </c>
      <c r="I100" s="349"/>
      <c r="J100" s="349"/>
      <c r="K100" s="349"/>
      <c r="L100" s="349"/>
      <c r="M100" s="349"/>
      <c r="N100" s="349"/>
      <c r="O100" s="349"/>
      <c r="P100" s="349"/>
      <c r="Q100" s="349"/>
    </row>
    <row r="101" spans="2:17" x14ac:dyDescent="0.25">
      <c r="B101" s="350"/>
      <c r="C101" s="349"/>
      <c r="D101" s="349"/>
      <c r="E101" s="349"/>
      <c r="F101" s="349"/>
      <c r="G101" s="349"/>
      <c r="H101" s="349" t="s">
        <v>13176</v>
      </c>
      <c r="I101" s="349"/>
      <c r="J101" s="349"/>
      <c r="K101" s="349"/>
      <c r="L101" s="349"/>
      <c r="M101" s="349"/>
      <c r="N101" s="349"/>
      <c r="O101" s="349"/>
      <c r="P101" s="349"/>
      <c r="Q101" s="349"/>
    </row>
    <row r="102" spans="2:17" x14ac:dyDescent="0.25">
      <c r="B102" s="350"/>
      <c r="C102" s="349"/>
      <c r="D102" s="349"/>
      <c r="E102" s="349"/>
      <c r="F102" s="349"/>
      <c r="G102" s="349"/>
      <c r="H102" s="349" t="s">
        <v>13177</v>
      </c>
      <c r="I102" s="349"/>
      <c r="J102" s="349"/>
      <c r="K102" s="349"/>
      <c r="L102" s="349"/>
      <c r="M102" s="349"/>
      <c r="N102" s="349"/>
      <c r="O102" s="349"/>
      <c r="P102" s="349"/>
      <c r="Q102" s="349"/>
    </row>
    <row r="103" spans="2:17" x14ac:dyDescent="0.25">
      <c r="B103" s="350"/>
      <c r="C103" s="349"/>
      <c r="D103" s="349"/>
      <c r="E103" s="349"/>
      <c r="F103" s="349"/>
      <c r="G103" s="349"/>
      <c r="H103" s="349" t="s">
        <v>6283</v>
      </c>
      <c r="I103" s="349"/>
      <c r="J103" s="349"/>
      <c r="K103" s="349"/>
      <c r="L103" s="349"/>
      <c r="M103" s="349"/>
      <c r="N103" s="349"/>
      <c r="O103" s="349"/>
      <c r="P103" s="349"/>
      <c r="Q103" s="349"/>
    </row>
    <row r="104" spans="2:17" x14ac:dyDescent="0.25">
      <c r="B104" s="350"/>
      <c r="C104" s="349"/>
      <c r="D104" s="349"/>
      <c r="E104" s="349"/>
      <c r="F104" s="349"/>
      <c r="G104" s="349"/>
      <c r="H104" s="349" t="s">
        <v>13178</v>
      </c>
      <c r="I104" s="349"/>
      <c r="J104" s="349"/>
      <c r="K104" s="349"/>
      <c r="L104" s="349"/>
      <c r="M104" s="349"/>
      <c r="N104" s="349"/>
      <c r="O104" s="349"/>
      <c r="P104" s="349"/>
      <c r="Q104" s="349"/>
    </row>
    <row r="105" spans="2:17" x14ac:dyDescent="0.25">
      <c r="B105" s="350"/>
      <c r="C105" s="349"/>
      <c r="D105" s="349"/>
      <c r="E105" s="349"/>
      <c r="F105" s="349"/>
      <c r="G105" s="349"/>
      <c r="H105" s="349" t="s">
        <v>13179</v>
      </c>
      <c r="I105" s="349"/>
      <c r="J105" s="349"/>
      <c r="K105" s="349"/>
      <c r="L105" s="349"/>
      <c r="M105" s="349"/>
      <c r="N105" s="349"/>
      <c r="O105" s="349"/>
      <c r="P105" s="349"/>
      <c r="Q105" s="349"/>
    </row>
    <row r="106" spans="2:17" x14ac:dyDescent="0.25">
      <c r="B106" s="350"/>
      <c r="C106" s="349"/>
      <c r="D106" s="349"/>
      <c r="E106" s="349"/>
      <c r="F106" s="349"/>
      <c r="G106" s="349"/>
      <c r="H106" s="349" t="s">
        <v>6299</v>
      </c>
      <c r="I106" s="349"/>
      <c r="J106" s="349"/>
      <c r="K106" s="349"/>
      <c r="L106" s="349"/>
      <c r="M106" s="349"/>
      <c r="N106" s="349"/>
      <c r="O106" s="349"/>
      <c r="P106" s="349"/>
      <c r="Q106" s="349"/>
    </row>
    <row r="107" spans="2:17" x14ac:dyDescent="0.25">
      <c r="B107" s="350"/>
      <c r="C107" s="349"/>
      <c r="D107" s="349"/>
      <c r="E107" s="349"/>
      <c r="F107" s="349"/>
      <c r="G107" s="349"/>
      <c r="H107" s="349" t="s">
        <v>13180</v>
      </c>
      <c r="I107" s="349"/>
      <c r="J107" s="349"/>
      <c r="K107" s="349"/>
      <c r="L107" s="349"/>
      <c r="M107" s="349"/>
      <c r="N107" s="349"/>
      <c r="O107" s="349"/>
      <c r="P107" s="349"/>
      <c r="Q107" s="349"/>
    </row>
    <row r="108" spans="2:17" x14ac:dyDescent="0.25">
      <c r="B108" s="350"/>
      <c r="C108" s="349"/>
      <c r="D108" s="349"/>
      <c r="E108" s="349"/>
      <c r="F108" s="349"/>
      <c r="G108" s="349"/>
      <c r="H108" s="349" t="s">
        <v>13181</v>
      </c>
      <c r="I108" s="349"/>
      <c r="J108" s="349"/>
      <c r="K108" s="349"/>
      <c r="L108" s="349"/>
      <c r="M108" s="349"/>
      <c r="N108" s="349"/>
      <c r="O108" s="349"/>
      <c r="P108" s="349"/>
      <c r="Q108" s="349"/>
    </row>
    <row r="109" spans="2:17" x14ac:dyDescent="0.25">
      <c r="B109" s="350"/>
      <c r="C109" s="349"/>
      <c r="D109" s="349"/>
      <c r="E109" s="349"/>
      <c r="F109" s="349"/>
      <c r="G109" s="349"/>
      <c r="H109" s="349" t="s">
        <v>6310</v>
      </c>
      <c r="I109" s="349"/>
      <c r="J109" s="349"/>
      <c r="K109" s="349"/>
      <c r="L109" s="349"/>
      <c r="M109" s="349"/>
      <c r="N109" s="349"/>
      <c r="O109" s="349"/>
      <c r="P109" s="349"/>
      <c r="Q109" s="349"/>
    </row>
    <row r="110" spans="2:17" x14ac:dyDescent="0.25">
      <c r="B110" s="350"/>
      <c r="C110" s="349"/>
      <c r="D110" s="349"/>
      <c r="E110" s="349"/>
      <c r="F110" s="349"/>
      <c r="G110" s="349"/>
      <c r="H110" s="349" t="s">
        <v>13182</v>
      </c>
      <c r="I110" s="349"/>
      <c r="J110" s="349"/>
      <c r="K110" s="349"/>
      <c r="L110" s="349"/>
      <c r="M110" s="349"/>
      <c r="N110" s="349"/>
      <c r="O110" s="349"/>
      <c r="P110" s="349"/>
      <c r="Q110" s="349"/>
    </row>
    <row r="111" spans="2:17" x14ac:dyDescent="0.25">
      <c r="B111" s="350"/>
      <c r="C111" s="349"/>
      <c r="D111" s="349"/>
      <c r="E111" s="349"/>
      <c r="F111" s="349"/>
      <c r="G111" s="349"/>
      <c r="H111" s="349" t="s">
        <v>13183</v>
      </c>
      <c r="I111" s="349"/>
      <c r="J111" s="349"/>
      <c r="K111" s="349"/>
      <c r="L111" s="349"/>
      <c r="M111" s="349"/>
      <c r="N111" s="349"/>
      <c r="O111" s="349"/>
      <c r="P111" s="349"/>
      <c r="Q111" s="349"/>
    </row>
    <row r="112" spans="2:17" x14ac:dyDescent="0.25">
      <c r="B112" s="350"/>
      <c r="C112" s="349"/>
      <c r="D112" s="349"/>
      <c r="E112" s="349"/>
      <c r="F112" s="349"/>
      <c r="G112" s="349"/>
      <c r="H112" s="349" t="s">
        <v>6321</v>
      </c>
      <c r="I112" s="349"/>
      <c r="J112" s="349"/>
      <c r="K112" s="349"/>
      <c r="L112" s="349"/>
      <c r="M112" s="349"/>
      <c r="N112" s="349"/>
      <c r="O112" s="349"/>
      <c r="P112" s="349"/>
      <c r="Q112" s="349"/>
    </row>
    <row r="113" spans="2:17" x14ac:dyDescent="0.25">
      <c r="B113" s="350"/>
      <c r="C113" s="349"/>
      <c r="D113" s="349"/>
      <c r="E113" s="349"/>
      <c r="F113" s="349"/>
      <c r="G113" s="349"/>
      <c r="H113" s="349" t="s">
        <v>13184</v>
      </c>
      <c r="I113" s="349"/>
      <c r="J113" s="349"/>
      <c r="K113" s="349"/>
      <c r="L113" s="349"/>
      <c r="M113" s="349"/>
      <c r="N113" s="349"/>
      <c r="O113" s="349"/>
      <c r="P113" s="349"/>
      <c r="Q113" s="349"/>
    </row>
    <row r="114" spans="2:17" x14ac:dyDescent="0.25">
      <c r="B114" s="350"/>
      <c r="C114" s="349"/>
      <c r="D114" s="349"/>
      <c r="E114" s="349"/>
      <c r="F114" s="349"/>
      <c r="G114" s="349"/>
      <c r="H114" s="349" t="s">
        <v>13185</v>
      </c>
      <c r="I114" s="349"/>
      <c r="J114" s="349"/>
      <c r="K114" s="349"/>
      <c r="L114" s="349"/>
      <c r="M114" s="349"/>
      <c r="N114" s="349"/>
      <c r="O114" s="349"/>
      <c r="P114" s="349"/>
      <c r="Q114" s="349"/>
    </row>
    <row r="115" spans="2:17" x14ac:dyDescent="0.25">
      <c r="B115" s="350"/>
      <c r="C115" s="349"/>
      <c r="D115" s="349"/>
      <c r="E115" s="349"/>
      <c r="F115" s="349"/>
      <c r="G115" s="349"/>
      <c r="H115" s="349" t="s">
        <v>6336</v>
      </c>
      <c r="I115" s="349"/>
      <c r="J115" s="349"/>
      <c r="K115" s="349"/>
      <c r="L115" s="349"/>
      <c r="M115" s="349"/>
      <c r="N115" s="349"/>
      <c r="O115" s="349"/>
      <c r="P115" s="349"/>
      <c r="Q115" s="349"/>
    </row>
    <row r="116" spans="2:17" x14ac:dyDescent="0.25">
      <c r="B116" s="350"/>
      <c r="C116" s="349"/>
      <c r="D116" s="349"/>
      <c r="E116" s="349"/>
      <c r="F116" s="349"/>
      <c r="G116" s="349"/>
      <c r="H116" s="349" t="s">
        <v>13186</v>
      </c>
      <c r="I116" s="349"/>
      <c r="J116" s="349"/>
      <c r="K116" s="349"/>
      <c r="L116" s="349"/>
      <c r="M116" s="349"/>
      <c r="N116" s="349"/>
      <c r="O116" s="349"/>
      <c r="P116" s="349"/>
      <c r="Q116" s="349"/>
    </row>
    <row r="117" spans="2:17" x14ac:dyDescent="0.25">
      <c r="B117" s="350"/>
      <c r="C117" s="349"/>
      <c r="D117" s="349"/>
      <c r="E117" s="349"/>
      <c r="F117" s="349"/>
      <c r="G117" s="349"/>
      <c r="H117" s="349" t="s">
        <v>13187</v>
      </c>
      <c r="I117" s="349"/>
      <c r="J117" s="349"/>
      <c r="K117" s="349"/>
      <c r="L117" s="349"/>
      <c r="M117" s="349"/>
      <c r="N117" s="349"/>
      <c r="O117" s="349"/>
      <c r="P117" s="349"/>
      <c r="Q117" s="349"/>
    </row>
    <row r="118" spans="2:17" x14ac:dyDescent="0.25">
      <c r="B118" s="350"/>
      <c r="C118" s="349"/>
      <c r="D118" s="349"/>
      <c r="E118" s="349"/>
      <c r="F118" s="349"/>
      <c r="G118" s="349"/>
      <c r="H118" s="349" t="s">
        <v>6351</v>
      </c>
      <c r="I118" s="349"/>
      <c r="J118" s="349"/>
      <c r="K118" s="349"/>
      <c r="L118" s="349"/>
      <c r="M118" s="349"/>
      <c r="N118" s="349"/>
      <c r="O118" s="349"/>
      <c r="P118" s="349"/>
      <c r="Q118" s="349"/>
    </row>
    <row r="119" spans="2:17" x14ac:dyDescent="0.25">
      <c r="B119" s="350"/>
      <c r="C119" s="349"/>
      <c r="D119" s="349"/>
      <c r="E119" s="349"/>
      <c r="F119" s="349"/>
      <c r="G119" s="349"/>
      <c r="H119" s="349" t="s">
        <v>13188</v>
      </c>
      <c r="I119" s="349"/>
      <c r="J119" s="349"/>
      <c r="K119" s="349"/>
      <c r="L119" s="349"/>
      <c r="M119" s="349"/>
      <c r="N119" s="349"/>
      <c r="O119" s="349"/>
      <c r="P119" s="349"/>
      <c r="Q119" s="349"/>
    </row>
    <row r="120" spans="2:17" x14ac:dyDescent="0.25">
      <c r="B120" s="350"/>
      <c r="C120" s="349"/>
      <c r="D120" s="349"/>
      <c r="E120" s="349"/>
      <c r="F120" s="349"/>
      <c r="G120" s="349"/>
      <c r="H120" s="349" t="s">
        <v>13189</v>
      </c>
      <c r="I120" s="349"/>
      <c r="J120" s="349"/>
      <c r="K120" s="349"/>
      <c r="L120" s="349"/>
      <c r="M120" s="349"/>
      <c r="N120" s="349"/>
      <c r="O120" s="349"/>
      <c r="P120" s="349"/>
      <c r="Q120" s="349"/>
    </row>
    <row r="121" spans="2:17" x14ac:dyDescent="0.25">
      <c r="B121" s="350"/>
      <c r="C121" s="349"/>
      <c r="D121" s="349"/>
      <c r="E121" s="349"/>
      <c r="F121" s="349"/>
      <c r="G121" s="349"/>
      <c r="H121" s="349" t="s">
        <v>13190</v>
      </c>
      <c r="I121" s="349"/>
      <c r="J121" s="349"/>
      <c r="K121" s="349"/>
      <c r="L121" s="349"/>
      <c r="M121" s="349"/>
      <c r="N121" s="349"/>
      <c r="O121" s="349"/>
      <c r="P121" s="349"/>
      <c r="Q121" s="349"/>
    </row>
    <row r="122" spans="2:17" x14ac:dyDescent="0.25">
      <c r="B122" s="350"/>
      <c r="C122" s="349"/>
      <c r="D122" s="349"/>
      <c r="E122" s="349"/>
      <c r="F122" s="349"/>
      <c r="G122" s="349"/>
      <c r="H122" s="349" t="s">
        <v>6366</v>
      </c>
      <c r="I122" s="349"/>
      <c r="J122" s="349"/>
      <c r="K122" s="349"/>
      <c r="L122" s="349"/>
      <c r="M122" s="349"/>
      <c r="N122" s="349"/>
      <c r="O122" s="349"/>
      <c r="P122" s="349"/>
      <c r="Q122" s="349"/>
    </row>
    <row r="123" spans="2:17" x14ac:dyDescent="0.25">
      <c r="B123" s="350"/>
      <c r="C123" s="349"/>
      <c r="D123" s="349"/>
      <c r="E123" s="349"/>
      <c r="F123" s="349"/>
      <c r="G123" s="349"/>
      <c r="H123" s="349" t="s">
        <v>6367</v>
      </c>
      <c r="I123" s="349"/>
      <c r="J123" s="349"/>
      <c r="K123" s="349"/>
      <c r="L123" s="349"/>
      <c r="M123" s="349"/>
      <c r="N123" s="349"/>
      <c r="O123" s="349"/>
      <c r="P123" s="349"/>
      <c r="Q123" s="349"/>
    </row>
    <row r="124" spans="2:17" x14ac:dyDescent="0.25">
      <c r="B124" s="350"/>
      <c r="C124" s="349"/>
      <c r="D124" s="349"/>
      <c r="E124" s="349"/>
      <c r="F124" s="349"/>
      <c r="G124" s="349"/>
      <c r="H124" s="349" t="s">
        <v>6371</v>
      </c>
      <c r="I124" s="349"/>
      <c r="J124" s="349"/>
      <c r="K124" s="349"/>
      <c r="L124" s="349"/>
      <c r="M124" s="349"/>
      <c r="N124" s="349"/>
      <c r="O124" s="349"/>
      <c r="P124" s="349"/>
      <c r="Q124" s="349"/>
    </row>
    <row r="125" spans="2:17" x14ac:dyDescent="0.25">
      <c r="B125" s="350"/>
      <c r="C125" s="349"/>
      <c r="D125" s="349"/>
      <c r="E125" s="349"/>
      <c r="F125" s="349"/>
      <c r="G125" s="349"/>
      <c r="H125" s="349" t="s">
        <v>13191</v>
      </c>
      <c r="I125" s="349"/>
      <c r="J125" s="349"/>
      <c r="K125" s="349"/>
      <c r="L125" s="349"/>
      <c r="M125" s="349"/>
      <c r="N125" s="349"/>
      <c r="O125" s="349"/>
      <c r="P125" s="349"/>
      <c r="Q125" s="349"/>
    </row>
    <row r="126" spans="2:17" x14ac:dyDescent="0.25">
      <c r="B126" s="350"/>
      <c r="C126" s="349"/>
      <c r="D126" s="349"/>
      <c r="E126" s="349"/>
      <c r="F126" s="349"/>
      <c r="G126" s="349"/>
      <c r="H126" s="349" t="s">
        <v>13192</v>
      </c>
      <c r="I126" s="349"/>
      <c r="J126" s="349"/>
      <c r="K126" s="349"/>
      <c r="L126" s="349"/>
      <c r="M126" s="349"/>
      <c r="N126" s="349"/>
      <c r="O126" s="349"/>
      <c r="P126" s="349"/>
      <c r="Q126" s="349"/>
    </row>
    <row r="127" spans="2:17" x14ac:dyDescent="0.25">
      <c r="B127" s="350"/>
      <c r="C127" s="349"/>
      <c r="D127" s="349"/>
      <c r="E127" s="349"/>
      <c r="F127" s="349"/>
      <c r="G127" s="349"/>
      <c r="H127" s="349" t="s">
        <v>6378</v>
      </c>
      <c r="I127" s="349"/>
      <c r="J127" s="349"/>
      <c r="K127" s="349"/>
      <c r="L127" s="349"/>
      <c r="M127" s="349"/>
      <c r="N127" s="349"/>
      <c r="O127" s="349"/>
      <c r="P127" s="349"/>
      <c r="Q127" s="349"/>
    </row>
    <row r="128" spans="2:17" x14ac:dyDescent="0.25">
      <c r="B128" s="350"/>
      <c r="C128" s="349"/>
      <c r="D128" s="349"/>
      <c r="E128" s="349"/>
      <c r="F128" s="349"/>
      <c r="G128" s="349"/>
      <c r="H128" s="349" t="s">
        <v>6381</v>
      </c>
      <c r="I128" s="349"/>
      <c r="J128" s="349"/>
      <c r="K128" s="349"/>
      <c r="L128" s="349"/>
      <c r="M128" s="349"/>
      <c r="N128" s="349"/>
      <c r="O128" s="349"/>
      <c r="P128" s="349"/>
      <c r="Q128" s="349"/>
    </row>
    <row r="129" spans="2:17" x14ac:dyDescent="0.25">
      <c r="B129" s="350"/>
      <c r="C129" s="349"/>
      <c r="D129" s="349"/>
      <c r="E129" s="349"/>
      <c r="F129" s="349"/>
      <c r="G129" s="349"/>
      <c r="H129" s="349" t="s">
        <v>13193</v>
      </c>
      <c r="I129" s="349"/>
      <c r="J129" s="349"/>
      <c r="K129" s="349"/>
      <c r="L129" s="349"/>
      <c r="M129" s="349"/>
      <c r="N129" s="349"/>
      <c r="O129" s="349"/>
      <c r="P129" s="349"/>
      <c r="Q129" s="349"/>
    </row>
    <row r="130" spans="2:17" x14ac:dyDescent="0.25">
      <c r="B130" s="350"/>
      <c r="C130" s="349"/>
      <c r="D130" s="349"/>
      <c r="E130" s="349"/>
      <c r="F130" s="349"/>
      <c r="G130" s="349"/>
      <c r="H130" s="349" t="s">
        <v>6388</v>
      </c>
      <c r="I130" s="349"/>
      <c r="J130" s="349"/>
      <c r="K130" s="349"/>
      <c r="L130" s="349"/>
      <c r="M130" s="349"/>
      <c r="N130" s="349"/>
      <c r="O130" s="349"/>
      <c r="P130" s="349"/>
      <c r="Q130" s="349"/>
    </row>
    <row r="131" spans="2:17" x14ac:dyDescent="0.25">
      <c r="B131" s="350"/>
      <c r="C131" s="349"/>
      <c r="D131" s="349"/>
      <c r="E131" s="349"/>
      <c r="F131" s="349"/>
      <c r="G131" s="349"/>
      <c r="H131" s="349" t="s">
        <v>6392</v>
      </c>
      <c r="I131" s="349"/>
      <c r="J131" s="349"/>
      <c r="K131" s="349"/>
      <c r="L131" s="349"/>
      <c r="M131" s="349"/>
      <c r="N131" s="349"/>
      <c r="O131" s="349"/>
      <c r="P131" s="349"/>
      <c r="Q131" s="349"/>
    </row>
    <row r="132" spans="2:17" x14ac:dyDescent="0.25">
      <c r="B132" s="350"/>
      <c r="C132" s="349"/>
      <c r="D132" s="349"/>
      <c r="E132" s="349"/>
      <c r="F132" s="349"/>
      <c r="G132" s="349"/>
      <c r="H132" s="349" t="s">
        <v>13194</v>
      </c>
      <c r="I132" s="349"/>
      <c r="J132" s="349"/>
      <c r="K132" s="349"/>
      <c r="L132" s="349"/>
      <c r="M132" s="349"/>
      <c r="N132" s="349"/>
      <c r="O132" s="349"/>
      <c r="P132" s="349"/>
      <c r="Q132" s="349"/>
    </row>
    <row r="133" spans="2:17" x14ac:dyDescent="0.25">
      <c r="B133" s="350"/>
      <c r="C133" s="349"/>
      <c r="D133" s="349"/>
      <c r="E133" s="349"/>
      <c r="F133" s="349"/>
      <c r="G133" s="349"/>
      <c r="H133" s="349" t="s">
        <v>13195</v>
      </c>
      <c r="I133" s="349"/>
      <c r="J133" s="349"/>
      <c r="K133" s="349"/>
      <c r="L133" s="349"/>
      <c r="M133" s="349"/>
      <c r="N133" s="349"/>
      <c r="O133" s="349"/>
      <c r="P133" s="349"/>
      <c r="Q133" s="349"/>
    </row>
    <row r="134" spans="2:17" x14ac:dyDescent="0.25">
      <c r="B134" s="350"/>
      <c r="C134" s="349"/>
      <c r="D134" s="349"/>
      <c r="E134" s="349"/>
      <c r="F134" s="349"/>
      <c r="G134" s="349"/>
      <c r="H134" s="349" t="s">
        <v>13196</v>
      </c>
      <c r="I134" s="349"/>
      <c r="J134" s="349"/>
      <c r="K134" s="349"/>
      <c r="L134" s="349"/>
      <c r="M134" s="349"/>
      <c r="N134" s="349"/>
      <c r="O134" s="349"/>
      <c r="P134" s="349"/>
      <c r="Q134" s="349"/>
    </row>
    <row r="135" spans="2:17" x14ac:dyDescent="0.25">
      <c r="B135" s="350"/>
      <c r="C135" s="349"/>
      <c r="D135" s="349"/>
      <c r="E135" s="349"/>
      <c r="F135" s="349"/>
      <c r="G135" s="349"/>
      <c r="H135" s="349" t="s">
        <v>6406</v>
      </c>
      <c r="I135" s="349"/>
      <c r="J135" s="349"/>
      <c r="K135" s="349"/>
      <c r="L135" s="349"/>
      <c r="M135" s="349"/>
      <c r="N135" s="349"/>
      <c r="O135" s="349"/>
      <c r="P135" s="349"/>
      <c r="Q135" s="349"/>
    </row>
    <row r="136" spans="2:17" x14ac:dyDescent="0.25">
      <c r="B136" s="350"/>
      <c r="C136" s="349"/>
      <c r="D136" s="349"/>
      <c r="E136" s="349"/>
      <c r="F136" s="349"/>
      <c r="G136" s="349"/>
      <c r="H136" s="349" t="s">
        <v>13197</v>
      </c>
      <c r="I136" s="349"/>
      <c r="J136" s="349"/>
      <c r="K136" s="349"/>
      <c r="L136" s="349"/>
      <c r="M136" s="349"/>
      <c r="N136" s="349"/>
      <c r="O136" s="349"/>
      <c r="P136" s="349"/>
      <c r="Q136" s="349"/>
    </row>
    <row r="137" spans="2:17" x14ac:dyDescent="0.25">
      <c r="B137" s="350"/>
      <c r="C137" s="349"/>
      <c r="D137" s="349"/>
      <c r="E137" s="349"/>
      <c r="F137" s="349"/>
      <c r="G137" s="349"/>
      <c r="H137" s="349" t="s">
        <v>6411</v>
      </c>
      <c r="I137" s="349"/>
      <c r="J137" s="349"/>
      <c r="K137" s="349"/>
      <c r="L137" s="349"/>
      <c r="M137" s="349"/>
      <c r="N137" s="349"/>
      <c r="O137" s="349"/>
      <c r="P137" s="349"/>
      <c r="Q137" s="349"/>
    </row>
    <row r="138" spans="2:17" x14ac:dyDescent="0.25">
      <c r="B138" s="350"/>
      <c r="C138" s="349"/>
      <c r="D138" s="349"/>
      <c r="E138" s="349"/>
      <c r="F138" s="349"/>
      <c r="G138" s="349"/>
      <c r="H138" s="349" t="s">
        <v>6413</v>
      </c>
      <c r="I138" s="349"/>
      <c r="J138" s="349"/>
      <c r="K138" s="349"/>
      <c r="L138" s="349"/>
      <c r="M138" s="349"/>
      <c r="N138" s="349"/>
      <c r="O138" s="349"/>
      <c r="P138" s="349"/>
      <c r="Q138" s="349"/>
    </row>
    <row r="139" spans="2:17" x14ac:dyDescent="0.25">
      <c r="B139" s="350"/>
      <c r="C139" s="349"/>
      <c r="D139" s="349"/>
      <c r="E139" s="349"/>
      <c r="F139" s="349"/>
      <c r="G139" s="349"/>
      <c r="H139" s="349" t="s">
        <v>13198</v>
      </c>
      <c r="I139" s="349"/>
      <c r="J139" s="349"/>
      <c r="K139" s="349"/>
      <c r="L139" s="349"/>
      <c r="M139" s="349"/>
      <c r="N139" s="349"/>
      <c r="O139" s="349"/>
      <c r="P139" s="349"/>
      <c r="Q139" s="349"/>
    </row>
    <row r="140" spans="2:17" x14ac:dyDescent="0.25">
      <c r="B140" s="350"/>
      <c r="C140" s="349"/>
      <c r="D140" s="349"/>
      <c r="E140" s="349"/>
      <c r="F140" s="349"/>
      <c r="G140" s="349"/>
      <c r="H140" s="349" t="s">
        <v>13199</v>
      </c>
      <c r="I140" s="349"/>
      <c r="J140" s="349"/>
      <c r="K140" s="349"/>
      <c r="L140" s="349"/>
      <c r="M140" s="349"/>
      <c r="N140" s="349"/>
      <c r="O140" s="349"/>
      <c r="P140" s="349"/>
      <c r="Q140" s="349"/>
    </row>
    <row r="141" spans="2:17" x14ac:dyDescent="0.25">
      <c r="B141" s="350"/>
      <c r="C141" s="349"/>
      <c r="D141" s="349"/>
      <c r="E141" s="349"/>
      <c r="F141" s="349"/>
      <c r="G141" s="349"/>
      <c r="H141" s="349" t="s">
        <v>13200</v>
      </c>
      <c r="I141" s="349"/>
      <c r="J141" s="349"/>
      <c r="K141" s="349"/>
      <c r="L141" s="349"/>
      <c r="M141" s="349"/>
      <c r="N141" s="349"/>
      <c r="O141" s="349"/>
      <c r="P141" s="349"/>
      <c r="Q141" s="349"/>
    </row>
    <row r="142" spans="2:17" x14ac:dyDescent="0.25">
      <c r="B142" s="350"/>
      <c r="C142" s="349"/>
      <c r="D142" s="349"/>
      <c r="E142" s="349"/>
      <c r="F142" s="349"/>
      <c r="G142" s="349"/>
      <c r="H142" s="349" t="s">
        <v>13201</v>
      </c>
      <c r="I142" s="349"/>
      <c r="J142" s="349"/>
      <c r="K142" s="349"/>
      <c r="L142" s="349"/>
      <c r="M142" s="349"/>
      <c r="N142" s="349"/>
      <c r="O142" s="349"/>
      <c r="P142" s="349"/>
      <c r="Q142" s="349"/>
    </row>
    <row r="143" spans="2:17" x14ac:dyDescent="0.25">
      <c r="B143" s="350"/>
      <c r="C143" s="349"/>
      <c r="D143" s="349"/>
      <c r="E143" s="349"/>
      <c r="F143" s="349"/>
      <c r="G143" s="349"/>
      <c r="H143" s="349" t="s">
        <v>13202</v>
      </c>
      <c r="I143" s="349"/>
      <c r="J143" s="349"/>
      <c r="K143" s="349"/>
      <c r="L143" s="349"/>
      <c r="M143" s="349"/>
      <c r="N143" s="349"/>
      <c r="O143" s="349"/>
      <c r="P143" s="349"/>
      <c r="Q143" s="349"/>
    </row>
    <row r="144" spans="2:17" x14ac:dyDescent="0.25">
      <c r="B144" s="350"/>
      <c r="C144" s="349"/>
      <c r="D144" s="349"/>
      <c r="E144" s="349"/>
      <c r="F144" s="349"/>
      <c r="G144" s="349"/>
      <c r="H144" s="349" t="s">
        <v>13203</v>
      </c>
      <c r="I144" s="349"/>
      <c r="J144" s="349"/>
      <c r="K144" s="349"/>
      <c r="L144" s="349"/>
      <c r="M144" s="349"/>
      <c r="N144" s="349"/>
      <c r="O144" s="349"/>
      <c r="P144" s="349"/>
      <c r="Q144" s="349"/>
    </row>
    <row r="145" spans="2:17" x14ac:dyDescent="0.25">
      <c r="B145" s="350"/>
      <c r="C145" s="349"/>
      <c r="D145" s="349"/>
      <c r="E145" s="349"/>
      <c r="F145" s="349"/>
      <c r="G145" s="349"/>
      <c r="H145" s="349" t="s">
        <v>13204</v>
      </c>
      <c r="I145" s="349"/>
      <c r="J145" s="349"/>
      <c r="K145" s="349"/>
      <c r="L145" s="349"/>
      <c r="M145" s="349"/>
      <c r="N145" s="349"/>
      <c r="O145" s="349"/>
      <c r="P145" s="349"/>
      <c r="Q145" s="349"/>
    </row>
    <row r="146" spans="2:17" x14ac:dyDescent="0.25">
      <c r="B146" s="350"/>
      <c r="C146" s="349"/>
      <c r="D146" s="349"/>
      <c r="E146" s="349"/>
      <c r="F146" s="349"/>
      <c r="G146" s="349"/>
      <c r="H146" s="349" t="s">
        <v>6433</v>
      </c>
      <c r="I146" s="349"/>
      <c r="J146" s="349"/>
      <c r="K146" s="349"/>
      <c r="L146" s="349"/>
      <c r="M146" s="349"/>
      <c r="N146" s="349"/>
      <c r="O146" s="349"/>
      <c r="P146" s="349"/>
      <c r="Q146" s="349"/>
    </row>
    <row r="147" spans="2:17" x14ac:dyDescent="0.25">
      <c r="B147" s="350"/>
      <c r="C147" s="349"/>
      <c r="D147" s="349"/>
      <c r="E147" s="349"/>
      <c r="F147" s="349"/>
      <c r="G147" s="349"/>
      <c r="H147" s="349" t="s">
        <v>6440</v>
      </c>
      <c r="I147" s="349"/>
      <c r="J147" s="349"/>
      <c r="K147" s="349"/>
      <c r="L147" s="349"/>
      <c r="M147" s="349"/>
      <c r="N147" s="349"/>
      <c r="O147" s="349"/>
      <c r="P147" s="349"/>
      <c r="Q147" s="349"/>
    </row>
    <row r="148" spans="2:17" x14ac:dyDescent="0.25">
      <c r="B148" s="350"/>
      <c r="C148" s="349"/>
      <c r="D148" s="349"/>
      <c r="E148" s="349"/>
      <c r="F148" s="349"/>
      <c r="G148" s="349"/>
      <c r="H148" s="349" t="s">
        <v>6445</v>
      </c>
      <c r="I148" s="349"/>
      <c r="J148" s="349"/>
      <c r="K148" s="349"/>
      <c r="L148" s="349"/>
      <c r="M148" s="349"/>
      <c r="N148" s="349"/>
      <c r="O148" s="349"/>
      <c r="P148" s="349"/>
      <c r="Q148" s="349"/>
    </row>
    <row r="149" spans="2:17" x14ac:dyDescent="0.25">
      <c r="B149" s="350"/>
      <c r="C149" s="349"/>
      <c r="D149" s="349"/>
      <c r="E149" s="349"/>
      <c r="F149" s="349"/>
      <c r="G149" s="349"/>
      <c r="H149" s="349" t="s">
        <v>6448</v>
      </c>
      <c r="I149" s="349"/>
      <c r="J149" s="349"/>
      <c r="K149" s="349"/>
      <c r="L149" s="349"/>
      <c r="M149" s="349"/>
      <c r="N149" s="349"/>
      <c r="O149" s="349"/>
      <c r="P149" s="349"/>
      <c r="Q149" s="349"/>
    </row>
    <row r="150" spans="2:17" x14ac:dyDescent="0.25">
      <c r="B150" s="350"/>
      <c r="C150" s="349"/>
      <c r="D150" s="349"/>
      <c r="E150" s="349"/>
      <c r="F150" s="349"/>
      <c r="G150" s="349"/>
      <c r="H150" s="349" t="s">
        <v>6450</v>
      </c>
      <c r="I150" s="349"/>
      <c r="J150" s="349"/>
      <c r="K150" s="349"/>
      <c r="L150" s="349"/>
      <c r="M150" s="349"/>
      <c r="N150" s="349"/>
      <c r="O150" s="349"/>
      <c r="P150" s="349"/>
      <c r="Q150" s="349"/>
    </row>
    <row r="151" spans="2:17" x14ac:dyDescent="0.25">
      <c r="B151" s="350"/>
      <c r="C151" s="349"/>
      <c r="D151" s="349"/>
      <c r="E151" s="349"/>
      <c r="F151" s="349"/>
      <c r="G151" s="349"/>
      <c r="H151" s="349" t="s">
        <v>13205</v>
      </c>
      <c r="I151" s="349"/>
      <c r="J151" s="349"/>
      <c r="K151" s="349"/>
      <c r="L151" s="349"/>
      <c r="M151" s="349"/>
      <c r="N151" s="349"/>
      <c r="O151" s="349"/>
      <c r="P151" s="349"/>
      <c r="Q151" s="349"/>
    </row>
    <row r="152" spans="2:17" x14ac:dyDescent="0.25">
      <c r="B152" s="350"/>
      <c r="C152" s="349"/>
      <c r="D152" s="349"/>
      <c r="E152" s="349"/>
      <c r="F152" s="349"/>
      <c r="G152" s="349"/>
      <c r="H152" s="349" t="s">
        <v>6458</v>
      </c>
      <c r="I152" s="349"/>
      <c r="J152" s="349"/>
      <c r="K152" s="349"/>
      <c r="L152" s="349"/>
      <c r="M152" s="349"/>
      <c r="N152" s="349"/>
      <c r="O152" s="349"/>
      <c r="P152" s="349"/>
      <c r="Q152" s="349"/>
    </row>
    <row r="153" spans="2:17" x14ac:dyDescent="0.25">
      <c r="B153" s="350"/>
      <c r="C153" s="349"/>
      <c r="D153" s="349"/>
      <c r="E153" s="349"/>
      <c r="F153" s="349"/>
      <c r="G153" s="349"/>
      <c r="H153" s="349" t="s">
        <v>13206</v>
      </c>
      <c r="I153" s="349"/>
      <c r="J153" s="349"/>
      <c r="K153" s="349"/>
      <c r="L153" s="349"/>
      <c r="M153" s="349"/>
      <c r="N153" s="349"/>
      <c r="O153" s="349"/>
      <c r="P153" s="349"/>
      <c r="Q153" s="349"/>
    </row>
    <row r="154" spans="2:17" x14ac:dyDescent="0.25">
      <c r="B154" s="350"/>
      <c r="C154" s="349"/>
      <c r="D154" s="349"/>
      <c r="E154" s="349"/>
      <c r="F154" s="349"/>
      <c r="G154" s="349"/>
      <c r="H154" s="349" t="s">
        <v>13207</v>
      </c>
      <c r="I154" s="349"/>
      <c r="J154" s="349"/>
      <c r="K154" s="349"/>
      <c r="L154" s="349"/>
      <c r="M154" s="349"/>
      <c r="N154" s="349"/>
      <c r="O154" s="349"/>
      <c r="P154" s="349"/>
      <c r="Q154" s="349"/>
    </row>
    <row r="155" spans="2:17" x14ac:dyDescent="0.25">
      <c r="B155" s="350"/>
      <c r="C155" s="349"/>
      <c r="D155" s="349"/>
      <c r="E155" s="349"/>
      <c r="F155" s="349"/>
      <c r="G155" s="349"/>
      <c r="H155" s="349" t="s">
        <v>13208</v>
      </c>
      <c r="I155" s="349"/>
      <c r="J155" s="349"/>
      <c r="K155" s="349"/>
      <c r="L155" s="349"/>
      <c r="M155" s="349"/>
      <c r="N155" s="349"/>
      <c r="O155" s="349"/>
      <c r="P155" s="349"/>
      <c r="Q155" s="349"/>
    </row>
    <row r="156" spans="2:17" x14ac:dyDescent="0.25">
      <c r="B156" s="350"/>
      <c r="C156" s="349"/>
      <c r="D156" s="349"/>
      <c r="E156" s="349"/>
      <c r="F156" s="349"/>
      <c r="G156" s="349"/>
      <c r="H156" s="349" t="s">
        <v>13209</v>
      </c>
      <c r="I156" s="349"/>
      <c r="J156" s="349"/>
      <c r="K156" s="349"/>
      <c r="L156" s="349"/>
      <c r="M156" s="349"/>
      <c r="N156" s="349"/>
      <c r="O156" s="349"/>
      <c r="P156" s="349"/>
      <c r="Q156" s="349"/>
    </row>
    <row r="157" spans="2:17" x14ac:dyDescent="0.25">
      <c r="B157" s="350"/>
      <c r="C157" s="349"/>
      <c r="D157" s="349"/>
      <c r="E157" s="349"/>
      <c r="F157" s="349"/>
      <c r="G157" s="349"/>
      <c r="H157" s="349" t="s">
        <v>13210</v>
      </c>
      <c r="I157" s="349"/>
      <c r="J157" s="349"/>
      <c r="K157" s="349"/>
      <c r="L157" s="349"/>
      <c r="M157" s="349"/>
      <c r="N157" s="349"/>
      <c r="O157" s="349"/>
      <c r="P157" s="349"/>
      <c r="Q157" s="349"/>
    </row>
    <row r="158" spans="2:17" x14ac:dyDescent="0.25">
      <c r="B158" s="350"/>
      <c r="C158" s="349"/>
      <c r="D158" s="349"/>
      <c r="E158" s="349"/>
      <c r="F158" s="349"/>
      <c r="G158" s="349"/>
      <c r="H158" s="349" t="s">
        <v>6476</v>
      </c>
      <c r="I158" s="349"/>
      <c r="J158" s="349"/>
      <c r="K158" s="349"/>
      <c r="L158" s="349"/>
      <c r="M158" s="349"/>
      <c r="N158" s="349"/>
      <c r="O158" s="349"/>
      <c r="P158" s="349"/>
      <c r="Q158" s="349"/>
    </row>
    <row r="159" spans="2:17" x14ac:dyDescent="0.25">
      <c r="B159" s="350"/>
      <c r="C159" s="349"/>
      <c r="D159" s="349"/>
      <c r="E159" s="349"/>
      <c r="F159" s="349"/>
      <c r="G159" s="349"/>
      <c r="H159" s="349" t="s">
        <v>13211</v>
      </c>
      <c r="I159" s="349"/>
      <c r="J159" s="349"/>
      <c r="K159" s="349"/>
      <c r="L159" s="349"/>
      <c r="M159" s="349"/>
      <c r="N159" s="349"/>
      <c r="O159" s="349"/>
      <c r="P159" s="349"/>
      <c r="Q159" s="349"/>
    </row>
    <row r="160" spans="2:17" x14ac:dyDescent="0.25">
      <c r="B160" s="350"/>
      <c r="C160" s="349"/>
      <c r="D160" s="349"/>
      <c r="E160" s="349"/>
      <c r="F160" s="349"/>
      <c r="G160" s="349"/>
      <c r="H160" s="349" t="s">
        <v>6485</v>
      </c>
      <c r="I160" s="349"/>
      <c r="J160" s="349"/>
      <c r="K160" s="349"/>
      <c r="L160" s="349"/>
      <c r="M160" s="349"/>
      <c r="N160" s="349"/>
      <c r="O160" s="349"/>
      <c r="P160" s="349"/>
      <c r="Q160" s="349"/>
    </row>
    <row r="161" spans="2:17" x14ac:dyDescent="0.25">
      <c r="B161" s="350"/>
      <c r="C161" s="349"/>
      <c r="D161" s="349"/>
      <c r="E161" s="349"/>
      <c r="F161" s="349"/>
      <c r="G161" s="349"/>
      <c r="H161" s="349" t="s">
        <v>13212</v>
      </c>
      <c r="I161" s="349"/>
      <c r="J161" s="349"/>
      <c r="K161" s="349"/>
      <c r="L161" s="349"/>
      <c r="M161" s="349"/>
      <c r="N161" s="349"/>
      <c r="O161" s="349"/>
      <c r="P161" s="349"/>
      <c r="Q161" s="349"/>
    </row>
    <row r="162" spans="2:17" x14ac:dyDescent="0.25">
      <c r="B162" s="350"/>
      <c r="C162" s="349"/>
      <c r="D162" s="349"/>
      <c r="E162" s="349"/>
      <c r="F162" s="349"/>
      <c r="G162" s="349"/>
      <c r="H162" s="349" t="s">
        <v>13213</v>
      </c>
      <c r="I162" s="349"/>
      <c r="J162" s="349"/>
      <c r="K162" s="349"/>
      <c r="L162" s="349"/>
      <c r="M162" s="349"/>
      <c r="N162" s="349"/>
      <c r="O162" s="349"/>
      <c r="P162" s="349"/>
      <c r="Q162" s="349"/>
    </row>
    <row r="163" spans="2:17" x14ac:dyDescent="0.25">
      <c r="B163" s="350"/>
      <c r="C163" s="349"/>
      <c r="D163" s="349"/>
      <c r="E163" s="349"/>
      <c r="F163" s="349"/>
      <c r="G163" s="349"/>
      <c r="H163" s="349" t="s">
        <v>13214</v>
      </c>
      <c r="I163" s="349"/>
      <c r="J163" s="349"/>
      <c r="K163" s="349"/>
      <c r="L163" s="349"/>
      <c r="M163" s="349"/>
      <c r="N163" s="349"/>
      <c r="O163" s="349"/>
      <c r="P163" s="349"/>
      <c r="Q163" s="349"/>
    </row>
    <row r="164" spans="2:17" x14ac:dyDescent="0.25">
      <c r="B164" s="350"/>
      <c r="C164" s="349"/>
      <c r="D164" s="349"/>
      <c r="E164" s="349"/>
      <c r="F164" s="349"/>
      <c r="G164" s="349"/>
      <c r="H164" s="349" t="s">
        <v>6496</v>
      </c>
      <c r="I164" s="349"/>
      <c r="J164" s="349"/>
      <c r="K164" s="349"/>
      <c r="L164" s="349"/>
      <c r="M164" s="349"/>
      <c r="N164" s="349"/>
      <c r="O164" s="349"/>
      <c r="P164" s="349"/>
      <c r="Q164" s="349"/>
    </row>
    <row r="165" spans="2:17" x14ac:dyDescent="0.25">
      <c r="B165" s="350"/>
      <c r="C165" s="349"/>
      <c r="D165" s="349"/>
      <c r="E165" s="349"/>
      <c r="F165" s="349"/>
      <c r="G165" s="349"/>
      <c r="H165" s="349" t="s">
        <v>13215</v>
      </c>
      <c r="I165" s="349"/>
      <c r="J165" s="349"/>
      <c r="K165" s="349"/>
      <c r="L165" s="349"/>
      <c r="M165" s="349"/>
      <c r="N165" s="349"/>
      <c r="O165" s="349"/>
      <c r="P165" s="349"/>
      <c r="Q165" s="349"/>
    </row>
    <row r="166" spans="2:17" x14ac:dyDescent="0.25">
      <c r="B166" s="350"/>
      <c r="C166" s="349"/>
      <c r="D166" s="349"/>
      <c r="E166" s="349"/>
      <c r="F166" s="349"/>
      <c r="G166" s="349"/>
      <c r="H166" s="349" t="s">
        <v>6502</v>
      </c>
      <c r="I166" s="349"/>
      <c r="J166" s="349"/>
      <c r="K166" s="349"/>
      <c r="L166" s="349"/>
      <c r="M166" s="349"/>
      <c r="N166" s="349"/>
      <c r="O166" s="349"/>
      <c r="P166" s="349"/>
      <c r="Q166" s="349"/>
    </row>
    <row r="167" spans="2:17" x14ac:dyDescent="0.25">
      <c r="B167" s="350"/>
      <c r="C167" s="349"/>
      <c r="D167" s="349"/>
      <c r="E167" s="349"/>
      <c r="F167" s="349"/>
      <c r="G167" s="349"/>
      <c r="H167" s="349" t="s">
        <v>13216</v>
      </c>
      <c r="I167" s="349"/>
      <c r="J167" s="349"/>
      <c r="K167" s="349"/>
      <c r="L167" s="349"/>
      <c r="M167" s="349"/>
      <c r="N167" s="349"/>
      <c r="O167" s="349"/>
      <c r="P167" s="349"/>
      <c r="Q167" s="349"/>
    </row>
    <row r="168" spans="2:17" x14ac:dyDescent="0.25">
      <c r="B168" s="350"/>
      <c r="C168" s="349"/>
      <c r="D168" s="349"/>
      <c r="E168" s="349"/>
      <c r="F168" s="349"/>
      <c r="G168" s="349"/>
      <c r="H168" s="349" t="s">
        <v>13217</v>
      </c>
      <c r="I168" s="349"/>
      <c r="J168" s="349"/>
      <c r="K168" s="349"/>
      <c r="L168" s="349"/>
      <c r="M168" s="349"/>
      <c r="N168" s="349"/>
      <c r="O168" s="349"/>
      <c r="P168" s="349"/>
      <c r="Q168" s="349"/>
    </row>
    <row r="169" spans="2:17" x14ac:dyDescent="0.25">
      <c r="B169" s="350"/>
      <c r="C169" s="349"/>
      <c r="D169" s="349"/>
      <c r="E169" s="349"/>
      <c r="F169" s="349"/>
      <c r="G169" s="349"/>
      <c r="H169" s="349" t="s">
        <v>6514</v>
      </c>
      <c r="I169" s="349"/>
      <c r="J169" s="349"/>
      <c r="K169" s="349"/>
      <c r="L169" s="349"/>
      <c r="M169" s="349"/>
      <c r="N169" s="349"/>
      <c r="O169" s="349"/>
      <c r="P169" s="349"/>
      <c r="Q169" s="349"/>
    </row>
    <row r="170" spans="2:17" x14ac:dyDescent="0.25">
      <c r="B170" s="350"/>
      <c r="C170" s="349"/>
      <c r="D170" s="349"/>
      <c r="E170" s="349"/>
      <c r="F170" s="349"/>
      <c r="G170" s="349"/>
      <c r="H170" s="349" t="s">
        <v>13218</v>
      </c>
      <c r="I170" s="349"/>
      <c r="J170" s="349"/>
      <c r="K170" s="349"/>
      <c r="L170" s="349"/>
      <c r="M170" s="349"/>
      <c r="N170" s="349"/>
      <c r="O170" s="349"/>
      <c r="P170" s="349"/>
      <c r="Q170" s="349"/>
    </row>
    <row r="171" spans="2:17" x14ac:dyDescent="0.25">
      <c r="B171" s="350"/>
      <c r="C171" s="349"/>
      <c r="D171" s="349"/>
      <c r="E171" s="349"/>
      <c r="F171" s="349"/>
      <c r="G171" s="349"/>
      <c r="H171" s="349" t="s">
        <v>13219</v>
      </c>
      <c r="I171" s="349"/>
      <c r="J171" s="349"/>
      <c r="K171" s="349"/>
      <c r="L171" s="349"/>
      <c r="M171" s="349"/>
      <c r="N171" s="349"/>
      <c r="O171" s="349"/>
      <c r="P171" s="349"/>
      <c r="Q171" s="349"/>
    </row>
    <row r="172" spans="2:17" x14ac:dyDescent="0.25">
      <c r="B172" s="350"/>
      <c r="C172" s="349"/>
      <c r="D172" s="349"/>
      <c r="E172" s="349"/>
      <c r="F172" s="349"/>
      <c r="G172" s="349"/>
      <c r="H172" s="349" t="s">
        <v>13220</v>
      </c>
      <c r="I172" s="349"/>
      <c r="J172" s="349"/>
      <c r="K172" s="349"/>
      <c r="L172" s="349"/>
      <c r="M172" s="349"/>
      <c r="N172" s="349"/>
      <c r="O172" s="349"/>
      <c r="P172" s="349"/>
      <c r="Q172" s="349"/>
    </row>
    <row r="173" spans="2:17" x14ac:dyDescent="0.25">
      <c r="B173" s="350"/>
      <c r="C173" s="349"/>
      <c r="D173" s="349"/>
      <c r="E173" s="349"/>
      <c r="F173" s="349"/>
      <c r="G173" s="349"/>
      <c r="H173" s="349" t="s">
        <v>13221</v>
      </c>
      <c r="I173" s="349"/>
      <c r="J173" s="349"/>
      <c r="K173" s="349"/>
      <c r="L173" s="349"/>
      <c r="M173" s="349"/>
      <c r="N173" s="349"/>
      <c r="O173" s="349"/>
      <c r="P173" s="349"/>
      <c r="Q173" s="349"/>
    </row>
    <row r="174" spans="2:17" x14ac:dyDescent="0.25">
      <c r="B174" s="350"/>
      <c r="C174" s="349"/>
      <c r="D174" s="349"/>
      <c r="E174" s="349"/>
      <c r="F174" s="349"/>
      <c r="G174" s="349"/>
      <c r="H174" s="349" t="s">
        <v>13222</v>
      </c>
      <c r="I174" s="349"/>
      <c r="J174" s="349"/>
      <c r="K174" s="349"/>
      <c r="L174" s="349"/>
      <c r="M174" s="349"/>
      <c r="N174" s="349"/>
      <c r="O174" s="349"/>
      <c r="P174" s="349"/>
      <c r="Q174" s="349"/>
    </row>
    <row r="175" spans="2:17" x14ac:dyDescent="0.25">
      <c r="B175" s="350"/>
      <c r="C175" s="349"/>
      <c r="D175" s="349"/>
      <c r="E175" s="349"/>
      <c r="F175" s="349"/>
      <c r="G175" s="349"/>
      <c r="H175" s="349" t="s">
        <v>13223</v>
      </c>
      <c r="I175" s="349"/>
      <c r="J175" s="349"/>
      <c r="K175" s="349"/>
      <c r="L175" s="349"/>
      <c r="M175" s="349"/>
      <c r="N175" s="349"/>
      <c r="O175" s="349"/>
      <c r="P175" s="349"/>
      <c r="Q175" s="349"/>
    </row>
    <row r="176" spans="2:17" x14ac:dyDescent="0.25">
      <c r="B176" s="350"/>
      <c r="C176" s="349"/>
      <c r="D176" s="349"/>
      <c r="E176" s="349"/>
      <c r="F176" s="349"/>
      <c r="G176" s="349"/>
      <c r="H176" s="349" t="s">
        <v>13224</v>
      </c>
      <c r="I176" s="349"/>
      <c r="J176" s="349"/>
      <c r="K176" s="349"/>
      <c r="L176" s="349"/>
      <c r="M176" s="349"/>
      <c r="N176" s="349"/>
      <c r="O176" s="349"/>
      <c r="P176" s="349"/>
      <c r="Q176" s="349"/>
    </row>
    <row r="177" spans="2:17" x14ac:dyDescent="0.25">
      <c r="B177" s="350"/>
      <c r="C177" s="349"/>
      <c r="D177" s="349"/>
      <c r="E177" s="349"/>
      <c r="F177" s="349"/>
      <c r="G177" s="349"/>
      <c r="H177" s="349" t="s">
        <v>6536</v>
      </c>
      <c r="I177" s="349"/>
      <c r="J177" s="349"/>
      <c r="K177" s="349"/>
      <c r="L177" s="349"/>
      <c r="M177" s="349"/>
      <c r="N177" s="349"/>
      <c r="O177" s="349"/>
      <c r="P177" s="349"/>
      <c r="Q177" s="349"/>
    </row>
    <row r="178" spans="2:17" x14ac:dyDescent="0.25">
      <c r="B178" s="350"/>
      <c r="C178" s="349"/>
      <c r="D178" s="349"/>
      <c r="E178" s="349"/>
      <c r="F178" s="349"/>
      <c r="G178" s="349"/>
      <c r="H178" s="349" t="s">
        <v>13225</v>
      </c>
      <c r="I178" s="349"/>
      <c r="J178" s="349"/>
      <c r="K178" s="349"/>
      <c r="L178" s="349"/>
      <c r="M178" s="349"/>
      <c r="N178" s="349"/>
      <c r="O178" s="349"/>
      <c r="P178" s="349"/>
      <c r="Q178" s="349"/>
    </row>
    <row r="179" spans="2:17" x14ac:dyDescent="0.25">
      <c r="B179" s="350"/>
      <c r="C179" s="349"/>
      <c r="D179" s="349"/>
      <c r="E179" s="349"/>
      <c r="F179" s="349"/>
      <c r="G179" s="349"/>
      <c r="H179" s="349" t="s">
        <v>13226</v>
      </c>
      <c r="I179" s="349"/>
      <c r="J179" s="349"/>
      <c r="K179" s="349"/>
      <c r="L179" s="349"/>
      <c r="M179" s="349"/>
      <c r="N179" s="349"/>
      <c r="O179" s="349"/>
      <c r="P179" s="349"/>
      <c r="Q179" s="349"/>
    </row>
    <row r="180" spans="2:17" x14ac:dyDescent="0.25">
      <c r="B180" s="350"/>
      <c r="C180" s="349"/>
      <c r="D180" s="349"/>
      <c r="E180" s="349"/>
      <c r="F180" s="349"/>
      <c r="G180" s="349"/>
      <c r="H180" s="349" t="s">
        <v>13227</v>
      </c>
      <c r="I180" s="349"/>
      <c r="J180" s="349"/>
      <c r="K180" s="349"/>
      <c r="L180" s="349"/>
      <c r="M180" s="349"/>
      <c r="N180" s="349"/>
      <c r="O180" s="349"/>
      <c r="P180" s="349"/>
      <c r="Q180" s="349"/>
    </row>
    <row r="181" spans="2:17" x14ac:dyDescent="0.25">
      <c r="B181" s="350"/>
      <c r="C181" s="349"/>
      <c r="D181" s="349"/>
      <c r="E181" s="349"/>
      <c r="F181" s="349"/>
      <c r="G181" s="349"/>
      <c r="H181" s="349" t="s">
        <v>13228</v>
      </c>
      <c r="I181" s="349"/>
      <c r="J181" s="349"/>
      <c r="K181" s="349"/>
      <c r="L181" s="349"/>
      <c r="M181" s="349"/>
      <c r="N181" s="349"/>
      <c r="O181" s="349"/>
      <c r="P181" s="349"/>
      <c r="Q181" s="349"/>
    </row>
    <row r="182" spans="2:17" x14ac:dyDescent="0.25">
      <c r="B182" s="350"/>
      <c r="C182" s="349"/>
      <c r="D182" s="349"/>
      <c r="E182" s="349"/>
      <c r="F182" s="349"/>
      <c r="G182" s="349"/>
      <c r="H182" s="349" t="s">
        <v>13229</v>
      </c>
      <c r="I182" s="349"/>
      <c r="J182" s="349"/>
      <c r="K182" s="349"/>
      <c r="L182" s="349"/>
      <c r="M182" s="349"/>
      <c r="N182" s="349"/>
      <c r="O182" s="349"/>
      <c r="P182" s="349"/>
      <c r="Q182" s="349"/>
    </row>
    <row r="183" spans="2:17" x14ac:dyDescent="0.25">
      <c r="B183" s="350"/>
      <c r="C183" s="349"/>
      <c r="D183" s="349"/>
      <c r="E183" s="349"/>
      <c r="F183" s="349"/>
      <c r="G183" s="349"/>
      <c r="H183" s="349" t="s">
        <v>6553</v>
      </c>
      <c r="I183" s="349"/>
      <c r="J183" s="349"/>
      <c r="K183" s="349"/>
      <c r="L183" s="349"/>
      <c r="M183" s="349"/>
      <c r="N183" s="349"/>
      <c r="O183" s="349"/>
      <c r="P183" s="349"/>
      <c r="Q183" s="349"/>
    </row>
    <row r="184" spans="2:17" x14ac:dyDescent="0.25">
      <c r="B184" s="350"/>
      <c r="C184" s="350"/>
      <c r="D184" s="350"/>
      <c r="E184" s="350"/>
      <c r="F184" s="350"/>
      <c r="G184" s="350"/>
      <c r="H184" s="314" t="s">
        <v>6554</v>
      </c>
      <c r="I184" s="350"/>
      <c r="J184" s="350"/>
      <c r="K184" s="350"/>
      <c r="L184" s="350"/>
      <c r="M184" s="350"/>
      <c r="N184" s="350"/>
      <c r="O184" s="350"/>
      <c r="P184" s="350"/>
      <c r="Q184" s="350"/>
    </row>
    <row r="185" spans="2:17" x14ac:dyDescent="0.25">
      <c r="B185" s="350"/>
      <c r="C185" s="350"/>
      <c r="D185" s="350"/>
      <c r="E185" s="350"/>
      <c r="F185" s="350"/>
      <c r="G185" s="350"/>
      <c r="H185" s="314" t="s">
        <v>6560</v>
      </c>
      <c r="I185" s="350"/>
      <c r="J185" s="350"/>
      <c r="K185" s="350"/>
      <c r="L185" s="350"/>
      <c r="M185" s="350"/>
      <c r="N185" s="350"/>
      <c r="O185" s="350"/>
      <c r="P185" s="350"/>
      <c r="Q185" s="350"/>
    </row>
    <row r="186" spans="2:17" x14ac:dyDescent="0.25">
      <c r="B186" s="350"/>
      <c r="C186" s="350"/>
      <c r="D186" s="350"/>
      <c r="E186" s="350"/>
      <c r="F186" s="350"/>
      <c r="G186" s="350"/>
      <c r="H186" s="314" t="s">
        <v>13230</v>
      </c>
      <c r="I186" s="350"/>
      <c r="J186" s="350"/>
      <c r="K186" s="350"/>
      <c r="L186" s="350"/>
      <c r="M186" s="350"/>
      <c r="N186" s="350"/>
      <c r="O186" s="350"/>
      <c r="P186" s="350"/>
      <c r="Q186" s="350"/>
    </row>
    <row r="187" spans="2:17" x14ac:dyDescent="0.25">
      <c r="B187" s="350"/>
      <c r="C187" s="350"/>
      <c r="D187" s="350"/>
      <c r="E187" s="350"/>
      <c r="F187" s="350"/>
      <c r="G187" s="350"/>
      <c r="H187" s="314" t="s">
        <v>13231</v>
      </c>
      <c r="I187" s="350"/>
      <c r="J187" s="350"/>
      <c r="K187" s="350"/>
      <c r="L187" s="350"/>
      <c r="M187" s="350"/>
      <c r="N187" s="350"/>
      <c r="O187" s="350"/>
      <c r="P187" s="350"/>
      <c r="Q187" s="350"/>
    </row>
    <row r="188" spans="2:17" x14ac:dyDescent="0.25">
      <c r="B188" s="350"/>
      <c r="C188" s="350"/>
      <c r="D188" s="350"/>
      <c r="E188" s="350"/>
      <c r="F188" s="350"/>
      <c r="G188" s="350"/>
      <c r="H188" s="314" t="s">
        <v>13232</v>
      </c>
      <c r="I188" s="350"/>
      <c r="J188" s="350"/>
      <c r="K188" s="350"/>
      <c r="L188" s="350"/>
      <c r="M188" s="350"/>
      <c r="N188" s="350"/>
      <c r="O188" s="350"/>
      <c r="P188" s="350"/>
      <c r="Q188" s="350"/>
    </row>
    <row r="189" spans="2:17" x14ac:dyDescent="0.25">
      <c r="B189" s="350"/>
      <c r="C189" s="350"/>
      <c r="D189" s="350"/>
      <c r="E189" s="350"/>
      <c r="F189" s="350"/>
      <c r="G189" s="350"/>
      <c r="H189" s="314" t="s">
        <v>13233</v>
      </c>
      <c r="I189" s="350"/>
      <c r="J189" s="350"/>
      <c r="K189" s="350"/>
      <c r="L189" s="350"/>
      <c r="M189" s="350"/>
      <c r="N189" s="350"/>
      <c r="O189" s="350"/>
      <c r="P189" s="350"/>
      <c r="Q189" s="350"/>
    </row>
    <row r="190" spans="2:17" x14ac:dyDescent="0.25">
      <c r="J190" s="349"/>
    </row>
    <row r="191" spans="2:17" x14ac:dyDescent="0.25">
      <c r="J191" s="349"/>
    </row>
    <row r="192" spans="2:17"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sheetData>
  <autoFilter ref="B7:Q189" xr:uid="{6BAEB980-0C9D-4BDC-AC91-92725B7A14B7}"/>
  <mergeCells count="1">
    <mergeCell ref="B2:Q6"/>
  </mergeCells>
  <phoneticPr fontId="6" type="noConversion"/>
  <dataValidations count="4">
    <dataValidation type="list" allowBlank="1" showInputMessage="1" showErrorMessage="1" sqref="C81 C73:C75" xr:uid="{36A6BB5E-51A3-4928-B41B-2E9B3311DC05}">
      <formula1>"Inicial, Recertificação,Tranferencia,Transferencia com Manut, Manutenção, Alteração,Inclusão,Cancelado,suspenso"</formula1>
    </dataValidation>
    <dataValidation type="list" allowBlank="1" showInputMessage="1" showErrorMessage="1" sqref="B79:B81 B8:B75" xr:uid="{C39AFE14-4DC0-4C0C-B503-68E9297A7B6E}">
      <formula1>"ATIVO, EM ANDAMENTO,INATIVO,PENDENTE,STAND-BY"</formula1>
    </dataValidation>
    <dataValidation type="list" allowBlank="1" showInputMessage="1" showErrorMessage="1" sqref="D81 D69:D75" xr:uid="{568595D1-9119-4B56-8FE3-8D72D7099E4D}">
      <formula1>"Equipamento medico, agulhas,seringas,Ex, Eletrodomestico,Fornos e fogoes"</formula1>
    </dataValidation>
    <dataValidation type="list" allowBlank="1" showInputMessage="1" showErrorMessage="1" sqref="C72" xr:uid="{FAB36F2B-6219-4006-8D77-299D6806DD94}">
      <formula1>"Inicial, Recertificação, Manutenção, Alteração,Inclusão,Cancelado,suspenso"</formula1>
    </dataValidation>
  </dataValidations>
  <pageMargins left="0.511811024" right="0.511811024" top="0.78740157499999996" bottom="0.78740157499999996" header="0.31496062000000002" footer="0.31496062000000002"/>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194ef9c-6709-4fe7-a897-6eea77612c71">
      <Terms xmlns="http://schemas.microsoft.com/office/infopath/2007/PartnerControls"/>
    </lcf76f155ced4ddcb4097134ff3c332f>
    <TaxCatchAll xmlns="9c7e59a5-359f-4085-88bd-b72ff0df79a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AA3B9ACC2B4AC347AB36468EB1F9C165" ma:contentTypeVersion="14" ma:contentTypeDescription="Crie um novo documento." ma:contentTypeScope="" ma:versionID="1685a1f1f868efac549de67f9d324f60">
  <xsd:schema xmlns:xsd="http://www.w3.org/2001/XMLSchema" xmlns:xs="http://www.w3.org/2001/XMLSchema" xmlns:p="http://schemas.microsoft.com/office/2006/metadata/properties" xmlns:ns2="3194ef9c-6709-4fe7-a897-6eea77612c71" xmlns:ns3="9c7e59a5-359f-4085-88bd-b72ff0df79ad" targetNamespace="http://schemas.microsoft.com/office/2006/metadata/properties" ma:root="true" ma:fieldsID="d0574dc4b47a6b3cd7686695c982b720" ns2:_="" ns3:_="">
    <xsd:import namespace="3194ef9c-6709-4fe7-a897-6eea77612c71"/>
    <xsd:import namespace="9c7e59a5-359f-4085-88bd-b72ff0df79a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94ef9c-6709-4fe7-a897-6eea77612c7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Marcações de imagem" ma:readOnly="false" ma:fieldId="{5cf76f15-5ced-4ddc-b409-7134ff3c332f}" ma:taxonomyMulti="true" ma:sspId="bfd33886-0839-4dde-acb7-e35420c15404"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descriptio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c7e59a5-359f-4085-88bd-b72ff0df79ad"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36023d43-555c-42f8-935c-e71d400f5a25}" ma:internalName="TaxCatchAll" ma:showField="CatchAllData" ma:web="9c7e59a5-359f-4085-88bd-b72ff0df79a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942359D-BD0F-4161-9647-A089770B1B55}">
  <ds:schemaRefs>
    <ds:schemaRef ds:uri="http://schemas.microsoft.com/office/2006/documentManagement/types"/>
    <ds:schemaRef ds:uri="9c7e59a5-359f-4085-88bd-b72ff0df79ad"/>
    <ds:schemaRef ds:uri="http://purl.org/dc/terms/"/>
    <ds:schemaRef ds:uri="http://schemas.microsoft.com/office/2006/metadata/properties"/>
    <ds:schemaRef ds:uri="http://schemas.openxmlformats.org/package/2006/metadata/core-properties"/>
    <ds:schemaRef ds:uri="http://purl.org/dc/dcmitype/"/>
    <ds:schemaRef ds:uri="http://purl.org/dc/elements/1.1/"/>
    <ds:schemaRef ds:uri="http://schemas.microsoft.com/office/infopath/2007/PartnerControls"/>
    <ds:schemaRef ds:uri="3194ef9c-6709-4fe7-a897-6eea77612c71"/>
    <ds:schemaRef ds:uri="http://www.w3.org/XML/1998/namespace"/>
  </ds:schemaRefs>
</ds:datastoreItem>
</file>

<file path=customXml/itemProps2.xml><?xml version="1.0" encoding="utf-8"?>
<ds:datastoreItem xmlns:ds="http://schemas.openxmlformats.org/officeDocument/2006/customXml" ds:itemID="{C3C6DE61-3920-4B8B-B8D5-4B2DE0D9DD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94ef9c-6709-4fe7-a897-6eea77612c71"/>
    <ds:schemaRef ds:uri="9c7e59a5-359f-4085-88bd-b72ff0df79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6E018EA-B809-4B00-B00A-15DAE4AE17B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vt:i4>
      </vt:variant>
    </vt:vector>
  </HeadingPairs>
  <TitlesOfParts>
    <vt:vector size="13" baseType="lpstr">
      <vt:lpstr>2025</vt:lpstr>
      <vt:lpstr>2024</vt:lpstr>
      <vt:lpstr>Planilha1</vt:lpstr>
      <vt:lpstr>2023</vt:lpstr>
      <vt:lpstr>2022</vt:lpstr>
      <vt:lpstr>2021</vt:lpstr>
      <vt:lpstr>2020</vt:lpstr>
      <vt:lpstr>2019</vt:lpstr>
      <vt:lpstr>2018</vt:lpstr>
      <vt:lpstr>2017</vt:lpstr>
      <vt:lpstr>Canceladas</vt:lpstr>
      <vt:lpstr>obsoleto</vt:lpstr>
      <vt:lpstr>'2021'!_Hlk35266052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lmpce</dc:creator>
  <cp:keywords/>
  <dc:description/>
  <cp:lastModifiedBy>Marcelo Borges</cp:lastModifiedBy>
  <cp:revision/>
  <dcterms:created xsi:type="dcterms:W3CDTF">2020-08-23T23:31:31Z</dcterms:created>
  <dcterms:modified xsi:type="dcterms:W3CDTF">2025-04-26T14:56:51Z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0x010100AA3B9ACC2B4AC347AB36468EB1F9C165</vt:lpwstr>
  </property>
</Properties>
</file>